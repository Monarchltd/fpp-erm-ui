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jesticintranet-my.sharepoint.com/personal/guy_macdougall-mitchell_eic_co_uk/Documents/Documents/pricing/Energy tender portal/Testing EDF entry/"/>
    </mc:Choice>
  </mc:AlternateContent>
  <xr:revisionPtr revIDLastSave="0" documentId="8_{2484F159-E4A5-4744-A210-A33A52769133}" xr6:coauthVersionLast="47" xr6:coauthVersionMax="47" xr10:uidLastSave="{00000000-0000-0000-0000-000000000000}"/>
  <bookViews>
    <workbookView xWindow="-120" yWindow="-120" windowWidth="29040" windowHeight="15720" xr2:uid="{20A1464A-94AE-4064-B53D-3D54CA26CBDE}"/>
  </bookViews>
  <sheets>
    <sheet name="Q-201678-M3V3Z9_1" sheetId="1" r:id="rId1"/>
  </sheets>
  <definedNames>
    <definedName name="_xlnm._FilterDatabase" localSheetId="0" hidden="1">'Q-201678-M3V3Z9_1'!$A$1:$FN$134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" i="1" l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2" i="1"/>
</calcChain>
</file>

<file path=xl/sharedStrings.xml><?xml version="1.0" encoding="utf-8"?>
<sst xmlns="http://schemas.openxmlformats.org/spreadsheetml/2006/main" count="5516" uniqueCount="567">
  <si>
    <t>Quote ID</t>
  </si>
  <si>
    <t>Revision</t>
  </si>
  <si>
    <t>Primary Requestor</t>
  </si>
  <si>
    <t>Secondary Requestor</t>
  </si>
  <si>
    <t>Tertiary Requestor</t>
  </si>
  <si>
    <t>Earliest Supply Start Date</t>
  </si>
  <si>
    <t>Earliest Termination Date</t>
  </si>
  <si>
    <t xml:space="preserve">Your Reference </t>
  </si>
  <si>
    <t>CR</t>
  </si>
  <si>
    <t>Customer Name</t>
  </si>
  <si>
    <t xml:space="preserve">Contact Name </t>
  </si>
  <si>
    <t>Company Registered Number</t>
  </si>
  <si>
    <t xml:space="preserve">Registered Address1 </t>
  </si>
  <si>
    <t>Registered Address2</t>
  </si>
  <si>
    <t>Registered Address3</t>
  </si>
  <si>
    <t>Registered Address Town</t>
  </si>
  <si>
    <t>Registered County</t>
  </si>
  <si>
    <t>Registered PostCode</t>
  </si>
  <si>
    <t>Billing Address 1</t>
  </si>
  <si>
    <t xml:space="preserve">Billing Address 2 </t>
  </si>
  <si>
    <t>Billing Address 3</t>
  </si>
  <si>
    <t>Billing Address Town</t>
  </si>
  <si>
    <t>Billing County</t>
  </si>
  <si>
    <t>Billing PostCode</t>
  </si>
  <si>
    <t xml:space="preserve">Site Address 1 </t>
  </si>
  <si>
    <t xml:space="preserve">Site Address 2 </t>
  </si>
  <si>
    <t>Site Address 3</t>
  </si>
  <si>
    <t>Site Address Town</t>
  </si>
  <si>
    <t>Site County</t>
  </si>
  <si>
    <t xml:space="preserve">Site PostCode </t>
  </si>
  <si>
    <t>EDF Energy Group Reference</t>
  </si>
  <si>
    <t xml:space="preserve">Price Point </t>
  </si>
  <si>
    <t xml:space="preserve">Billing Cycle </t>
  </si>
  <si>
    <t>Payment Method</t>
  </si>
  <si>
    <t>Payment Period</t>
  </si>
  <si>
    <t>Premise ID</t>
  </si>
  <si>
    <t>MPAN</t>
  </si>
  <si>
    <t>Meter Type</t>
  </si>
  <si>
    <t xml:space="preserve">AMR </t>
  </si>
  <si>
    <t>Profile Class</t>
  </si>
  <si>
    <t>MTC</t>
  </si>
  <si>
    <t>LLF</t>
  </si>
  <si>
    <t>Energisation Status</t>
  </si>
  <si>
    <t>Voltage</t>
  </si>
  <si>
    <t>Electricity Source</t>
  </si>
  <si>
    <t>Electricity Source CCL Exemption</t>
  </si>
  <si>
    <t>Price Structure Description</t>
  </si>
  <si>
    <t>Triad Charging Method</t>
  </si>
  <si>
    <t>DNO</t>
  </si>
  <si>
    <t xml:space="preserve">Price Structure Code </t>
  </si>
  <si>
    <t xml:space="preserve">Reactive Power Charge </t>
  </si>
  <si>
    <t>Reactive Power UOM</t>
  </si>
  <si>
    <t>Standing Charge Rate</t>
  </si>
  <si>
    <t xml:space="preserve">Standing Charge UOM </t>
  </si>
  <si>
    <t>Availability Capacity</t>
  </si>
  <si>
    <t xml:space="preserve">Availability Charge Rate </t>
  </si>
  <si>
    <t>Availability Charge UOM</t>
  </si>
  <si>
    <t xml:space="preserve">Excess Capacity Charge Rate </t>
  </si>
  <si>
    <t xml:space="preserve">Excess Capacity Charge UOM </t>
  </si>
  <si>
    <t>Rate Count</t>
  </si>
  <si>
    <t xml:space="preserve">Rate 1 Description </t>
  </si>
  <si>
    <t>Rate 1 Value</t>
  </si>
  <si>
    <t>Rate 1 UOM</t>
  </si>
  <si>
    <t xml:space="preserve">Rate 1 Usage kWh </t>
  </si>
  <si>
    <t xml:space="preserve">Rate 1 Cost Pence </t>
  </si>
  <si>
    <t xml:space="preserve">Rate 2 Description </t>
  </si>
  <si>
    <t xml:space="preserve">Rate 2 Value </t>
  </si>
  <si>
    <t>Rate 2 UOM</t>
  </si>
  <si>
    <t>Rate 2 Usage kWh</t>
  </si>
  <si>
    <t>Rate 2 Cost Pence</t>
  </si>
  <si>
    <t>Rate 3 Description</t>
  </si>
  <si>
    <t>Rate 3 Value</t>
  </si>
  <si>
    <t>Rate 3 UOM</t>
  </si>
  <si>
    <t>Rate 3 Usage kWh</t>
  </si>
  <si>
    <t>Rate 3 Cost Pence</t>
  </si>
  <si>
    <t>Rate 4 Description</t>
  </si>
  <si>
    <t>Rate 4 Value</t>
  </si>
  <si>
    <t>Rate 4 UOM</t>
  </si>
  <si>
    <t xml:space="preserve">Rate 4 Usage kWh </t>
  </si>
  <si>
    <t>Rate 4 Cost Pence</t>
  </si>
  <si>
    <t>Rate 5 Description</t>
  </si>
  <si>
    <t>Rate 5 Value</t>
  </si>
  <si>
    <t>Rate 5 UOM</t>
  </si>
  <si>
    <t>Rate 5 Usage kWh</t>
  </si>
  <si>
    <t>Rate 5 Cost Pence</t>
  </si>
  <si>
    <t>Rate 6 Description</t>
  </si>
  <si>
    <t xml:space="preserve">Rate 6 Value </t>
  </si>
  <si>
    <t>Rate 6 UOM</t>
  </si>
  <si>
    <t>Rate 6 Usage kWh</t>
  </si>
  <si>
    <t>Rate 6 Cost Pence</t>
  </si>
  <si>
    <t>Rate 7 Description</t>
  </si>
  <si>
    <t>Rate 7 Value</t>
  </si>
  <si>
    <t>Rate 7 UOM</t>
  </si>
  <si>
    <t>Rate 7 Usage kWh</t>
  </si>
  <si>
    <t>Rate 7 Cost Pence</t>
  </si>
  <si>
    <t>Rate 8 Description</t>
  </si>
  <si>
    <t>Rate 8 Value</t>
  </si>
  <si>
    <t>Rate 8 UOM</t>
  </si>
  <si>
    <t>Rate 8 Usage kWh</t>
  </si>
  <si>
    <t>Rate 8 Cost Pence</t>
  </si>
  <si>
    <t xml:space="preserve">Rate 9 Description </t>
  </si>
  <si>
    <t>Rate 9 Value</t>
  </si>
  <si>
    <t>Rate 9 UOM</t>
  </si>
  <si>
    <t>Rate 9 Usage kWh</t>
  </si>
  <si>
    <t>Rate 9 Cost Pence</t>
  </si>
  <si>
    <t xml:space="preserve">Rate 10 Description </t>
  </si>
  <si>
    <t>Rate 10 Value</t>
  </si>
  <si>
    <t>Rate 10 UOM</t>
  </si>
  <si>
    <t>Rate 10 Usage kWh</t>
  </si>
  <si>
    <t>Rate 10 Cost Pence</t>
  </si>
  <si>
    <t>Rate 11 Description</t>
  </si>
  <si>
    <t>Rate 11 Value</t>
  </si>
  <si>
    <t>Rate 11 UOM</t>
  </si>
  <si>
    <t>Rate 11 Usage kWh</t>
  </si>
  <si>
    <t>Rate 11 Cost Pence</t>
  </si>
  <si>
    <t>Rate 12 Description</t>
  </si>
  <si>
    <t>Rate 12 Value</t>
  </si>
  <si>
    <t>Rate 12 UOM</t>
  </si>
  <si>
    <t>Rate 12 Usage kWh</t>
  </si>
  <si>
    <t>Rate 12 Cost Pence</t>
  </si>
  <si>
    <t>Rate 13 Description</t>
  </si>
  <si>
    <t>Rate 13 Value</t>
  </si>
  <si>
    <t>Rate 13 UOM</t>
  </si>
  <si>
    <t>Rate 13 Usage kWh</t>
  </si>
  <si>
    <t>Rate 13 Cost Pence</t>
  </si>
  <si>
    <t>Rate 14 Description</t>
  </si>
  <si>
    <t>Rate 14 Value</t>
  </si>
  <si>
    <t xml:space="preserve">Rate 14 UOM </t>
  </si>
  <si>
    <t>Rate 14 Usage kWh</t>
  </si>
  <si>
    <t>Rate 14 Cost Pence</t>
  </si>
  <si>
    <t xml:space="preserve">Rate 15 Description </t>
  </si>
  <si>
    <t>Rate 15 Value</t>
  </si>
  <si>
    <t>Rate 15 UOM</t>
  </si>
  <si>
    <t>Rate 15 Usage kWh</t>
  </si>
  <si>
    <t xml:space="preserve">Rate 15 Cost Pence </t>
  </si>
  <si>
    <t>Rate 16 Description</t>
  </si>
  <si>
    <t>Rate 16 Value</t>
  </si>
  <si>
    <t xml:space="preserve">Rate 16 UOM </t>
  </si>
  <si>
    <t>Rate 16 Usage kWh</t>
  </si>
  <si>
    <t>Rate 16 Cost Pence</t>
  </si>
  <si>
    <t>Rate 17 Description</t>
  </si>
  <si>
    <t>Rate 17 Value</t>
  </si>
  <si>
    <t>Rate 17 UOM</t>
  </si>
  <si>
    <t xml:space="preserve">Rate 17 Usage kWh </t>
  </si>
  <si>
    <t>Rate 17 Cost Pence</t>
  </si>
  <si>
    <t>Rate 18 Description</t>
  </si>
  <si>
    <t>Rate 18 Value</t>
  </si>
  <si>
    <t>Rate 18 UOM</t>
  </si>
  <si>
    <t>Rate 18 Usage kWh</t>
  </si>
  <si>
    <t>Rate 18 Cost Pence</t>
  </si>
  <si>
    <t>Rate 19 Description</t>
  </si>
  <si>
    <t>Rate 19 Value</t>
  </si>
  <si>
    <t>Rate 19 UOM</t>
  </si>
  <si>
    <t>Rate 19 Usage kWh</t>
  </si>
  <si>
    <t>Rate 19 Cost Pence</t>
  </si>
  <si>
    <t>Rate 20 Description</t>
  </si>
  <si>
    <t>Rate 20 Value</t>
  </si>
  <si>
    <t>Rate 20 UOM</t>
  </si>
  <si>
    <t>Rate 20 Usage kWh</t>
  </si>
  <si>
    <t>Rate 20 Cost Pence</t>
  </si>
  <si>
    <t>Quote Date</t>
  </si>
  <si>
    <t>Site Fee Rate</t>
  </si>
  <si>
    <t>Site Fee UOM</t>
  </si>
  <si>
    <t>Smart Meter Flag</t>
  </si>
  <si>
    <t xml:space="preserve">DUoS Tariff ID </t>
  </si>
  <si>
    <t>Market Segment</t>
  </si>
  <si>
    <t>Connection Type</t>
  </si>
  <si>
    <t>Meter Group</t>
  </si>
  <si>
    <t>SSC</t>
  </si>
  <si>
    <t>TCR Band</t>
  </si>
  <si>
    <t>Q-201678-M3V3Z9</t>
  </si>
  <si>
    <t>THE MONARCH PARTNERSHIP.</t>
  </si>
  <si>
    <t>CFP 54.7945</t>
  </si>
  <si>
    <t>NORTH DEVON HOMES</t>
  </si>
  <si>
    <t>Shared Mailbox Monarch</t>
  </si>
  <si>
    <t>North Devon Homes Westacott Road</t>
  </si>
  <si>
    <t>Barnstaple</t>
  </si>
  <si>
    <t>Devon</t>
  </si>
  <si>
    <t>EX32 8TA</t>
  </si>
  <si>
    <t>North Devon Homes Limited co The Monarch Partnership</t>
  </si>
  <si>
    <t>Monarch House</t>
  </si>
  <si>
    <t>7-9 Stafford Road</t>
  </si>
  <si>
    <t>Wallington</t>
  </si>
  <si>
    <t>SM6 9AN</t>
  </si>
  <si>
    <t>11-14 Raleigh Lawn</t>
  </si>
  <si>
    <t>Staircase  Lighting</t>
  </si>
  <si>
    <t>EX31 1PS</t>
  </si>
  <si>
    <t>CT Fully Inclusive</t>
  </si>
  <si>
    <t>Quarterly</t>
  </si>
  <si>
    <t>Direct Debit</t>
  </si>
  <si>
    <t>PID-39673</t>
  </si>
  <si>
    <t>NHH</t>
  </si>
  <si>
    <t>N</t>
  </si>
  <si>
    <t>N12</t>
  </si>
  <si>
    <t>E</t>
  </si>
  <si>
    <t>L</t>
  </si>
  <si>
    <t>Standard 100.0000%</t>
  </si>
  <si>
    <t>N/A</t>
  </si>
  <si>
    <t>Western Power Distribution (South West)</t>
  </si>
  <si>
    <t>p/kVArh</t>
  </si>
  <si>
    <t>P/DAY</t>
  </si>
  <si>
    <t>P/KVA/DAY</t>
  </si>
  <si>
    <t>p/KVA/day</t>
  </si>
  <si>
    <t>SINGLE</t>
  </si>
  <si>
    <t>P/KWH</t>
  </si>
  <si>
    <t>Yes</t>
  </si>
  <si>
    <t>W</t>
  </si>
  <si>
    <t>lv_no_asc_band_2</t>
  </si>
  <si>
    <t>29-34 Valley Close</t>
  </si>
  <si>
    <t>Landlods Supply</t>
  </si>
  <si>
    <t>EX32 7AN</t>
  </si>
  <si>
    <t>PID-39636</t>
  </si>
  <si>
    <t>Y</t>
  </si>
  <si>
    <t>No</t>
  </si>
  <si>
    <t>lv_no_asc_band_1</t>
  </si>
  <si>
    <t>36-41 Valley Close</t>
  </si>
  <si>
    <t>EX32 8AN</t>
  </si>
  <si>
    <t>PID-39635</t>
  </si>
  <si>
    <t>42-47 Valley Close</t>
  </si>
  <si>
    <t>Landlords Supply</t>
  </si>
  <si>
    <t>PID-39634</t>
  </si>
  <si>
    <t>2 Greenbank Road</t>
  </si>
  <si>
    <t>Block 17a-17c</t>
  </si>
  <si>
    <t>EX32 8EG</t>
  </si>
  <si>
    <t>PID-39640</t>
  </si>
  <si>
    <t>3 Greenbank Road</t>
  </si>
  <si>
    <t>PID-39641</t>
  </si>
  <si>
    <t>34-48 Beaufort Walk</t>
  </si>
  <si>
    <t>Culmleigh</t>
  </si>
  <si>
    <t>EX18 7BP</t>
  </si>
  <si>
    <t>PID-39666</t>
  </si>
  <si>
    <t>50-64 Beaufort Walk</t>
  </si>
  <si>
    <t>EX32 7JB</t>
  </si>
  <si>
    <t>PID-39633</t>
  </si>
  <si>
    <t>East Road Park</t>
  </si>
  <si>
    <t>EX32 8PL</t>
  </si>
  <si>
    <t>PID-39662</t>
  </si>
  <si>
    <t>Forchest Community Centre</t>
  </si>
  <si>
    <t>Barton Road</t>
  </si>
  <si>
    <t>EX32 8NG</t>
  </si>
  <si>
    <t>PID-39760</t>
  </si>
  <si>
    <t>DAY</t>
  </si>
  <si>
    <t>NIGHT</t>
  </si>
  <si>
    <t>Lower Moor</t>
  </si>
  <si>
    <t>EX32 8NW</t>
  </si>
  <si>
    <t>PID-39661</t>
  </si>
  <si>
    <t>16-19 Tewsley Close</t>
  </si>
  <si>
    <t>Bickington</t>
  </si>
  <si>
    <t>EX31 2JT</t>
  </si>
  <si>
    <t>PID-39690</t>
  </si>
  <si>
    <t>12-15 Tewsley Close</t>
  </si>
  <si>
    <t>PID-39676</t>
  </si>
  <si>
    <t>8-11 Tewsley Close</t>
  </si>
  <si>
    <t>PID-39692</t>
  </si>
  <si>
    <t>4-7 Tewsley Close</t>
  </si>
  <si>
    <t>PID-39691</t>
  </si>
  <si>
    <t>Chandlers Way</t>
  </si>
  <si>
    <t>Ilfracombe</t>
  </si>
  <si>
    <t>EX34 8DN</t>
  </si>
  <si>
    <t>PID-39725</t>
  </si>
  <si>
    <t>12-15 Clarence Cottages</t>
  </si>
  <si>
    <t>PID-39726</t>
  </si>
  <si>
    <t>Belvedere Road</t>
  </si>
  <si>
    <t>EX34 9JH</t>
  </si>
  <si>
    <t>PID-39765</t>
  </si>
  <si>
    <t>domestic_band_1</t>
  </si>
  <si>
    <t>78-84 Bakery Way</t>
  </si>
  <si>
    <t>Lamdkey</t>
  </si>
  <si>
    <t>EX32 0LJ</t>
  </si>
  <si>
    <t>PID-39695</t>
  </si>
  <si>
    <t>33-39 Mazzard Close</t>
  </si>
  <si>
    <t>Landkey</t>
  </si>
  <si>
    <t>EX32 0LL</t>
  </si>
  <si>
    <t>PID-39696</t>
  </si>
  <si>
    <t>13-20 Oak Tree Gardens</t>
  </si>
  <si>
    <t>Flat 9-12</t>
  </si>
  <si>
    <t>EX34 9LU</t>
  </si>
  <si>
    <t>PID-39748</t>
  </si>
  <si>
    <t>23 Oak Tree Gardens Central</t>
  </si>
  <si>
    <t>Control System</t>
  </si>
  <si>
    <t>PID-39749</t>
  </si>
  <si>
    <t>24-31 Oak Tree Gardens</t>
  </si>
  <si>
    <t>Staircase Lighting</t>
  </si>
  <si>
    <t>PID-39747</t>
  </si>
  <si>
    <t>32-39 Oak Tree Gardens</t>
  </si>
  <si>
    <t>PID-39746</t>
  </si>
  <si>
    <t>40-47 Oak Tree Gardens</t>
  </si>
  <si>
    <t>PID-39745</t>
  </si>
  <si>
    <t>Castle Quay Court</t>
  </si>
  <si>
    <t>EX31 1TS</t>
  </si>
  <si>
    <t>PID-39689</t>
  </si>
  <si>
    <t>1-4 Alfred Place</t>
  </si>
  <si>
    <t>South Molton</t>
  </si>
  <si>
    <t>EX36 3BB</t>
  </si>
  <si>
    <t>PID-39755</t>
  </si>
  <si>
    <t>Loverings Court</t>
  </si>
  <si>
    <t>EX31 1RR</t>
  </si>
  <si>
    <t>PID-39685</t>
  </si>
  <si>
    <t>25 Tewsley Close</t>
  </si>
  <si>
    <t>EX34 8LD</t>
  </si>
  <si>
    <t>PID-39739</t>
  </si>
  <si>
    <t>Wilder Park</t>
  </si>
  <si>
    <t>Block 1</t>
  </si>
  <si>
    <t>EX34 8HH</t>
  </si>
  <si>
    <t>PID-39736</t>
  </si>
  <si>
    <t>Block 2</t>
  </si>
  <si>
    <t>PID-39737</t>
  </si>
  <si>
    <t>13-23 Forches Avenue</t>
  </si>
  <si>
    <t>EX32 8EE</t>
  </si>
  <si>
    <t>PID-39638</t>
  </si>
  <si>
    <t>1-11 Forches Avenue</t>
  </si>
  <si>
    <t>EX32 8ED</t>
  </si>
  <si>
    <t>PID-39637</t>
  </si>
  <si>
    <t>25-31 Gould Road</t>
  </si>
  <si>
    <t>EX32 8ET</t>
  </si>
  <si>
    <t>PID-39647</t>
  </si>
  <si>
    <t>33-43 Gould Road</t>
  </si>
  <si>
    <t>PID-39648</t>
  </si>
  <si>
    <t>41-51 Gould Road</t>
  </si>
  <si>
    <t>PID-39639</t>
  </si>
  <si>
    <t>9 Wilkey close</t>
  </si>
  <si>
    <t>Central Call System</t>
  </si>
  <si>
    <t>EX32 8EU</t>
  </si>
  <si>
    <t>PID-39649</t>
  </si>
  <si>
    <t>5-8 Forches Green</t>
  </si>
  <si>
    <t>EX32 8HA</t>
  </si>
  <si>
    <t>PID-39653</t>
  </si>
  <si>
    <t>Forches Green Flats</t>
  </si>
  <si>
    <t>Block 1-4</t>
  </si>
  <si>
    <t>PID-39654</t>
  </si>
  <si>
    <t>1-11 Gould Road</t>
  </si>
  <si>
    <t>EX32 8EY</t>
  </si>
  <si>
    <t>PID-39650</t>
  </si>
  <si>
    <t>13-23 Gould Road</t>
  </si>
  <si>
    <t>PID-39651</t>
  </si>
  <si>
    <t>1-23 Magdalene Lawn</t>
  </si>
  <si>
    <t>EX32 7ET</t>
  </si>
  <si>
    <t>PID-39630</t>
  </si>
  <si>
    <t>N13</t>
  </si>
  <si>
    <t>lv_no_asc_band_3</t>
  </si>
  <si>
    <t>24-29 Magdalene Lawn</t>
  </si>
  <si>
    <t>PID-39631</t>
  </si>
  <si>
    <t>30-38 Magdalene Lawn</t>
  </si>
  <si>
    <t>PID-39632</t>
  </si>
  <si>
    <t>Magdalene Lawn</t>
  </si>
  <si>
    <t>PID-39629</t>
  </si>
  <si>
    <t>PID-39688</t>
  </si>
  <si>
    <t>Umberside</t>
  </si>
  <si>
    <t>EX34 0JD</t>
  </si>
  <si>
    <t>PID-39723</t>
  </si>
  <si>
    <t>14 Beacon Rise</t>
  </si>
  <si>
    <t>Community Alarm</t>
  </si>
  <si>
    <t>PID-39665</t>
  </si>
  <si>
    <t>Trouville House</t>
  </si>
  <si>
    <t>Bevan Road</t>
  </si>
  <si>
    <t>EX32 8JZ</t>
  </si>
  <si>
    <t>PID-39658</t>
  </si>
  <si>
    <t>PID-39659</t>
  </si>
  <si>
    <t>13-18 Trouville</t>
  </si>
  <si>
    <t>PID-39655</t>
  </si>
  <si>
    <t>Calvados House</t>
  </si>
  <si>
    <t>PID-39656</t>
  </si>
  <si>
    <t>PID-39657</t>
  </si>
  <si>
    <t>13-18 Calvados</t>
  </si>
  <si>
    <t>EX32 8LQ</t>
  </si>
  <si>
    <t>PID-39660</t>
  </si>
  <si>
    <t>Normandy House</t>
  </si>
  <si>
    <t>EX32 8QQ</t>
  </si>
  <si>
    <t>PID-39663</t>
  </si>
  <si>
    <t>6-13 Burnside Road</t>
  </si>
  <si>
    <t>Brookdale Avenue</t>
  </si>
  <si>
    <t>EX34 8LX</t>
  </si>
  <si>
    <t>PID-39743</t>
  </si>
  <si>
    <t>22-27 Burnside Road</t>
  </si>
  <si>
    <t>PID-39740</t>
  </si>
  <si>
    <t>18-21 Burnside Road</t>
  </si>
  <si>
    <t>PID-39744</t>
  </si>
  <si>
    <t>34-39 Burnside Road</t>
  </si>
  <si>
    <t>Brookside Avenue</t>
  </si>
  <si>
    <t>PID-39742</t>
  </si>
  <si>
    <t>28-33 Burnside Road</t>
  </si>
  <si>
    <t>BRookdale AVenue</t>
  </si>
  <si>
    <t>PID-39741</t>
  </si>
  <si>
    <t>40-42 Burnside Road</t>
  </si>
  <si>
    <t>EX34 8DB</t>
  </si>
  <si>
    <t>PID-39724</t>
  </si>
  <si>
    <t>23-28 Poyers</t>
  </si>
  <si>
    <t>Wrafton</t>
  </si>
  <si>
    <t>EX33 2DP</t>
  </si>
  <si>
    <t>PID-39714</t>
  </si>
  <si>
    <t>29-34 Poyers</t>
  </si>
  <si>
    <t>PID-39715</t>
  </si>
  <si>
    <t>35-40 Poyers</t>
  </si>
  <si>
    <t>PID-39716</t>
  </si>
  <si>
    <t>1-6 Barn Park</t>
  </si>
  <si>
    <t>EX33 2DR</t>
  </si>
  <si>
    <t>PID-39722</t>
  </si>
  <si>
    <t>7-12 Barn Park</t>
  </si>
  <si>
    <t>PID-39719</t>
  </si>
  <si>
    <t>13-18 Barn Park</t>
  </si>
  <si>
    <t>PID-39717</t>
  </si>
  <si>
    <t>46-49 Barn Park</t>
  </si>
  <si>
    <t>PID-39718</t>
  </si>
  <si>
    <t>42-45 Barn Park</t>
  </si>
  <si>
    <t>PID-39720</t>
  </si>
  <si>
    <t>38-41 Barn Park</t>
  </si>
  <si>
    <t>PID-39721</t>
  </si>
  <si>
    <t>26-32 Heppenstall Road</t>
  </si>
  <si>
    <t>EX32 7AX</t>
  </si>
  <si>
    <t>PID-39699</t>
  </si>
  <si>
    <t>37-43 Heppenstall Road</t>
  </si>
  <si>
    <t>PID-39698</t>
  </si>
  <si>
    <t>29-33-35 Heppenstall Road</t>
  </si>
  <si>
    <t>PID-39697</t>
  </si>
  <si>
    <t>21-27 Heppenstall Road</t>
  </si>
  <si>
    <t>PID-39701</t>
  </si>
  <si>
    <t>1,3,5,7 Heppenstall Road</t>
  </si>
  <si>
    <t>PID-39700</t>
  </si>
  <si>
    <t>9-12 Greenways</t>
  </si>
  <si>
    <t>EX34 8DT</t>
  </si>
  <si>
    <t>PID-39730</t>
  </si>
  <si>
    <t>13-16 Greenways</t>
  </si>
  <si>
    <t>PID-39735</t>
  </si>
  <si>
    <t>17-20 Greenways</t>
  </si>
  <si>
    <t>PID-39734</t>
  </si>
  <si>
    <t>33-36 Greenways</t>
  </si>
  <si>
    <t>PID-39729</t>
  </si>
  <si>
    <t>21-24 Greenways</t>
  </si>
  <si>
    <t>PID-39732</t>
  </si>
  <si>
    <t>25-28 Greenways</t>
  </si>
  <si>
    <t>PID-39731</t>
  </si>
  <si>
    <t>29-32 Greenways</t>
  </si>
  <si>
    <t>ilfracombe</t>
  </si>
  <si>
    <t>PID-39733</t>
  </si>
  <si>
    <t>Caen House</t>
  </si>
  <si>
    <t>Caen Street</t>
  </si>
  <si>
    <t>Braunton</t>
  </si>
  <si>
    <t>EX33 1AH</t>
  </si>
  <si>
    <t>PID-39627</t>
  </si>
  <si>
    <t>1-4 Bowling Green</t>
  </si>
  <si>
    <t>EX31 1JJ</t>
  </si>
  <si>
    <t>PID-39671</t>
  </si>
  <si>
    <t>40-59 Field Close</t>
  </si>
  <si>
    <t>EX33 1EP</t>
  </si>
  <si>
    <t>PID-39711</t>
  </si>
  <si>
    <t>1-4 Pathfield Lawn</t>
  </si>
  <si>
    <t>EX31 1HW</t>
  </si>
  <si>
    <t>PID-39668</t>
  </si>
  <si>
    <t>5-8 Pathfield Lawn</t>
  </si>
  <si>
    <t>PID-39670</t>
  </si>
  <si>
    <t>9-12 Pathfield Lawn</t>
  </si>
  <si>
    <t>PID-39669</t>
  </si>
  <si>
    <t>13-16 Pathfield Lawn</t>
  </si>
  <si>
    <t>PID-39667</t>
  </si>
  <si>
    <t>Saddon Close</t>
  </si>
  <si>
    <t>EX33 1LT</t>
  </si>
  <si>
    <t>PID-39712</t>
  </si>
  <si>
    <t>PID-39675</t>
  </si>
  <si>
    <t>6 Greenbank Road</t>
  </si>
  <si>
    <t>PID-39644</t>
  </si>
  <si>
    <t>N14</t>
  </si>
  <si>
    <t>lv_no_asc_band_4</t>
  </si>
  <si>
    <t>21-24 Congrams Close</t>
  </si>
  <si>
    <t>EX32 9AN</t>
  </si>
  <si>
    <t>PID-39705</t>
  </si>
  <si>
    <t>25-28 Congrams Close</t>
  </si>
  <si>
    <t>PID-39728</t>
  </si>
  <si>
    <t>9-14 Congrams Close</t>
  </si>
  <si>
    <t>PID-39704</t>
  </si>
  <si>
    <t>15-20 Congrams Close</t>
  </si>
  <si>
    <t>PID-39727</t>
  </si>
  <si>
    <t>PID-39703</t>
  </si>
  <si>
    <t>PID-39628</t>
  </si>
  <si>
    <t>PID-39702</t>
  </si>
  <si>
    <t>28-31 Jordan Close</t>
  </si>
  <si>
    <t>EX32 9DN</t>
  </si>
  <si>
    <t>PID-39707</t>
  </si>
  <si>
    <t>Jubilee Close</t>
  </si>
  <si>
    <t>EX34 8BR</t>
  </si>
  <si>
    <t>PID-39645</t>
  </si>
  <si>
    <t>Broadmead Gardens</t>
  </si>
  <si>
    <t>Lynton</t>
  </si>
  <si>
    <t>EX35 6BG</t>
  </si>
  <si>
    <t>PID-39751</t>
  </si>
  <si>
    <t>5-8 Congrams Close</t>
  </si>
  <si>
    <t>PID-39664</t>
  </si>
  <si>
    <t>1-4 Congrams Close</t>
  </si>
  <si>
    <t>PID-39706</t>
  </si>
  <si>
    <t>Queen Street Flats</t>
  </si>
  <si>
    <t>EX35 6AB</t>
  </si>
  <si>
    <t>PID-39750</t>
  </si>
  <si>
    <t>The Cander</t>
  </si>
  <si>
    <t>Library &amp; Common Room</t>
  </si>
  <si>
    <t>EX32 9ES</t>
  </si>
  <si>
    <t>Monthly</t>
  </si>
  <si>
    <t>PID-39710</t>
  </si>
  <si>
    <t>N24</t>
  </si>
  <si>
    <t>S</t>
  </si>
  <si>
    <t>58-63 Loverings Court</t>
  </si>
  <si>
    <t>PID-39683</t>
  </si>
  <si>
    <t>1-6 Loverings Court</t>
  </si>
  <si>
    <t>PID-39677</t>
  </si>
  <si>
    <t>52-57 Loverings Court</t>
  </si>
  <si>
    <t>PID-39681</t>
  </si>
  <si>
    <t>47-50 Loverings Court</t>
  </si>
  <si>
    <t>PID-39680</t>
  </si>
  <si>
    <t>20-23 Jordan Close</t>
  </si>
  <si>
    <t>PID-39708</t>
  </si>
  <si>
    <t>35-38 Loverings Court</t>
  </si>
  <si>
    <t>PID-39679</t>
  </si>
  <si>
    <t>29-32 Loverings Court</t>
  </si>
  <si>
    <t>PID-39678</t>
  </si>
  <si>
    <t>24-27 Loverings Court</t>
  </si>
  <si>
    <t>PID-39687</t>
  </si>
  <si>
    <t>23 Loverings Court</t>
  </si>
  <si>
    <t>PID-39686</t>
  </si>
  <si>
    <t>18-21 Loverings Court</t>
  </si>
  <si>
    <t>PID-39682</t>
  </si>
  <si>
    <t>14-16 Loverings Court</t>
  </si>
  <si>
    <t>PID-39684</t>
  </si>
  <si>
    <t>PID-39709</t>
  </si>
  <si>
    <t>Adj 65 Slade Valley Road</t>
  </si>
  <si>
    <t>TV Booster Mast</t>
  </si>
  <si>
    <t>EX34 8LG</t>
  </si>
  <si>
    <t>PID-39738</t>
  </si>
  <si>
    <t>2-5 Clarence Cottages</t>
  </si>
  <si>
    <t>EX34 9JL</t>
  </si>
  <si>
    <t>PID-39642</t>
  </si>
  <si>
    <t>5 Greenbank Road</t>
  </si>
  <si>
    <t>PID-39643</t>
  </si>
  <si>
    <t>PID-39674</t>
  </si>
  <si>
    <t>50-52 Westaway Heights</t>
  </si>
  <si>
    <t>EX31 1NY</t>
  </si>
  <si>
    <t>PID-39672</t>
  </si>
  <si>
    <t>Barbrook Road</t>
  </si>
  <si>
    <t>Boiler House</t>
  </si>
  <si>
    <t>EX35 6PB</t>
  </si>
  <si>
    <t>PID-39754</t>
  </si>
  <si>
    <t>The Villas</t>
  </si>
  <si>
    <t>Pumping Station</t>
  </si>
  <si>
    <t>EX36 4JW</t>
  </si>
  <si>
    <t>PID-39756</t>
  </si>
  <si>
    <t>Greenbank Road</t>
  </si>
  <si>
    <t>PID-39646</t>
  </si>
  <si>
    <t>5-7 Spring Flower Avenue</t>
  </si>
  <si>
    <t>EX32 8FA</t>
  </si>
  <si>
    <t>PID-39652</t>
  </si>
  <si>
    <t>Pill Gardens</t>
  </si>
  <si>
    <t>Flats 49a-49</t>
  </si>
  <si>
    <t>EX33 2BD</t>
  </si>
  <si>
    <t>PID-39713</t>
  </si>
  <si>
    <t>Broadmead Court</t>
  </si>
  <si>
    <t>PID-39752</t>
  </si>
  <si>
    <t>42-43 Lee Road</t>
  </si>
  <si>
    <t>Communal Area</t>
  </si>
  <si>
    <t>EX34 5BS</t>
  </si>
  <si>
    <t>PID-39753</t>
  </si>
  <si>
    <t xml:space="preserve">Pumping Station Temporary Supply </t>
  </si>
  <si>
    <t>Churchill Crescent</t>
  </si>
  <si>
    <t>EX36 4EL</t>
  </si>
  <si>
    <t>PID-39764</t>
  </si>
  <si>
    <t>Flats 14-16 Goodleigh View</t>
  </si>
  <si>
    <t>Barnstable</t>
  </si>
  <si>
    <t>EX32 8AX</t>
  </si>
  <si>
    <t>PID-39763</t>
  </si>
  <si>
    <t>Flats 5-10 Goodleigh View</t>
  </si>
  <si>
    <t>PID-39762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</si>
</sst>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270A-1429-4DD0-B649-4936FFAEE8E0}">
  <dimension ref="A1:FN134"/>
  <sheetViews>
    <sheetView tabSelected="1" topLeftCell="AR1" workbookViewId="0">
      <selection activeCell="AT5" sqref="AT5"/>
    </sheetView>
  </sheetViews>
  <sheetFormatPr defaultRowHeight="15" x14ac:dyDescent="0.25"/>
  <cols>
    <col min="2" max="2" width="9.85546875" bestFit="1" customWidth="1"/>
    <col min="3" max="3" width="25.85546875" bestFit="1" customWidth="1"/>
    <col min="6" max="7" width="21.42578125" bestFit="1" customWidth="1"/>
    <col min="9" max="9" width="11.140625" bestFit="1" customWidth="1"/>
    <col min="12" max="12" width="26.85546875" bestFit="1" customWidth="1"/>
    <col min="34" max="34" width="16.7109375" bestFit="1" customWidth="1"/>
    <col min="35" max="35" width="15.85546875" bestFit="1" customWidth="1"/>
    <col min="37" max="37" width="16.42578125" style="4" bestFit="1" customWidth="1"/>
    <col min="38" max="39" width="8.7109375" customWidth="1"/>
    <col min="40" max="40" width="13.140625" customWidth="1"/>
    <col min="41" max="44" width="8.7109375" customWidth="1"/>
    <col min="45" max="45" width="17.7109375" customWidth="1"/>
    <col min="46" max="46" width="30.140625" customWidth="1"/>
    <col min="47" max="59" width="8.7109375" customWidth="1"/>
    <col min="60" max="60" width="12.140625" customWidth="1"/>
    <col min="61" max="61" width="18.42578125" customWidth="1"/>
    <col min="62" max="62" width="13.140625" bestFit="1" customWidth="1"/>
    <col min="63" max="63" width="12.5703125" bestFit="1" customWidth="1"/>
    <col min="64" max="64" width="18" bestFit="1" customWidth="1"/>
    <col min="65" max="65" width="18.28515625" bestFit="1" customWidth="1"/>
    <col min="66" max="66" width="18.42578125" bestFit="1" customWidth="1"/>
    <col min="161" max="161" width="12.42578125" bestFit="1" customWidth="1"/>
  </cols>
  <sheetData>
    <row r="1" spans="1:1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4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</row>
    <row r="2" spans="1:170" x14ac:dyDescent="0.25">
      <c r="A2" t="s">
        <v>170</v>
      </c>
      <c r="B2">
        <v>1</v>
      </c>
      <c r="C2" t="s">
        <v>171</v>
      </c>
      <c r="F2" s="1">
        <v>46478</v>
      </c>
      <c r="G2" s="1">
        <v>47208</v>
      </c>
      <c r="I2" t="s">
        <v>172</v>
      </c>
      <c r="J2" t="s">
        <v>173</v>
      </c>
      <c r="K2" t="s">
        <v>174</v>
      </c>
      <c r="L2">
        <v>3674687</v>
      </c>
      <c r="M2" t="s">
        <v>175</v>
      </c>
      <c r="N2" t="s">
        <v>176</v>
      </c>
      <c r="P2" t="s">
        <v>177</v>
      </c>
      <c r="R2" t="s">
        <v>178</v>
      </c>
      <c r="S2" t="s">
        <v>179</v>
      </c>
      <c r="T2" t="s">
        <v>180</v>
      </c>
      <c r="U2" t="s">
        <v>181</v>
      </c>
      <c r="V2" t="s">
        <v>182</v>
      </c>
      <c r="X2" t="s">
        <v>183</v>
      </c>
      <c r="Y2" t="s">
        <v>184</v>
      </c>
      <c r="Z2" t="s">
        <v>185</v>
      </c>
      <c r="AB2" t="s">
        <v>176</v>
      </c>
      <c r="AD2" t="s">
        <v>186</v>
      </c>
      <c r="AF2" t="s">
        <v>187</v>
      </c>
      <c r="AG2" t="s">
        <v>188</v>
      </c>
      <c r="AH2" t="s">
        <v>189</v>
      </c>
      <c r="AI2">
        <v>21</v>
      </c>
      <c r="AJ2" t="s">
        <v>190</v>
      </c>
      <c r="AK2" s="4">
        <v>2200013898453</v>
      </c>
      <c r="AL2" t="s">
        <v>191</v>
      </c>
      <c r="AM2" t="s">
        <v>192</v>
      </c>
      <c r="AN2">
        <v>3</v>
      </c>
      <c r="AO2">
        <v>802</v>
      </c>
      <c r="AP2" t="s">
        <v>193</v>
      </c>
      <c r="AQ2" t="s">
        <v>194</v>
      </c>
      <c r="AR2" t="s">
        <v>195</v>
      </c>
      <c r="AS2" t="s">
        <v>196</v>
      </c>
      <c r="AT2" s="2">
        <v>0</v>
      </c>
      <c r="AV2" t="s">
        <v>197</v>
      </c>
      <c r="AW2" t="s">
        <v>198</v>
      </c>
      <c r="AX2">
        <v>393</v>
      </c>
      <c r="AY2">
        <v>0</v>
      </c>
      <c r="AZ2" t="s">
        <v>199</v>
      </c>
      <c r="BA2">
        <v>185.74520000000001</v>
      </c>
      <c r="BB2">
        <f>BA2*365/1200</f>
        <v>56.49749833333334</v>
      </c>
      <c r="BD2">
        <v>0</v>
      </c>
      <c r="BE2" t="s">
        <v>201</v>
      </c>
      <c r="BF2">
        <v>0</v>
      </c>
      <c r="BG2" t="s">
        <v>202</v>
      </c>
      <c r="BH2">
        <v>1</v>
      </c>
      <c r="BI2" t="s">
        <v>203</v>
      </c>
      <c r="BJ2">
        <v>27.255700000000001</v>
      </c>
      <c r="BK2" t="s">
        <v>204</v>
      </c>
      <c r="BL2">
        <v>552.79989999999998</v>
      </c>
      <c r="BM2" s="3">
        <v>15066.9732</v>
      </c>
      <c r="FE2" s="1">
        <v>46309</v>
      </c>
      <c r="FF2">
        <v>0</v>
      </c>
      <c r="FG2" t="s">
        <v>200</v>
      </c>
      <c r="FH2" t="s">
        <v>205</v>
      </c>
      <c r="FI2" t="s">
        <v>193</v>
      </c>
      <c r="FJ2" t="s">
        <v>191</v>
      </c>
      <c r="FK2" t="s">
        <v>206</v>
      </c>
      <c r="FL2" t="s">
        <v>191</v>
      </c>
      <c r="FM2">
        <v>393</v>
      </c>
      <c r="FN2" t="s">
        <v>207</v>
      </c>
    </row>
    <row r="3" spans="1:170" x14ac:dyDescent="0.25">
      <c r="A3" t="s">
        <v>170</v>
      </c>
      <c r="B3">
        <v>1</v>
      </c>
      <c r="C3" t="s">
        <v>171</v>
      </c>
      <c r="F3" s="1">
        <v>46478</v>
      </c>
      <c r="G3" s="1">
        <v>47208</v>
      </c>
      <c r="I3" t="s">
        <v>172</v>
      </c>
      <c r="J3" t="s">
        <v>173</v>
      </c>
      <c r="K3" t="s">
        <v>174</v>
      </c>
      <c r="L3">
        <v>3674687</v>
      </c>
      <c r="M3" t="s">
        <v>175</v>
      </c>
      <c r="N3" t="s">
        <v>176</v>
      </c>
      <c r="P3" t="s">
        <v>177</v>
      </c>
      <c r="R3" t="s">
        <v>178</v>
      </c>
      <c r="S3" t="s">
        <v>179</v>
      </c>
      <c r="T3" t="s">
        <v>180</v>
      </c>
      <c r="U3" t="s">
        <v>181</v>
      </c>
      <c r="V3" t="s">
        <v>182</v>
      </c>
      <c r="X3" t="s">
        <v>183</v>
      </c>
      <c r="Y3" t="s">
        <v>208</v>
      </c>
      <c r="Z3" t="s">
        <v>209</v>
      </c>
      <c r="AB3" t="s">
        <v>176</v>
      </c>
      <c r="AD3" t="s">
        <v>210</v>
      </c>
      <c r="AF3" t="s">
        <v>187</v>
      </c>
      <c r="AG3" t="s">
        <v>188</v>
      </c>
      <c r="AH3" t="s">
        <v>189</v>
      </c>
      <c r="AI3">
        <v>21</v>
      </c>
      <c r="AJ3" t="s">
        <v>211</v>
      </c>
      <c r="AK3" s="4">
        <v>2200013902301</v>
      </c>
      <c r="AL3" t="s">
        <v>191</v>
      </c>
      <c r="AM3" t="s">
        <v>212</v>
      </c>
      <c r="AN3">
        <v>3</v>
      </c>
      <c r="AO3">
        <v>801</v>
      </c>
      <c r="AP3">
        <v>110</v>
      </c>
      <c r="AQ3" t="s">
        <v>194</v>
      </c>
      <c r="AR3" t="s">
        <v>195</v>
      </c>
      <c r="AS3" t="s">
        <v>196</v>
      </c>
      <c r="AT3" s="2">
        <v>0</v>
      </c>
      <c r="AV3" t="s">
        <v>197</v>
      </c>
      <c r="AW3" t="s">
        <v>198</v>
      </c>
      <c r="AX3">
        <v>393</v>
      </c>
      <c r="AY3">
        <v>0</v>
      </c>
      <c r="AZ3" t="s">
        <v>199</v>
      </c>
      <c r="BA3">
        <v>120.8369</v>
      </c>
      <c r="BB3">
        <f t="shared" ref="BB3:BB66" si="0">BA3*365/1200</f>
        <v>36.754557083333339</v>
      </c>
      <c r="BD3">
        <v>0</v>
      </c>
      <c r="BE3" t="s">
        <v>201</v>
      </c>
      <c r="BF3">
        <v>0</v>
      </c>
      <c r="BG3" t="s">
        <v>202</v>
      </c>
      <c r="BH3">
        <v>1</v>
      </c>
      <c r="BI3" t="s">
        <v>203</v>
      </c>
      <c r="BJ3">
        <v>27.316700000000001</v>
      </c>
      <c r="BK3" t="s">
        <v>204</v>
      </c>
      <c r="BL3" s="3">
        <v>1325</v>
      </c>
      <c r="BM3" s="3">
        <v>36194.679199999999</v>
      </c>
      <c r="FE3" s="1">
        <v>46309</v>
      </c>
      <c r="FF3">
        <v>0</v>
      </c>
      <c r="FG3" t="s">
        <v>200</v>
      </c>
      <c r="FH3" t="s">
        <v>213</v>
      </c>
      <c r="FI3">
        <v>110</v>
      </c>
      <c r="FJ3" t="s">
        <v>191</v>
      </c>
      <c r="FK3" t="s">
        <v>206</v>
      </c>
      <c r="FL3" t="s">
        <v>191</v>
      </c>
      <c r="FM3">
        <v>393</v>
      </c>
      <c r="FN3" t="s">
        <v>214</v>
      </c>
    </row>
    <row r="4" spans="1:170" x14ac:dyDescent="0.25">
      <c r="A4" t="s">
        <v>170</v>
      </c>
      <c r="B4">
        <v>1</v>
      </c>
      <c r="C4" t="s">
        <v>171</v>
      </c>
      <c r="F4" s="1">
        <v>46478</v>
      </c>
      <c r="G4" s="1">
        <v>47208</v>
      </c>
      <c r="I4" t="s">
        <v>172</v>
      </c>
      <c r="J4" t="s">
        <v>173</v>
      </c>
      <c r="K4" t="s">
        <v>174</v>
      </c>
      <c r="L4">
        <v>3674687</v>
      </c>
      <c r="M4" t="s">
        <v>175</v>
      </c>
      <c r="N4" t="s">
        <v>176</v>
      </c>
      <c r="P4" t="s">
        <v>177</v>
      </c>
      <c r="R4" t="s">
        <v>178</v>
      </c>
      <c r="S4" t="s">
        <v>179</v>
      </c>
      <c r="T4" t="s">
        <v>180</v>
      </c>
      <c r="U4" t="s">
        <v>181</v>
      </c>
      <c r="V4" t="s">
        <v>182</v>
      </c>
      <c r="X4" t="s">
        <v>183</v>
      </c>
      <c r="Y4" t="s">
        <v>215</v>
      </c>
      <c r="Z4" t="s">
        <v>209</v>
      </c>
      <c r="AB4" t="s">
        <v>176</v>
      </c>
      <c r="AD4" t="s">
        <v>216</v>
      </c>
      <c r="AF4" t="s">
        <v>187</v>
      </c>
      <c r="AG4" t="s">
        <v>188</v>
      </c>
      <c r="AH4" t="s">
        <v>189</v>
      </c>
      <c r="AI4">
        <v>21</v>
      </c>
      <c r="AJ4" t="s">
        <v>217</v>
      </c>
      <c r="AK4" s="4">
        <v>2200013902375</v>
      </c>
      <c r="AL4" t="s">
        <v>191</v>
      </c>
      <c r="AM4" t="s">
        <v>212</v>
      </c>
      <c r="AN4">
        <v>3</v>
      </c>
      <c r="AO4">
        <v>801</v>
      </c>
      <c r="AP4">
        <v>110</v>
      </c>
      <c r="AQ4" t="s">
        <v>194</v>
      </c>
      <c r="AR4" t="s">
        <v>195</v>
      </c>
      <c r="AS4" t="s">
        <v>196</v>
      </c>
      <c r="AT4" s="2">
        <v>0</v>
      </c>
      <c r="AV4" t="s">
        <v>197</v>
      </c>
      <c r="AW4" t="s">
        <v>198</v>
      </c>
      <c r="AX4">
        <v>393</v>
      </c>
      <c r="AY4">
        <v>0</v>
      </c>
      <c r="AZ4" t="s">
        <v>199</v>
      </c>
      <c r="BA4">
        <v>120.851</v>
      </c>
      <c r="BB4">
        <f t="shared" si="0"/>
        <v>36.758845833333332</v>
      </c>
      <c r="BD4">
        <v>0</v>
      </c>
      <c r="BE4" t="s">
        <v>201</v>
      </c>
      <c r="BF4">
        <v>0</v>
      </c>
      <c r="BG4" t="s">
        <v>202</v>
      </c>
      <c r="BH4">
        <v>1</v>
      </c>
      <c r="BI4" t="s">
        <v>203</v>
      </c>
      <c r="BJ4">
        <v>27.3125</v>
      </c>
      <c r="BK4" t="s">
        <v>204</v>
      </c>
      <c r="BL4" s="3">
        <v>1497.2</v>
      </c>
      <c r="BM4" s="3">
        <v>40892.289900000003</v>
      </c>
      <c r="FE4" s="1">
        <v>46309</v>
      </c>
      <c r="FF4">
        <v>0</v>
      </c>
      <c r="FG4" t="s">
        <v>200</v>
      </c>
      <c r="FH4" t="s">
        <v>213</v>
      </c>
      <c r="FI4">
        <v>110</v>
      </c>
      <c r="FJ4" t="s">
        <v>191</v>
      </c>
      <c r="FK4" t="s">
        <v>206</v>
      </c>
      <c r="FL4" t="s">
        <v>191</v>
      </c>
      <c r="FM4">
        <v>393</v>
      </c>
      <c r="FN4" t="s">
        <v>214</v>
      </c>
    </row>
    <row r="5" spans="1:170" x14ac:dyDescent="0.25">
      <c r="A5" t="s">
        <v>170</v>
      </c>
      <c r="B5">
        <v>1</v>
      </c>
      <c r="C5" t="s">
        <v>171</v>
      </c>
      <c r="F5" s="1">
        <v>46478</v>
      </c>
      <c r="G5" s="1">
        <v>47208</v>
      </c>
      <c r="I5" t="s">
        <v>172</v>
      </c>
      <c r="J5" t="s">
        <v>173</v>
      </c>
      <c r="K5" t="s">
        <v>174</v>
      </c>
      <c r="L5">
        <v>3674687</v>
      </c>
      <c r="M5" t="s">
        <v>175</v>
      </c>
      <c r="N5" t="s">
        <v>176</v>
      </c>
      <c r="P5" t="s">
        <v>177</v>
      </c>
      <c r="R5" t="s">
        <v>178</v>
      </c>
      <c r="S5" t="s">
        <v>179</v>
      </c>
      <c r="T5" t="s">
        <v>180</v>
      </c>
      <c r="U5" t="s">
        <v>181</v>
      </c>
      <c r="V5" t="s">
        <v>182</v>
      </c>
      <c r="X5" t="s">
        <v>183</v>
      </c>
      <c r="Y5" t="s">
        <v>218</v>
      </c>
      <c r="Z5" t="s">
        <v>219</v>
      </c>
      <c r="AB5" t="s">
        <v>176</v>
      </c>
      <c r="AD5" t="s">
        <v>216</v>
      </c>
      <c r="AF5" t="s">
        <v>187</v>
      </c>
      <c r="AG5" t="s">
        <v>188</v>
      </c>
      <c r="AH5" t="s">
        <v>189</v>
      </c>
      <c r="AI5">
        <v>21</v>
      </c>
      <c r="AJ5" t="s">
        <v>220</v>
      </c>
      <c r="AK5" s="4">
        <v>2200013902445</v>
      </c>
      <c r="AL5" t="s">
        <v>191</v>
      </c>
      <c r="AM5" t="s">
        <v>192</v>
      </c>
      <c r="AN5">
        <v>3</v>
      </c>
      <c r="AO5">
        <v>801</v>
      </c>
      <c r="AP5">
        <v>110</v>
      </c>
      <c r="AQ5" t="s">
        <v>194</v>
      </c>
      <c r="AR5" t="s">
        <v>195</v>
      </c>
      <c r="AS5" t="s">
        <v>196</v>
      </c>
      <c r="AT5" s="2">
        <v>0</v>
      </c>
      <c r="AV5" t="s">
        <v>197</v>
      </c>
      <c r="AW5" t="s">
        <v>198</v>
      </c>
      <c r="AX5">
        <v>393</v>
      </c>
      <c r="AY5">
        <v>0</v>
      </c>
      <c r="AZ5" t="s">
        <v>199</v>
      </c>
      <c r="BA5">
        <v>120.8044</v>
      </c>
      <c r="BB5">
        <f t="shared" si="0"/>
        <v>36.744671666666669</v>
      </c>
      <c r="BD5">
        <v>0</v>
      </c>
      <c r="BE5" t="s">
        <v>201</v>
      </c>
      <c r="BF5">
        <v>0</v>
      </c>
      <c r="BG5" t="s">
        <v>202</v>
      </c>
      <c r="BH5">
        <v>1</v>
      </c>
      <c r="BI5" t="s">
        <v>203</v>
      </c>
      <c r="BJ5">
        <v>27.325800000000001</v>
      </c>
      <c r="BK5" t="s">
        <v>204</v>
      </c>
      <c r="BL5">
        <v>929.79989999999998</v>
      </c>
      <c r="BM5" s="3">
        <v>25407.529500000001</v>
      </c>
      <c r="FE5" s="1">
        <v>46309</v>
      </c>
      <c r="FF5">
        <v>0</v>
      </c>
      <c r="FG5" t="s">
        <v>200</v>
      </c>
      <c r="FH5" t="s">
        <v>205</v>
      </c>
      <c r="FI5">
        <v>110</v>
      </c>
      <c r="FJ5" t="s">
        <v>191</v>
      </c>
      <c r="FK5" t="s">
        <v>206</v>
      </c>
      <c r="FL5" t="s">
        <v>191</v>
      </c>
      <c r="FM5">
        <v>393</v>
      </c>
      <c r="FN5" t="s">
        <v>214</v>
      </c>
    </row>
    <row r="6" spans="1:170" x14ac:dyDescent="0.25">
      <c r="A6" t="s">
        <v>170</v>
      </c>
      <c r="B6">
        <v>1</v>
      </c>
      <c r="C6" t="s">
        <v>171</v>
      </c>
      <c r="F6" s="1">
        <v>46478</v>
      </c>
      <c r="G6" s="1">
        <v>47208</v>
      </c>
      <c r="I6" t="s">
        <v>172</v>
      </c>
      <c r="J6" t="s">
        <v>173</v>
      </c>
      <c r="K6" t="s">
        <v>174</v>
      </c>
      <c r="L6">
        <v>3674687</v>
      </c>
      <c r="M6" t="s">
        <v>175</v>
      </c>
      <c r="N6" t="s">
        <v>176</v>
      </c>
      <c r="P6" t="s">
        <v>177</v>
      </c>
      <c r="R6" t="s">
        <v>178</v>
      </c>
      <c r="S6" t="s">
        <v>179</v>
      </c>
      <c r="T6" t="s">
        <v>180</v>
      </c>
      <c r="U6" t="s">
        <v>181</v>
      </c>
      <c r="V6" t="s">
        <v>182</v>
      </c>
      <c r="X6" t="s">
        <v>183</v>
      </c>
      <c r="Y6" t="s">
        <v>221</v>
      </c>
      <c r="Z6" t="s">
        <v>222</v>
      </c>
      <c r="AB6" t="s">
        <v>176</v>
      </c>
      <c r="AD6" t="s">
        <v>223</v>
      </c>
      <c r="AF6" t="s">
        <v>187</v>
      </c>
      <c r="AG6" t="s">
        <v>188</v>
      </c>
      <c r="AH6" t="s">
        <v>189</v>
      </c>
      <c r="AI6">
        <v>21</v>
      </c>
      <c r="AJ6" t="s">
        <v>224</v>
      </c>
      <c r="AK6" s="4">
        <v>2200013903485</v>
      </c>
      <c r="AL6" t="s">
        <v>191</v>
      </c>
      <c r="AM6" t="s">
        <v>212</v>
      </c>
      <c r="AN6">
        <v>3</v>
      </c>
      <c r="AO6">
        <v>801</v>
      </c>
      <c r="AP6">
        <v>110</v>
      </c>
      <c r="AQ6" t="s">
        <v>194</v>
      </c>
      <c r="AR6" t="s">
        <v>195</v>
      </c>
      <c r="AS6" t="s">
        <v>196</v>
      </c>
      <c r="AT6" s="2">
        <v>0</v>
      </c>
      <c r="AV6" t="s">
        <v>197</v>
      </c>
      <c r="AW6" t="s">
        <v>198</v>
      </c>
      <c r="AX6">
        <v>393</v>
      </c>
      <c r="AY6">
        <v>0</v>
      </c>
      <c r="AZ6" t="s">
        <v>199</v>
      </c>
      <c r="BA6">
        <v>120.86620000000001</v>
      </c>
      <c r="BB6">
        <f t="shared" si="0"/>
        <v>36.763469166666667</v>
      </c>
      <c r="BD6">
        <v>0</v>
      </c>
      <c r="BE6" t="s">
        <v>201</v>
      </c>
      <c r="BF6">
        <v>0</v>
      </c>
      <c r="BG6" t="s">
        <v>202</v>
      </c>
      <c r="BH6">
        <v>1</v>
      </c>
      <c r="BI6" t="s">
        <v>203</v>
      </c>
      <c r="BJ6">
        <v>27.308900000000001</v>
      </c>
      <c r="BK6" t="s">
        <v>204</v>
      </c>
      <c r="BL6" s="3">
        <v>1682.5998999999999</v>
      </c>
      <c r="BM6" s="3">
        <v>45949.992100000003</v>
      </c>
      <c r="FE6" s="1">
        <v>46309</v>
      </c>
      <c r="FF6">
        <v>0</v>
      </c>
      <c r="FG6" t="s">
        <v>200</v>
      </c>
      <c r="FH6" t="s">
        <v>213</v>
      </c>
      <c r="FI6">
        <v>110</v>
      </c>
      <c r="FJ6" t="s">
        <v>191</v>
      </c>
      <c r="FK6" t="s">
        <v>206</v>
      </c>
      <c r="FL6" t="s">
        <v>191</v>
      </c>
      <c r="FM6">
        <v>393</v>
      </c>
      <c r="FN6" t="s">
        <v>214</v>
      </c>
    </row>
    <row r="7" spans="1:170" x14ac:dyDescent="0.25">
      <c r="A7" t="s">
        <v>170</v>
      </c>
      <c r="B7">
        <v>1</v>
      </c>
      <c r="C7" t="s">
        <v>171</v>
      </c>
      <c r="F7" s="1">
        <v>46478</v>
      </c>
      <c r="G7" s="1">
        <v>47208</v>
      </c>
      <c r="I7" t="s">
        <v>172</v>
      </c>
      <c r="J7" t="s">
        <v>173</v>
      </c>
      <c r="K7" t="s">
        <v>174</v>
      </c>
      <c r="L7">
        <v>3674687</v>
      </c>
      <c r="M7" t="s">
        <v>175</v>
      </c>
      <c r="N7" t="s">
        <v>176</v>
      </c>
      <c r="P7" t="s">
        <v>177</v>
      </c>
      <c r="R7" t="s">
        <v>178</v>
      </c>
      <c r="S7" t="s">
        <v>179</v>
      </c>
      <c r="T7" t="s">
        <v>180</v>
      </c>
      <c r="U7" t="s">
        <v>181</v>
      </c>
      <c r="V7" t="s">
        <v>182</v>
      </c>
      <c r="X7" t="s">
        <v>183</v>
      </c>
      <c r="Y7" t="s">
        <v>225</v>
      </c>
      <c r="Z7" t="s">
        <v>222</v>
      </c>
      <c r="AB7" t="s">
        <v>176</v>
      </c>
      <c r="AD7" t="s">
        <v>223</v>
      </c>
      <c r="AF7" t="s">
        <v>187</v>
      </c>
      <c r="AG7" t="s">
        <v>188</v>
      </c>
      <c r="AH7" t="s">
        <v>189</v>
      </c>
      <c r="AI7">
        <v>21</v>
      </c>
      <c r="AJ7" t="s">
        <v>226</v>
      </c>
      <c r="AK7" s="4">
        <v>2200013903537</v>
      </c>
      <c r="AL7" t="s">
        <v>191</v>
      </c>
      <c r="AM7" t="s">
        <v>212</v>
      </c>
      <c r="AN7">
        <v>3</v>
      </c>
      <c r="AO7">
        <v>801</v>
      </c>
      <c r="AP7">
        <v>110</v>
      </c>
      <c r="AQ7" t="s">
        <v>194</v>
      </c>
      <c r="AR7" t="s">
        <v>195</v>
      </c>
      <c r="AS7" t="s">
        <v>196</v>
      </c>
      <c r="AT7" s="2">
        <v>0</v>
      </c>
      <c r="AV7" t="s">
        <v>197</v>
      </c>
      <c r="AW7" t="s">
        <v>198</v>
      </c>
      <c r="AX7">
        <v>393</v>
      </c>
      <c r="AY7">
        <v>0</v>
      </c>
      <c r="AZ7" t="s">
        <v>199</v>
      </c>
      <c r="BA7">
        <v>120.8173</v>
      </c>
      <c r="BB7">
        <f t="shared" si="0"/>
        <v>36.748595416666667</v>
      </c>
      <c r="BD7">
        <v>0</v>
      </c>
      <c r="BE7" t="s">
        <v>201</v>
      </c>
      <c r="BF7">
        <v>0</v>
      </c>
      <c r="BG7" t="s">
        <v>202</v>
      </c>
      <c r="BH7">
        <v>1</v>
      </c>
      <c r="BI7" t="s">
        <v>203</v>
      </c>
      <c r="BJ7">
        <v>27.3248</v>
      </c>
      <c r="BK7" t="s">
        <v>204</v>
      </c>
      <c r="BL7" s="3">
        <v>1087.2</v>
      </c>
      <c r="BM7" s="3">
        <v>29707.5059</v>
      </c>
      <c r="FE7" s="1">
        <v>46309</v>
      </c>
      <c r="FF7">
        <v>0</v>
      </c>
      <c r="FG7" t="s">
        <v>200</v>
      </c>
      <c r="FH7" t="s">
        <v>213</v>
      </c>
      <c r="FI7">
        <v>110</v>
      </c>
      <c r="FJ7" t="s">
        <v>191</v>
      </c>
      <c r="FK7" t="s">
        <v>206</v>
      </c>
      <c r="FL7" t="s">
        <v>191</v>
      </c>
      <c r="FM7">
        <v>393</v>
      </c>
      <c r="FN7" t="s">
        <v>214</v>
      </c>
    </row>
    <row r="8" spans="1:170" x14ac:dyDescent="0.25">
      <c r="A8" t="s">
        <v>170</v>
      </c>
      <c r="B8">
        <v>1</v>
      </c>
      <c r="C8" t="s">
        <v>171</v>
      </c>
      <c r="F8" s="1">
        <v>46478</v>
      </c>
      <c r="G8" s="1">
        <v>47208</v>
      </c>
      <c r="I8" t="s">
        <v>172</v>
      </c>
      <c r="J8" t="s">
        <v>173</v>
      </c>
      <c r="K8" t="s">
        <v>174</v>
      </c>
      <c r="L8">
        <v>3674687</v>
      </c>
      <c r="M8" t="s">
        <v>175</v>
      </c>
      <c r="N8" t="s">
        <v>176</v>
      </c>
      <c r="P8" t="s">
        <v>177</v>
      </c>
      <c r="R8" t="s">
        <v>178</v>
      </c>
      <c r="S8" t="s">
        <v>179</v>
      </c>
      <c r="T8" t="s">
        <v>180</v>
      </c>
      <c r="U8" t="s">
        <v>181</v>
      </c>
      <c r="V8" t="s">
        <v>182</v>
      </c>
      <c r="X8" t="s">
        <v>183</v>
      </c>
      <c r="Y8" t="s">
        <v>227</v>
      </c>
      <c r="Z8" t="s">
        <v>185</v>
      </c>
      <c r="AB8" t="s">
        <v>228</v>
      </c>
      <c r="AD8" t="s">
        <v>229</v>
      </c>
      <c r="AF8" t="s">
        <v>187</v>
      </c>
      <c r="AG8" t="s">
        <v>188</v>
      </c>
      <c r="AH8" t="s">
        <v>189</v>
      </c>
      <c r="AI8">
        <v>21</v>
      </c>
      <c r="AJ8" t="s">
        <v>230</v>
      </c>
      <c r="AK8" s="4">
        <v>2200013903625</v>
      </c>
      <c r="AL8" t="s">
        <v>191</v>
      </c>
      <c r="AM8" t="s">
        <v>212</v>
      </c>
      <c r="AN8">
        <v>3</v>
      </c>
      <c r="AO8">
        <v>801</v>
      </c>
      <c r="AP8">
        <v>110</v>
      </c>
      <c r="AQ8" t="s">
        <v>194</v>
      </c>
      <c r="AR8" t="s">
        <v>195</v>
      </c>
      <c r="AS8" t="s">
        <v>196</v>
      </c>
      <c r="AT8" s="2">
        <v>0</v>
      </c>
      <c r="AV8" t="s">
        <v>197</v>
      </c>
      <c r="AW8" t="s">
        <v>198</v>
      </c>
      <c r="AX8">
        <v>393</v>
      </c>
      <c r="AY8">
        <v>0</v>
      </c>
      <c r="AZ8" t="s">
        <v>199</v>
      </c>
      <c r="BA8">
        <v>120.80370000000001</v>
      </c>
      <c r="BB8">
        <f t="shared" si="0"/>
        <v>36.74445875</v>
      </c>
      <c r="BD8">
        <v>0</v>
      </c>
      <c r="BE8" t="s">
        <v>201</v>
      </c>
      <c r="BF8">
        <v>0</v>
      </c>
      <c r="BG8" t="s">
        <v>202</v>
      </c>
      <c r="BH8">
        <v>1</v>
      </c>
      <c r="BI8" t="s">
        <v>203</v>
      </c>
      <c r="BJ8">
        <v>27.332899999999999</v>
      </c>
      <c r="BK8" t="s">
        <v>204</v>
      </c>
      <c r="BL8">
        <v>921.4</v>
      </c>
      <c r="BM8" s="3">
        <v>25184.489799999999</v>
      </c>
      <c r="FE8" s="1">
        <v>46309</v>
      </c>
      <c r="FF8">
        <v>0</v>
      </c>
      <c r="FG8" t="s">
        <v>200</v>
      </c>
      <c r="FH8" t="s">
        <v>213</v>
      </c>
      <c r="FI8">
        <v>110</v>
      </c>
      <c r="FJ8" t="s">
        <v>191</v>
      </c>
      <c r="FK8" t="s">
        <v>206</v>
      </c>
      <c r="FL8" t="s">
        <v>191</v>
      </c>
      <c r="FM8">
        <v>393</v>
      </c>
      <c r="FN8" t="s">
        <v>214</v>
      </c>
    </row>
    <row r="9" spans="1:170" x14ac:dyDescent="0.25">
      <c r="A9" t="s">
        <v>170</v>
      </c>
      <c r="B9">
        <v>1</v>
      </c>
      <c r="C9" t="s">
        <v>171</v>
      </c>
      <c r="F9" s="1">
        <v>46478</v>
      </c>
      <c r="G9" s="1">
        <v>47208</v>
      </c>
      <c r="I9" t="s">
        <v>172</v>
      </c>
      <c r="J9" t="s">
        <v>173</v>
      </c>
      <c r="K9" t="s">
        <v>174</v>
      </c>
      <c r="L9">
        <v>3674687</v>
      </c>
      <c r="M9" t="s">
        <v>175</v>
      </c>
      <c r="N9" t="s">
        <v>176</v>
      </c>
      <c r="P9" t="s">
        <v>177</v>
      </c>
      <c r="R9" t="s">
        <v>178</v>
      </c>
      <c r="S9" t="s">
        <v>179</v>
      </c>
      <c r="T9" t="s">
        <v>180</v>
      </c>
      <c r="U9" t="s">
        <v>181</v>
      </c>
      <c r="V9" t="s">
        <v>182</v>
      </c>
      <c r="X9" t="s">
        <v>183</v>
      </c>
      <c r="Y9" t="s">
        <v>231</v>
      </c>
      <c r="Z9" t="s">
        <v>185</v>
      </c>
      <c r="AB9" t="s">
        <v>176</v>
      </c>
      <c r="AD9" t="s">
        <v>232</v>
      </c>
      <c r="AF9" t="s">
        <v>187</v>
      </c>
      <c r="AG9" t="s">
        <v>188</v>
      </c>
      <c r="AH9" t="s">
        <v>189</v>
      </c>
      <c r="AI9">
        <v>21</v>
      </c>
      <c r="AJ9" t="s">
        <v>233</v>
      </c>
      <c r="AK9" s="4">
        <v>2200013903713</v>
      </c>
      <c r="AL9" t="s">
        <v>191</v>
      </c>
      <c r="AM9" t="s">
        <v>212</v>
      </c>
      <c r="AN9">
        <v>3</v>
      </c>
      <c r="AO9">
        <v>801</v>
      </c>
      <c r="AP9">
        <v>110</v>
      </c>
      <c r="AQ9" t="s">
        <v>194</v>
      </c>
      <c r="AR9" t="s">
        <v>195</v>
      </c>
      <c r="AS9" t="s">
        <v>196</v>
      </c>
      <c r="AT9" s="2">
        <v>0</v>
      </c>
      <c r="AV9" t="s">
        <v>197</v>
      </c>
      <c r="AW9" t="s">
        <v>198</v>
      </c>
      <c r="AX9">
        <v>393</v>
      </c>
      <c r="AY9">
        <v>0</v>
      </c>
      <c r="AZ9" t="s">
        <v>199</v>
      </c>
      <c r="BA9">
        <v>120.81529999999999</v>
      </c>
      <c r="BB9">
        <f t="shared" si="0"/>
        <v>36.747987083333328</v>
      </c>
      <c r="BD9">
        <v>0</v>
      </c>
      <c r="BE9" t="s">
        <v>201</v>
      </c>
      <c r="BF9">
        <v>0</v>
      </c>
      <c r="BG9" t="s">
        <v>202</v>
      </c>
      <c r="BH9">
        <v>1</v>
      </c>
      <c r="BI9" t="s">
        <v>203</v>
      </c>
      <c r="BJ9">
        <v>27.325800000000001</v>
      </c>
      <c r="BK9" t="s">
        <v>204</v>
      </c>
      <c r="BL9" s="3">
        <v>1062.5999999999999</v>
      </c>
      <c r="BM9" s="3">
        <v>29036.4208</v>
      </c>
      <c r="FE9" s="1">
        <v>46309</v>
      </c>
      <c r="FF9">
        <v>0</v>
      </c>
      <c r="FG9" t="s">
        <v>200</v>
      </c>
      <c r="FH9" t="s">
        <v>213</v>
      </c>
      <c r="FI9">
        <v>110</v>
      </c>
      <c r="FJ9" t="s">
        <v>191</v>
      </c>
      <c r="FK9" t="s">
        <v>206</v>
      </c>
      <c r="FL9" t="s">
        <v>191</v>
      </c>
      <c r="FM9">
        <v>393</v>
      </c>
      <c r="FN9" t="s">
        <v>214</v>
      </c>
    </row>
    <row r="10" spans="1:170" x14ac:dyDescent="0.25">
      <c r="A10" t="s">
        <v>170</v>
      </c>
      <c r="B10">
        <v>1</v>
      </c>
      <c r="C10" t="s">
        <v>171</v>
      </c>
      <c r="F10" s="1">
        <v>46478</v>
      </c>
      <c r="G10" s="1">
        <v>47208</v>
      </c>
      <c r="I10" t="s">
        <v>172</v>
      </c>
      <c r="J10" t="s">
        <v>173</v>
      </c>
      <c r="K10" t="s">
        <v>174</v>
      </c>
      <c r="L10">
        <v>3674687</v>
      </c>
      <c r="M10" t="s">
        <v>175</v>
      </c>
      <c r="N10" t="s">
        <v>176</v>
      </c>
      <c r="P10" t="s">
        <v>177</v>
      </c>
      <c r="R10" t="s">
        <v>178</v>
      </c>
      <c r="S10" t="s">
        <v>179</v>
      </c>
      <c r="T10" t="s">
        <v>180</v>
      </c>
      <c r="U10" t="s">
        <v>181</v>
      </c>
      <c r="V10" t="s">
        <v>182</v>
      </c>
      <c r="X10" t="s">
        <v>183</v>
      </c>
      <c r="Y10" t="s">
        <v>234</v>
      </c>
      <c r="Z10" t="s">
        <v>219</v>
      </c>
      <c r="AB10" t="s">
        <v>176</v>
      </c>
      <c r="AD10" t="s">
        <v>235</v>
      </c>
      <c r="AF10" t="s">
        <v>187</v>
      </c>
      <c r="AG10" t="s">
        <v>188</v>
      </c>
      <c r="AH10" t="s">
        <v>189</v>
      </c>
      <c r="AI10">
        <v>21</v>
      </c>
      <c r="AJ10" t="s">
        <v>236</v>
      </c>
      <c r="AK10" s="4">
        <v>2200013908136</v>
      </c>
      <c r="AL10" t="s">
        <v>191</v>
      </c>
      <c r="AM10" t="s">
        <v>192</v>
      </c>
      <c r="AN10">
        <v>3</v>
      </c>
      <c r="AO10">
        <v>801</v>
      </c>
      <c r="AP10">
        <v>110</v>
      </c>
      <c r="AQ10" t="s">
        <v>194</v>
      </c>
      <c r="AR10" t="s">
        <v>195</v>
      </c>
      <c r="AS10" t="s">
        <v>196</v>
      </c>
      <c r="AT10" s="2">
        <v>0</v>
      </c>
      <c r="AV10" t="s">
        <v>197</v>
      </c>
      <c r="AW10" t="s">
        <v>198</v>
      </c>
      <c r="AX10">
        <v>393</v>
      </c>
      <c r="AY10">
        <v>0</v>
      </c>
      <c r="AZ10" t="s">
        <v>199</v>
      </c>
      <c r="BA10">
        <v>120.9268</v>
      </c>
      <c r="BB10">
        <f t="shared" si="0"/>
        <v>36.781901666666663</v>
      </c>
      <c r="BD10">
        <v>0</v>
      </c>
      <c r="BE10" t="s">
        <v>201</v>
      </c>
      <c r="BF10">
        <v>0</v>
      </c>
      <c r="BG10" t="s">
        <v>202</v>
      </c>
      <c r="BH10">
        <v>1</v>
      </c>
      <c r="BI10" t="s">
        <v>203</v>
      </c>
      <c r="BJ10">
        <v>27.297599999999999</v>
      </c>
      <c r="BK10" t="s">
        <v>204</v>
      </c>
      <c r="BL10" s="3">
        <v>2420.1999000000001</v>
      </c>
      <c r="BM10" s="3">
        <v>66065.578200000004</v>
      </c>
      <c r="FE10" s="1">
        <v>46309</v>
      </c>
      <c r="FF10">
        <v>0</v>
      </c>
      <c r="FG10" t="s">
        <v>200</v>
      </c>
      <c r="FH10" t="s">
        <v>205</v>
      </c>
      <c r="FI10">
        <v>110</v>
      </c>
      <c r="FJ10" t="s">
        <v>191</v>
      </c>
      <c r="FK10" t="s">
        <v>206</v>
      </c>
      <c r="FL10" t="s">
        <v>191</v>
      </c>
      <c r="FM10">
        <v>393</v>
      </c>
      <c r="FN10" t="s">
        <v>214</v>
      </c>
    </row>
    <row r="11" spans="1:170" x14ac:dyDescent="0.25">
      <c r="A11" t="s">
        <v>170</v>
      </c>
      <c r="B11">
        <v>1</v>
      </c>
      <c r="C11" t="s">
        <v>171</v>
      </c>
      <c r="F11" s="1">
        <v>46478</v>
      </c>
      <c r="G11" s="1">
        <v>47208</v>
      </c>
      <c r="I11" t="s">
        <v>172</v>
      </c>
      <c r="J11" t="s">
        <v>173</v>
      </c>
      <c r="K11" t="s">
        <v>174</v>
      </c>
      <c r="L11">
        <v>3674687</v>
      </c>
      <c r="M11" t="s">
        <v>175</v>
      </c>
      <c r="N11" t="s">
        <v>176</v>
      </c>
      <c r="P11" t="s">
        <v>177</v>
      </c>
      <c r="R11" t="s">
        <v>178</v>
      </c>
      <c r="S11" t="s">
        <v>179</v>
      </c>
      <c r="T11" t="s">
        <v>180</v>
      </c>
      <c r="U11" t="s">
        <v>181</v>
      </c>
      <c r="V11" t="s">
        <v>182</v>
      </c>
      <c r="X11" t="s">
        <v>183</v>
      </c>
      <c r="Y11" t="s">
        <v>237</v>
      </c>
      <c r="Z11" t="s">
        <v>238</v>
      </c>
      <c r="AB11" t="s">
        <v>176</v>
      </c>
      <c r="AD11" t="s">
        <v>239</v>
      </c>
      <c r="AF11" t="s">
        <v>187</v>
      </c>
      <c r="AG11" t="s">
        <v>188</v>
      </c>
      <c r="AH11" t="s">
        <v>189</v>
      </c>
      <c r="AI11">
        <v>21</v>
      </c>
      <c r="AJ11" t="s">
        <v>240</v>
      </c>
      <c r="AK11" s="4">
        <v>2200013908154</v>
      </c>
      <c r="AL11" t="s">
        <v>191</v>
      </c>
      <c r="AM11" t="s">
        <v>192</v>
      </c>
      <c r="AN11">
        <v>4</v>
      </c>
      <c r="AO11">
        <v>807</v>
      </c>
      <c r="AP11">
        <v>210</v>
      </c>
      <c r="AQ11" t="s">
        <v>194</v>
      </c>
      <c r="AR11" t="s">
        <v>195</v>
      </c>
      <c r="AS11" t="s">
        <v>196</v>
      </c>
      <c r="AT11" s="2">
        <v>0</v>
      </c>
      <c r="AV11" t="s">
        <v>197</v>
      </c>
      <c r="AW11" t="s">
        <v>198</v>
      </c>
      <c r="AX11">
        <v>244</v>
      </c>
      <c r="AY11">
        <v>0</v>
      </c>
      <c r="AZ11" t="s">
        <v>199</v>
      </c>
      <c r="BA11">
        <v>120.91849999999999</v>
      </c>
      <c r="BB11">
        <f t="shared" si="0"/>
        <v>36.77937708333333</v>
      </c>
      <c r="BD11">
        <v>0</v>
      </c>
      <c r="BE11" t="s">
        <v>201</v>
      </c>
      <c r="BF11">
        <v>0</v>
      </c>
      <c r="BG11" t="s">
        <v>202</v>
      </c>
      <c r="BH11">
        <v>2</v>
      </c>
      <c r="BI11" t="s">
        <v>241</v>
      </c>
      <c r="BJ11">
        <v>28.77</v>
      </c>
      <c r="BK11" t="s">
        <v>204</v>
      </c>
      <c r="BL11" s="3">
        <v>1642.5302999999999</v>
      </c>
      <c r="BM11" s="3">
        <v>47255.528100000003</v>
      </c>
      <c r="BN11" t="s">
        <v>242</v>
      </c>
      <c r="BO11">
        <v>21.287299999999998</v>
      </c>
      <c r="BP11" t="s">
        <v>204</v>
      </c>
      <c r="BQ11">
        <v>677.26959999999997</v>
      </c>
      <c r="BR11" s="3">
        <v>14417.218999999999</v>
      </c>
      <c r="FE11" s="1">
        <v>46309</v>
      </c>
      <c r="FF11">
        <v>0</v>
      </c>
      <c r="FG11" t="s">
        <v>200</v>
      </c>
      <c r="FH11" t="s">
        <v>205</v>
      </c>
      <c r="FI11">
        <v>210</v>
      </c>
      <c r="FJ11" t="s">
        <v>191</v>
      </c>
      <c r="FK11" t="s">
        <v>206</v>
      </c>
      <c r="FL11" t="s">
        <v>191</v>
      </c>
      <c r="FM11">
        <v>244</v>
      </c>
      <c r="FN11" t="s">
        <v>214</v>
      </c>
    </row>
    <row r="12" spans="1:170" x14ac:dyDescent="0.25">
      <c r="A12" t="s">
        <v>170</v>
      </c>
      <c r="B12">
        <v>1</v>
      </c>
      <c r="C12" t="s">
        <v>171</v>
      </c>
      <c r="F12" s="1">
        <v>46478</v>
      </c>
      <c r="G12" s="1">
        <v>47208</v>
      </c>
      <c r="I12" t="s">
        <v>172</v>
      </c>
      <c r="J12" t="s">
        <v>173</v>
      </c>
      <c r="K12" t="s">
        <v>174</v>
      </c>
      <c r="L12">
        <v>3674687</v>
      </c>
      <c r="M12" t="s">
        <v>175</v>
      </c>
      <c r="N12" t="s">
        <v>176</v>
      </c>
      <c r="P12" t="s">
        <v>177</v>
      </c>
      <c r="R12" t="s">
        <v>178</v>
      </c>
      <c r="S12" t="s">
        <v>179</v>
      </c>
      <c r="T12" t="s">
        <v>180</v>
      </c>
      <c r="U12" t="s">
        <v>181</v>
      </c>
      <c r="V12" t="s">
        <v>182</v>
      </c>
      <c r="X12" t="s">
        <v>183</v>
      </c>
      <c r="Y12" t="s">
        <v>243</v>
      </c>
      <c r="AB12" t="s">
        <v>176</v>
      </c>
      <c r="AD12" t="s">
        <v>244</v>
      </c>
      <c r="AF12" t="s">
        <v>187</v>
      </c>
      <c r="AG12" t="s">
        <v>188</v>
      </c>
      <c r="AH12" t="s">
        <v>189</v>
      </c>
      <c r="AI12">
        <v>21</v>
      </c>
      <c r="AJ12" t="s">
        <v>245</v>
      </c>
      <c r="AK12" s="4">
        <v>2200013910288</v>
      </c>
      <c r="AL12" t="s">
        <v>191</v>
      </c>
      <c r="AM12" t="s">
        <v>212</v>
      </c>
      <c r="AN12">
        <v>3</v>
      </c>
      <c r="AO12">
        <v>801</v>
      </c>
      <c r="AP12">
        <v>110</v>
      </c>
      <c r="AQ12" t="s">
        <v>194</v>
      </c>
      <c r="AR12" t="s">
        <v>195</v>
      </c>
      <c r="AS12" t="s">
        <v>196</v>
      </c>
      <c r="AT12" s="2">
        <v>0</v>
      </c>
      <c r="AV12" t="s">
        <v>197</v>
      </c>
      <c r="AW12" t="s">
        <v>198</v>
      </c>
      <c r="AX12">
        <v>393</v>
      </c>
      <c r="AY12">
        <v>0</v>
      </c>
      <c r="AZ12" t="s">
        <v>199</v>
      </c>
      <c r="BA12">
        <v>120.833</v>
      </c>
      <c r="BB12">
        <f t="shared" si="0"/>
        <v>36.753370833333335</v>
      </c>
      <c r="BD12">
        <v>0</v>
      </c>
      <c r="BE12" t="s">
        <v>201</v>
      </c>
      <c r="BF12">
        <v>0</v>
      </c>
      <c r="BG12" t="s">
        <v>202</v>
      </c>
      <c r="BH12">
        <v>1</v>
      </c>
      <c r="BI12" t="s">
        <v>203</v>
      </c>
      <c r="BJ12">
        <v>27.255700000000001</v>
      </c>
      <c r="BK12" t="s">
        <v>204</v>
      </c>
      <c r="BL12">
        <v>332.2</v>
      </c>
      <c r="BM12" s="3">
        <v>9054.3565999999992</v>
      </c>
      <c r="FE12" s="1">
        <v>46309</v>
      </c>
      <c r="FF12">
        <v>0</v>
      </c>
      <c r="FG12" t="s">
        <v>200</v>
      </c>
      <c r="FH12" t="s">
        <v>213</v>
      </c>
      <c r="FI12">
        <v>110</v>
      </c>
      <c r="FJ12" t="s">
        <v>191</v>
      </c>
      <c r="FK12" t="s">
        <v>206</v>
      </c>
      <c r="FL12" t="s">
        <v>191</v>
      </c>
      <c r="FM12">
        <v>393</v>
      </c>
      <c r="FN12" t="s">
        <v>214</v>
      </c>
    </row>
    <row r="13" spans="1:170" x14ac:dyDescent="0.25">
      <c r="A13" t="s">
        <v>170</v>
      </c>
      <c r="B13">
        <v>1</v>
      </c>
      <c r="C13" t="s">
        <v>171</v>
      </c>
      <c r="F13" s="1">
        <v>46478</v>
      </c>
      <c r="G13" s="1">
        <v>47208</v>
      </c>
      <c r="I13" t="s">
        <v>172</v>
      </c>
      <c r="J13" t="s">
        <v>173</v>
      </c>
      <c r="K13" t="s">
        <v>174</v>
      </c>
      <c r="L13">
        <v>3674687</v>
      </c>
      <c r="M13" t="s">
        <v>175</v>
      </c>
      <c r="N13" t="s">
        <v>176</v>
      </c>
      <c r="P13" t="s">
        <v>177</v>
      </c>
      <c r="R13" t="s">
        <v>178</v>
      </c>
      <c r="S13" t="s">
        <v>179</v>
      </c>
      <c r="T13" t="s">
        <v>180</v>
      </c>
      <c r="U13" t="s">
        <v>181</v>
      </c>
      <c r="V13" t="s">
        <v>182</v>
      </c>
      <c r="X13" t="s">
        <v>183</v>
      </c>
      <c r="Y13" t="s">
        <v>246</v>
      </c>
      <c r="Z13" t="s">
        <v>219</v>
      </c>
      <c r="AB13" t="s">
        <v>247</v>
      </c>
      <c r="AD13" t="s">
        <v>248</v>
      </c>
      <c r="AF13" t="s">
        <v>187</v>
      </c>
      <c r="AG13" t="s">
        <v>188</v>
      </c>
      <c r="AH13" t="s">
        <v>189</v>
      </c>
      <c r="AI13">
        <v>21</v>
      </c>
      <c r="AJ13" t="s">
        <v>249</v>
      </c>
      <c r="AK13" s="4">
        <v>2200013916953</v>
      </c>
      <c r="AL13" t="s">
        <v>191</v>
      </c>
      <c r="AM13" t="s">
        <v>192</v>
      </c>
      <c r="AN13">
        <v>3</v>
      </c>
      <c r="AO13">
        <v>801</v>
      </c>
      <c r="AP13" t="s">
        <v>193</v>
      </c>
      <c r="AQ13" t="s">
        <v>194</v>
      </c>
      <c r="AR13" t="s">
        <v>195</v>
      </c>
      <c r="AS13" t="s">
        <v>196</v>
      </c>
      <c r="AT13" s="2">
        <v>0</v>
      </c>
      <c r="AV13" t="s">
        <v>197</v>
      </c>
      <c r="AW13" t="s">
        <v>198</v>
      </c>
      <c r="AX13">
        <v>393</v>
      </c>
      <c r="AY13">
        <v>0</v>
      </c>
      <c r="AZ13" t="s">
        <v>199</v>
      </c>
      <c r="BA13">
        <v>185.6866</v>
      </c>
      <c r="BB13">
        <f t="shared" si="0"/>
        <v>56.479674166666662</v>
      </c>
      <c r="BD13">
        <v>0</v>
      </c>
      <c r="BE13" t="s">
        <v>201</v>
      </c>
      <c r="BF13">
        <v>0</v>
      </c>
      <c r="BG13" t="s">
        <v>202</v>
      </c>
      <c r="BH13">
        <v>1</v>
      </c>
      <c r="BI13" t="s">
        <v>203</v>
      </c>
      <c r="BJ13">
        <v>27.337399999999999</v>
      </c>
      <c r="BK13" t="s">
        <v>204</v>
      </c>
      <c r="BL13" s="3">
        <v>1471.6001000000001</v>
      </c>
      <c r="BM13" s="3">
        <v>40229.752500000002</v>
      </c>
      <c r="FE13" s="1">
        <v>46309</v>
      </c>
      <c r="FF13">
        <v>0</v>
      </c>
      <c r="FG13" t="s">
        <v>200</v>
      </c>
      <c r="FH13" t="s">
        <v>205</v>
      </c>
      <c r="FI13" t="s">
        <v>193</v>
      </c>
      <c r="FJ13" t="s">
        <v>191</v>
      </c>
      <c r="FK13" t="s">
        <v>206</v>
      </c>
      <c r="FL13" t="s">
        <v>191</v>
      </c>
      <c r="FM13">
        <v>393</v>
      </c>
      <c r="FN13" t="s">
        <v>207</v>
      </c>
    </row>
    <row r="14" spans="1:170" x14ac:dyDescent="0.25">
      <c r="A14" t="s">
        <v>170</v>
      </c>
      <c r="B14">
        <v>1</v>
      </c>
      <c r="C14" t="s">
        <v>171</v>
      </c>
      <c r="F14" s="1">
        <v>46478</v>
      </c>
      <c r="G14" s="1">
        <v>47208</v>
      </c>
      <c r="I14" t="s">
        <v>172</v>
      </c>
      <c r="J14" t="s">
        <v>173</v>
      </c>
      <c r="K14" t="s">
        <v>174</v>
      </c>
      <c r="L14">
        <v>3674687</v>
      </c>
      <c r="M14" t="s">
        <v>175</v>
      </c>
      <c r="N14" t="s">
        <v>176</v>
      </c>
      <c r="P14" t="s">
        <v>177</v>
      </c>
      <c r="R14" t="s">
        <v>178</v>
      </c>
      <c r="S14" t="s">
        <v>179</v>
      </c>
      <c r="T14" t="s">
        <v>180</v>
      </c>
      <c r="U14" t="s">
        <v>181</v>
      </c>
      <c r="V14" t="s">
        <v>182</v>
      </c>
      <c r="X14" t="s">
        <v>183</v>
      </c>
      <c r="Y14" t="s">
        <v>250</v>
      </c>
      <c r="Z14" t="s">
        <v>219</v>
      </c>
      <c r="AB14" t="s">
        <v>176</v>
      </c>
      <c r="AD14" t="s">
        <v>186</v>
      </c>
      <c r="AF14" t="s">
        <v>187</v>
      </c>
      <c r="AG14" t="s">
        <v>188</v>
      </c>
      <c r="AH14" t="s">
        <v>189</v>
      </c>
      <c r="AI14">
        <v>21</v>
      </c>
      <c r="AJ14" t="s">
        <v>251</v>
      </c>
      <c r="AK14" s="4">
        <v>2200013917006</v>
      </c>
      <c r="AL14" t="s">
        <v>191</v>
      </c>
      <c r="AM14" t="s">
        <v>212</v>
      </c>
      <c r="AN14">
        <v>3</v>
      </c>
      <c r="AO14">
        <v>801</v>
      </c>
      <c r="AP14">
        <v>110</v>
      </c>
      <c r="AQ14" t="s">
        <v>194</v>
      </c>
      <c r="AR14" t="s">
        <v>195</v>
      </c>
      <c r="AS14" t="s">
        <v>196</v>
      </c>
      <c r="AT14" s="2">
        <v>0</v>
      </c>
      <c r="AV14" t="s">
        <v>197</v>
      </c>
      <c r="AW14" t="s">
        <v>198</v>
      </c>
      <c r="AX14">
        <v>393</v>
      </c>
      <c r="AY14">
        <v>0</v>
      </c>
      <c r="AZ14" t="s">
        <v>199</v>
      </c>
      <c r="BA14">
        <v>120.8754</v>
      </c>
      <c r="BB14">
        <f t="shared" si="0"/>
        <v>36.766267499999998</v>
      </c>
      <c r="BD14">
        <v>0</v>
      </c>
      <c r="BE14" t="s">
        <v>201</v>
      </c>
      <c r="BF14">
        <v>0</v>
      </c>
      <c r="BG14" t="s">
        <v>202</v>
      </c>
      <c r="BH14">
        <v>1</v>
      </c>
      <c r="BI14" t="s">
        <v>203</v>
      </c>
      <c r="BJ14">
        <v>27.255700000000001</v>
      </c>
      <c r="BK14" t="s">
        <v>204</v>
      </c>
      <c r="BL14">
        <v>699.59990000000005</v>
      </c>
      <c r="BM14" s="3">
        <v>19068.119500000001</v>
      </c>
      <c r="FE14" s="1">
        <v>46309</v>
      </c>
      <c r="FF14">
        <v>0</v>
      </c>
      <c r="FG14" t="s">
        <v>200</v>
      </c>
      <c r="FH14" t="s">
        <v>213</v>
      </c>
      <c r="FI14">
        <v>110</v>
      </c>
      <c r="FJ14" t="s">
        <v>191</v>
      </c>
      <c r="FK14" t="s">
        <v>206</v>
      </c>
      <c r="FL14" t="s">
        <v>191</v>
      </c>
      <c r="FM14">
        <v>393</v>
      </c>
      <c r="FN14" t="s">
        <v>214</v>
      </c>
    </row>
    <row r="15" spans="1:170" x14ac:dyDescent="0.25">
      <c r="A15" t="s">
        <v>170</v>
      </c>
      <c r="B15">
        <v>1</v>
      </c>
      <c r="C15" t="s">
        <v>171</v>
      </c>
      <c r="F15" s="1">
        <v>46478</v>
      </c>
      <c r="G15" s="1">
        <v>47208</v>
      </c>
      <c r="I15" t="s">
        <v>172</v>
      </c>
      <c r="J15" t="s">
        <v>173</v>
      </c>
      <c r="K15" t="s">
        <v>174</v>
      </c>
      <c r="L15">
        <v>3674687</v>
      </c>
      <c r="M15" t="s">
        <v>175</v>
      </c>
      <c r="N15" t="s">
        <v>176</v>
      </c>
      <c r="P15" t="s">
        <v>177</v>
      </c>
      <c r="R15" t="s">
        <v>178</v>
      </c>
      <c r="S15" t="s">
        <v>179</v>
      </c>
      <c r="T15" t="s">
        <v>180</v>
      </c>
      <c r="U15" t="s">
        <v>181</v>
      </c>
      <c r="V15" t="s">
        <v>182</v>
      </c>
      <c r="X15" t="s">
        <v>183</v>
      </c>
      <c r="Y15" t="s">
        <v>252</v>
      </c>
      <c r="Z15" t="s">
        <v>219</v>
      </c>
      <c r="AB15" t="s">
        <v>247</v>
      </c>
      <c r="AD15" t="s">
        <v>248</v>
      </c>
      <c r="AF15" t="s">
        <v>187</v>
      </c>
      <c r="AG15" t="s">
        <v>188</v>
      </c>
      <c r="AH15" t="s">
        <v>189</v>
      </c>
      <c r="AI15">
        <v>21</v>
      </c>
      <c r="AJ15" t="s">
        <v>253</v>
      </c>
      <c r="AK15" s="4">
        <v>2200013917060</v>
      </c>
      <c r="AL15" t="s">
        <v>191</v>
      </c>
      <c r="AM15" t="s">
        <v>212</v>
      </c>
      <c r="AN15">
        <v>3</v>
      </c>
      <c r="AO15">
        <v>801</v>
      </c>
      <c r="AP15">
        <v>110</v>
      </c>
      <c r="AQ15" t="s">
        <v>194</v>
      </c>
      <c r="AR15" t="s">
        <v>195</v>
      </c>
      <c r="AS15" t="s">
        <v>196</v>
      </c>
      <c r="AT15" s="2">
        <v>0</v>
      </c>
      <c r="AV15" t="s">
        <v>197</v>
      </c>
      <c r="AW15" t="s">
        <v>198</v>
      </c>
      <c r="AX15">
        <v>393</v>
      </c>
      <c r="AY15">
        <v>0</v>
      </c>
      <c r="AZ15" t="s">
        <v>199</v>
      </c>
      <c r="BA15">
        <v>120.8361</v>
      </c>
      <c r="BB15">
        <f t="shared" si="0"/>
        <v>36.754313750000001</v>
      </c>
      <c r="BD15">
        <v>0</v>
      </c>
      <c r="BE15" t="s">
        <v>201</v>
      </c>
      <c r="BF15">
        <v>0</v>
      </c>
      <c r="BG15" t="s">
        <v>202</v>
      </c>
      <c r="BH15">
        <v>1</v>
      </c>
      <c r="BI15" t="s">
        <v>203</v>
      </c>
      <c r="BJ15">
        <v>27.255700000000001</v>
      </c>
      <c r="BK15" t="s">
        <v>204</v>
      </c>
      <c r="BL15">
        <v>358.8</v>
      </c>
      <c r="BM15" s="3">
        <v>9779.3608999999997</v>
      </c>
      <c r="FE15" s="1">
        <v>46309</v>
      </c>
      <c r="FF15">
        <v>0</v>
      </c>
      <c r="FG15" t="s">
        <v>200</v>
      </c>
      <c r="FH15" t="s">
        <v>213</v>
      </c>
      <c r="FI15">
        <v>110</v>
      </c>
      <c r="FJ15" t="s">
        <v>191</v>
      </c>
      <c r="FK15" t="s">
        <v>206</v>
      </c>
      <c r="FL15" t="s">
        <v>191</v>
      </c>
      <c r="FM15">
        <v>393</v>
      </c>
      <c r="FN15" t="s">
        <v>214</v>
      </c>
    </row>
    <row r="16" spans="1:170" x14ac:dyDescent="0.25">
      <c r="A16" t="s">
        <v>170</v>
      </c>
      <c r="B16">
        <v>1</v>
      </c>
      <c r="C16" t="s">
        <v>171</v>
      </c>
      <c r="F16" s="1">
        <v>46478</v>
      </c>
      <c r="G16" s="1">
        <v>47208</v>
      </c>
      <c r="I16" t="s">
        <v>172</v>
      </c>
      <c r="J16" t="s">
        <v>173</v>
      </c>
      <c r="K16" t="s">
        <v>174</v>
      </c>
      <c r="L16">
        <v>3674687</v>
      </c>
      <c r="M16" t="s">
        <v>175</v>
      </c>
      <c r="N16" t="s">
        <v>176</v>
      </c>
      <c r="P16" t="s">
        <v>177</v>
      </c>
      <c r="R16" t="s">
        <v>178</v>
      </c>
      <c r="S16" t="s">
        <v>179</v>
      </c>
      <c r="T16" t="s">
        <v>180</v>
      </c>
      <c r="U16" t="s">
        <v>181</v>
      </c>
      <c r="V16" t="s">
        <v>182</v>
      </c>
      <c r="X16" t="s">
        <v>183</v>
      </c>
      <c r="Y16" t="s">
        <v>254</v>
      </c>
      <c r="Z16" t="s">
        <v>219</v>
      </c>
      <c r="AB16" t="s">
        <v>247</v>
      </c>
      <c r="AD16" t="s">
        <v>248</v>
      </c>
      <c r="AF16" t="s">
        <v>187</v>
      </c>
      <c r="AG16" t="s">
        <v>188</v>
      </c>
      <c r="AH16" t="s">
        <v>189</v>
      </c>
      <c r="AI16">
        <v>21</v>
      </c>
      <c r="AJ16" t="s">
        <v>255</v>
      </c>
      <c r="AK16" s="4">
        <v>2200013917070</v>
      </c>
      <c r="AL16" t="s">
        <v>191</v>
      </c>
      <c r="AM16" t="s">
        <v>212</v>
      </c>
      <c r="AN16">
        <v>3</v>
      </c>
      <c r="AO16">
        <v>801</v>
      </c>
      <c r="AP16">
        <v>110</v>
      </c>
      <c r="AQ16" t="s">
        <v>194</v>
      </c>
      <c r="AR16" t="s">
        <v>195</v>
      </c>
      <c r="AS16" t="s">
        <v>196</v>
      </c>
      <c r="AT16" s="2">
        <v>0</v>
      </c>
      <c r="AV16" t="s">
        <v>197</v>
      </c>
      <c r="AW16" t="s">
        <v>198</v>
      </c>
      <c r="AX16">
        <v>393</v>
      </c>
      <c r="AY16">
        <v>0</v>
      </c>
      <c r="AZ16" t="s">
        <v>199</v>
      </c>
      <c r="BA16">
        <v>120.84569999999999</v>
      </c>
      <c r="BB16">
        <f t="shared" si="0"/>
        <v>36.757233749999997</v>
      </c>
      <c r="BD16">
        <v>0</v>
      </c>
      <c r="BE16" t="s">
        <v>201</v>
      </c>
      <c r="BF16">
        <v>0</v>
      </c>
      <c r="BG16" t="s">
        <v>202</v>
      </c>
      <c r="BH16">
        <v>1</v>
      </c>
      <c r="BI16" t="s">
        <v>203</v>
      </c>
      <c r="BJ16">
        <v>27.255700000000001</v>
      </c>
      <c r="BK16" t="s">
        <v>204</v>
      </c>
      <c r="BL16">
        <v>441.59989999999999</v>
      </c>
      <c r="BM16" s="3">
        <v>12036.135200000001</v>
      </c>
      <c r="FE16" s="1">
        <v>46309</v>
      </c>
      <c r="FF16">
        <v>0</v>
      </c>
      <c r="FG16" t="s">
        <v>200</v>
      </c>
      <c r="FH16" t="s">
        <v>213</v>
      </c>
      <c r="FI16">
        <v>110</v>
      </c>
      <c r="FJ16" t="s">
        <v>191</v>
      </c>
      <c r="FK16" t="s">
        <v>206</v>
      </c>
      <c r="FL16" t="s">
        <v>191</v>
      </c>
      <c r="FM16">
        <v>393</v>
      </c>
      <c r="FN16" t="s">
        <v>214</v>
      </c>
    </row>
    <row r="17" spans="1:170" x14ac:dyDescent="0.25">
      <c r="A17" t="s">
        <v>170</v>
      </c>
      <c r="B17">
        <v>1</v>
      </c>
      <c r="C17" t="s">
        <v>171</v>
      </c>
      <c r="F17" s="1">
        <v>46478</v>
      </c>
      <c r="G17" s="1">
        <v>47208</v>
      </c>
      <c r="I17" t="s">
        <v>172</v>
      </c>
      <c r="J17" t="s">
        <v>173</v>
      </c>
      <c r="K17" t="s">
        <v>174</v>
      </c>
      <c r="L17">
        <v>3674687</v>
      </c>
      <c r="M17" t="s">
        <v>175</v>
      </c>
      <c r="N17" t="s">
        <v>176</v>
      </c>
      <c r="P17" t="s">
        <v>177</v>
      </c>
      <c r="R17" t="s">
        <v>178</v>
      </c>
      <c r="S17" t="s">
        <v>179</v>
      </c>
      <c r="T17" t="s">
        <v>180</v>
      </c>
      <c r="U17" t="s">
        <v>181</v>
      </c>
      <c r="V17" t="s">
        <v>182</v>
      </c>
      <c r="X17" t="s">
        <v>183</v>
      </c>
      <c r="Y17" t="s">
        <v>256</v>
      </c>
      <c r="AB17" t="s">
        <v>257</v>
      </c>
      <c r="AD17" t="s">
        <v>258</v>
      </c>
      <c r="AF17" t="s">
        <v>187</v>
      </c>
      <c r="AG17" t="s">
        <v>188</v>
      </c>
      <c r="AH17" t="s">
        <v>189</v>
      </c>
      <c r="AI17">
        <v>21</v>
      </c>
      <c r="AJ17" t="s">
        <v>259</v>
      </c>
      <c r="AK17" s="4">
        <v>2200013937280</v>
      </c>
      <c r="AL17" t="s">
        <v>191</v>
      </c>
      <c r="AM17" t="s">
        <v>192</v>
      </c>
      <c r="AN17">
        <v>3</v>
      </c>
      <c r="AO17">
        <v>801</v>
      </c>
      <c r="AP17">
        <v>110</v>
      </c>
      <c r="AQ17" t="s">
        <v>194</v>
      </c>
      <c r="AR17" t="s">
        <v>195</v>
      </c>
      <c r="AS17" t="s">
        <v>196</v>
      </c>
      <c r="AT17" s="2">
        <v>0</v>
      </c>
      <c r="AV17" t="s">
        <v>197</v>
      </c>
      <c r="AW17" t="s">
        <v>198</v>
      </c>
      <c r="AX17">
        <v>393</v>
      </c>
      <c r="AY17">
        <v>0</v>
      </c>
      <c r="AZ17" t="s">
        <v>199</v>
      </c>
      <c r="BA17">
        <v>120.8121</v>
      </c>
      <c r="BB17">
        <f t="shared" si="0"/>
        <v>36.747013750000001</v>
      </c>
      <c r="BD17">
        <v>0</v>
      </c>
      <c r="BE17" t="s">
        <v>201</v>
      </c>
      <c r="BF17">
        <v>0</v>
      </c>
      <c r="BG17" t="s">
        <v>202</v>
      </c>
      <c r="BH17">
        <v>1</v>
      </c>
      <c r="BI17" t="s">
        <v>203</v>
      </c>
      <c r="BJ17">
        <v>27.3216</v>
      </c>
      <c r="BK17" t="s">
        <v>204</v>
      </c>
      <c r="BL17" s="3">
        <v>1022.9999</v>
      </c>
      <c r="BM17" s="3">
        <v>27950.022700000001</v>
      </c>
      <c r="FE17" s="1">
        <v>46309</v>
      </c>
      <c r="FF17">
        <v>0</v>
      </c>
      <c r="FG17" t="s">
        <v>200</v>
      </c>
      <c r="FH17" t="s">
        <v>205</v>
      </c>
      <c r="FI17">
        <v>110</v>
      </c>
      <c r="FJ17" t="s">
        <v>191</v>
      </c>
      <c r="FK17" t="s">
        <v>206</v>
      </c>
      <c r="FL17" t="s">
        <v>191</v>
      </c>
      <c r="FM17">
        <v>393</v>
      </c>
      <c r="FN17" t="s">
        <v>214</v>
      </c>
    </row>
    <row r="18" spans="1:170" x14ac:dyDescent="0.25">
      <c r="A18" t="s">
        <v>170</v>
      </c>
      <c r="B18">
        <v>1</v>
      </c>
      <c r="C18" t="s">
        <v>171</v>
      </c>
      <c r="F18" s="1">
        <v>46478</v>
      </c>
      <c r="G18" s="1">
        <v>47208</v>
      </c>
      <c r="I18" t="s">
        <v>172</v>
      </c>
      <c r="J18" t="s">
        <v>173</v>
      </c>
      <c r="K18" t="s">
        <v>174</v>
      </c>
      <c r="L18">
        <v>3674687</v>
      </c>
      <c r="M18" t="s">
        <v>175</v>
      </c>
      <c r="N18" t="s">
        <v>176</v>
      </c>
      <c r="P18" t="s">
        <v>177</v>
      </c>
      <c r="R18" t="s">
        <v>178</v>
      </c>
      <c r="S18" t="s">
        <v>179</v>
      </c>
      <c r="T18" t="s">
        <v>180</v>
      </c>
      <c r="U18" t="s">
        <v>181</v>
      </c>
      <c r="V18" t="s">
        <v>182</v>
      </c>
      <c r="X18" t="s">
        <v>183</v>
      </c>
      <c r="Y18" t="s">
        <v>260</v>
      </c>
      <c r="Z18" t="s">
        <v>256</v>
      </c>
      <c r="AB18" t="s">
        <v>257</v>
      </c>
      <c r="AD18" t="s">
        <v>258</v>
      </c>
      <c r="AF18" t="s">
        <v>187</v>
      </c>
      <c r="AG18" t="s">
        <v>188</v>
      </c>
      <c r="AH18" t="s">
        <v>189</v>
      </c>
      <c r="AI18">
        <v>21</v>
      </c>
      <c r="AJ18" t="s">
        <v>261</v>
      </c>
      <c r="AK18" s="4">
        <v>2200013957374</v>
      </c>
      <c r="AL18" t="s">
        <v>191</v>
      </c>
      <c r="AM18" t="s">
        <v>212</v>
      </c>
      <c r="AN18">
        <v>3</v>
      </c>
      <c r="AO18">
        <v>801</v>
      </c>
      <c r="AP18">
        <v>110</v>
      </c>
      <c r="AQ18" t="s">
        <v>194</v>
      </c>
      <c r="AR18" t="s">
        <v>195</v>
      </c>
      <c r="AS18" t="s">
        <v>196</v>
      </c>
      <c r="AT18" s="2">
        <v>0</v>
      </c>
      <c r="AV18" t="s">
        <v>197</v>
      </c>
      <c r="AW18" t="s">
        <v>198</v>
      </c>
      <c r="AX18">
        <v>393</v>
      </c>
      <c r="AY18">
        <v>0</v>
      </c>
      <c r="AZ18" t="s">
        <v>199</v>
      </c>
      <c r="BA18">
        <v>120.90470000000001</v>
      </c>
      <c r="BB18">
        <f t="shared" si="0"/>
        <v>36.775179583333333</v>
      </c>
      <c r="BD18">
        <v>0</v>
      </c>
      <c r="BE18" t="s">
        <v>201</v>
      </c>
      <c r="BF18">
        <v>0</v>
      </c>
      <c r="BG18" t="s">
        <v>202</v>
      </c>
      <c r="BH18">
        <v>1</v>
      </c>
      <c r="BI18" t="s">
        <v>203</v>
      </c>
      <c r="BJ18">
        <v>27.302600000000002</v>
      </c>
      <c r="BK18" t="s">
        <v>204</v>
      </c>
      <c r="BL18" s="3">
        <v>2151.4000999999998</v>
      </c>
      <c r="BM18" s="3">
        <v>58738.8364</v>
      </c>
      <c r="FE18" s="1">
        <v>46309</v>
      </c>
      <c r="FF18">
        <v>0</v>
      </c>
      <c r="FG18" t="s">
        <v>200</v>
      </c>
      <c r="FH18" t="s">
        <v>213</v>
      </c>
      <c r="FI18">
        <v>110</v>
      </c>
      <c r="FJ18" t="s">
        <v>191</v>
      </c>
      <c r="FK18" t="s">
        <v>206</v>
      </c>
      <c r="FL18" t="s">
        <v>191</v>
      </c>
      <c r="FM18">
        <v>393</v>
      </c>
      <c r="FN18" t="s">
        <v>214</v>
      </c>
    </row>
    <row r="19" spans="1:170" x14ac:dyDescent="0.25">
      <c r="A19" t="s">
        <v>170</v>
      </c>
      <c r="B19">
        <v>1</v>
      </c>
      <c r="C19" t="s">
        <v>171</v>
      </c>
      <c r="F19" s="1">
        <v>46478</v>
      </c>
      <c r="G19" s="1">
        <v>47208</v>
      </c>
      <c r="I19" t="s">
        <v>172</v>
      </c>
      <c r="J19" t="s">
        <v>173</v>
      </c>
      <c r="K19" t="s">
        <v>174</v>
      </c>
      <c r="L19">
        <v>3674687</v>
      </c>
      <c r="M19" t="s">
        <v>175</v>
      </c>
      <c r="N19" t="s">
        <v>176</v>
      </c>
      <c r="P19" t="s">
        <v>177</v>
      </c>
      <c r="R19" t="s">
        <v>178</v>
      </c>
      <c r="S19" t="s">
        <v>179</v>
      </c>
      <c r="T19" t="s">
        <v>180</v>
      </c>
      <c r="U19" t="s">
        <v>181</v>
      </c>
      <c r="V19" t="s">
        <v>182</v>
      </c>
      <c r="X19" t="s">
        <v>183</v>
      </c>
      <c r="Y19" t="s">
        <v>262</v>
      </c>
      <c r="Z19" t="s">
        <v>219</v>
      </c>
      <c r="AB19" t="s">
        <v>257</v>
      </c>
      <c r="AD19" t="s">
        <v>263</v>
      </c>
      <c r="AF19" t="s">
        <v>187</v>
      </c>
      <c r="AG19" t="s">
        <v>188</v>
      </c>
      <c r="AH19" t="s">
        <v>189</v>
      </c>
      <c r="AI19">
        <v>21</v>
      </c>
      <c r="AJ19" t="s">
        <v>264</v>
      </c>
      <c r="AK19" s="4">
        <v>2200013957471</v>
      </c>
      <c r="AL19" t="s">
        <v>191</v>
      </c>
      <c r="AM19" t="s">
        <v>192</v>
      </c>
      <c r="AN19">
        <v>1</v>
      </c>
      <c r="AO19">
        <v>801</v>
      </c>
      <c r="AP19">
        <v>10</v>
      </c>
      <c r="AQ19" t="s">
        <v>194</v>
      </c>
      <c r="AR19" t="s">
        <v>195</v>
      </c>
      <c r="AS19" t="s">
        <v>196</v>
      </c>
      <c r="AT19" s="2">
        <v>0</v>
      </c>
      <c r="AV19" t="s">
        <v>197</v>
      </c>
      <c r="AW19" t="s">
        <v>198</v>
      </c>
      <c r="AX19">
        <v>393</v>
      </c>
      <c r="AY19">
        <v>0</v>
      </c>
      <c r="AZ19" t="s">
        <v>199</v>
      </c>
      <c r="BA19">
        <v>113.00700000000001</v>
      </c>
      <c r="BB19">
        <f t="shared" si="0"/>
        <v>34.3729625</v>
      </c>
      <c r="BD19">
        <v>0</v>
      </c>
      <c r="BE19" t="s">
        <v>201</v>
      </c>
      <c r="BF19">
        <v>0</v>
      </c>
      <c r="BG19" t="s">
        <v>202</v>
      </c>
      <c r="BH19">
        <v>1</v>
      </c>
      <c r="BI19" t="s">
        <v>203</v>
      </c>
      <c r="BJ19">
        <v>28.6342</v>
      </c>
      <c r="BK19" t="s">
        <v>204</v>
      </c>
      <c r="BL19" s="3">
        <v>2026.2</v>
      </c>
      <c r="BM19" s="3">
        <v>58018.688099999999</v>
      </c>
      <c r="FE19" s="1">
        <v>46309</v>
      </c>
      <c r="FF19">
        <v>0</v>
      </c>
      <c r="FG19" t="s">
        <v>200</v>
      </c>
      <c r="FH19" t="s">
        <v>205</v>
      </c>
      <c r="FI19">
        <v>10</v>
      </c>
      <c r="FJ19" t="s">
        <v>191</v>
      </c>
      <c r="FK19" t="s">
        <v>206</v>
      </c>
      <c r="FL19" t="s">
        <v>191</v>
      </c>
      <c r="FM19">
        <v>393</v>
      </c>
      <c r="FN19" t="s">
        <v>265</v>
      </c>
    </row>
    <row r="20" spans="1:170" x14ac:dyDescent="0.25">
      <c r="A20" t="s">
        <v>170</v>
      </c>
      <c r="B20">
        <v>1</v>
      </c>
      <c r="C20" t="s">
        <v>171</v>
      </c>
      <c r="F20" s="1">
        <v>46478</v>
      </c>
      <c r="G20" s="1">
        <v>47208</v>
      </c>
      <c r="I20" t="s">
        <v>172</v>
      </c>
      <c r="J20" t="s">
        <v>173</v>
      </c>
      <c r="K20" t="s">
        <v>174</v>
      </c>
      <c r="L20">
        <v>3674687</v>
      </c>
      <c r="M20" t="s">
        <v>175</v>
      </c>
      <c r="N20" t="s">
        <v>176</v>
      </c>
      <c r="P20" t="s">
        <v>177</v>
      </c>
      <c r="R20" t="s">
        <v>178</v>
      </c>
      <c r="S20" t="s">
        <v>179</v>
      </c>
      <c r="T20" t="s">
        <v>180</v>
      </c>
      <c r="U20" t="s">
        <v>181</v>
      </c>
      <c r="V20" t="s">
        <v>182</v>
      </c>
      <c r="X20" t="s">
        <v>183</v>
      </c>
      <c r="Y20" t="s">
        <v>266</v>
      </c>
      <c r="Z20" t="s">
        <v>219</v>
      </c>
      <c r="AB20" t="s">
        <v>267</v>
      </c>
      <c r="AD20" t="s">
        <v>268</v>
      </c>
      <c r="AF20" t="s">
        <v>187</v>
      </c>
      <c r="AG20" t="s">
        <v>188</v>
      </c>
      <c r="AH20" t="s">
        <v>189</v>
      </c>
      <c r="AI20">
        <v>21</v>
      </c>
      <c r="AJ20" t="s">
        <v>269</v>
      </c>
      <c r="AK20" s="4">
        <v>2200013963049</v>
      </c>
      <c r="AL20" t="s">
        <v>191</v>
      </c>
      <c r="AM20" t="s">
        <v>192</v>
      </c>
      <c r="AN20">
        <v>3</v>
      </c>
      <c r="AO20">
        <v>801</v>
      </c>
      <c r="AP20">
        <v>110</v>
      </c>
      <c r="AQ20" t="s">
        <v>194</v>
      </c>
      <c r="AR20" t="s">
        <v>195</v>
      </c>
      <c r="AS20" t="s">
        <v>196</v>
      </c>
      <c r="AT20" s="2">
        <v>0</v>
      </c>
      <c r="AV20" t="s">
        <v>197</v>
      </c>
      <c r="AW20" t="s">
        <v>198</v>
      </c>
      <c r="AX20">
        <v>393</v>
      </c>
      <c r="AY20">
        <v>0</v>
      </c>
      <c r="AZ20" t="s">
        <v>199</v>
      </c>
      <c r="BA20">
        <v>120.8049</v>
      </c>
      <c r="BB20">
        <f t="shared" si="0"/>
        <v>36.744823750000002</v>
      </c>
      <c r="BD20">
        <v>0</v>
      </c>
      <c r="BE20" t="s">
        <v>201</v>
      </c>
      <c r="BF20">
        <v>0</v>
      </c>
      <c r="BG20" t="s">
        <v>202</v>
      </c>
      <c r="BH20">
        <v>1</v>
      </c>
      <c r="BI20" t="s">
        <v>203</v>
      </c>
      <c r="BJ20">
        <v>27.325500000000002</v>
      </c>
      <c r="BK20" t="s">
        <v>204</v>
      </c>
      <c r="BL20">
        <v>935.6</v>
      </c>
      <c r="BM20" s="3">
        <v>25565.757600000001</v>
      </c>
      <c r="FE20" s="1">
        <v>46309</v>
      </c>
      <c r="FF20">
        <v>0</v>
      </c>
      <c r="FG20" t="s">
        <v>200</v>
      </c>
      <c r="FH20" t="s">
        <v>205</v>
      </c>
      <c r="FI20">
        <v>110</v>
      </c>
      <c r="FJ20" t="s">
        <v>191</v>
      </c>
      <c r="FK20" t="s">
        <v>206</v>
      </c>
      <c r="FL20" t="s">
        <v>191</v>
      </c>
      <c r="FM20">
        <v>393</v>
      </c>
      <c r="FN20" t="s">
        <v>214</v>
      </c>
    </row>
    <row r="21" spans="1:170" x14ac:dyDescent="0.25">
      <c r="A21" t="s">
        <v>170</v>
      </c>
      <c r="B21">
        <v>1</v>
      </c>
      <c r="C21" t="s">
        <v>171</v>
      </c>
      <c r="F21" s="1">
        <v>46478</v>
      </c>
      <c r="G21" s="1">
        <v>47208</v>
      </c>
      <c r="I21" t="s">
        <v>172</v>
      </c>
      <c r="J21" t="s">
        <v>173</v>
      </c>
      <c r="K21" t="s">
        <v>174</v>
      </c>
      <c r="L21">
        <v>3674687</v>
      </c>
      <c r="M21" t="s">
        <v>175</v>
      </c>
      <c r="N21" t="s">
        <v>176</v>
      </c>
      <c r="P21" t="s">
        <v>177</v>
      </c>
      <c r="R21" t="s">
        <v>178</v>
      </c>
      <c r="S21" t="s">
        <v>179</v>
      </c>
      <c r="T21" t="s">
        <v>180</v>
      </c>
      <c r="U21" t="s">
        <v>181</v>
      </c>
      <c r="V21" t="s">
        <v>182</v>
      </c>
      <c r="X21" t="s">
        <v>183</v>
      </c>
      <c r="Y21" t="s">
        <v>270</v>
      </c>
      <c r="Z21" t="s">
        <v>219</v>
      </c>
      <c r="AB21" t="s">
        <v>271</v>
      </c>
      <c r="AD21" t="s">
        <v>272</v>
      </c>
      <c r="AF21" t="s">
        <v>187</v>
      </c>
      <c r="AG21" t="s">
        <v>188</v>
      </c>
      <c r="AH21" t="s">
        <v>189</v>
      </c>
      <c r="AI21">
        <v>21</v>
      </c>
      <c r="AJ21" t="s">
        <v>273</v>
      </c>
      <c r="AK21" s="4">
        <v>2200013963350</v>
      </c>
      <c r="AL21" t="s">
        <v>191</v>
      </c>
      <c r="AM21" t="s">
        <v>192</v>
      </c>
      <c r="AN21">
        <v>3</v>
      </c>
      <c r="AO21">
        <v>801</v>
      </c>
      <c r="AP21">
        <v>110</v>
      </c>
      <c r="AQ21" t="s">
        <v>194</v>
      </c>
      <c r="AR21" t="s">
        <v>195</v>
      </c>
      <c r="AS21" t="s">
        <v>196</v>
      </c>
      <c r="AT21" s="2">
        <v>0</v>
      </c>
      <c r="AV21" t="s">
        <v>197</v>
      </c>
      <c r="AW21" t="s">
        <v>198</v>
      </c>
      <c r="AX21">
        <v>393</v>
      </c>
      <c r="AY21">
        <v>0</v>
      </c>
      <c r="AZ21" t="s">
        <v>199</v>
      </c>
      <c r="BA21">
        <v>120.8022</v>
      </c>
      <c r="BB21">
        <f t="shared" si="0"/>
        <v>36.744002500000001</v>
      </c>
      <c r="BD21">
        <v>0</v>
      </c>
      <c r="BE21" t="s">
        <v>201</v>
      </c>
      <c r="BF21">
        <v>0</v>
      </c>
      <c r="BG21" t="s">
        <v>202</v>
      </c>
      <c r="BH21">
        <v>1</v>
      </c>
      <c r="BI21" t="s">
        <v>203</v>
      </c>
      <c r="BJ21">
        <v>27.327200000000001</v>
      </c>
      <c r="BK21" t="s">
        <v>204</v>
      </c>
      <c r="BL21">
        <v>903.20010000000002</v>
      </c>
      <c r="BM21" s="3">
        <v>24681.884600000001</v>
      </c>
      <c r="FE21" s="1">
        <v>46309</v>
      </c>
      <c r="FF21">
        <v>0</v>
      </c>
      <c r="FG21" t="s">
        <v>200</v>
      </c>
      <c r="FH21" t="s">
        <v>205</v>
      </c>
      <c r="FI21">
        <v>110</v>
      </c>
      <c r="FJ21" t="s">
        <v>191</v>
      </c>
      <c r="FK21" t="s">
        <v>206</v>
      </c>
      <c r="FL21" t="s">
        <v>191</v>
      </c>
      <c r="FM21">
        <v>393</v>
      </c>
      <c r="FN21" t="s">
        <v>214</v>
      </c>
    </row>
    <row r="22" spans="1:170" x14ac:dyDescent="0.25">
      <c r="A22" t="s">
        <v>170</v>
      </c>
      <c r="B22">
        <v>1</v>
      </c>
      <c r="C22" t="s">
        <v>171</v>
      </c>
      <c r="F22" s="1">
        <v>46478</v>
      </c>
      <c r="G22" s="1">
        <v>47208</v>
      </c>
      <c r="I22" t="s">
        <v>172</v>
      </c>
      <c r="J22" t="s">
        <v>173</v>
      </c>
      <c r="K22" t="s">
        <v>174</v>
      </c>
      <c r="L22">
        <v>3674687</v>
      </c>
      <c r="M22" t="s">
        <v>175</v>
      </c>
      <c r="N22" t="s">
        <v>176</v>
      </c>
      <c r="P22" t="s">
        <v>177</v>
      </c>
      <c r="R22" t="s">
        <v>178</v>
      </c>
      <c r="S22" t="s">
        <v>179</v>
      </c>
      <c r="T22" t="s">
        <v>180</v>
      </c>
      <c r="U22" t="s">
        <v>181</v>
      </c>
      <c r="V22" t="s">
        <v>182</v>
      </c>
      <c r="X22" t="s">
        <v>183</v>
      </c>
      <c r="Y22" t="s">
        <v>274</v>
      </c>
      <c r="Z22" t="s">
        <v>275</v>
      </c>
      <c r="AB22" t="s">
        <v>257</v>
      </c>
      <c r="AD22" t="s">
        <v>276</v>
      </c>
      <c r="AF22" t="s">
        <v>187</v>
      </c>
      <c r="AG22" t="s">
        <v>188</v>
      </c>
      <c r="AH22" t="s">
        <v>189</v>
      </c>
      <c r="AI22">
        <v>21</v>
      </c>
      <c r="AJ22" t="s">
        <v>277</v>
      </c>
      <c r="AK22" s="4">
        <v>2200013977088</v>
      </c>
      <c r="AL22" t="s">
        <v>191</v>
      </c>
      <c r="AM22" t="s">
        <v>212</v>
      </c>
      <c r="AN22">
        <v>3</v>
      </c>
      <c r="AO22">
        <v>801</v>
      </c>
      <c r="AP22">
        <v>110</v>
      </c>
      <c r="AQ22" t="s">
        <v>194</v>
      </c>
      <c r="AR22" t="s">
        <v>195</v>
      </c>
      <c r="AS22" t="s">
        <v>196</v>
      </c>
      <c r="AT22" s="2">
        <v>0</v>
      </c>
      <c r="AV22" t="s">
        <v>197</v>
      </c>
      <c r="AW22" t="s">
        <v>198</v>
      </c>
      <c r="AX22">
        <v>393</v>
      </c>
      <c r="AY22">
        <v>0</v>
      </c>
      <c r="AZ22" t="s">
        <v>199</v>
      </c>
      <c r="BA22">
        <v>120.8689</v>
      </c>
      <c r="BB22">
        <f t="shared" si="0"/>
        <v>36.764290416666661</v>
      </c>
      <c r="BD22">
        <v>0</v>
      </c>
      <c r="BE22" t="s">
        <v>201</v>
      </c>
      <c r="BF22">
        <v>0</v>
      </c>
      <c r="BG22" t="s">
        <v>202</v>
      </c>
      <c r="BH22">
        <v>1</v>
      </c>
      <c r="BI22" t="s">
        <v>203</v>
      </c>
      <c r="BJ22">
        <v>27.255700000000001</v>
      </c>
      <c r="BK22" t="s">
        <v>204</v>
      </c>
      <c r="BL22">
        <v>643.20000000000005</v>
      </c>
      <c r="BM22" s="3">
        <v>17530.893700000001</v>
      </c>
      <c r="FE22" s="1">
        <v>46309</v>
      </c>
      <c r="FF22">
        <v>0</v>
      </c>
      <c r="FG22" t="s">
        <v>200</v>
      </c>
      <c r="FH22" t="s">
        <v>213</v>
      </c>
      <c r="FI22">
        <v>110</v>
      </c>
      <c r="FJ22" t="s">
        <v>191</v>
      </c>
      <c r="FK22" t="s">
        <v>206</v>
      </c>
      <c r="FL22" t="s">
        <v>191</v>
      </c>
      <c r="FM22">
        <v>393</v>
      </c>
      <c r="FN22" t="s">
        <v>214</v>
      </c>
    </row>
    <row r="23" spans="1:170" x14ac:dyDescent="0.25">
      <c r="A23" t="s">
        <v>170</v>
      </c>
      <c r="B23">
        <v>1</v>
      </c>
      <c r="C23" t="s">
        <v>171</v>
      </c>
      <c r="F23" s="1">
        <v>46478</v>
      </c>
      <c r="G23" s="1">
        <v>47208</v>
      </c>
      <c r="I23" t="s">
        <v>172</v>
      </c>
      <c r="J23" t="s">
        <v>173</v>
      </c>
      <c r="K23" t="s">
        <v>174</v>
      </c>
      <c r="L23">
        <v>3674687</v>
      </c>
      <c r="M23" t="s">
        <v>175</v>
      </c>
      <c r="N23" t="s">
        <v>176</v>
      </c>
      <c r="P23" t="s">
        <v>177</v>
      </c>
      <c r="R23" t="s">
        <v>178</v>
      </c>
      <c r="S23" t="s">
        <v>179</v>
      </c>
      <c r="T23" t="s">
        <v>180</v>
      </c>
      <c r="U23" t="s">
        <v>181</v>
      </c>
      <c r="V23" t="s">
        <v>182</v>
      </c>
      <c r="X23" t="s">
        <v>183</v>
      </c>
      <c r="Y23" t="s">
        <v>278</v>
      </c>
      <c r="Z23" t="s">
        <v>279</v>
      </c>
      <c r="AB23" t="s">
        <v>257</v>
      </c>
      <c r="AD23" t="s">
        <v>276</v>
      </c>
      <c r="AF23" t="s">
        <v>187</v>
      </c>
      <c r="AG23" t="s">
        <v>188</v>
      </c>
      <c r="AH23" t="s">
        <v>189</v>
      </c>
      <c r="AI23">
        <v>21</v>
      </c>
      <c r="AJ23" t="s">
        <v>280</v>
      </c>
      <c r="AK23" s="4">
        <v>2200013977237</v>
      </c>
      <c r="AL23" t="s">
        <v>191</v>
      </c>
      <c r="AM23" t="s">
        <v>192</v>
      </c>
      <c r="AN23">
        <v>3</v>
      </c>
      <c r="AO23">
        <v>801</v>
      </c>
      <c r="AP23">
        <v>110</v>
      </c>
      <c r="AQ23" t="s">
        <v>194</v>
      </c>
      <c r="AR23" t="s">
        <v>195</v>
      </c>
      <c r="AS23" t="s">
        <v>196</v>
      </c>
      <c r="AT23" s="2">
        <v>0</v>
      </c>
      <c r="AV23" t="s">
        <v>197</v>
      </c>
      <c r="AW23" t="s">
        <v>198</v>
      </c>
      <c r="AX23">
        <v>393</v>
      </c>
      <c r="AY23">
        <v>0</v>
      </c>
      <c r="AZ23" t="s">
        <v>199</v>
      </c>
      <c r="BA23">
        <v>120.8503</v>
      </c>
      <c r="BB23">
        <f t="shared" si="0"/>
        <v>36.758632916666663</v>
      </c>
      <c r="BD23">
        <v>0</v>
      </c>
      <c r="BE23" t="s">
        <v>201</v>
      </c>
      <c r="BF23">
        <v>0</v>
      </c>
      <c r="BG23" t="s">
        <v>202</v>
      </c>
      <c r="BH23">
        <v>1</v>
      </c>
      <c r="BI23" t="s">
        <v>203</v>
      </c>
      <c r="BJ23">
        <v>27.308599999999998</v>
      </c>
      <c r="BK23" t="s">
        <v>204</v>
      </c>
      <c r="BL23" s="3">
        <v>1488.8</v>
      </c>
      <c r="BM23" s="3">
        <v>40657.026899999997</v>
      </c>
      <c r="FE23" s="1">
        <v>46309</v>
      </c>
      <c r="FF23">
        <v>0</v>
      </c>
      <c r="FG23" t="s">
        <v>200</v>
      </c>
      <c r="FH23" t="s">
        <v>205</v>
      </c>
      <c r="FI23">
        <v>110</v>
      </c>
      <c r="FJ23" t="s">
        <v>191</v>
      </c>
      <c r="FK23" t="s">
        <v>206</v>
      </c>
      <c r="FL23" t="s">
        <v>191</v>
      </c>
      <c r="FM23">
        <v>393</v>
      </c>
      <c r="FN23" t="s">
        <v>214</v>
      </c>
    </row>
    <row r="24" spans="1:170" x14ac:dyDescent="0.25">
      <c r="A24" t="s">
        <v>170</v>
      </c>
      <c r="B24">
        <v>1</v>
      </c>
      <c r="C24" t="s">
        <v>171</v>
      </c>
      <c r="F24" s="1">
        <v>46478</v>
      </c>
      <c r="G24" s="1">
        <v>47208</v>
      </c>
      <c r="I24" t="s">
        <v>172</v>
      </c>
      <c r="J24" t="s">
        <v>173</v>
      </c>
      <c r="K24" t="s">
        <v>174</v>
      </c>
      <c r="L24">
        <v>3674687</v>
      </c>
      <c r="M24" t="s">
        <v>175</v>
      </c>
      <c r="N24" t="s">
        <v>176</v>
      </c>
      <c r="P24" t="s">
        <v>177</v>
      </c>
      <c r="R24" t="s">
        <v>178</v>
      </c>
      <c r="S24" t="s">
        <v>179</v>
      </c>
      <c r="T24" t="s">
        <v>180</v>
      </c>
      <c r="U24" t="s">
        <v>181</v>
      </c>
      <c r="V24" t="s">
        <v>182</v>
      </c>
      <c r="X24" t="s">
        <v>183</v>
      </c>
      <c r="Y24" t="s">
        <v>281</v>
      </c>
      <c r="Z24" t="s">
        <v>282</v>
      </c>
      <c r="AB24" t="s">
        <v>257</v>
      </c>
      <c r="AD24" t="s">
        <v>276</v>
      </c>
      <c r="AF24" t="s">
        <v>187</v>
      </c>
      <c r="AG24" t="s">
        <v>188</v>
      </c>
      <c r="AH24" t="s">
        <v>189</v>
      </c>
      <c r="AI24">
        <v>21</v>
      </c>
      <c r="AJ24" t="s">
        <v>283</v>
      </c>
      <c r="AK24" s="4">
        <v>2200013977264</v>
      </c>
      <c r="AL24" t="s">
        <v>191</v>
      </c>
      <c r="AM24" t="s">
        <v>192</v>
      </c>
      <c r="AN24">
        <v>3</v>
      </c>
      <c r="AO24">
        <v>801</v>
      </c>
      <c r="AP24">
        <v>110</v>
      </c>
      <c r="AQ24" t="s">
        <v>194</v>
      </c>
      <c r="AR24" t="s">
        <v>195</v>
      </c>
      <c r="AS24" t="s">
        <v>196</v>
      </c>
      <c r="AT24" s="2">
        <v>0</v>
      </c>
      <c r="AV24" t="s">
        <v>197</v>
      </c>
      <c r="AW24" t="s">
        <v>198</v>
      </c>
      <c r="AX24">
        <v>393</v>
      </c>
      <c r="AY24">
        <v>0</v>
      </c>
      <c r="AZ24" t="s">
        <v>199</v>
      </c>
      <c r="BA24">
        <v>120.8548</v>
      </c>
      <c r="BB24">
        <f t="shared" si="0"/>
        <v>36.760001666666668</v>
      </c>
      <c r="BD24">
        <v>0</v>
      </c>
      <c r="BE24" t="s">
        <v>201</v>
      </c>
      <c r="BF24">
        <v>0</v>
      </c>
      <c r="BG24" t="s">
        <v>202</v>
      </c>
      <c r="BH24">
        <v>1</v>
      </c>
      <c r="BI24" t="s">
        <v>203</v>
      </c>
      <c r="BJ24">
        <v>27.255700000000001</v>
      </c>
      <c r="BK24" t="s">
        <v>204</v>
      </c>
      <c r="BL24">
        <v>593.6</v>
      </c>
      <c r="BM24" s="3">
        <v>16179.008400000001</v>
      </c>
      <c r="FE24" s="1">
        <v>46309</v>
      </c>
      <c r="FF24">
        <v>0</v>
      </c>
      <c r="FG24" t="s">
        <v>200</v>
      </c>
      <c r="FH24" t="s">
        <v>205</v>
      </c>
      <c r="FI24">
        <v>110</v>
      </c>
      <c r="FJ24" t="s">
        <v>191</v>
      </c>
      <c r="FK24" t="s">
        <v>206</v>
      </c>
      <c r="FL24" t="s">
        <v>191</v>
      </c>
      <c r="FM24">
        <v>393</v>
      </c>
      <c r="FN24" t="s">
        <v>214</v>
      </c>
    </row>
    <row r="25" spans="1:170" x14ac:dyDescent="0.25">
      <c r="A25" t="s">
        <v>170</v>
      </c>
      <c r="B25">
        <v>1</v>
      </c>
      <c r="C25" t="s">
        <v>171</v>
      </c>
      <c r="F25" s="1">
        <v>46478</v>
      </c>
      <c r="G25" s="1">
        <v>47208</v>
      </c>
      <c r="I25" t="s">
        <v>172</v>
      </c>
      <c r="J25" t="s">
        <v>173</v>
      </c>
      <c r="K25" t="s">
        <v>174</v>
      </c>
      <c r="L25">
        <v>3674687</v>
      </c>
      <c r="M25" t="s">
        <v>175</v>
      </c>
      <c r="N25" t="s">
        <v>176</v>
      </c>
      <c r="P25" t="s">
        <v>177</v>
      </c>
      <c r="R25" t="s">
        <v>178</v>
      </c>
      <c r="S25" t="s">
        <v>179</v>
      </c>
      <c r="T25" t="s">
        <v>180</v>
      </c>
      <c r="U25" t="s">
        <v>181</v>
      </c>
      <c r="V25" t="s">
        <v>182</v>
      </c>
      <c r="X25" t="s">
        <v>183</v>
      </c>
      <c r="Y25" t="s">
        <v>284</v>
      </c>
      <c r="Z25" t="s">
        <v>282</v>
      </c>
      <c r="AB25" t="s">
        <v>257</v>
      </c>
      <c r="AD25" t="s">
        <v>276</v>
      </c>
      <c r="AF25" t="s">
        <v>187</v>
      </c>
      <c r="AG25" t="s">
        <v>188</v>
      </c>
      <c r="AH25" t="s">
        <v>189</v>
      </c>
      <c r="AI25">
        <v>21</v>
      </c>
      <c r="AJ25" t="s">
        <v>285</v>
      </c>
      <c r="AK25" s="4">
        <v>2200013977352</v>
      </c>
      <c r="AL25" t="s">
        <v>191</v>
      </c>
      <c r="AM25" t="s">
        <v>192</v>
      </c>
      <c r="AN25">
        <v>3</v>
      </c>
      <c r="AO25">
        <v>801</v>
      </c>
      <c r="AP25">
        <v>110</v>
      </c>
      <c r="AQ25" t="s">
        <v>194</v>
      </c>
      <c r="AR25" t="s">
        <v>195</v>
      </c>
      <c r="AS25" t="s">
        <v>196</v>
      </c>
      <c r="AT25" s="2">
        <v>0</v>
      </c>
      <c r="AV25" t="s">
        <v>197</v>
      </c>
      <c r="AW25" t="s">
        <v>198</v>
      </c>
      <c r="AX25">
        <v>393</v>
      </c>
      <c r="AY25">
        <v>0</v>
      </c>
      <c r="AZ25" t="s">
        <v>199</v>
      </c>
      <c r="BA25">
        <v>120.85120000000001</v>
      </c>
      <c r="BB25">
        <f t="shared" si="0"/>
        <v>36.758906666666668</v>
      </c>
      <c r="BD25">
        <v>0</v>
      </c>
      <c r="BE25" t="s">
        <v>201</v>
      </c>
      <c r="BF25">
        <v>0</v>
      </c>
      <c r="BG25" t="s">
        <v>202</v>
      </c>
      <c r="BH25">
        <v>1</v>
      </c>
      <c r="BI25" t="s">
        <v>203</v>
      </c>
      <c r="BJ25">
        <v>27.255700000000001</v>
      </c>
      <c r="BK25" t="s">
        <v>204</v>
      </c>
      <c r="BL25">
        <v>562.6</v>
      </c>
      <c r="BM25" s="3">
        <v>15334.0803</v>
      </c>
      <c r="FE25" s="1">
        <v>46309</v>
      </c>
      <c r="FF25">
        <v>0</v>
      </c>
      <c r="FG25" t="s">
        <v>200</v>
      </c>
      <c r="FH25" t="s">
        <v>205</v>
      </c>
      <c r="FI25">
        <v>110</v>
      </c>
      <c r="FJ25" t="s">
        <v>191</v>
      </c>
      <c r="FK25" t="s">
        <v>206</v>
      </c>
      <c r="FL25" t="s">
        <v>191</v>
      </c>
      <c r="FM25">
        <v>393</v>
      </c>
      <c r="FN25" t="s">
        <v>214</v>
      </c>
    </row>
    <row r="26" spans="1:170" x14ac:dyDescent="0.25">
      <c r="A26" t="s">
        <v>170</v>
      </c>
      <c r="B26">
        <v>1</v>
      </c>
      <c r="C26" t="s">
        <v>171</v>
      </c>
      <c r="F26" s="1">
        <v>46478</v>
      </c>
      <c r="G26" s="1">
        <v>47208</v>
      </c>
      <c r="I26" t="s">
        <v>172</v>
      </c>
      <c r="J26" t="s">
        <v>173</v>
      </c>
      <c r="K26" t="s">
        <v>174</v>
      </c>
      <c r="L26">
        <v>3674687</v>
      </c>
      <c r="M26" t="s">
        <v>175</v>
      </c>
      <c r="N26" t="s">
        <v>176</v>
      </c>
      <c r="P26" t="s">
        <v>177</v>
      </c>
      <c r="R26" t="s">
        <v>178</v>
      </c>
      <c r="S26" t="s">
        <v>179</v>
      </c>
      <c r="T26" t="s">
        <v>180</v>
      </c>
      <c r="U26" t="s">
        <v>181</v>
      </c>
      <c r="V26" t="s">
        <v>182</v>
      </c>
      <c r="X26" t="s">
        <v>183</v>
      </c>
      <c r="Y26" t="s">
        <v>286</v>
      </c>
      <c r="Z26" t="s">
        <v>282</v>
      </c>
      <c r="AB26" t="s">
        <v>257</v>
      </c>
      <c r="AD26" t="s">
        <v>276</v>
      </c>
      <c r="AF26" t="s">
        <v>187</v>
      </c>
      <c r="AG26" t="s">
        <v>188</v>
      </c>
      <c r="AH26" t="s">
        <v>189</v>
      </c>
      <c r="AI26">
        <v>21</v>
      </c>
      <c r="AJ26" t="s">
        <v>287</v>
      </c>
      <c r="AK26" s="4">
        <v>2200013977469</v>
      </c>
      <c r="AL26" t="s">
        <v>191</v>
      </c>
      <c r="AM26" t="s">
        <v>192</v>
      </c>
      <c r="AN26">
        <v>3</v>
      </c>
      <c r="AO26">
        <v>801</v>
      </c>
      <c r="AP26">
        <v>110</v>
      </c>
      <c r="AQ26" t="s">
        <v>194</v>
      </c>
      <c r="AR26" t="s">
        <v>195</v>
      </c>
      <c r="AS26" t="s">
        <v>196</v>
      </c>
      <c r="AT26" s="2">
        <v>0</v>
      </c>
      <c r="AV26" t="s">
        <v>197</v>
      </c>
      <c r="AW26" t="s">
        <v>198</v>
      </c>
      <c r="AX26">
        <v>393</v>
      </c>
      <c r="AY26">
        <v>0</v>
      </c>
      <c r="AZ26" t="s">
        <v>199</v>
      </c>
      <c r="BA26">
        <v>120.7958</v>
      </c>
      <c r="BB26">
        <f t="shared" si="0"/>
        <v>36.742055833333332</v>
      </c>
      <c r="BD26">
        <v>0</v>
      </c>
      <c r="BE26" t="s">
        <v>201</v>
      </c>
      <c r="BF26">
        <v>0</v>
      </c>
      <c r="BG26" t="s">
        <v>202</v>
      </c>
      <c r="BH26">
        <v>1</v>
      </c>
      <c r="BI26" t="s">
        <v>203</v>
      </c>
      <c r="BJ26">
        <v>27.331600000000002</v>
      </c>
      <c r="BK26" t="s">
        <v>204</v>
      </c>
      <c r="BL26">
        <v>824.8</v>
      </c>
      <c r="BM26" s="3">
        <v>22543.1371</v>
      </c>
      <c r="FE26" s="1">
        <v>46309</v>
      </c>
      <c r="FF26">
        <v>0</v>
      </c>
      <c r="FG26" t="s">
        <v>200</v>
      </c>
      <c r="FH26" t="s">
        <v>205</v>
      </c>
      <c r="FI26">
        <v>110</v>
      </c>
      <c r="FJ26" t="s">
        <v>191</v>
      </c>
      <c r="FK26" t="s">
        <v>206</v>
      </c>
      <c r="FL26" t="s">
        <v>191</v>
      </c>
      <c r="FM26">
        <v>393</v>
      </c>
      <c r="FN26" t="s">
        <v>214</v>
      </c>
    </row>
    <row r="27" spans="1:170" x14ac:dyDescent="0.25">
      <c r="A27" t="s">
        <v>170</v>
      </c>
      <c r="B27">
        <v>1</v>
      </c>
      <c r="C27" t="s">
        <v>171</v>
      </c>
      <c r="F27" s="1">
        <v>46478</v>
      </c>
      <c r="G27" s="1">
        <v>47208</v>
      </c>
      <c r="I27" t="s">
        <v>172</v>
      </c>
      <c r="J27" t="s">
        <v>173</v>
      </c>
      <c r="K27" t="s">
        <v>174</v>
      </c>
      <c r="L27">
        <v>3674687</v>
      </c>
      <c r="M27" t="s">
        <v>175</v>
      </c>
      <c r="N27" t="s">
        <v>176</v>
      </c>
      <c r="P27" t="s">
        <v>177</v>
      </c>
      <c r="R27" t="s">
        <v>178</v>
      </c>
      <c r="S27" t="s">
        <v>179</v>
      </c>
      <c r="T27" t="s">
        <v>180</v>
      </c>
      <c r="U27" t="s">
        <v>181</v>
      </c>
      <c r="V27" t="s">
        <v>182</v>
      </c>
      <c r="X27" t="s">
        <v>183</v>
      </c>
      <c r="Y27" t="s">
        <v>288</v>
      </c>
      <c r="Z27" t="s">
        <v>219</v>
      </c>
      <c r="AB27" t="s">
        <v>176</v>
      </c>
      <c r="AD27" t="s">
        <v>289</v>
      </c>
      <c r="AF27" t="s">
        <v>187</v>
      </c>
      <c r="AG27" t="s">
        <v>188</v>
      </c>
      <c r="AH27" t="s">
        <v>189</v>
      </c>
      <c r="AI27">
        <v>21</v>
      </c>
      <c r="AJ27" t="s">
        <v>290</v>
      </c>
      <c r="AK27" s="4">
        <v>2200013994464</v>
      </c>
      <c r="AL27" t="s">
        <v>191</v>
      </c>
      <c r="AM27" t="s">
        <v>212</v>
      </c>
      <c r="AN27">
        <v>3</v>
      </c>
      <c r="AO27">
        <v>801</v>
      </c>
      <c r="AP27" t="s">
        <v>193</v>
      </c>
      <c r="AQ27" t="s">
        <v>194</v>
      </c>
      <c r="AR27" t="s">
        <v>195</v>
      </c>
      <c r="AS27" t="s">
        <v>196</v>
      </c>
      <c r="AT27" s="2">
        <v>0</v>
      </c>
      <c r="AV27" t="s">
        <v>197</v>
      </c>
      <c r="AW27" t="s">
        <v>198</v>
      </c>
      <c r="AX27">
        <v>393</v>
      </c>
      <c r="AY27">
        <v>0</v>
      </c>
      <c r="AZ27" t="s">
        <v>199</v>
      </c>
      <c r="BA27">
        <v>186.8151</v>
      </c>
      <c r="BB27">
        <f t="shared" si="0"/>
        <v>56.822926249999995</v>
      </c>
      <c r="BD27">
        <v>0</v>
      </c>
      <c r="BE27" t="s">
        <v>201</v>
      </c>
      <c r="BF27">
        <v>0</v>
      </c>
      <c r="BG27" t="s">
        <v>202</v>
      </c>
      <c r="BH27">
        <v>1</v>
      </c>
      <c r="BI27" t="s">
        <v>203</v>
      </c>
      <c r="BJ27">
        <v>27.285900000000002</v>
      </c>
      <c r="BK27" t="s">
        <v>204</v>
      </c>
      <c r="BL27" s="3">
        <v>15219.7999</v>
      </c>
      <c r="BM27" s="3">
        <v>415286.15220000001</v>
      </c>
      <c r="FE27" s="1">
        <v>46309</v>
      </c>
      <c r="FF27">
        <v>0</v>
      </c>
      <c r="FG27" t="s">
        <v>200</v>
      </c>
      <c r="FH27" t="s">
        <v>213</v>
      </c>
      <c r="FI27" t="s">
        <v>193</v>
      </c>
      <c r="FJ27" t="s">
        <v>191</v>
      </c>
      <c r="FK27" t="s">
        <v>206</v>
      </c>
      <c r="FL27" t="s">
        <v>191</v>
      </c>
      <c r="FM27">
        <v>393</v>
      </c>
      <c r="FN27" t="s">
        <v>207</v>
      </c>
    </row>
    <row r="28" spans="1:170" x14ac:dyDescent="0.25">
      <c r="A28" t="s">
        <v>170</v>
      </c>
      <c r="B28">
        <v>1</v>
      </c>
      <c r="C28" t="s">
        <v>171</v>
      </c>
      <c r="F28" s="1">
        <v>46478</v>
      </c>
      <c r="G28" s="1">
        <v>47208</v>
      </c>
      <c r="I28" t="s">
        <v>172</v>
      </c>
      <c r="J28" t="s">
        <v>173</v>
      </c>
      <c r="K28" t="s">
        <v>174</v>
      </c>
      <c r="L28">
        <v>3674687</v>
      </c>
      <c r="M28" t="s">
        <v>175</v>
      </c>
      <c r="N28" t="s">
        <v>176</v>
      </c>
      <c r="P28" t="s">
        <v>177</v>
      </c>
      <c r="R28" t="s">
        <v>178</v>
      </c>
      <c r="S28" t="s">
        <v>179</v>
      </c>
      <c r="T28" t="s">
        <v>180</v>
      </c>
      <c r="U28" t="s">
        <v>181</v>
      </c>
      <c r="V28" t="s">
        <v>182</v>
      </c>
      <c r="X28" t="s">
        <v>183</v>
      </c>
      <c r="Y28" t="s">
        <v>291</v>
      </c>
      <c r="Z28" t="s">
        <v>219</v>
      </c>
      <c r="AB28" t="s">
        <v>292</v>
      </c>
      <c r="AD28" t="s">
        <v>293</v>
      </c>
      <c r="AF28" t="s">
        <v>187</v>
      </c>
      <c r="AG28" t="s">
        <v>188</v>
      </c>
      <c r="AH28" t="s">
        <v>189</v>
      </c>
      <c r="AI28">
        <v>21</v>
      </c>
      <c r="AJ28" t="s">
        <v>294</v>
      </c>
      <c r="AK28" s="4">
        <v>2200014020944</v>
      </c>
      <c r="AL28" t="s">
        <v>191</v>
      </c>
      <c r="AM28" t="s">
        <v>192</v>
      </c>
      <c r="AN28">
        <v>3</v>
      </c>
      <c r="AO28">
        <v>801</v>
      </c>
      <c r="AP28">
        <v>110</v>
      </c>
      <c r="AQ28" t="s">
        <v>194</v>
      </c>
      <c r="AR28" t="s">
        <v>195</v>
      </c>
      <c r="AS28" t="s">
        <v>196</v>
      </c>
      <c r="AT28" s="2">
        <v>0</v>
      </c>
      <c r="AV28" t="s">
        <v>197</v>
      </c>
      <c r="AW28" t="s">
        <v>198</v>
      </c>
      <c r="AX28">
        <v>393</v>
      </c>
      <c r="AY28">
        <v>0</v>
      </c>
      <c r="AZ28" t="s">
        <v>199</v>
      </c>
      <c r="BA28">
        <v>120.8515</v>
      </c>
      <c r="BB28">
        <f t="shared" si="0"/>
        <v>36.758997916666665</v>
      </c>
      <c r="BD28">
        <v>0</v>
      </c>
      <c r="BE28" t="s">
        <v>201</v>
      </c>
      <c r="BF28">
        <v>0</v>
      </c>
      <c r="BG28" t="s">
        <v>202</v>
      </c>
      <c r="BH28">
        <v>1</v>
      </c>
      <c r="BI28" t="s">
        <v>203</v>
      </c>
      <c r="BJ28">
        <v>27.308299999999999</v>
      </c>
      <c r="BK28" t="s">
        <v>204</v>
      </c>
      <c r="BL28" s="3">
        <v>1503.4</v>
      </c>
      <c r="BM28" s="3">
        <v>41055.318599999999</v>
      </c>
      <c r="FE28" s="1">
        <v>46309</v>
      </c>
      <c r="FF28">
        <v>0</v>
      </c>
      <c r="FG28" t="s">
        <v>200</v>
      </c>
      <c r="FH28" t="s">
        <v>213</v>
      </c>
      <c r="FI28">
        <v>110</v>
      </c>
      <c r="FJ28" t="s">
        <v>191</v>
      </c>
      <c r="FK28" t="s">
        <v>206</v>
      </c>
      <c r="FL28" t="s">
        <v>191</v>
      </c>
      <c r="FM28">
        <v>393</v>
      </c>
      <c r="FN28" t="s">
        <v>214</v>
      </c>
    </row>
    <row r="29" spans="1:170" x14ac:dyDescent="0.25">
      <c r="A29" t="s">
        <v>170</v>
      </c>
      <c r="B29">
        <v>1</v>
      </c>
      <c r="C29" t="s">
        <v>171</v>
      </c>
      <c r="F29" s="1">
        <v>46478</v>
      </c>
      <c r="G29" s="1">
        <v>47208</v>
      </c>
      <c r="I29" t="s">
        <v>172</v>
      </c>
      <c r="J29" t="s">
        <v>173</v>
      </c>
      <c r="K29" t="s">
        <v>174</v>
      </c>
      <c r="L29">
        <v>3674687</v>
      </c>
      <c r="M29" t="s">
        <v>175</v>
      </c>
      <c r="N29" t="s">
        <v>176</v>
      </c>
      <c r="P29" t="s">
        <v>177</v>
      </c>
      <c r="R29" t="s">
        <v>178</v>
      </c>
      <c r="S29" t="s">
        <v>179</v>
      </c>
      <c r="T29" t="s">
        <v>180</v>
      </c>
      <c r="U29" t="s">
        <v>181</v>
      </c>
      <c r="V29" t="s">
        <v>182</v>
      </c>
      <c r="X29" t="s">
        <v>183</v>
      </c>
      <c r="Y29" t="s">
        <v>295</v>
      </c>
      <c r="AB29" t="s">
        <v>176</v>
      </c>
      <c r="AD29" t="s">
        <v>296</v>
      </c>
      <c r="AF29" t="s">
        <v>187</v>
      </c>
      <c r="AG29" t="s">
        <v>188</v>
      </c>
      <c r="AH29" t="s">
        <v>189</v>
      </c>
      <c r="AI29">
        <v>21</v>
      </c>
      <c r="AJ29" t="s">
        <v>297</v>
      </c>
      <c r="AK29" s="4">
        <v>2200014024902</v>
      </c>
      <c r="AL29" t="s">
        <v>191</v>
      </c>
      <c r="AM29" t="s">
        <v>192</v>
      </c>
      <c r="AN29">
        <v>2</v>
      </c>
      <c r="AO29">
        <v>807</v>
      </c>
      <c r="AP29">
        <v>30</v>
      </c>
      <c r="AQ29" t="s">
        <v>194</v>
      </c>
      <c r="AR29" t="s">
        <v>195</v>
      </c>
      <c r="AS29" t="s">
        <v>196</v>
      </c>
      <c r="AT29" s="2">
        <v>0</v>
      </c>
      <c r="AV29" t="s">
        <v>197</v>
      </c>
      <c r="AW29" t="s">
        <v>198</v>
      </c>
      <c r="AX29">
        <v>244</v>
      </c>
      <c r="AY29">
        <v>0</v>
      </c>
      <c r="AZ29" t="s">
        <v>199</v>
      </c>
      <c r="BA29">
        <v>114.05500000000001</v>
      </c>
      <c r="BB29">
        <f t="shared" si="0"/>
        <v>34.691729166666669</v>
      </c>
      <c r="BD29">
        <v>0</v>
      </c>
      <c r="BE29" t="s">
        <v>201</v>
      </c>
      <c r="BF29">
        <v>0</v>
      </c>
      <c r="BG29" t="s">
        <v>202</v>
      </c>
      <c r="BH29">
        <v>2</v>
      </c>
      <c r="BI29" t="s">
        <v>241</v>
      </c>
      <c r="BJ29">
        <v>30.163699999999999</v>
      </c>
      <c r="BK29" t="s">
        <v>204</v>
      </c>
      <c r="BL29" s="3">
        <v>8124.0222000000003</v>
      </c>
      <c r="BM29" s="3">
        <v>245050.4356</v>
      </c>
      <c r="BN29" t="s">
        <v>242</v>
      </c>
      <c r="BO29">
        <v>21.153400000000001</v>
      </c>
      <c r="BP29" t="s">
        <v>204</v>
      </c>
      <c r="BQ29" s="3">
        <v>6670.1778000000004</v>
      </c>
      <c r="BR29" s="3">
        <v>141096.9915</v>
      </c>
      <c r="FE29" s="1">
        <v>46309</v>
      </c>
      <c r="FF29">
        <v>0</v>
      </c>
      <c r="FG29" t="s">
        <v>200</v>
      </c>
      <c r="FH29" t="s">
        <v>205</v>
      </c>
      <c r="FI29">
        <v>30</v>
      </c>
      <c r="FJ29" t="s">
        <v>191</v>
      </c>
      <c r="FK29" t="s">
        <v>206</v>
      </c>
      <c r="FL29" t="s">
        <v>191</v>
      </c>
      <c r="FM29">
        <v>244</v>
      </c>
      <c r="FN29" t="s">
        <v>265</v>
      </c>
    </row>
    <row r="30" spans="1:170" x14ac:dyDescent="0.25">
      <c r="A30" t="s">
        <v>170</v>
      </c>
      <c r="B30">
        <v>1</v>
      </c>
      <c r="C30" t="s">
        <v>171</v>
      </c>
      <c r="F30" s="1">
        <v>46478</v>
      </c>
      <c r="G30" s="1">
        <v>47208</v>
      </c>
      <c r="I30" t="s">
        <v>172</v>
      </c>
      <c r="J30" t="s">
        <v>173</v>
      </c>
      <c r="K30" t="s">
        <v>174</v>
      </c>
      <c r="L30">
        <v>3674687</v>
      </c>
      <c r="M30" t="s">
        <v>175</v>
      </c>
      <c r="N30" t="s">
        <v>176</v>
      </c>
      <c r="P30" t="s">
        <v>177</v>
      </c>
      <c r="R30" t="s">
        <v>178</v>
      </c>
      <c r="S30" t="s">
        <v>179</v>
      </c>
      <c r="T30" t="s">
        <v>180</v>
      </c>
      <c r="U30" t="s">
        <v>181</v>
      </c>
      <c r="V30" t="s">
        <v>182</v>
      </c>
      <c r="X30" t="s">
        <v>183</v>
      </c>
      <c r="Y30" t="s">
        <v>298</v>
      </c>
      <c r="Z30" t="s">
        <v>219</v>
      </c>
      <c r="AB30" t="s">
        <v>257</v>
      </c>
      <c r="AD30" t="s">
        <v>299</v>
      </c>
      <c r="AF30" t="s">
        <v>187</v>
      </c>
      <c r="AG30" t="s">
        <v>188</v>
      </c>
      <c r="AH30" t="s">
        <v>189</v>
      </c>
      <c r="AI30">
        <v>21</v>
      </c>
      <c r="AJ30" t="s">
        <v>300</v>
      </c>
      <c r="AK30" s="4">
        <v>2200014037822</v>
      </c>
      <c r="AL30" t="s">
        <v>191</v>
      </c>
      <c r="AM30" t="s">
        <v>192</v>
      </c>
      <c r="AN30">
        <v>1</v>
      </c>
      <c r="AO30">
        <v>801</v>
      </c>
      <c r="AP30">
        <v>10</v>
      </c>
      <c r="AQ30" t="s">
        <v>194</v>
      </c>
      <c r="AR30" t="s">
        <v>195</v>
      </c>
      <c r="AS30" t="s">
        <v>196</v>
      </c>
      <c r="AT30" s="2">
        <v>0</v>
      </c>
      <c r="AV30" t="s">
        <v>197</v>
      </c>
      <c r="AW30" t="s">
        <v>198</v>
      </c>
      <c r="AX30">
        <v>393</v>
      </c>
      <c r="AY30">
        <v>0</v>
      </c>
      <c r="AZ30" t="s">
        <v>199</v>
      </c>
      <c r="BA30">
        <v>113.7462</v>
      </c>
      <c r="BB30">
        <f t="shared" si="0"/>
        <v>34.5978025</v>
      </c>
      <c r="BD30">
        <v>0</v>
      </c>
      <c r="BE30" t="s">
        <v>201</v>
      </c>
      <c r="BF30">
        <v>0</v>
      </c>
      <c r="BG30" t="s">
        <v>202</v>
      </c>
      <c r="BH30">
        <v>1</v>
      </c>
      <c r="BI30" t="s">
        <v>203</v>
      </c>
      <c r="BJ30">
        <v>28.6191</v>
      </c>
      <c r="BK30" t="s">
        <v>204</v>
      </c>
      <c r="BL30" s="3">
        <v>11031.8</v>
      </c>
      <c r="BM30" s="3">
        <v>315720.38380000001</v>
      </c>
      <c r="FE30" s="1">
        <v>46309</v>
      </c>
      <c r="FF30">
        <v>0</v>
      </c>
      <c r="FG30" t="s">
        <v>200</v>
      </c>
      <c r="FH30" t="s">
        <v>205</v>
      </c>
      <c r="FI30">
        <v>10</v>
      </c>
      <c r="FJ30" t="s">
        <v>191</v>
      </c>
      <c r="FK30" t="s">
        <v>206</v>
      </c>
      <c r="FL30" t="s">
        <v>191</v>
      </c>
      <c r="FM30">
        <v>393</v>
      </c>
      <c r="FN30" t="s">
        <v>265</v>
      </c>
    </row>
    <row r="31" spans="1:170" x14ac:dyDescent="0.25">
      <c r="A31" t="s">
        <v>170</v>
      </c>
      <c r="B31">
        <v>1</v>
      </c>
      <c r="C31" t="s">
        <v>171</v>
      </c>
      <c r="F31" s="1">
        <v>46478</v>
      </c>
      <c r="G31" s="1">
        <v>47208</v>
      </c>
      <c r="I31" t="s">
        <v>172</v>
      </c>
      <c r="J31" t="s">
        <v>173</v>
      </c>
      <c r="K31" t="s">
        <v>174</v>
      </c>
      <c r="L31">
        <v>3674687</v>
      </c>
      <c r="M31" t="s">
        <v>175</v>
      </c>
      <c r="N31" t="s">
        <v>176</v>
      </c>
      <c r="P31" t="s">
        <v>177</v>
      </c>
      <c r="R31" t="s">
        <v>178</v>
      </c>
      <c r="S31" t="s">
        <v>179</v>
      </c>
      <c r="T31" t="s">
        <v>180</v>
      </c>
      <c r="U31" t="s">
        <v>181</v>
      </c>
      <c r="V31" t="s">
        <v>182</v>
      </c>
      <c r="X31" t="s">
        <v>183</v>
      </c>
      <c r="Y31" t="s">
        <v>301</v>
      </c>
      <c r="Z31" t="s">
        <v>302</v>
      </c>
      <c r="AB31" t="s">
        <v>257</v>
      </c>
      <c r="AD31" t="s">
        <v>303</v>
      </c>
      <c r="AF31" t="s">
        <v>187</v>
      </c>
      <c r="AG31" t="s">
        <v>188</v>
      </c>
      <c r="AH31" t="s">
        <v>189</v>
      </c>
      <c r="AI31">
        <v>21</v>
      </c>
      <c r="AJ31" t="s">
        <v>304</v>
      </c>
      <c r="AK31" s="4">
        <v>2200014045169</v>
      </c>
      <c r="AL31" t="s">
        <v>191</v>
      </c>
      <c r="AM31" t="s">
        <v>192</v>
      </c>
      <c r="AN31">
        <v>3</v>
      </c>
      <c r="AO31">
        <v>801</v>
      </c>
      <c r="AP31">
        <v>110</v>
      </c>
      <c r="AQ31" t="s">
        <v>194</v>
      </c>
      <c r="AR31" t="s">
        <v>195</v>
      </c>
      <c r="AS31" t="s">
        <v>196</v>
      </c>
      <c r="AT31" s="2">
        <v>0</v>
      </c>
      <c r="AV31" t="s">
        <v>197</v>
      </c>
      <c r="AW31" t="s">
        <v>198</v>
      </c>
      <c r="AX31">
        <v>393</v>
      </c>
      <c r="AY31">
        <v>0</v>
      </c>
      <c r="AZ31" t="s">
        <v>199</v>
      </c>
      <c r="BA31">
        <v>120.9755</v>
      </c>
      <c r="BB31">
        <f t="shared" si="0"/>
        <v>36.796714583333326</v>
      </c>
      <c r="BD31">
        <v>0</v>
      </c>
      <c r="BE31" t="s">
        <v>201</v>
      </c>
      <c r="BF31">
        <v>0</v>
      </c>
      <c r="BG31" t="s">
        <v>202</v>
      </c>
      <c r="BH31">
        <v>1</v>
      </c>
      <c r="BI31" t="s">
        <v>203</v>
      </c>
      <c r="BJ31">
        <v>27.2941</v>
      </c>
      <c r="BK31" t="s">
        <v>204</v>
      </c>
      <c r="BL31" s="3">
        <v>3014</v>
      </c>
      <c r="BM31" s="3">
        <v>82264.417400000006</v>
      </c>
      <c r="FE31" s="1">
        <v>46309</v>
      </c>
      <c r="FF31">
        <v>0</v>
      </c>
      <c r="FG31" t="s">
        <v>200</v>
      </c>
      <c r="FH31" t="s">
        <v>205</v>
      </c>
      <c r="FI31">
        <v>110</v>
      </c>
      <c r="FJ31" t="s">
        <v>191</v>
      </c>
      <c r="FK31" t="s">
        <v>206</v>
      </c>
      <c r="FL31" t="s">
        <v>191</v>
      </c>
      <c r="FM31">
        <v>393</v>
      </c>
      <c r="FN31" t="s">
        <v>214</v>
      </c>
    </row>
    <row r="32" spans="1:170" x14ac:dyDescent="0.25">
      <c r="A32" t="s">
        <v>170</v>
      </c>
      <c r="B32">
        <v>1</v>
      </c>
      <c r="C32" t="s">
        <v>171</v>
      </c>
      <c r="F32" s="1">
        <v>46478</v>
      </c>
      <c r="G32" s="1">
        <v>47208</v>
      </c>
      <c r="I32" t="s">
        <v>172</v>
      </c>
      <c r="J32" t="s">
        <v>173</v>
      </c>
      <c r="K32" t="s">
        <v>174</v>
      </c>
      <c r="L32">
        <v>3674687</v>
      </c>
      <c r="M32" t="s">
        <v>175</v>
      </c>
      <c r="N32" t="s">
        <v>176</v>
      </c>
      <c r="P32" t="s">
        <v>177</v>
      </c>
      <c r="R32" t="s">
        <v>178</v>
      </c>
      <c r="S32" t="s">
        <v>179</v>
      </c>
      <c r="T32" t="s">
        <v>180</v>
      </c>
      <c r="U32" t="s">
        <v>181</v>
      </c>
      <c r="V32" t="s">
        <v>182</v>
      </c>
      <c r="X32" t="s">
        <v>183</v>
      </c>
      <c r="Y32" t="s">
        <v>301</v>
      </c>
      <c r="Z32" t="s">
        <v>305</v>
      </c>
      <c r="AB32" t="s">
        <v>257</v>
      </c>
      <c r="AD32" t="s">
        <v>303</v>
      </c>
      <c r="AF32" t="s">
        <v>187</v>
      </c>
      <c r="AG32" t="s">
        <v>188</v>
      </c>
      <c r="AH32" t="s">
        <v>189</v>
      </c>
      <c r="AI32">
        <v>21</v>
      </c>
      <c r="AJ32" t="s">
        <v>306</v>
      </c>
      <c r="AK32" s="4">
        <v>2200014045381</v>
      </c>
      <c r="AL32" t="s">
        <v>191</v>
      </c>
      <c r="AM32" t="s">
        <v>192</v>
      </c>
      <c r="AN32">
        <v>3</v>
      </c>
      <c r="AO32">
        <v>801</v>
      </c>
      <c r="AP32" t="s">
        <v>193</v>
      </c>
      <c r="AQ32" t="s">
        <v>194</v>
      </c>
      <c r="AR32" t="s">
        <v>195</v>
      </c>
      <c r="AS32" t="s">
        <v>196</v>
      </c>
      <c r="AT32" s="2">
        <v>0</v>
      </c>
      <c r="AV32" t="s">
        <v>197</v>
      </c>
      <c r="AW32" t="s">
        <v>198</v>
      </c>
      <c r="AX32">
        <v>393</v>
      </c>
      <c r="AY32">
        <v>0</v>
      </c>
      <c r="AZ32" t="s">
        <v>199</v>
      </c>
      <c r="BA32">
        <v>185.98929999999999</v>
      </c>
      <c r="BB32">
        <f t="shared" si="0"/>
        <v>56.571745416666658</v>
      </c>
      <c r="BD32">
        <v>0</v>
      </c>
      <c r="BE32" t="s">
        <v>201</v>
      </c>
      <c r="BF32">
        <v>0</v>
      </c>
      <c r="BG32" t="s">
        <v>202</v>
      </c>
      <c r="BH32">
        <v>1</v>
      </c>
      <c r="BI32" t="s">
        <v>203</v>
      </c>
      <c r="BJ32">
        <v>27.296299999999999</v>
      </c>
      <c r="BK32" t="s">
        <v>204</v>
      </c>
      <c r="BL32" s="3">
        <v>5159.3999999999996</v>
      </c>
      <c r="BM32" s="3">
        <v>140832.77160000001</v>
      </c>
      <c r="FE32" s="1">
        <v>46309</v>
      </c>
      <c r="FF32">
        <v>0</v>
      </c>
      <c r="FG32" t="s">
        <v>200</v>
      </c>
      <c r="FH32" t="s">
        <v>213</v>
      </c>
      <c r="FI32" t="s">
        <v>193</v>
      </c>
      <c r="FJ32" t="s">
        <v>191</v>
      </c>
      <c r="FK32" t="s">
        <v>206</v>
      </c>
      <c r="FL32" t="s">
        <v>191</v>
      </c>
      <c r="FM32">
        <v>393</v>
      </c>
      <c r="FN32" t="s">
        <v>207</v>
      </c>
    </row>
    <row r="33" spans="1:170" x14ac:dyDescent="0.25">
      <c r="A33" t="s">
        <v>170</v>
      </c>
      <c r="B33">
        <v>1</v>
      </c>
      <c r="C33" t="s">
        <v>171</v>
      </c>
      <c r="F33" s="1">
        <v>46478</v>
      </c>
      <c r="G33" s="1">
        <v>47208</v>
      </c>
      <c r="I33" t="s">
        <v>172</v>
      </c>
      <c r="J33" t="s">
        <v>173</v>
      </c>
      <c r="K33" t="s">
        <v>174</v>
      </c>
      <c r="L33">
        <v>3674687</v>
      </c>
      <c r="M33" t="s">
        <v>175</v>
      </c>
      <c r="N33" t="s">
        <v>176</v>
      </c>
      <c r="P33" t="s">
        <v>177</v>
      </c>
      <c r="R33" t="s">
        <v>178</v>
      </c>
      <c r="S33" t="s">
        <v>179</v>
      </c>
      <c r="T33" t="s">
        <v>180</v>
      </c>
      <c r="U33" t="s">
        <v>181</v>
      </c>
      <c r="V33" t="s">
        <v>182</v>
      </c>
      <c r="X33" t="s">
        <v>183</v>
      </c>
      <c r="Y33" t="s">
        <v>307</v>
      </c>
      <c r="Z33" t="s">
        <v>209</v>
      </c>
      <c r="AB33" t="s">
        <v>176</v>
      </c>
      <c r="AD33" t="s">
        <v>308</v>
      </c>
      <c r="AF33" t="s">
        <v>187</v>
      </c>
      <c r="AG33" t="s">
        <v>188</v>
      </c>
      <c r="AH33" t="s">
        <v>189</v>
      </c>
      <c r="AI33">
        <v>21</v>
      </c>
      <c r="AJ33" t="s">
        <v>309</v>
      </c>
      <c r="AK33" s="4">
        <v>2200014054952</v>
      </c>
      <c r="AL33" t="s">
        <v>191</v>
      </c>
      <c r="AM33" t="s">
        <v>212</v>
      </c>
      <c r="AN33">
        <v>3</v>
      </c>
      <c r="AO33">
        <v>801</v>
      </c>
      <c r="AP33">
        <v>110</v>
      </c>
      <c r="AQ33" t="s">
        <v>194</v>
      </c>
      <c r="AR33" t="s">
        <v>195</v>
      </c>
      <c r="AS33" t="s">
        <v>196</v>
      </c>
      <c r="AT33" s="2">
        <v>0</v>
      </c>
      <c r="AV33" t="s">
        <v>197</v>
      </c>
      <c r="AW33" t="s">
        <v>198</v>
      </c>
      <c r="AX33">
        <v>393</v>
      </c>
      <c r="AY33">
        <v>0</v>
      </c>
      <c r="AZ33" t="s">
        <v>199</v>
      </c>
      <c r="BA33">
        <v>120.86360000000001</v>
      </c>
      <c r="BB33">
        <f t="shared" si="0"/>
        <v>36.762678333333334</v>
      </c>
      <c r="BD33">
        <v>0</v>
      </c>
      <c r="BE33" t="s">
        <v>201</v>
      </c>
      <c r="BF33">
        <v>0</v>
      </c>
      <c r="BG33" t="s">
        <v>202</v>
      </c>
      <c r="BH33">
        <v>1</v>
      </c>
      <c r="BI33" t="s">
        <v>203</v>
      </c>
      <c r="BJ33">
        <v>27.3095</v>
      </c>
      <c r="BK33" t="s">
        <v>204</v>
      </c>
      <c r="BL33" s="3">
        <v>1650.6</v>
      </c>
      <c r="BM33" s="3">
        <v>45077.033100000001</v>
      </c>
      <c r="FE33" s="1">
        <v>46309</v>
      </c>
      <c r="FF33">
        <v>0</v>
      </c>
      <c r="FG33" t="s">
        <v>200</v>
      </c>
      <c r="FH33" t="s">
        <v>213</v>
      </c>
      <c r="FI33">
        <v>110</v>
      </c>
      <c r="FJ33" t="s">
        <v>191</v>
      </c>
      <c r="FK33" t="s">
        <v>206</v>
      </c>
      <c r="FL33" t="s">
        <v>191</v>
      </c>
      <c r="FM33">
        <v>393</v>
      </c>
      <c r="FN33" t="s">
        <v>214</v>
      </c>
    </row>
    <row r="34" spans="1:170" x14ac:dyDescent="0.25">
      <c r="A34" t="s">
        <v>170</v>
      </c>
      <c r="B34">
        <v>1</v>
      </c>
      <c r="C34" t="s">
        <v>171</v>
      </c>
      <c r="F34" s="1">
        <v>46478</v>
      </c>
      <c r="G34" s="1">
        <v>47208</v>
      </c>
      <c r="I34" t="s">
        <v>172</v>
      </c>
      <c r="J34" t="s">
        <v>173</v>
      </c>
      <c r="K34" t="s">
        <v>174</v>
      </c>
      <c r="L34">
        <v>3674687</v>
      </c>
      <c r="M34" t="s">
        <v>175</v>
      </c>
      <c r="N34" t="s">
        <v>176</v>
      </c>
      <c r="P34" t="s">
        <v>177</v>
      </c>
      <c r="R34" t="s">
        <v>178</v>
      </c>
      <c r="S34" t="s">
        <v>179</v>
      </c>
      <c r="T34" t="s">
        <v>180</v>
      </c>
      <c r="U34" t="s">
        <v>181</v>
      </c>
      <c r="V34" t="s">
        <v>182</v>
      </c>
      <c r="X34" t="s">
        <v>183</v>
      </c>
      <c r="Y34" t="s">
        <v>310</v>
      </c>
      <c r="Z34" t="s">
        <v>209</v>
      </c>
      <c r="AB34" t="s">
        <v>176</v>
      </c>
      <c r="AD34" t="s">
        <v>311</v>
      </c>
      <c r="AF34" t="s">
        <v>187</v>
      </c>
      <c r="AG34" t="s">
        <v>188</v>
      </c>
      <c r="AH34" t="s">
        <v>189</v>
      </c>
      <c r="AI34">
        <v>21</v>
      </c>
      <c r="AJ34" t="s">
        <v>312</v>
      </c>
      <c r="AK34" s="4">
        <v>2200014055282</v>
      </c>
      <c r="AL34" t="s">
        <v>191</v>
      </c>
      <c r="AM34" t="s">
        <v>192</v>
      </c>
      <c r="AN34">
        <v>3</v>
      </c>
      <c r="AO34">
        <v>801</v>
      </c>
      <c r="AP34">
        <v>110</v>
      </c>
      <c r="AQ34" t="s">
        <v>194</v>
      </c>
      <c r="AR34" t="s">
        <v>195</v>
      </c>
      <c r="AS34" t="s">
        <v>196</v>
      </c>
      <c r="AT34" s="2">
        <v>0</v>
      </c>
      <c r="AV34" t="s">
        <v>197</v>
      </c>
      <c r="AW34" t="s">
        <v>198</v>
      </c>
      <c r="AX34">
        <v>393</v>
      </c>
      <c r="AY34">
        <v>0</v>
      </c>
      <c r="AZ34" t="s">
        <v>199</v>
      </c>
      <c r="BA34">
        <v>120.8262</v>
      </c>
      <c r="BB34">
        <f t="shared" si="0"/>
        <v>36.751302500000001</v>
      </c>
      <c r="BD34">
        <v>0</v>
      </c>
      <c r="BE34" t="s">
        <v>201</v>
      </c>
      <c r="BF34">
        <v>0</v>
      </c>
      <c r="BG34" t="s">
        <v>202</v>
      </c>
      <c r="BH34">
        <v>1</v>
      </c>
      <c r="BI34" t="s">
        <v>203</v>
      </c>
      <c r="BJ34">
        <v>27.3156</v>
      </c>
      <c r="BK34" t="s">
        <v>204</v>
      </c>
      <c r="BL34" s="3">
        <v>1195.3998999999999</v>
      </c>
      <c r="BM34" s="3">
        <v>32653.087800000001</v>
      </c>
      <c r="FE34" s="1">
        <v>46309</v>
      </c>
      <c r="FF34">
        <v>0</v>
      </c>
      <c r="FG34" t="s">
        <v>200</v>
      </c>
      <c r="FH34" t="s">
        <v>205</v>
      </c>
      <c r="FI34">
        <v>110</v>
      </c>
      <c r="FJ34" t="s">
        <v>191</v>
      </c>
      <c r="FK34" t="s">
        <v>206</v>
      </c>
      <c r="FL34" t="s">
        <v>191</v>
      </c>
      <c r="FM34">
        <v>393</v>
      </c>
      <c r="FN34" t="s">
        <v>214</v>
      </c>
    </row>
    <row r="35" spans="1:170" x14ac:dyDescent="0.25">
      <c r="A35" t="s">
        <v>170</v>
      </c>
      <c r="B35">
        <v>1</v>
      </c>
      <c r="C35" t="s">
        <v>171</v>
      </c>
      <c r="F35" s="1">
        <v>46478</v>
      </c>
      <c r="G35" s="1">
        <v>47208</v>
      </c>
      <c r="I35" t="s">
        <v>172</v>
      </c>
      <c r="J35" t="s">
        <v>173</v>
      </c>
      <c r="K35" t="s">
        <v>174</v>
      </c>
      <c r="L35">
        <v>3674687</v>
      </c>
      <c r="M35" t="s">
        <v>175</v>
      </c>
      <c r="N35" t="s">
        <v>176</v>
      </c>
      <c r="P35" t="s">
        <v>177</v>
      </c>
      <c r="R35" t="s">
        <v>178</v>
      </c>
      <c r="S35" t="s">
        <v>179</v>
      </c>
      <c r="T35" t="s">
        <v>180</v>
      </c>
      <c r="U35" t="s">
        <v>181</v>
      </c>
      <c r="V35" t="s">
        <v>182</v>
      </c>
      <c r="X35" t="s">
        <v>183</v>
      </c>
      <c r="Y35" t="s">
        <v>313</v>
      </c>
      <c r="Z35" t="s">
        <v>282</v>
      </c>
      <c r="AB35" t="s">
        <v>176</v>
      </c>
      <c r="AD35" t="s">
        <v>314</v>
      </c>
      <c r="AF35" t="s">
        <v>187</v>
      </c>
      <c r="AG35" t="s">
        <v>188</v>
      </c>
      <c r="AH35" t="s">
        <v>189</v>
      </c>
      <c r="AI35">
        <v>21</v>
      </c>
      <c r="AJ35" t="s">
        <v>315</v>
      </c>
      <c r="AK35" s="4">
        <v>2200014058460</v>
      </c>
      <c r="AL35" t="s">
        <v>191</v>
      </c>
      <c r="AM35" t="s">
        <v>212</v>
      </c>
      <c r="AN35">
        <v>3</v>
      </c>
      <c r="AO35">
        <v>801</v>
      </c>
      <c r="AP35">
        <v>110</v>
      </c>
      <c r="AQ35" t="s">
        <v>194</v>
      </c>
      <c r="AR35" t="s">
        <v>195</v>
      </c>
      <c r="AS35" t="s">
        <v>196</v>
      </c>
      <c r="AT35" s="2">
        <v>0</v>
      </c>
      <c r="AV35" t="s">
        <v>197</v>
      </c>
      <c r="AW35" t="s">
        <v>198</v>
      </c>
      <c r="AX35">
        <v>393</v>
      </c>
      <c r="AY35">
        <v>0</v>
      </c>
      <c r="AZ35" t="s">
        <v>199</v>
      </c>
      <c r="BA35">
        <v>120.8515</v>
      </c>
      <c r="BB35">
        <f t="shared" si="0"/>
        <v>36.758997916666665</v>
      </c>
      <c r="BD35">
        <v>0</v>
      </c>
      <c r="BE35" t="s">
        <v>201</v>
      </c>
      <c r="BF35">
        <v>0</v>
      </c>
      <c r="BG35" t="s">
        <v>202</v>
      </c>
      <c r="BH35">
        <v>1</v>
      </c>
      <c r="BI35" t="s">
        <v>203</v>
      </c>
      <c r="BJ35">
        <v>27.255700000000001</v>
      </c>
      <c r="BK35" t="s">
        <v>204</v>
      </c>
      <c r="BL35">
        <v>492.6001</v>
      </c>
      <c r="BM35" s="3">
        <v>13426.179400000001</v>
      </c>
      <c r="FE35" s="1">
        <v>46309</v>
      </c>
      <c r="FF35">
        <v>0</v>
      </c>
      <c r="FG35" t="s">
        <v>200</v>
      </c>
      <c r="FH35" t="s">
        <v>213</v>
      </c>
      <c r="FI35">
        <v>110</v>
      </c>
      <c r="FJ35" t="s">
        <v>191</v>
      </c>
      <c r="FK35" t="s">
        <v>206</v>
      </c>
      <c r="FL35" t="s">
        <v>191</v>
      </c>
      <c r="FM35">
        <v>393</v>
      </c>
      <c r="FN35" t="s">
        <v>214</v>
      </c>
    </row>
    <row r="36" spans="1:170" x14ac:dyDescent="0.25">
      <c r="A36" t="s">
        <v>170</v>
      </c>
      <c r="B36">
        <v>1</v>
      </c>
      <c r="C36" t="s">
        <v>171</v>
      </c>
      <c r="F36" s="1">
        <v>46478</v>
      </c>
      <c r="G36" s="1">
        <v>47208</v>
      </c>
      <c r="I36" t="s">
        <v>172</v>
      </c>
      <c r="J36" t="s">
        <v>173</v>
      </c>
      <c r="K36" t="s">
        <v>174</v>
      </c>
      <c r="L36">
        <v>3674687</v>
      </c>
      <c r="M36" t="s">
        <v>175</v>
      </c>
      <c r="N36" t="s">
        <v>176</v>
      </c>
      <c r="P36" t="s">
        <v>177</v>
      </c>
      <c r="R36" t="s">
        <v>178</v>
      </c>
      <c r="S36" t="s">
        <v>179</v>
      </c>
      <c r="T36" t="s">
        <v>180</v>
      </c>
      <c r="U36" t="s">
        <v>181</v>
      </c>
      <c r="V36" t="s">
        <v>182</v>
      </c>
      <c r="X36" t="s">
        <v>183</v>
      </c>
      <c r="Y36" t="s">
        <v>316</v>
      </c>
      <c r="Z36" t="s">
        <v>282</v>
      </c>
      <c r="AB36" t="s">
        <v>176</v>
      </c>
      <c r="AD36" t="s">
        <v>314</v>
      </c>
      <c r="AF36" t="s">
        <v>187</v>
      </c>
      <c r="AG36" t="s">
        <v>188</v>
      </c>
      <c r="AH36" t="s">
        <v>189</v>
      </c>
      <c r="AI36">
        <v>21</v>
      </c>
      <c r="AJ36" t="s">
        <v>317</v>
      </c>
      <c r="AK36" s="4">
        <v>2200014058511</v>
      </c>
      <c r="AL36" t="s">
        <v>191</v>
      </c>
      <c r="AM36" t="s">
        <v>212</v>
      </c>
      <c r="AN36">
        <v>3</v>
      </c>
      <c r="AO36">
        <v>801</v>
      </c>
      <c r="AP36">
        <v>110</v>
      </c>
      <c r="AQ36" t="s">
        <v>194</v>
      </c>
      <c r="AR36" t="s">
        <v>195</v>
      </c>
      <c r="AS36" t="s">
        <v>196</v>
      </c>
      <c r="AT36" s="2">
        <v>0</v>
      </c>
      <c r="AV36" t="s">
        <v>197</v>
      </c>
      <c r="AW36" t="s">
        <v>198</v>
      </c>
      <c r="AX36">
        <v>393</v>
      </c>
      <c r="AY36">
        <v>0</v>
      </c>
      <c r="AZ36" t="s">
        <v>199</v>
      </c>
      <c r="BA36">
        <v>120.7925</v>
      </c>
      <c r="BB36">
        <f t="shared" si="0"/>
        <v>36.741052083333336</v>
      </c>
      <c r="BD36">
        <v>0</v>
      </c>
      <c r="BE36" t="s">
        <v>201</v>
      </c>
      <c r="BF36">
        <v>0</v>
      </c>
      <c r="BG36" t="s">
        <v>202</v>
      </c>
      <c r="BH36">
        <v>1</v>
      </c>
      <c r="BI36" t="s">
        <v>203</v>
      </c>
      <c r="BJ36">
        <v>27.342099999999999</v>
      </c>
      <c r="BK36" t="s">
        <v>204</v>
      </c>
      <c r="BL36">
        <v>784.2</v>
      </c>
      <c r="BM36" s="3">
        <v>21441.677100000001</v>
      </c>
      <c r="FE36" s="1">
        <v>46309</v>
      </c>
      <c r="FF36">
        <v>0</v>
      </c>
      <c r="FG36" t="s">
        <v>200</v>
      </c>
      <c r="FH36" t="s">
        <v>213</v>
      </c>
      <c r="FI36">
        <v>110</v>
      </c>
      <c r="FJ36" t="s">
        <v>191</v>
      </c>
      <c r="FK36" t="s">
        <v>206</v>
      </c>
      <c r="FL36" t="s">
        <v>191</v>
      </c>
      <c r="FM36">
        <v>393</v>
      </c>
      <c r="FN36" t="s">
        <v>214</v>
      </c>
    </row>
    <row r="37" spans="1:170" x14ac:dyDescent="0.25">
      <c r="A37" t="s">
        <v>170</v>
      </c>
      <c r="B37">
        <v>1</v>
      </c>
      <c r="C37" t="s">
        <v>171</v>
      </c>
      <c r="F37" s="1">
        <v>46478</v>
      </c>
      <c r="G37" s="1">
        <v>47208</v>
      </c>
      <c r="I37" t="s">
        <v>172</v>
      </c>
      <c r="J37" t="s">
        <v>173</v>
      </c>
      <c r="K37" t="s">
        <v>174</v>
      </c>
      <c r="L37">
        <v>3674687</v>
      </c>
      <c r="M37" t="s">
        <v>175</v>
      </c>
      <c r="N37" t="s">
        <v>176</v>
      </c>
      <c r="P37" t="s">
        <v>177</v>
      </c>
      <c r="R37" t="s">
        <v>178</v>
      </c>
      <c r="S37" t="s">
        <v>179</v>
      </c>
      <c r="T37" t="s">
        <v>180</v>
      </c>
      <c r="U37" t="s">
        <v>181</v>
      </c>
      <c r="V37" t="s">
        <v>182</v>
      </c>
      <c r="X37" t="s">
        <v>183</v>
      </c>
      <c r="Y37" t="s">
        <v>318</v>
      </c>
      <c r="Z37" t="s">
        <v>185</v>
      </c>
      <c r="AB37" t="s">
        <v>176</v>
      </c>
      <c r="AD37" t="s">
        <v>314</v>
      </c>
      <c r="AF37" t="s">
        <v>187</v>
      </c>
      <c r="AG37" t="s">
        <v>188</v>
      </c>
      <c r="AH37" t="s">
        <v>189</v>
      </c>
      <c r="AI37">
        <v>21</v>
      </c>
      <c r="AJ37" t="s">
        <v>319</v>
      </c>
      <c r="AK37" s="4">
        <v>2200014058585</v>
      </c>
      <c r="AL37" t="s">
        <v>191</v>
      </c>
      <c r="AM37" t="s">
        <v>212</v>
      </c>
      <c r="AN37">
        <v>3</v>
      </c>
      <c r="AO37">
        <v>801</v>
      </c>
      <c r="AP37">
        <v>110</v>
      </c>
      <c r="AQ37" t="s">
        <v>194</v>
      </c>
      <c r="AR37" t="s">
        <v>195</v>
      </c>
      <c r="AS37" t="s">
        <v>196</v>
      </c>
      <c r="AT37" s="2">
        <v>0</v>
      </c>
      <c r="AV37" t="s">
        <v>197</v>
      </c>
      <c r="AW37" t="s">
        <v>198</v>
      </c>
      <c r="AX37">
        <v>393</v>
      </c>
      <c r="AY37">
        <v>0</v>
      </c>
      <c r="AZ37" t="s">
        <v>199</v>
      </c>
      <c r="BA37">
        <v>120.79730000000001</v>
      </c>
      <c r="BB37">
        <f t="shared" si="0"/>
        <v>36.742512083333338</v>
      </c>
      <c r="BD37">
        <v>0</v>
      </c>
      <c r="BE37" t="s">
        <v>201</v>
      </c>
      <c r="BF37">
        <v>0</v>
      </c>
      <c r="BG37" t="s">
        <v>202</v>
      </c>
      <c r="BH37">
        <v>1</v>
      </c>
      <c r="BI37" t="s">
        <v>203</v>
      </c>
      <c r="BJ37">
        <v>27.337800000000001</v>
      </c>
      <c r="BK37" t="s">
        <v>204</v>
      </c>
      <c r="BL37">
        <v>842.6</v>
      </c>
      <c r="BM37" s="3">
        <v>23034.8302</v>
      </c>
      <c r="FE37" s="1">
        <v>46309</v>
      </c>
      <c r="FF37">
        <v>0</v>
      </c>
      <c r="FG37" t="s">
        <v>200</v>
      </c>
      <c r="FH37" t="s">
        <v>213</v>
      </c>
      <c r="FI37">
        <v>110</v>
      </c>
      <c r="FJ37" t="s">
        <v>191</v>
      </c>
      <c r="FK37" t="s">
        <v>206</v>
      </c>
      <c r="FL37" t="s">
        <v>191</v>
      </c>
      <c r="FM37">
        <v>393</v>
      </c>
      <c r="FN37" t="s">
        <v>214</v>
      </c>
    </row>
    <row r="38" spans="1:170" x14ac:dyDescent="0.25">
      <c r="A38" t="s">
        <v>170</v>
      </c>
      <c r="B38">
        <v>1</v>
      </c>
      <c r="C38" t="s">
        <v>171</v>
      </c>
      <c r="F38" s="1">
        <v>46478</v>
      </c>
      <c r="G38" s="1">
        <v>47208</v>
      </c>
      <c r="I38" t="s">
        <v>172</v>
      </c>
      <c r="J38" t="s">
        <v>173</v>
      </c>
      <c r="K38" t="s">
        <v>174</v>
      </c>
      <c r="L38">
        <v>3674687</v>
      </c>
      <c r="M38" t="s">
        <v>175</v>
      </c>
      <c r="N38" t="s">
        <v>176</v>
      </c>
      <c r="P38" t="s">
        <v>177</v>
      </c>
      <c r="R38" t="s">
        <v>178</v>
      </c>
      <c r="S38" t="s">
        <v>179</v>
      </c>
      <c r="T38" t="s">
        <v>180</v>
      </c>
      <c r="U38" t="s">
        <v>181</v>
      </c>
      <c r="V38" t="s">
        <v>182</v>
      </c>
      <c r="X38" t="s">
        <v>183</v>
      </c>
      <c r="Y38" t="s">
        <v>320</v>
      </c>
      <c r="Z38" t="s">
        <v>321</v>
      </c>
      <c r="AB38" t="s">
        <v>176</v>
      </c>
      <c r="AD38" t="s">
        <v>322</v>
      </c>
      <c r="AF38" t="s">
        <v>187</v>
      </c>
      <c r="AG38" t="s">
        <v>188</v>
      </c>
      <c r="AH38" t="s">
        <v>189</v>
      </c>
      <c r="AI38">
        <v>21</v>
      </c>
      <c r="AJ38" t="s">
        <v>323</v>
      </c>
      <c r="AK38" s="4">
        <v>2200014059765</v>
      </c>
      <c r="AL38" t="s">
        <v>191</v>
      </c>
      <c r="AM38" t="s">
        <v>192</v>
      </c>
      <c r="AN38">
        <v>3</v>
      </c>
      <c r="AO38">
        <v>801</v>
      </c>
      <c r="AP38">
        <v>110</v>
      </c>
      <c r="AQ38" t="s">
        <v>194</v>
      </c>
      <c r="AR38" t="s">
        <v>195</v>
      </c>
      <c r="AS38" t="s">
        <v>196</v>
      </c>
      <c r="AT38" s="2">
        <v>0</v>
      </c>
      <c r="AV38" t="s">
        <v>197</v>
      </c>
      <c r="AW38" t="s">
        <v>198</v>
      </c>
      <c r="AX38">
        <v>393</v>
      </c>
      <c r="AY38">
        <v>0</v>
      </c>
      <c r="AZ38" t="s">
        <v>199</v>
      </c>
      <c r="BA38">
        <v>120.7987</v>
      </c>
      <c r="BB38">
        <f t="shared" si="0"/>
        <v>36.742937916666662</v>
      </c>
      <c r="BD38">
        <v>0</v>
      </c>
      <c r="BE38" t="s">
        <v>201</v>
      </c>
      <c r="BF38">
        <v>0</v>
      </c>
      <c r="BG38" t="s">
        <v>202</v>
      </c>
      <c r="BH38">
        <v>1</v>
      </c>
      <c r="BI38" t="s">
        <v>203</v>
      </c>
      <c r="BJ38">
        <v>27.329499999999999</v>
      </c>
      <c r="BK38" t="s">
        <v>204</v>
      </c>
      <c r="BL38">
        <v>860</v>
      </c>
      <c r="BM38" s="3">
        <v>23503.3914</v>
      </c>
      <c r="FE38" s="1">
        <v>46309</v>
      </c>
      <c r="FF38">
        <v>0</v>
      </c>
      <c r="FG38" t="s">
        <v>200</v>
      </c>
      <c r="FH38" t="s">
        <v>205</v>
      </c>
      <c r="FI38">
        <v>110</v>
      </c>
      <c r="FJ38" t="s">
        <v>191</v>
      </c>
      <c r="FK38" t="s">
        <v>206</v>
      </c>
      <c r="FL38" t="s">
        <v>191</v>
      </c>
      <c r="FM38">
        <v>393</v>
      </c>
      <c r="FN38" t="s">
        <v>214</v>
      </c>
    </row>
    <row r="39" spans="1:170" x14ac:dyDescent="0.25">
      <c r="A39" t="s">
        <v>170</v>
      </c>
      <c r="B39">
        <v>1</v>
      </c>
      <c r="C39" t="s">
        <v>171</v>
      </c>
      <c r="F39" s="1">
        <v>46478</v>
      </c>
      <c r="G39" s="1">
        <v>47208</v>
      </c>
      <c r="I39" t="s">
        <v>172</v>
      </c>
      <c r="J39" t="s">
        <v>173</v>
      </c>
      <c r="K39" t="s">
        <v>174</v>
      </c>
      <c r="L39">
        <v>3674687</v>
      </c>
      <c r="M39" t="s">
        <v>175</v>
      </c>
      <c r="N39" t="s">
        <v>176</v>
      </c>
      <c r="P39" t="s">
        <v>177</v>
      </c>
      <c r="R39" t="s">
        <v>178</v>
      </c>
      <c r="S39" t="s">
        <v>179</v>
      </c>
      <c r="T39" t="s">
        <v>180</v>
      </c>
      <c r="U39" t="s">
        <v>181</v>
      </c>
      <c r="V39" t="s">
        <v>182</v>
      </c>
      <c r="X39" t="s">
        <v>183</v>
      </c>
      <c r="Y39" t="s">
        <v>324</v>
      </c>
      <c r="Z39" t="s">
        <v>282</v>
      </c>
      <c r="AB39" t="s">
        <v>176</v>
      </c>
      <c r="AD39" t="s">
        <v>325</v>
      </c>
      <c r="AF39" t="s">
        <v>187</v>
      </c>
      <c r="AG39" t="s">
        <v>188</v>
      </c>
      <c r="AH39" t="s">
        <v>189</v>
      </c>
      <c r="AI39">
        <v>21</v>
      </c>
      <c r="AJ39" t="s">
        <v>326</v>
      </c>
      <c r="AK39" s="4">
        <v>2200014078865</v>
      </c>
      <c r="AL39" t="s">
        <v>191</v>
      </c>
      <c r="AM39" t="s">
        <v>192</v>
      </c>
      <c r="AN39">
        <v>3</v>
      </c>
      <c r="AO39">
        <v>801</v>
      </c>
      <c r="AP39">
        <v>110</v>
      </c>
      <c r="AQ39" t="s">
        <v>194</v>
      </c>
      <c r="AR39" t="s">
        <v>195</v>
      </c>
      <c r="AS39" t="s">
        <v>196</v>
      </c>
      <c r="AT39" s="2">
        <v>0</v>
      </c>
      <c r="AV39" t="s">
        <v>197</v>
      </c>
      <c r="AW39" t="s">
        <v>198</v>
      </c>
      <c r="AX39">
        <v>393</v>
      </c>
      <c r="AY39">
        <v>0</v>
      </c>
      <c r="AZ39" t="s">
        <v>199</v>
      </c>
      <c r="BA39">
        <v>120.8496</v>
      </c>
      <c r="BB39">
        <f t="shared" si="0"/>
        <v>36.758420000000001</v>
      </c>
      <c r="BD39">
        <v>0</v>
      </c>
      <c r="BE39" t="s">
        <v>201</v>
      </c>
      <c r="BF39">
        <v>0</v>
      </c>
      <c r="BG39" t="s">
        <v>202</v>
      </c>
      <c r="BH39">
        <v>1</v>
      </c>
      <c r="BI39" t="s">
        <v>203</v>
      </c>
      <c r="BJ39">
        <v>27.255700000000001</v>
      </c>
      <c r="BK39" t="s">
        <v>204</v>
      </c>
      <c r="BL39">
        <v>548.6</v>
      </c>
      <c r="BM39" s="3">
        <v>14952.501399999999</v>
      </c>
      <c r="FE39" s="1">
        <v>46309</v>
      </c>
      <c r="FF39">
        <v>0</v>
      </c>
      <c r="FG39" t="s">
        <v>200</v>
      </c>
      <c r="FH39" t="s">
        <v>205</v>
      </c>
      <c r="FI39">
        <v>110</v>
      </c>
      <c r="FJ39" t="s">
        <v>191</v>
      </c>
      <c r="FK39" t="s">
        <v>206</v>
      </c>
      <c r="FL39" t="s">
        <v>191</v>
      </c>
      <c r="FM39">
        <v>393</v>
      </c>
      <c r="FN39" t="s">
        <v>214</v>
      </c>
    </row>
    <row r="40" spans="1:170" x14ac:dyDescent="0.25">
      <c r="A40" t="s">
        <v>170</v>
      </c>
      <c r="B40">
        <v>1</v>
      </c>
      <c r="C40" t="s">
        <v>171</v>
      </c>
      <c r="F40" s="1">
        <v>46478</v>
      </c>
      <c r="G40" s="1">
        <v>47208</v>
      </c>
      <c r="I40" t="s">
        <v>172</v>
      </c>
      <c r="J40" t="s">
        <v>173</v>
      </c>
      <c r="K40" t="s">
        <v>174</v>
      </c>
      <c r="L40">
        <v>3674687</v>
      </c>
      <c r="M40" t="s">
        <v>175</v>
      </c>
      <c r="N40" t="s">
        <v>176</v>
      </c>
      <c r="P40" t="s">
        <v>177</v>
      </c>
      <c r="R40" t="s">
        <v>178</v>
      </c>
      <c r="S40" t="s">
        <v>179</v>
      </c>
      <c r="T40" t="s">
        <v>180</v>
      </c>
      <c r="U40" t="s">
        <v>181</v>
      </c>
      <c r="V40" t="s">
        <v>182</v>
      </c>
      <c r="X40" t="s">
        <v>183</v>
      </c>
      <c r="Y40" t="s">
        <v>327</v>
      </c>
      <c r="Z40" t="s">
        <v>328</v>
      </c>
      <c r="AB40" t="s">
        <v>176</v>
      </c>
      <c r="AD40" t="s">
        <v>325</v>
      </c>
      <c r="AF40" t="s">
        <v>187</v>
      </c>
      <c r="AG40" t="s">
        <v>188</v>
      </c>
      <c r="AH40" t="s">
        <v>189</v>
      </c>
      <c r="AI40">
        <v>21</v>
      </c>
      <c r="AJ40" t="s">
        <v>329</v>
      </c>
      <c r="AK40" s="4">
        <v>2200014078917</v>
      </c>
      <c r="AL40" t="s">
        <v>191</v>
      </c>
      <c r="AM40" t="s">
        <v>192</v>
      </c>
      <c r="AN40">
        <v>3</v>
      </c>
      <c r="AO40">
        <v>801</v>
      </c>
      <c r="AP40" t="s">
        <v>193</v>
      </c>
      <c r="AQ40" t="s">
        <v>194</v>
      </c>
      <c r="AR40" t="s">
        <v>195</v>
      </c>
      <c r="AS40" t="s">
        <v>196</v>
      </c>
      <c r="AT40" s="2">
        <v>0</v>
      </c>
      <c r="AV40" t="s">
        <v>197</v>
      </c>
      <c r="AW40" t="s">
        <v>198</v>
      </c>
      <c r="AX40">
        <v>393</v>
      </c>
      <c r="AY40">
        <v>0</v>
      </c>
      <c r="AZ40" t="s">
        <v>199</v>
      </c>
      <c r="BA40">
        <v>185.99809999999999</v>
      </c>
      <c r="BB40">
        <f t="shared" si="0"/>
        <v>56.574422083333324</v>
      </c>
      <c r="BD40">
        <v>0</v>
      </c>
      <c r="BE40" t="s">
        <v>201</v>
      </c>
      <c r="BF40">
        <v>0</v>
      </c>
      <c r="BG40" t="s">
        <v>202</v>
      </c>
      <c r="BH40">
        <v>1</v>
      </c>
      <c r="BI40" t="s">
        <v>203</v>
      </c>
      <c r="BJ40">
        <v>27.295999999999999</v>
      </c>
      <c r="BK40" t="s">
        <v>204</v>
      </c>
      <c r="BL40" s="3">
        <v>5266.4</v>
      </c>
      <c r="BM40" s="3">
        <v>143751.7286</v>
      </c>
      <c r="FE40" s="1">
        <v>46309</v>
      </c>
      <c r="FF40">
        <v>0</v>
      </c>
      <c r="FG40" t="s">
        <v>200</v>
      </c>
      <c r="FH40" t="s">
        <v>205</v>
      </c>
      <c r="FI40" t="s">
        <v>193</v>
      </c>
      <c r="FJ40" t="s">
        <v>191</v>
      </c>
      <c r="FK40" t="s">
        <v>206</v>
      </c>
      <c r="FL40" t="s">
        <v>191</v>
      </c>
      <c r="FM40">
        <v>393</v>
      </c>
      <c r="FN40" t="s">
        <v>207</v>
      </c>
    </row>
    <row r="41" spans="1:170" x14ac:dyDescent="0.25">
      <c r="A41" t="s">
        <v>170</v>
      </c>
      <c r="B41">
        <v>1</v>
      </c>
      <c r="C41" t="s">
        <v>171</v>
      </c>
      <c r="F41" s="1">
        <v>46478</v>
      </c>
      <c r="G41" s="1">
        <v>47208</v>
      </c>
      <c r="I41" t="s">
        <v>172</v>
      </c>
      <c r="J41" t="s">
        <v>173</v>
      </c>
      <c r="K41" t="s">
        <v>174</v>
      </c>
      <c r="L41">
        <v>3674687</v>
      </c>
      <c r="M41" t="s">
        <v>175</v>
      </c>
      <c r="N41" t="s">
        <v>176</v>
      </c>
      <c r="P41" t="s">
        <v>177</v>
      </c>
      <c r="R41" t="s">
        <v>178</v>
      </c>
      <c r="S41" t="s">
        <v>179</v>
      </c>
      <c r="T41" t="s">
        <v>180</v>
      </c>
      <c r="U41" t="s">
        <v>181</v>
      </c>
      <c r="V41" t="s">
        <v>182</v>
      </c>
      <c r="X41" t="s">
        <v>183</v>
      </c>
      <c r="Y41" t="s">
        <v>330</v>
      </c>
      <c r="Z41" t="s">
        <v>282</v>
      </c>
      <c r="AB41" t="s">
        <v>176</v>
      </c>
      <c r="AD41" t="s">
        <v>331</v>
      </c>
      <c r="AF41" t="s">
        <v>187</v>
      </c>
      <c r="AG41" t="s">
        <v>188</v>
      </c>
      <c r="AH41" t="s">
        <v>189</v>
      </c>
      <c r="AI41">
        <v>21</v>
      </c>
      <c r="AJ41" t="s">
        <v>332</v>
      </c>
      <c r="AK41" s="4">
        <v>2200014078990</v>
      </c>
      <c r="AL41" t="s">
        <v>191</v>
      </c>
      <c r="AM41" t="s">
        <v>192</v>
      </c>
      <c r="AN41">
        <v>3</v>
      </c>
      <c r="AO41">
        <v>801</v>
      </c>
      <c r="AP41">
        <v>110</v>
      </c>
      <c r="AQ41" t="s">
        <v>194</v>
      </c>
      <c r="AR41" t="s">
        <v>195</v>
      </c>
      <c r="AS41" t="s">
        <v>196</v>
      </c>
      <c r="AT41" s="2">
        <v>0</v>
      </c>
      <c r="AV41" t="s">
        <v>197</v>
      </c>
      <c r="AW41" t="s">
        <v>198</v>
      </c>
      <c r="AX41">
        <v>393</v>
      </c>
      <c r="AY41">
        <v>0</v>
      </c>
      <c r="AZ41" t="s">
        <v>199</v>
      </c>
      <c r="BA41">
        <v>121.5038</v>
      </c>
      <c r="BB41">
        <f t="shared" si="0"/>
        <v>36.957405833333333</v>
      </c>
      <c r="BD41">
        <v>0</v>
      </c>
      <c r="BE41" t="s">
        <v>201</v>
      </c>
      <c r="BF41">
        <v>0</v>
      </c>
      <c r="BG41" t="s">
        <v>202</v>
      </c>
      <c r="BH41">
        <v>1</v>
      </c>
      <c r="BI41" t="s">
        <v>203</v>
      </c>
      <c r="BJ41">
        <v>27.284500000000001</v>
      </c>
      <c r="BK41" t="s">
        <v>204</v>
      </c>
      <c r="BL41" s="3">
        <v>9450.9999000000007</v>
      </c>
      <c r="BM41" s="3">
        <v>257865.49470000001</v>
      </c>
      <c r="FE41" s="1">
        <v>46309</v>
      </c>
      <c r="FF41">
        <v>0</v>
      </c>
      <c r="FG41" t="s">
        <v>200</v>
      </c>
      <c r="FH41" t="s">
        <v>205</v>
      </c>
      <c r="FI41">
        <v>110</v>
      </c>
      <c r="FJ41" t="s">
        <v>191</v>
      </c>
      <c r="FK41" t="s">
        <v>206</v>
      </c>
      <c r="FL41" t="s">
        <v>191</v>
      </c>
      <c r="FM41">
        <v>393</v>
      </c>
      <c r="FN41" t="s">
        <v>214</v>
      </c>
    </row>
    <row r="42" spans="1:170" x14ac:dyDescent="0.25">
      <c r="A42" t="s">
        <v>170</v>
      </c>
      <c r="B42">
        <v>1</v>
      </c>
      <c r="C42" t="s">
        <v>171</v>
      </c>
      <c r="F42" s="1">
        <v>46478</v>
      </c>
      <c r="G42" s="1">
        <v>47208</v>
      </c>
      <c r="I42" t="s">
        <v>172</v>
      </c>
      <c r="J42" t="s">
        <v>173</v>
      </c>
      <c r="K42" t="s">
        <v>174</v>
      </c>
      <c r="L42">
        <v>3674687</v>
      </c>
      <c r="M42" t="s">
        <v>175</v>
      </c>
      <c r="N42" t="s">
        <v>176</v>
      </c>
      <c r="P42" t="s">
        <v>177</v>
      </c>
      <c r="R42" t="s">
        <v>178</v>
      </c>
      <c r="S42" t="s">
        <v>179</v>
      </c>
      <c r="T42" t="s">
        <v>180</v>
      </c>
      <c r="U42" t="s">
        <v>181</v>
      </c>
      <c r="V42" t="s">
        <v>182</v>
      </c>
      <c r="X42" t="s">
        <v>183</v>
      </c>
      <c r="Y42" t="s">
        <v>333</v>
      </c>
      <c r="Z42" t="s">
        <v>282</v>
      </c>
      <c r="AB42" t="s">
        <v>176</v>
      </c>
      <c r="AD42" t="s">
        <v>331</v>
      </c>
      <c r="AF42" t="s">
        <v>187</v>
      </c>
      <c r="AG42" t="s">
        <v>188</v>
      </c>
      <c r="AH42" t="s">
        <v>189</v>
      </c>
      <c r="AI42">
        <v>21</v>
      </c>
      <c r="AJ42" t="s">
        <v>334</v>
      </c>
      <c r="AK42" s="4">
        <v>2200014079229</v>
      </c>
      <c r="AL42" t="s">
        <v>191</v>
      </c>
      <c r="AM42" t="s">
        <v>192</v>
      </c>
      <c r="AN42">
        <v>1</v>
      </c>
      <c r="AO42">
        <v>801</v>
      </c>
      <c r="AP42">
        <v>10</v>
      </c>
      <c r="AQ42" t="s">
        <v>194</v>
      </c>
      <c r="AR42" t="s">
        <v>195</v>
      </c>
      <c r="AS42" t="s">
        <v>196</v>
      </c>
      <c r="AT42" s="2">
        <v>0</v>
      </c>
      <c r="AV42" t="s">
        <v>197</v>
      </c>
      <c r="AW42" t="s">
        <v>198</v>
      </c>
      <c r="AX42">
        <v>393</v>
      </c>
      <c r="AY42">
        <v>0</v>
      </c>
      <c r="AZ42" t="s">
        <v>199</v>
      </c>
      <c r="BA42">
        <v>112.904</v>
      </c>
      <c r="BB42">
        <f t="shared" si="0"/>
        <v>34.341633333333334</v>
      </c>
      <c r="BD42">
        <v>0</v>
      </c>
      <c r="BE42" t="s">
        <v>201</v>
      </c>
      <c r="BF42">
        <v>0</v>
      </c>
      <c r="BG42" t="s">
        <v>202</v>
      </c>
      <c r="BH42">
        <v>1</v>
      </c>
      <c r="BI42" t="s">
        <v>203</v>
      </c>
      <c r="BJ42">
        <v>28.664300000000001</v>
      </c>
      <c r="BK42" t="s">
        <v>204</v>
      </c>
      <c r="BL42">
        <v>771.6</v>
      </c>
      <c r="BM42" s="3">
        <v>22117.407999999999</v>
      </c>
      <c r="FE42" s="1">
        <v>46309</v>
      </c>
      <c r="FF42">
        <v>0</v>
      </c>
      <c r="FG42" t="s">
        <v>200</v>
      </c>
      <c r="FH42" t="s">
        <v>205</v>
      </c>
      <c r="FI42">
        <v>10</v>
      </c>
      <c r="FJ42" t="s">
        <v>191</v>
      </c>
      <c r="FK42" t="s">
        <v>206</v>
      </c>
      <c r="FL42" t="s">
        <v>191</v>
      </c>
      <c r="FM42">
        <v>393</v>
      </c>
      <c r="FN42" t="s">
        <v>265</v>
      </c>
    </row>
    <row r="43" spans="1:170" x14ac:dyDescent="0.25">
      <c r="A43" t="s">
        <v>170</v>
      </c>
      <c r="B43">
        <v>1</v>
      </c>
      <c r="C43" t="s">
        <v>171</v>
      </c>
      <c r="F43" s="1">
        <v>46478</v>
      </c>
      <c r="G43" s="1">
        <v>47208</v>
      </c>
      <c r="I43" t="s">
        <v>172</v>
      </c>
      <c r="J43" t="s">
        <v>173</v>
      </c>
      <c r="K43" t="s">
        <v>174</v>
      </c>
      <c r="L43">
        <v>3674687</v>
      </c>
      <c r="M43" t="s">
        <v>175</v>
      </c>
      <c r="N43" t="s">
        <v>176</v>
      </c>
      <c r="P43" t="s">
        <v>177</v>
      </c>
      <c r="R43" t="s">
        <v>178</v>
      </c>
      <c r="S43" t="s">
        <v>179</v>
      </c>
      <c r="T43" t="s">
        <v>180</v>
      </c>
      <c r="U43" t="s">
        <v>181</v>
      </c>
      <c r="V43" t="s">
        <v>182</v>
      </c>
      <c r="X43" t="s">
        <v>183</v>
      </c>
      <c r="Y43" t="s">
        <v>335</v>
      </c>
      <c r="Z43" t="s">
        <v>219</v>
      </c>
      <c r="AB43" t="s">
        <v>176</v>
      </c>
      <c r="AD43" t="s">
        <v>336</v>
      </c>
      <c r="AF43" t="s">
        <v>187</v>
      </c>
      <c r="AG43" t="s">
        <v>188</v>
      </c>
      <c r="AH43" t="s">
        <v>189</v>
      </c>
      <c r="AI43">
        <v>21</v>
      </c>
      <c r="AJ43" t="s">
        <v>337</v>
      </c>
      <c r="AK43" s="4">
        <v>2200014157904</v>
      </c>
      <c r="AL43" t="s">
        <v>191</v>
      </c>
      <c r="AM43" t="s">
        <v>212</v>
      </c>
      <c r="AN43">
        <v>4</v>
      </c>
      <c r="AO43">
        <v>807</v>
      </c>
      <c r="AP43" t="s">
        <v>338</v>
      </c>
      <c r="AQ43" t="s">
        <v>194</v>
      </c>
      <c r="AR43" t="s">
        <v>195</v>
      </c>
      <c r="AS43" t="s">
        <v>196</v>
      </c>
      <c r="AT43" s="2">
        <v>0</v>
      </c>
      <c r="AV43" t="s">
        <v>197</v>
      </c>
      <c r="AW43" t="s">
        <v>198</v>
      </c>
      <c r="AX43">
        <v>244</v>
      </c>
      <c r="AY43">
        <v>0</v>
      </c>
      <c r="AZ43" t="s">
        <v>199</v>
      </c>
      <c r="BA43">
        <v>301.09550000000002</v>
      </c>
      <c r="BB43">
        <f t="shared" si="0"/>
        <v>91.583214583333344</v>
      </c>
      <c r="BD43">
        <v>0</v>
      </c>
      <c r="BE43" t="s">
        <v>201</v>
      </c>
      <c r="BF43">
        <v>0</v>
      </c>
      <c r="BG43" t="s">
        <v>202</v>
      </c>
      <c r="BH43">
        <v>2</v>
      </c>
      <c r="BI43" t="s">
        <v>241</v>
      </c>
      <c r="BJ43">
        <v>28.7577</v>
      </c>
      <c r="BK43" t="s">
        <v>204</v>
      </c>
      <c r="BL43" s="3">
        <v>18738.9218</v>
      </c>
      <c r="BM43" s="3">
        <v>538888.2929</v>
      </c>
      <c r="BN43" t="s">
        <v>242</v>
      </c>
      <c r="BO43">
        <v>21.275300000000001</v>
      </c>
      <c r="BP43" t="s">
        <v>204</v>
      </c>
      <c r="BQ43" s="3">
        <v>7726.6782000000003</v>
      </c>
      <c r="BR43" s="3">
        <v>164387.2015</v>
      </c>
      <c r="FE43" s="1">
        <v>46309</v>
      </c>
      <c r="FF43">
        <v>0</v>
      </c>
      <c r="FG43" t="s">
        <v>200</v>
      </c>
      <c r="FH43" t="s">
        <v>213</v>
      </c>
      <c r="FI43" t="s">
        <v>338</v>
      </c>
      <c r="FJ43" t="s">
        <v>191</v>
      </c>
      <c r="FK43" t="s">
        <v>206</v>
      </c>
      <c r="FL43" t="s">
        <v>191</v>
      </c>
      <c r="FM43">
        <v>244</v>
      </c>
      <c r="FN43" t="s">
        <v>339</v>
      </c>
    </row>
    <row r="44" spans="1:170" x14ac:dyDescent="0.25">
      <c r="A44" t="s">
        <v>170</v>
      </c>
      <c r="B44">
        <v>1</v>
      </c>
      <c r="C44" t="s">
        <v>171</v>
      </c>
      <c r="F44" s="1">
        <v>46478</v>
      </c>
      <c r="G44" s="1">
        <v>47208</v>
      </c>
      <c r="I44" t="s">
        <v>172</v>
      </c>
      <c r="J44" t="s">
        <v>173</v>
      </c>
      <c r="K44" t="s">
        <v>174</v>
      </c>
      <c r="L44">
        <v>3674687</v>
      </c>
      <c r="M44" t="s">
        <v>175</v>
      </c>
      <c r="N44" t="s">
        <v>176</v>
      </c>
      <c r="P44" t="s">
        <v>177</v>
      </c>
      <c r="R44" t="s">
        <v>178</v>
      </c>
      <c r="S44" t="s">
        <v>179</v>
      </c>
      <c r="T44" t="s">
        <v>180</v>
      </c>
      <c r="U44" t="s">
        <v>181</v>
      </c>
      <c r="V44" t="s">
        <v>182</v>
      </c>
      <c r="X44" t="s">
        <v>183</v>
      </c>
      <c r="Y44" t="s">
        <v>340</v>
      </c>
      <c r="Z44" t="s">
        <v>185</v>
      </c>
      <c r="AB44" t="s">
        <v>176</v>
      </c>
      <c r="AD44" t="s">
        <v>336</v>
      </c>
      <c r="AF44" t="s">
        <v>187</v>
      </c>
      <c r="AG44" t="s">
        <v>188</v>
      </c>
      <c r="AH44" t="s">
        <v>189</v>
      </c>
      <c r="AI44">
        <v>21</v>
      </c>
      <c r="AJ44" t="s">
        <v>341</v>
      </c>
      <c r="AK44" s="4">
        <v>2200014157996</v>
      </c>
      <c r="AL44" t="s">
        <v>191</v>
      </c>
      <c r="AM44" t="s">
        <v>212</v>
      </c>
      <c r="AN44">
        <v>3</v>
      </c>
      <c r="AO44">
        <v>801</v>
      </c>
      <c r="AP44">
        <v>110</v>
      </c>
      <c r="AQ44" t="s">
        <v>194</v>
      </c>
      <c r="AR44" t="s">
        <v>195</v>
      </c>
      <c r="AS44" t="s">
        <v>196</v>
      </c>
      <c r="AT44" s="2">
        <v>0</v>
      </c>
      <c r="AV44" t="s">
        <v>197</v>
      </c>
      <c r="AW44" t="s">
        <v>198</v>
      </c>
      <c r="AX44">
        <v>393</v>
      </c>
      <c r="AY44">
        <v>0</v>
      </c>
      <c r="AZ44" t="s">
        <v>199</v>
      </c>
      <c r="BA44">
        <v>120.82299999999999</v>
      </c>
      <c r="BB44">
        <f t="shared" si="0"/>
        <v>36.750329166666667</v>
      </c>
      <c r="BD44">
        <v>0</v>
      </c>
      <c r="BE44" t="s">
        <v>201</v>
      </c>
      <c r="BF44">
        <v>0</v>
      </c>
      <c r="BG44" t="s">
        <v>202</v>
      </c>
      <c r="BH44">
        <v>1</v>
      </c>
      <c r="BI44" t="s">
        <v>203</v>
      </c>
      <c r="BJ44">
        <v>27.322099999999999</v>
      </c>
      <c r="BK44" t="s">
        <v>204</v>
      </c>
      <c r="BL44" s="3">
        <v>1156.2</v>
      </c>
      <c r="BM44" s="3">
        <v>31589.823499999999</v>
      </c>
      <c r="FE44" s="1">
        <v>46309</v>
      </c>
      <c r="FF44">
        <v>0</v>
      </c>
      <c r="FG44" t="s">
        <v>200</v>
      </c>
      <c r="FH44" t="s">
        <v>213</v>
      </c>
      <c r="FI44">
        <v>110</v>
      </c>
      <c r="FJ44" t="s">
        <v>191</v>
      </c>
      <c r="FK44" t="s">
        <v>206</v>
      </c>
      <c r="FL44" t="s">
        <v>191</v>
      </c>
      <c r="FM44">
        <v>393</v>
      </c>
      <c r="FN44" t="s">
        <v>214</v>
      </c>
    </row>
    <row r="45" spans="1:170" x14ac:dyDescent="0.25">
      <c r="A45" t="s">
        <v>170</v>
      </c>
      <c r="B45">
        <v>1</v>
      </c>
      <c r="C45" t="s">
        <v>171</v>
      </c>
      <c r="F45" s="1">
        <v>46478</v>
      </c>
      <c r="G45" s="1">
        <v>47208</v>
      </c>
      <c r="I45" t="s">
        <v>172</v>
      </c>
      <c r="J45" t="s">
        <v>173</v>
      </c>
      <c r="K45" t="s">
        <v>174</v>
      </c>
      <c r="L45">
        <v>3674687</v>
      </c>
      <c r="M45" t="s">
        <v>175</v>
      </c>
      <c r="N45" t="s">
        <v>176</v>
      </c>
      <c r="P45" t="s">
        <v>177</v>
      </c>
      <c r="R45" t="s">
        <v>178</v>
      </c>
      <c r="S45" t="s">
        <v>179</v>
      </c>
      <c r="T45" t="s">
        <v>180</v>
      </c>
      <c r="U45" t="s">
        <v>181</v>
      </c>
      <c r="V45" t="s">
        <v>182</v>
      </c>
      <c r="X45" t="s">
        <v>183</v>
      </c>
      <c r="Y45" t="s">
        <v>342</v>
      </c>
      <c r="Z45" t="s">
        <v>185</v>
      </c>
      <c r="AB45" t="s">
        <v>176</v>
      </c>
      <c r="AD45" t="s">
        <v>336</v>
      </c>
      <c r="AF45" t="s">
        <v>187</v>
      </c>
      <c r="AG45" t="s">
        <v>188</v>
      </c>
      <c r="AH45" t="s">
        <v>189</v>
      </c>
      <c r="AI45">
        <v>21</v>
      </c>
      <c r="AJ45" t="s">
        <v>343</v>
      </c>
      <c r="AK45" s="4">
        <v>2200014158058</v>
      </c>
      <c r="AL45" t="s">
        <v>191</v>
      </c>
      <c r="AM45" t="s">
        <v>212</v>
      </c>
      <c r="AN45">
        <v>3</v>
      </c>
      <c r="AO45">
        <v>801</v>
      </c>
      <c r="AP45">
        <v>110</v>
      </c>
      <c r="AQ45" t="s">
        <v>194</v>
      </c>
      <c r="AR45" t="s">
        <v>195</v>
      </c>
      <c r="AS45" t="s">
        <v>196</v>
      </c>
      <c r="AT45" s="2">
        <v>0</v>
      </c>
      <c r="AV45" t="s">
        <v>197</v>
      </c>
      <c r="AW45" t="s">
        <v>198</v>
      </c>
      <c r="AX45">
        <v>393</v>
      </c>
      <c r="AY45">
        <v>0</v>
      </c>
      <c r="AZ45" t="s">
        <v>199</v>
      </c>
      <c r="BA45">
        <v>120.8661</v>
      </c>
      <c r="BB45">
        <f t="shared" si="0"/>
        <v>36.763438749999999</v>
      </c>
      <c r="BD45">
        <v>0</v>
      </c>
      <c r="BE45" t="s">
        <v>201</v>
      </c>
      <c r="BF45">
        <v>0</v>
      </c>
      <c r="BG45" t="s">
        <v>202</v>
      </c>
      <c r="BH45">
        <v>1</v>
      </c>
      <c r="BI45" t="s">
        <v>203</v>
      </c>
      <c r="BJ45">
        <v>27.308900000000001</v>
      </c>
      <c r="BK45" t="s">
        <v>204</v>
      </c>
      <c r="BL45" s="3">
        <v>1681.2</v>
      </c>
      <c r="BM45" s="3">
        <v>45911.798900000002</v>
      </c>
      <c r="FE45" s="1">
        <v>46309</v>
      </c>
      <c r="FF45">
        <v>0</v>
      </c>
      <c r="FG45" t="s">
        <v>200</v>
      </c>
      <c r="FH45" t="s">
        <v>213</v>
      </c>
      <c r="FI45">
        <v>110</v>
      </c>
      <c r="FJ45" t="s">
        <v>191</v>
      </c>
      <c r="FK45" t="s">
        <v>206</v>
      </c>
      <c r="FL45" t="s">
        <v>191</v>
      </c>
      <c r="FM45">
        <v>393</v>
      </c>
      <c r="FN45" t="s">
        <v>214</v>
      </c>
    </row>
    <row r="46" spans="1:170" x14ac:dyDescent="0.25">
      <c r="A46" t="s">
        <v>170</v>
      </c>
      <c r="B46">
        <v>1</v>
      </c>
      <c r="C46" t="s">
        <v>171</v>
      </c>
      <c r="F46" s="1">
        <v>46478</v>
      </c>
      <c r="G46" s="1">
        <v>47208</v>
      </c>
      <c r="I46" t="s">
        <v>172</v>
      </c>
      <c r="J46" t="s">
        <v>173</v>
      </c>
      <c r="K46" t="s">
        <v>174</v>
      </c>
      <c r="L46">
        <v>3674687</v>
      </c>
      <c r="M46" t="s">
        <v>175</v>
      </c>
      <c r="N46" t="s">
        <v>176</v>
      </c>
      <c r="P46" t="s">
        <v>177</v>
      </c>
      <c r="R46" t="s">
        <v>178</v>
      </c>
      <c r="S46" t="s">
        <v>179</v>
      </c>
      <c r="T46" t="s">
        <v>180</v>
      </c>
      <c r="U46" t="s">
        <v>181</v>
      </c>
      <c r="V46" t="s">
        <v>182</v>
      </c>
      <c r="X46" t="s">
        <v>183</v>
      </c>
      <c r="Y46" t="s">
        <v>344</v>
      </c>
      <c r="Z46" t="s">
        <v>219</v>
      </c>
      <c r="AB46" t="s">
        <v>176</v>
      </c>
      <c r="AD46" t="s">
        <v>336</v>
      </c>
      <c r="AF46" t="s">
        <v>187</v>
      </c>
      <c r="AG46" t="s">
        <v>188</v>
      </c>
      <c r="AH46" t="s">
        <v>189</v>
      </c>
      <c r="AI46">
        <v>21</v>
      </c>
      <c r="AJ46" t="s">
        <v>345</v>
      </c>
      <c r="AK46" s="4">
        <v>2200014159200</v>
      </c>
      <c r="AL46" t="s">
        <v>191</v>
      </c>
      <c r="AM46" t="s">
        <v>192</v>
      </c>
      <c r="AN46">
        <v>3</v>
      </c>
      <c r="AO46">
        <v>801</v>
      </c>
      <c r="AP46" t="s">
        <v>193</v>
      </c>
      <c r="AQ46" t="s">
        <v>194</v>
      </c>
      <c r="AR46" t="s">
        <v>195</v>
      </c>
      <c r="AS46" t="s">
        <v>196</v>
      </c>
      <c r="AT46" s="2">
        <v>0</v>
      </c>
      <c r="AV46" t="s">
        <v>197</v>
      </c>
      <c r="AW46" t="s">
        <v>198</v>
      </c>
      <c r="AX46">
        <v>393</v>
      </c>
      <c r="AY46">
        <v>0</v>
      </c>
      <c r="AZ46" t="s">
        <v>199</v>
      </c>
      <c r="BA46">
        <v>187.35589999999999</v>
      </c>
      <c r="BB46">
        <f t="shared" si="0"/>
        <v>56.987419583333335</v>
      </c>
      <c r="BD46">
        <v>0</v>
      </c>
      <c r="BE46" t="s">
        <v>201</v>
      </c>
      <c r="BF46">
        <v>0</v>
      </c>
      <c r="BG46" t="s">
        <v>202</v>
      </c>
      <c r="BH46">
        <v>1</v>
      </c>
      <c r="BI46" t="s">
        <v>203</v>
      </c>
      <c r="BJ46">
        <v>27.283799999999999</v>
      </c>
      <c r="BK46" t="s">
        <v>204</v>
      </c>
      <c r="BL46" s="3">
        <v>21808.6</v>
      </c>
      <c r="BM46" s="3">
        <v>595022.22290000005</v>
      </c>
      <c r="FE46" s="1">
        <v>46309</v>
      </c>
      <c r="FF46">
        <v>0</v>
      </c>
      <c r="FG46" t="s">
        <v>200</v>
      </c>
      <c r="FH46" t="s">
        <v>213</v>
      </c>
      <c r="FI46" t="s">
        <v>193</v>
      </c>
      <c r="FJ46" t="s">
        <v>191</v>
      </c>
      <c r="FK46" t="s">
        <v>206</v>
      </c>
      <c r="FL46" t="s">
        <v>191</v>
      </c>
      <c r="FM46">
        <v>393</v>
      </c>
      <c r="FN46" t="s">
        <v>207</v>
      </c>
    </row>
    <row r="47" spans="1:170" x14ac:dyDescent="0.25">
      <c r="A47" t="s">
        <v>170</v>
      </c>
      <c r="B47">
        <v>1</v>
      </c>
      <c r="C47" t="s">
        <v>171</v>
      </c>
      <c r="F47" s="1">
        <v>46478</v>
      </c>
      <c r="G47" s="1">
        <v>47208</v>
      </c>
      <c r="I47" t="s">
        <v>172</v>
      </c>
      <c r="J47" t="s">
        <v>173</v>
      </c>
      <c r="K47" t="s">
        <v>174</v>
      </c>
      <c r="L47">
        <v>3674687</v>
      </c>
      <c r="M47" t="s">
        <v>175</v>
      </c>
      <c r="N47" t="s">
        <v>176</v>
      </c>
      <c r="P47" t="s">
        <v>177</v>
      </c>
      <c r="R47" t="s">
        <v>178</v>
      </c>
      <c r="S47" t="s">
        <v>179</v>
      </c>
      <c r="T47" t="s">
        <v>180</v>
      </c>
      <c r="U47" t="s">
        <v>181</v>
      </c>
      <c r="V47" t="s">
        <v>182</v>
      </c>
      <c r="X47" t="s">
        <v>183</v>
      </c>
      <c r="Y47" t="s">
        <v>288</v>
      </c>
      <c r="Z47" t="s">
        <v>219</v>
      </c>
      <c r="AB47" t="s">
        <v>176</v>
      </c>
      <c r="AD47" t="s">
        <v>289</v>
      </c>
      <c r="AF47" t="s">
        <v>187</v>
      </c>
      <c r="AG47" t="s">
        <v>188</v>
      </c>
      <c r="AH47" t="s">
        <v>189</v>
      </c>
      <c r="AI47">
        <v>21</v>
      </c>
      <c r="AJ47" t="s">
        <v>346</v>
      </c>
      <c r="AK47" s="4">
        <v>2200014160109</v>
      </c>
      <c r="AL47" t="s">
        <v>191</v>
      </c>
      <c r="AM47" t="s">
        <v>192</v>
      </c>
      <c r="AN47">
        <v>3</v>
      </c>
      <c r="AO47">
        <v>801</v>
      </c>
      <c r="AP47">
        <v>110</v>
      </c>
      <c r="AQ47" t="s">
        <v>194</v>
      </c>
      <c r="AR47" t="s">
        <v>195</v>
      </c>
      <c r="AS47" t="s">
        <v>196</v>
      </c>
      <c r="AT47" s="2">
        <v>0</v>
      </c>
      <c r="AV47" t="s">
        <v>197</v>
      </c>
      <c r="AW47" t="s">
        <v>198</v>
      </c>
      <c r="AX47">
        <v>393</v>
      </c>
      <c r="AY47">
        <v>0</v>
      </c>
      <c r="AZ47" t="s">
        <v>199</v>
      </c>
      <c r="BA47">
        <v>120.96729999999999</v>
      </c>
      <c r="BB47">
        <f t="shared" si="0"/>
        <v>36.794220416666668</v>
      </c>
      <c r="BD47">
        <v>0</v>
      </c>
      <c r="BE47" t="s">
        <v>201</v>
      </c>
      <c r="BF47">
        <v>0</v>
      </c>
      <c r="BG47" t="s">
        <v>202</v>
      </c>
      <c r="BH47">
        <v>1</v>
      </c>
      <c r="BI47" t="s">
        <v>203</v>
      </c>
      <c r="BJ47">
        <v>27.294599999999999</v>
      </c>
      <c r="BK47" t="s">
        <v>204</v>
      </c>
      <c r="BL47" s="3">
        <v>2913.6</v>
      </c>
      <c r="BM47" s="3">
        <v>79525.509999999995</v>
      </c>
      <c r="FE47" s="1">
        <v>46309</v>
      </c>
      <c r="FF47">
        <v>0</v>
      </c>
      <c r="FG47" t="s">
        <v>200</v>
      </c>
      <c r="FH47" t="s">
        <v>205</v>
      </c>
      <c r="FI47">
        <v>110</v>
      </c>
      <c r="FJ47" t="s">
        <v>191</v>
      </c>
      <c r="FK47" t="s">
        <v>206</v>
      </c>
      <c r="FL47" t="s">
        <v>191</v>
      </c>
      <c r="FM47">
        <v>393</v>
      </c>
      <c r="FN47" t="s">
        <v>214</v>
      </c>
    </row>
    <row r="48" spans="1:170" x14ac:dyDescent="0.25">
      <c r="A48" t="s">
        <v>170</v>
      </c>
      <c r="B48">
        <v>1</v>
      </c>
      <c r="C48" t="s">
        <v>171</v>
      </c>
      <c r="F48" s="1">
        <v>46478</v>
      </c>
      <c r="G48" s="1">
        <v>47208</v>
      </c>
      <c r="I48" t="s">
        <v>172</v>
      </c>
      <c r="J48" t="s">
        <v>173</v>
      </c>
      <c r="K48" t="s">
        <v>174</v>
      </c>
      <c r="L48">
        <v>3674687</v>
      </c>
      <c r="M48" t="s">
        <v>175</v>
      </c>
      <c r="N48" t="s">
        <v>176</v>
      </c>
      <c r="P48" t="s">
        <v>177</v>
      </c>
      <c r="R48" t="s">
        <v>178</v>
      </c>
      <c r="S48" t="s">
        <v>179</v>
      </c>
      <c r="T48" t="s">
        <v>180</v>
      </c>
      <c r="U48" t="s">
        <v>181</v>
      </c>
      <c r="V48" t="s">
        <v>182</v>
      </c>
      <c r="X48" t="s">
        <v>183</v>
      </c>
      <c r="Y48" t="s">
        <v>347</v>
      </c>
      <c r="Z48" t="s">
        <v>219</v>
      </c>
      <c r="AB48" t="s">
        <v>257</v>
      </c>
      <c r="AD48" t="s">
        <v>348</v>
      </c>
      <c r="AF48" t="s">
        <v>187</v>
      </c>
      <c r="AG48" t="s">
        <v>188</v>
      </c>
      <c r="AH48" t="s">
        <v>189</v>
      </c>
      <c r="AI48">
        <v>21</v>
      </c>
      <c r="AJ48" t="s">
        <v>349</v>
      </c>
      <c r="AK48" s="4">
        <v>2200014175382</v>
      </c>
      <c r="AL48" t="s">
        <v>191</v>
      </c>
      <c r="AM48" t="s">
        <v>192</v>
      </c>
      <c r="AN48">
        <v>3</v>
      </c>
      <c r="AO48">
        <v>801</v>
      </c>
      <c r="AP48" t="s">
        <v>193</v>
      </c>
      <c r="AQ48" t="s">
        <v>194</v>
      </c>
      <c r="AR48" t="s">
        <v>195</v>
      </c>
      <c r="AS48" t="s">
        <v>196</v>
      </c>
      <c r="AT48" s="2">
        <v>0</v>
      </c>
      <c r="AV48" t="s">
        <v>197</v>
      </c>
      <c r="AW48" t="s">
        <v>198</v>
      </c>
      <c r="AX48">
        <v>393</v>
      </c>
      <c r="AY48">
        <v>0</v>
      </c>
      <c r="AZ48" t="s">
        <v>199</v>
      </c>
      <c r="BA48">
        <v>186.56100000000001</v>
      </c>
      <c r="BB48">
        <f t="shared" si="0"/>
        <v>56.745637500000001</v>
      </c>
      <c r="BD48">
        <v>0</v>
      </c>
      <c r="BE48" t="s">
        <v>201</v>
      </c>
      <c r="BF48">
        <v>0</v>
      </c>
      <c r="BG48" t="s">
        <v>202</v>
      </c>
      <c r="BH48">
        <v>1</v>
      </c>
      <c r="BI48" t="s">
        <v>203</v>
      </c>
      <c r="BJ48">
        <v>27.286899999999999</v>
      </c>
      <c r="BK48" t="s">
        <v>204</v>
      </c>
      <c r="BL48" s="3">
        <v>12124.599899999999</v>
      </c>
      <c r="BM48" s="3">
        <v>330843.12540000002</v>
      </c>
      <c r="FE48" s="1">
        <v>46309</v>
      </c>
      <c r="FF48">
        <v>0</v>
      </c>
      <c r="FG48" t="s">
        <v>200</v>
      </c>
      <c r="FH48" t="s">
        <v>213</v>
      </c>
      <c r="FI48" t="s">
        <v>193</v>
      </c>
      <c r="FJ48" t="s">
        <v>191</v>
      </c>
      <c r="FK48" t="s">
        <v>206</v>
      </c>
      <c r="FL48" t="s">
        <v>191</v>
      </c>
      <c r="FM48">
        <v>393</v>
      </c>
      <c r="FN48" t="s">
        <v>207</v>
      </c>
    </row>
    <row r="49" spans="1:170" x14ac:dyDescent="0.25">
      <c r="A49" t="s">
        <v>170</v>
      </c>
      <c r="B49">
        <v>1</v>
      </c>
      <c r="C49" t="s">
        <v>171</v>
      </c>
      <c r="F49" s="1">
        <v>46478</v>
      </c>
      <c r="G49" s="1">
        <v>47208</v>
      </c>
      <c r="I49" t="s">
        <v>172</v>
      </c>
      <c r="J49" t="s">
        <v>173</v>
      </c>
      <c r="K49" t="s">
        <v>174</v>
      </c>
      <c r="L49">
        <v>3674687</v>
      </c>
      <c r="M49" t="s">
        <v>175</v>
      </c>
      <c r="N49" t="s">
        <v>176</v>
      </c>
      <c r="P49" t="s">
        <v>177</v>
      </c>
      <c r="R49" t="s">
        <v>178</v>
      </c>
      <c r="S49" t="s">
        <v>179</v>
      </c>
      <c r="T49" t="s">
        <v>180</v>
      </c>
      <c r="U49" t="s">
        <v>181</v>
      </c>
      <c r="V49" t="s">
        <v>182</v>
      </c>
      <c r="X49" t="s">
        <v>183</v>
      </c>
      <c r="Y49" t="s">
        <v>350</v>
      </c>
      <c r="Z49" t="s">
        <v>351</v>
      </c>
      <c r="AB49" t="s">
        <v>228</v>
      </c>
      <c r="AD49" t="s">
        <v>229</v>
      </c>
      <c r="AF49" t="s">
        <v>187</v>
      </c>
      <c r="AG49" t="s">
        <v>188</v>
      </c>
      <c r="AH49" t="s">
        <v>189</v>
      </c>
      <c r="AI49">
        <v>21</v>
      </c>
      <c r="AJ49" t="s">
        <v>352</v>
      </c>
      <c r="AK49" s="4">
        <v>2200014195830</v>
      </c>
      <c r="AL49" t="s">
        <v>191</v>
      </c>
      <c r="AM49" t="s">
        <v>192</v>
      </c>
      <c r="AN49">
        <v>1</v>
      </c>
      <c r="AO49">
        <v>801</v>
      </c>
      <c r="AP49">
        <v>10</v>
      </c>
      <c r="AQ49" t="s">
        <v>194</v>
      </c>
      <c r="AR49" t="s">
        <v>195</v>
      </c>
      <c r="AS49" t="s">
        <v>196</v>
      </c>
      <c r="AT49" s="2">
        <v>0</v>
      </c>
      <c r="AV49" t="s">
        <v>197</v>
      </c>
      <c r="AW49" t="s">
        <v>198</v>
      </c>
      <c r="AX49">
        <v>393</v>
      </c>
      <c r="AY49">
        <v>0</v>
      </c>
      <c r="AZ49" t="s">
        <v>199</v>
      </c>
      <c r="BA49">
        <v>112.95229999999999</v>
      </c>
      <c r="BB49">
        <f t="shared" si="0"/>
        <v>34.356324583333326</v>
      </c>
      <c r="BD49">
        <v>0</v>
      </c>
      <c r="BE49" t="s">
        <v>201</v>
      </c>
      <c r="BF49">
        <v>0</v>
      </c>
      <c r="BG49" t="s">
        <v>202</v>
      </c>
      <c r="BH49">
        <v>1</v>
      </c>
      <c r="BI49" t="s">
        <v>203</v>
      </c>
      <c r="BJ49">
        <v>28.6433</v>
      </c>
      <c r="BK49" t="s">
        <v>204</v>
      </c>
      <c r="BL49" s="3">
        <v>1360.2</v>
      </c>
      <c r="BM49" s="3">
        <v>38960.6181</v>
      </c>
      <c r="FE49" s="1">
        <v>46309</v>
      </c>
      <c r="FF49">
        <v>0</v>
      </c>
      <c r="FG49" t="s">
        <v>200</v>
      </c>
      <c r="FH49" t="s">
        <v>205</v>
      </c>
      <c r="FI49">
        <v>10</v>
      </c>
      <c r="FJ49" t="s">
        <v>191</v>
      </c>
      <c r="FK49" t="s">
        <v>206</v>
      </c>
      <c r="FL49" t="s">
        <v>191</v>
      </c>
      <c r="FM49">
        <v>393</v>
      </c>
      <c r="FN49" t="s">
        <v>265</v>
      </c>
    </row>
    <row r="50" spans="1:170" x14ac:dyDescent="0.25">
      <c r="A50" t="s">
        <v>170</v>
      </c>
      <c r="B50">
        <v>1</v>
      </c>
      <c r="C50" t="s">
        <v>171</v>
      </c>
      <c r="F50" s="1">
        <v>46478</v>
      </c>
      <c r="G50" s="1">
        <v>47208</v>
      </c>
      <c r="I50" t="s">
        <v>172</v>
      </c>
      <c r="J50" t="s">
        <v>173</v>
      </c>
      <c r="K50" t="s">
        <v>174</v>
      </c>
      <c r="L50">
        <v>3674687</v>
      </c>
      <c r="M50" t="s">
        <v>175</v>
      </c>
      <c r="N50" t="s">
        <v>176</v>
      </c>
      <c r="P50" t="s">
        <v>177</v>
      </c>
      <c r="R50" t="s">
        <v>178</v>
      </c>
      <c r="S50" t="s">
        <v>179</v>
      </c>
      <c r="T50" t="s">
        <v>180</v>
      </c>
      <c r="U50" t="s">
        <v>181</v>
      </c>
      <c r="V50" t="s">
        <v>182</v>
      </c>
      <c r="X50" t="s">
        <v>183</v>
      </c>
      <c r="Y50" t="s">
        <v>353</v>
      </c>
      <c r="Z50" t="s">
        <v>354</v>
      </c>
      <c r="AB50" t="s">
        <v>176</v>
      </c>
      <c r="AD50" t="s">
        <v>355</v>
      </c>
      <c r="AF50" t="s">
        <v>187</v>
      </c>
      <c r="AG50" t="s">
        <v>188</v>
      </c>
      <c r="AH50" t="s">
        <v>189</v>
      </c>
      <c r="AI50">
        <v>21</v>
      </c>
      <c r="AJ50" t="s">
        <v>356</v>
      </c>
      <c r="AK50" s="4">
        <v>2200014198352</v>
      </c>
      <c r="AL50" t="s">
        <v>191</v>
      </c>
      <c r="AM50" t="s">
        <v>192</v>
      </c>
      <c r="AN50">
        <v>3</v>
      </c>
      <c r="AO50">
        <v>801</v>
      </c>
      <c r="AP50">
        <v>110</v>
      </c>
      <c r="AQ50" t="s">
        <v>194</v>
      </c>
      <c r="AR50" t="s">
        <v>195</v>
      </c>
      <c r="AS50" t="s">
        <v>196</v>
      </c>
      <c r="AT50" s="2">
        <v>0</v>
      </c>
      <c r="AV50" t="s">
        <v>197</v>
      </c>
      <c r="AW50" t="s">
        <v>198</v>
      </c>
      <c r="AX50">
        <v>393</v>
      </c>
      <c r="AY50">
        <v>0</v>
      </c>
      <c r="AZ50" t="s">
        <v>199</v>
      </c>
      <c r="BA50">
        <v>120.9601</v>
      </c>
      <c r="BB50">
        <f t="shared" si="0"/>
        <v>36.792030416666663</v>
      </c>
      <c r="BD50">
        <v>0</v>
      </c>
      <c r="BE50" t="s">
        <v>201</v>
      </c>
      <c r="BF50">
        <v>0</v>
      </c>
      <c r="BG50" t="s">
        <v>202</v>
      </c>
      <c r="BH50">
        <v>1</v>
      </c>
      <c r="BI50" t="s">
        <v>203</v>
      </c>
      <c r="BJ50">
        <v>27.295000000000002</v>
      </c>
      <c r="BK50" t="s">
        <v>204</v>
      </c>
      <c r="BL50" s="3">
        <v>2826.2</v>
      </c>
      <c r="BM50" s="3">
        <v>77141.242899999997</v>
      </c>
      <c r="FE50" s="1">
        <v>46309</v>
      </c>
      <c r="FF50">
        <v>0</v>
      </c>
      <c r="FG50" t="s">
        <v>200</v>
      </c>
      <c r="FH50" t="s">
        <v>205</v>
      </c>
      <c r="FI50">
        <v>110</v>
      </c>
      <c r="FJ50" t="s">
        <v>191</v>
      </c>
      <c r="FK50" t="s">
        <v>206</v>
      </c>
      <c r="FL50" t="s">
        <v>191</v>
      </c>
      <c r="FM50">
        <v>393</v>
      </c>
      <c r="FN50" t="s">
        <v>214</v>
      </c>
    </row>
    <row r="51" spans="1:170" x14ac:dyDescent="0.25">
      <c r="A51" t="s">
        <v>170</v>
      </c>
      <c r="B51">
        <v>1</v>
      </c>
      <c r="C51" t="s">
        <v>171</v>
      </c>
      <c r="F51" s="1">
        <v>46478</v>
      </c>
      <c r="G51" s="1">
        <v>47208</v>
      </c>
      <c r="I51" t="s">
        <v>172</v>
      </c>
      <c r="J51" t="s">
        <v>173</v>
      </c>
      <c r="K51" t="s">
        <v>174</v>
      </c>
      <c r="L51">
        <v>3674687</v>
      </c>
      <c r="M51" t="s">
        <v>175</v>
      </c>
      <c r="N51" t="s">
        <v>176</v>
      </c>
      <c r="P51" t="s">
        <v>177</v>
      </c>
      <c r="R51" t="s">
        <v>178</v>
      </c>
      <c r="S51" t="s">
        <v>179</v>
      </c>
      <c r="T51" t="s">
        <v>180</v>
      </c>
      <c r="U51" t="s">
        <v>181</v>
      </c>
      <c r="V51" t="s">
        <v>182</v>
      </c>
      <c r="X51" t="s">
        <v>183</v>
      </c>
      <c r="Y51" t="s">
        <v>353</v>
      </c>
      <c r="Z51" t="s">
        <v>354</v>
      </c>
      <c r="AB51" t="s">
        <v>176</v>
      </c>
      <c r="AD51" t="s">
        <v>355</v>
      </c>
      <c r="AF51" t="s">
        <v>187</v>
      </c>
      <c r="AG51" t="s">
        <v>188</v>
      </c>
      <c r="AH51" t="s">
        <v>189</v>
      </c>
      <c r="AI51">
        <v>21</v>
      </c>
      <c r="AJ51" t="s">
        <v>357</v>
      </c>
      <c r="AK51" s="4">
        <v>2200014198422</v>
      </c>
      <c r="AL51" t="s">
        <v>191</v>
      </c>
      <c r="AM51" t="s">
        <v>212</v>
      </c>
      <c r="AN51">
        <v>3</v>
      </c>
      <c r="AO51">
        <v>801</v>
      </c>
      <c r="AP51">
        <v>110</v>
      </c>
      <c r="AQ51" t="s">
        <v>194</v>
      </c>
      <c r="AR51" t="s">
        <v>195</v>
      </c>
      <c r="AS51" t="s">
        <v>196</v>
      </c>
      <c r="AT51" s="2">
        <v>0</v>
      </c>
      <c r="AV51" t="s">
        <v>197</v>
      </c>
      <c r="AW51" t="s">
        <v>198</v>
      </c>
      <c r="AX51">
        <v>393</v>
      </c>
      <c r="AY51">
        <v>0</v>
      </c>
      <c r="AZ51" t="s">
        <v>199</v>
      </c>
      <c r="BA51">
        <v>120.8211</v>
      </c>
      <c r="BB51">
        <f t="shared" si="0"/>
        <v>36.749751250000003</v>
      </c>
      <c r="BD51">
        <v>0</v>
      </c>
      <c r="BE51" t="s">
        <v>201</v>
      </c>
      <c r="BF51">
        <v>0</v>
      </c>
      <c r="BG51" t="s">
        <v>202</v>
      </c>
      <c r="BH51">
        <v>1</v>
      </c>
      <c r="BI51" t="s">
        <v>203</v>
      </c>
      <c r="BJ51">
        <v>27.323</v>
      </c>
      <c r="BK51" t="s">
        <v>204</v>
      </c>
      <c r="BL51" s="3">
        <v>1133</v>
      </c>
      <c r="BM51" s="3">
        <v>30956.928599999999</v>
      </c>
      <c r="FE51" s="1">
        <v>46309</v>
      </c>
      <c r="FF51">
        <v>0</v>
      </c>
      <c r="FG51" t="s">
        <v>200</v>
      </c>
      <c r="FH51" t="s">
        <v>213</v>
      </c>
      <c r="FI51">
        <v>110</v>
      </c>
      <c r="FJ51" t="s">
        <v>191</v>
      </c>
      <c r="FK51" t="s">
        <v>206</v>
      </c>
      <c r="FL51" t="s">
        <v>191</v>
      </c>
      <c r="FM51">
        <v>393</v>
      </c>
      <c r="FN51" t="s">
        <v>214</v>
      </c>
    </row>
    <row r="52" spans="1:170" x14ac:dyDescent="0.25">
      <c r="A52" t="s">
        <v>170</v>
      </c>
      <c r="B52">
        <v>1</v>
      </c>
      <c r="C52" t="s">
        <v>171</v>
      </c>
      <c r="F52" s="1">
        <v>46478</v>
      </c>
      <c r="G52" s="1">
        <v>47208</v>
      </c>
      <c r="I52" t="s">
        <v>172</v>
      </c>
      <c r="J52" t="s">
        <v>173</v>
      </c>
      <c r="K52" t="s">
        <v>174</v>
      </c>
      <c r="L52">
        <v>3674687</v>
      </c>
      <c r="M52" t="s">
        <v>175</v>
      </c>
      <c r="N52" t="s">
        <v>176</v>
      </c>
      <c r="P52" t="s">
        <v>177</v>
      </c>
      <c r="R52" t="s">
        <v>178</v>
      </c>
      <c r="S52" t="s">
        <v>179</v>
      </c>
      <c r="T52" t="s">
        <v>180</v>
      </c>
      <c r="U52" t="s">
        <v>181</v>
      </c>
      <c r="V52" t="s">
        <v>182</v>
      </c>
      <c r="X52" t="s">
        <v>183</v>
      </c>
      <c r="Y52" t="s">
        <v>358</v>
      </c>
      <c r="Z52" t="s">
        <v>219</v>
      </c>
      <c r="AB52" t="s">
        <v>176</v>
      </c>
      <c r="AD52" t="s">
        <v>355</v>
      </c>
      <c r="AF52" t="s">
        <v>187</v>
      </c>
      <c r="AG52" t="s">
        <v>188</v>
      </c>
      <c r="AH52" t="s">
        <v>189</v>
      </c>
      <c r="AI52">
        <v>21</v>
      </c>
      <c r="AJ52" t="s">
        <v>359</v>
      </c>
      <c r="AK52" s="4">
        <v>2200014198496</v>
      </c>
      <c r="AL52" t="s">
        <v>191</v>
      </c>
      <c r="AM52" t="s">
        <v>212</v>
      </c>
      <c r="AN52">
        <v>3</v>
      </c>
      <c r="AO52">
        <v>801</v>
      </c>
      <c r="AP52">
        <v>110</v>
      </c>
      <c r="AQ52" t="s">
        <v>194</v>
      </c>
      <c r="AR52" t="s">
        <v>195</v>
      </c>
      <c r="AS52" t="s">
        <v>196</v>
      </c>
      <c r="AT52" s="2">
        <v>0</v>
      </c>
      <c r="AV52" t="s">
        <v>197</v>
      </c>
      <c r="AW52" t="s">
        <v>198</v>
      </c>
      <c r="AX52">
        <v>393</v>
      </c>
      <c r="AY52">
        <v>0</v>
      </c>
      <c r="AZ52" t="s">
        <v>199</v>
      </c>
      <c r="BA52">
        <v>120.8168</v>
      </c>
      <c r="BB52">
        <f t="shared" si="0"/>
        <v>36.748443333333334</v>
      </c>
      <c r="BD52">
        <v>0</v>
      </c>
      <c r="BE52" t="s">
        <v>201</v>
      </c>
      <c r="BF52">
        <v>0</v>
      </c>
      <c r="BG52" t="s">
        <v>202</v>
      </c>
      <c r="BH52">
        <v>1</v>
      </c>
      <c r="BI52" t="s">
        <v>203</v>
      </c>
      <c r="BJ52">
        <v>27.324999999999999</v>
      </c>
      <c r="BK52" t="s">
        <v>204</v>
      </c>
      <c r="BL52" s="3">
        <v>1081.2001</v>
      </c>
      <c r="BM52" s="3">
        <v>29543.828699999998</v>
      </c>
      <c r="FE52" s="1">
        <v>46309</v>
      </c>
      <c r="FF52">
        <v>0</v>
      </c>
      <c r="FG52" t="s">
        <v>200</v>
      </c>
      <c r="FH52" t="s">
        <v>213</v>
      </c>
      <c r="FI52">
        <v>110</v>
      </c>
      <c r="FJ52" t="s">
        <v>191</v>
      </c>
      <c r="FK52" t="s">
        <v>206</v>
      </c>
      <c r="FL52" t="s">
        <v>191</v>
      </c>
      <c r="FM52">
        <v>393</v>
      </c>
      <c r="FN52" t="s">
        <v>214</v>
      </c>
    </row>
    <row r="53" spans="1:170" x14ac:dyDescent="0.25">
      <c r="A53" t="s">
        <v>170</v>
      </c>
      <c r="B53">
        <v>1</v>
      </c>
      <c r="C53" t="s">
        <v>171</v>
      </c>
      <c r="F53" s="1">
        <v>46478</v>
      </c>
      <c r="G53" s="1">
        <v>47208</v>
      </c>
      <c r="I53" t="s">
        <v>172</v>
      </c>
      <c r="J53" t="s">
        <v>173</v>
      </c>
      <c r="K53" t="s">
        <v>174</v>
      </c>
      <c r="L53">
        <v>3674687</v>
      </c>
      <c r="M53" t="s">
        <v>175</v>
      </c>
      <c r="N53" t="s">
        <v>176</v>
      </c>
      <c r="P53" t="s">
        <v>177</v>
      </c>
      <c r="R53" t="s">
        <v>178</v>
      </c>
      <c r="S53" t="s">
        <v>179</v>
      </c>
      <c r="T53" t="s">
        <v>180</v>
      </c>
      <c r="U53" t="s">
        <v>181</v>
      </c>
      <c r="V53" t="s">
        <v>182</v>
      </c>
      <c r="X53" t="s">
        <v>183</v>
      </c>
      <c r="Y53" t="s">
        <v>360</v>
      </c>
      <c r="Z53" t="s">
        <v>354</v>
      </c>
      <c r="AB53" t="s">
        <v>176</v>
      </c>
      <c r="AD53" t="s">
        <v>355</v>
      </c>
      <c r="AF53" t="s">
        <v>187</v>
      </c>
      <c r="AG53" t="s">
        <v>188</v>
      </c>
      <c r="AH53" t="s">
        <v>189</v>
      </c>
      <c r="AI53">
        <v>21</v>
      </c>
      <c r="AJ53" t="s">
        <v>361</v>
      </c>
      <c r="AK53" s="4">
        <v>2200014199018</v>
      </c>
      <c r="AL53" t="s">
        <v>191</v>
      </c>
      <c r="AM53" t="s">
        <v>192</v>
      </c>
      <c r="AN53">
        <v>3</v>
      </c>
      <c r="AO53">
        <v>801</v>
      </c>
      <c r="AP53">
        <v>110</v>
      </c>
      <c r="AQ53" t="s">
        <v>194</v>
      </c>
      <c r="AR53" t="s">
        <v>195</v>
      </c>
      <c r="AS53" t="s">
        <v>196</v>
      </c>
      <c r="AT53" s="2">
        <v>0</v>
      </c>
      <c r="AV53" t="s">
        <v>197</v>
      </c>
      <c r="AW53" t="s">
        <v>198</v>
      </c>
      <c r="AX53">
        <v>393</v>
      </c>
      <c r="AY53">
        <v>0</v>
      </c>
      <c r="AZ53" t="s">
        <v>199</v>
      </c>
      <c r="BA53">
        <v>120.86790000000001</v>
      </c>
      <c r="BB53">
        <f t="shared" si="0"/>
        <v>36.763986250000002</v>
      </c>
      <c r="BD53">
        <v>0</v>
      </c>
      <c r="BE53" t="s">
        <v>201</v>
      </c>
      <c r="BF53">
        <v>0</v>
      </c>
      <c r="BG53" t="s">
        <v>202</v>
      </c>
      <c r="BH53">
        <v>1</v>
      </c>
      <c r="BI53" t="s">
        <v>203</v>
      </c>
      <c r="BJ53">
        <v>27.255700000000001</v>
      </c>
      <c r="BK53" t="s">
        <v>204</v>
      </c>
      <c r="BL53">
        <v>707.6001</v>
      </c>
      <c r="BM53" s="3">
        <v>19286.1639</v>
      </c>
      <c r="FE53" s="1">
        <v>46309</v>
      </c>
      <c r="FF53">
        <v>0</v>
      </c>
      <c r="FG53" t="s">
        <v>200</v>
      </c>
      <c r="FH53" t="s">
        <v>205</v>
      </c>
      <c r="FI53">
        <v>110</v>
      </c>
      <c r="FJ53" t="s">
        <v>191</v>
      </c>
      <c r="FK53" t="s">
        <v>206</v>
      </c>
      <c r="FL53" t="s">
        <v>191</v>
      </c>
      <c r="FM53">
        <v>393</v>
      </c>
      <c r="FN53" t="s">
        <v>214</v>
      </c>
    </row>
    <row r="54" spans="1:170" x14ac:dyDescent="0.25">
      <c r="A54" t="s">
        <v>170</v>
      </c>
      <c r="B54">
        <v>1</v>
      </c>
      <c r="C54" t="s">
        <v>171</v>
      </c>
      <c r="F54" s="1">
        <v>46478</v>
      </c>
      <c r="G54" s="1">
        <v>47208</v>
      </c>
      <c r="I54" t="s">
        <v>172</v>
      </c>
      <c r="J54" t="s">
        <v>173</v>
      </c>
      <c r="K54" t="s">
        <v>174</v>
      </c>
      <c r="L54">
        <v>3674687</v>
      </c>
      <c r="M54" t="s">
        <v>175</v>
      </c>
      <c r="N54" t="s">
        <v>176</v>
      </c>
      <c r="P54" t="s">
        <v>177</v>
      </c>
      <c r="R54" t="s">
        <v>178</v>
      </c>
      <c r="S54" t="s">
        <v>179</v>
      </c>
      <c r="T54" t="s">
        <v>180</v>
      </c>
      <c r="U54" t="s">
        <v>181</v>
      </c>
      <c r="V54" t="s">
        <v>182</v>
      </c>
      <c r="X54" t="s">
        <v>183</v>
      </c>
      <c r="Y54" t="s">
        <v>360</v>
      </c>
      <c r="Z54" t="s">
        <v>354</v>
      </c>
      <c r="AB54" t="s">
        <v>176</v>
      </c>
      <c r="AD54" t="s">
        <v>355</v>
      </c>
      <c r="AF54" t="s">
        <v>187</v>
      </c>
      <c r="AG54" t="s">
        <v>188</v>
      </c>
      <c r="AH54" t="s">
        <v>189</v>
      </c>
      <c r="AI54">
        <v>21</v>
      </c>
      <c r="AJ54" t="s">
        <v>362</v>
      </c>
      <c r="AK54" s="4">
        <v>2200014199081</v>
      </c>
      <c r="AL54" t="s">
        <v>191</v>
      </c>
      <c r="AM54" t="s">
        <v>192</v>
      </c>
      <c r="AN54">
        <v>3</v>
      </c>
      <c r="AO54">
        <v>801</v>
      </c>
      <c r="AP54">
        <v>110</v>
      </c>
      <c r="AQ54" t="s">
        <v>194</v>
      </c>
      <c r="AR54" t="s">
        <v>195</v>
      </c>
      <c r="AS54" t="s">
        <v>196</v>
      </c>
      <c r="AT54" s="2">
        <v>0</v>
      </c>
      <c r="AV54" t="s">
        <v>197</v>
      </c>
      <c r="AW54" t="s">
        <v>198</v>
      </c>
      <c r="AX54">
        <v>393</v>
      </c>
      <c r="AY54">
        <v>0</v>
      </c>
      <c r="AZ54" t="s">
        <v>199</v>
      </c>
      <c r="BA54">
        <v>120.8481</v>
      </c>
      <c r="BB54">
        <f t="shared" si="0"/>
        <v>36.757963750000002</v>
      </c>
      <c r="BD54">
        <v>0</v>
      </c>
      <c r="BE54" t="s">
        <v>201</v>
      </c>
      <c r="BF54">
        <v>0</v>
      </c>
      <c r="BG54" t="s">
        <v>202</v>
      </c>
      <c r="BH54">
        <v>1</v>
      </c>
      <c r="BI54" t="s">
        <v>203</v>
      </c>
      <c r="BJ54">
        <v>27.309100000000001</v>
      </c>
      <c r="BK54" t="s">
        <v>204</v>
      </c>
      <c r="BL54" s="3">
        <v>1462</v>
      </c>
      <c r="BM54" s="3">
        <v>39925.926299999999</v>
      </c>
      <c r="FE54" s="1">
        <v>46309</v>
      </c>
      <c r="FF54">
        <v>0</v>
      </c>
      <c r="FG54" t="s">
        <v>200</v>
      </c>
      <c r="FH54" t="s">
        <v>205</v>
      </c>
      <c r="FI54">
        <v>110</v>
      </c>
      <c r="FJ54" t="s">
        <v>191</v>
      </c>
      <c r="FK54" t="s">
        <v>206</v>
      </c>
      <c r="FL54" t="s">
        <v>191</v>
      </c>
      <c r="FM54">
        <v>393</v>
      </c>
      <c r="FN54" t="s">
        <v>214</v>
      </c>
    </row>
    <row r="55" spans="1:170" x14ac:dyDescent="0.25">
      <c r="A55" t="s">
        <v>170</v>
      </c>
      <c r="B55">
        <v>1</v>
      </c>
      <c r="C55" t="s">
        <v>171</v>
      </c>
      <c r="F55" s="1">
        <v>46478</v>
      </c>
      <c r="G55" s="1">
        <v>47208</v>
      </c>
      <c r="I55" t="s">
        <v>172</v>
      </c>
      <c r="J55" t="s">
        <v>173</v>
      </c>
      <c r="K55" t="s">
        <v>174</v>
      </c>
      <c r="L55">
        <v>3674687</v>
      </c>
      <c r="M55" t="s">
        <v>175</v>
      </c>
      <c r="N55" t="s">
        <v>176</v>
      </c>
      <c r="P55" t="s">
        <v>177</v>
      </c>
      <c r="R55" t="s">
        <v>178</v>
      </c>
      <c r="S55" t="s">
        <v>179</v>
      </c>
      <c r="T55" t="s">
        <v>180</v>
      </c>
      <c r="U55" t="s">
        <v>181</v>
      </c>
      <c r="V55" t="s">
        <v>182</v>
      </c>
      <c r="X55" t="s">
        <v>183</v>
      </c>
      <c r="Y55" t="s">
        <v>363</v>
      </c>
      <c r="Z55" t="s">
        <v>219</v>
      </c>
      <c r="AB55" t="s">
        <v>176</v>
      </c>
      <c r="AD55" t="s">
        <v>364</v>
      </c>
      <c r="AF55" t="s">
        <v>187</v>
      </c>
      <c r="AG55" t="s">
        <v>188</v>
      </c>
      <c r="AH55" t="s">
        <v>189</v>
      </c>
      <c r="AI55">
        <v>21</v>
      </c>
      <c r="AJ55" t="s">
        <v>365</v>
      </c>
      <c r="AK55" s="4">
        <v>2200014199151</v>
      </c>
      <c r="AL55" t="s">
        <v>191</v>
      </c>
      <c r="AM55" t="s">
        <v>192</v>
      </c>
      <c r="AN55">
        <v>3</v>
      </c>
      <c r="AO55">
        <v>801</v>
      </c>
      <c r="AP55">
        <v>110</v>
      </c>
      <c r="AQ55" t="s">
        <v>194</v>
      </c>
      <c r="AR55" t="s">
        <v>195</v>
      </c>
      <c r="AS55" t="s">
        <v>196</v>
      </c>
      <c r="AT55" s="2">
        <v>0</v>
      </c>
      <c r="AV55" t="s">
        <v>197</v>
      </c>
      <c r="AW55" t="s">
        <v>198</v>
      </c>
      <c r="AX55">
        <v>393</v>
      </c>
      <c r="AY55">
        <v>0</v>
      </c>
      <c r="AZ55" t="s">
        <v>199</v>
      </c>
      <c r="BA55">
        <v>120.84529999999999</v>
      </c>
      <c r="BB55">
        <f t="shared" si="0"/>
        <v>36.757112083333332</v>
      </c>
      <c r="BD55">
        <v>0</v>
      </c>
      <c r="BE55" t="s">
        <v>201</v>
      </c>
      <c r="BF55">
        <v>0</v>
      </c>
      <c r="BG55" t="s">
        <v>202</v>
      </c>
      <c r="BH55">
        <v>1</v>
      </c>
      <c r="BI55" t="s">
        <v>203</v>
      </c>
      <c r="BJ55">
        <v>27.309799999999999</v>
      </c>
      <c r="BK55" t="s">
        <v>204</v>
      </c>
      <c r="BL55" s="3">
        <v>1427.7999</v>
      </c>
      <c r="BM55" s="3">
        <v>38992.948799999998</v>
      </c>
      <c r="FE55" s="1">
        <v>46309</v>
      </c>
      <c r="FF55">
        <v>0</v>
      </c>
      <c r="FG55" t="s">
        <v>200</v>
      </c>
      <c r="FH55" t="s">
        <v>205</v>
      </c>
      <c r="FI55">
        <v>110</v>
      </c>
      <c r="FJ55" t="s">
        <v>191</v>
      </c>
      <c r="FK55" t="s">
        <v>206</v>
      </c>
      <c r="FL55" t="s">
        <v>191</v>
      </c>
      <c r="FM55">
        <v>393</v>
      </c>
      <c r="FN55" t="s">
        <v>214</v>
      </c>
    </row>
    <row r="56" spans="1:170" x14ac:dyDescent="0.25">
      <c r="A56" t="s">
        <v>170</v>
      </c>
      <c r="B56">
        <v>1</v>
      </c>
      <c r="C56" t="s">
        <v>171</v>
      </c>
      <c r="F56" s="1">
        <v>46478</v>
      </c>
      <c r="G56" s="1">
        <v>47208</v>
      </c>
      <c r="I56" t="s">
        <v>172</v>
      </c>
      <c r="J56" t="s">
        <v>173</v>
      </c>
      <c r="K56" t="s">
        <v>174</v>
      </c>
      <c r="L56">
        <v>3674687</v>
      </c>
      <c r="M56" t="s">
        <v>175</v>
      </c>
      <c r="N56" t="s">
        <v>176</v>
      </c>
      <c r="P56" t="s">
        <v>177</v>
      </c>
      <c r="R56" t="s">
        <v>178</v>
      </c>
      <c r="S56" t="s">
        <v>179</v>
      </c>
      <c r="T56" t="s">
        <v>180</v>
      </c>
      <c r="U56" t="s">
        <v>181</v>
      </c>
      <c r="V56" t="s">
        <v>182</v>
      </c>
      <c r="X56" t="s">
        <v>183</v>
      </c>
      <c r="Y56" t="s">
        <v>366</v>
      </c>
      <c r="Z56" t="s">
        <v>354</v>
      </c>
      <c r="AB56" t="s">
        <v>176</v>
      </c>
      <c r="AD56" t="s">
        <v>367</v>
      </c>
      <c r="AF56" t="s">
        <v>187</v>
      </c>
      <c r="AG56" t="s">
        <v>188</v>
      </c>
      <c r="AH56" t="s">
        <v>189</v>
      </c>
      <c r="AI56">
        <v>21</v>
      </c>
      <c r="AJ56" t="s">
        <v>368</v>
      </c>
      <c r="AK56" s="4">
        <v>2200014199490</v>
      </c>
      <c r="AL56" t="s">
        <v>191</v>
      </c>
      <c r="AM56" t="s">
        <v>192</v>
      </c>
      <c r="AN56">
        <v>3</v>
      </c>
      <c r="AO56">
        <v>801</v>
      </c>
      <c r="AP56" t="s">
        <v>193</v>
      </c>
      <c r="AQ56" t="s">
        <v>194</v>
      </c>
      <c r="AR56" t="s">
        <v>195</v>
      </c>
      <c r="AS56" t="s">
        <v>196</v>
      </c>
      <c r="AT56" s="2">
        <v>0</v>
      </c>
      <c r="AV56" t="s">
        <v>197</v>
      </c>
      <c r="AW56" t="s">
        <v>198</v>
      </c>
      <c r="AX56">
        <v>393</v>
      </c>
      <c r="AY56">
        <v>0</v>
      </c>
      <c r="AZ56" t="s">
        <v>199</v>
      </c>
      <c r="BA56">
        <v>187.86519999999999</v>
      </c>
      <c r="BB56">
        <f t="shared" si="0"/>
        <v>57.142331666666664</v>
      </c>
      <c r="BD56">
        <v>0</v>
      </c>
      <c r="BE56" t="s">
        <v>201</v>
      </c>
      <c r="BF56">
        <v>0</v>
      </c>
      <c r="BG56" t="s">
        <v>202</v>
      </c>
      <c r="BH56">
        <v>1</v>
      </c>
      <c r="BI56" t="s">
        <v>203</v>
      </c>
      <c r="BJ56">
        <v>27.283000000000001</v>
      </c>
      <c r="BK56" t="s">
        <v>204</v>
      </c>
      <c r="BL56" s="3">
        <v>28013.8</v>
      </c>
      <c r="BM56" s="3">
        <v>764299.80779999995</v>
      </c>
      <c r="FE56" s="1">
        <v>46309</v>
      </c>
      <c r="FF56">
        <v>0</v>
      </c>
      <c r="FG56" t="s">
        <v>200</v>
      </c>
      <c r="FH56" t="s">
        <v>205</v>
      </c>
      <c r="FI56" t="s">
        <v>193</v>
      </c>
      <c r="FJ56" t="s">
        <v>191</v>
      </c>
      <c r="FK56" t="s">
        <v>206</v>
      </c>
      <c r="FL56" t="s">
        <v>191</v>
      </c>
      <c r="FM56">
        <v>393</v>
      </c>
      <c r="FN56" t="s">
        <v>207</v>
      </c>
    </row>
    <row r="57" spans="1:170" x14ac:dyDescent="0.25">
      <c r="A57" t="s">
        <v>170</v>
      </c>
      <c r="B57">
        <v>1</v>
      </c>
      <c r="C57" t="s">
        <v>171</v>
      </c>
      <c r="F57" s="1">
        <v>46478</v>
      </c>
      <c r="G57" s="1">
        <v>47208</v>
      </c>
      <c r="I57" t="s">
        <v>172</v>
      </c>
      <c r="J57" t="s">
        <v>173</v>
      </c>
      <c r="K57" t="s">
        <v>174</v>
      </c>
      <c r="L57">
        <v>3674687</v>
      </c>
      <c r="M57" t="s">
        <v>175</v>
      </c>
      <c r="N57" t="s">
        <v>176</v>
      </c>
      <c r="P57" t="s">
        <v>177</v>
      </c>
      <c r="R57" t="s">
        <v>178</v>
      </c>
      <c r="S57" t="s">
        <v>179</v>
      </c>
      <c r="T57" t="s">
        <v>180</v>
      </c>
      <c r="U57" t="s">
        <v>181</v>
      </c>
      <c r="V57" t="s">
        <v>182</v>
      </c>
      <c r="X57" t="s">
        <v>183</v>
      </c>
      <c r="Y57" t="s">
        <v>369</v>
      </c>
      <c r="Z57" t="s">
        <v>370</v>
      </c>
      <c r="AB57" t="s">
        <v>257</v>
      </c>
      <c r="AD57" t="s">
        <v>371</v>
      </c>
      <c r="AF57" t="s">
        <v>187</v>
      </c>
      <c r="AG57" t="s">
        <v>188</v>
      </c>
      <c r="AH57" t="s">
        <v>189</v>
      </c>
      <c r="AI57">
        <v>21</v>
      </c>
      <c r="AJ57" t="s">
        <v>372</v>
      </c>
      <c r="AK57" s="4">
        <v>2200014214961</v>
      </c>
      <c r="AL57" t="s">
        <v>191</v>
      </c>
      <c r="AM57" t="s">
        <v>192</v>
      </c>
      <c r="AN57">
        <v>3</v>
      </c>
      <c r="AO57">
        <v>801</v>
      </c>
      <c r="AP57">
        <v>110</v>
      </c>
      <c r="AQ57" t="s">
        <v>194</v>
      </c>
      <c r="AR57" t="s">
        <v>195</v>
      </c>
      <c r="AS57" t="s">
        <v>196</v>
      </c>
      <c r="AT57" s="2">
        <v>0</v>
      </c>
      <c r="AV57" t="s">
        <v>197</v>
      </c>
      <c r="AW57" t="s">
        <v>198</v>
      </c>
      <c r="AX57">
        <v>393</v>
      </c>
      <c r="AY57">
        <v>0</v>
      </c>
      <c r="AZ57" t="s">
        <v>199</v>
      </c>
      <c r="BA57">
        <v>120.8781</v>
      </c>
      <c r="BB57">
        <f t="shared" si="0"/>
        <v>36.767088749999999</v>
      </c>
      <c r="BD57">
        <v>0</v>
      </c>
      <c r="BE57" t="s">
        <v>201</v>
      </c>
      <c r="BF57">
        <v>0</v>
      </c>
      <c r="BG57" t="s">
        <v>202</v>
      </c>
      <c r="BH57">
        <v>1</v>
      </c>
      <c r="BI57" t="s">
        <v>203</v>
      </c>
      <c r="BJ57">
        <v>27.3033</v>
      </c>
      <c r="BK57" t="s">
        <v>204</v>
      </c>
      <c r="BL57" s="3">
        <v>1827.2</v>
      </c>
      <c r="BM57" s="3">
        <v>49888.565199999997</v>
      </c>
      <c r="FE57" s="1">
        <v>46309</v>
      </c>
      <c r="FF57">
        <v>0</v>
      </c>
      <c r="FG57" t="s">
        <v>200</v>
      </c>
      <c r="FH57" t="s">
        <v>205</v>
      </c>
      <c r="FI57">
        <v>110</v>
      </c>
      <c r="FJ57" t="s">
        <v>191</v>
      </c>
      <c r="FK57" t="s">
        <v>206</v>
      </c>
      <c r="FL57" t="s">
        <v>191</v>
      </c>
      <c r="FM57">
        <v>393</v>
      </c>
      <c r="FN57" t="s">
        <v>214</v>
      </c>
    </row>
    <row r="58" spans="1:170" x14ac:dyDescent="0.25">
      <c r="A58" t="s">
        <v>170</v>
      </c>
      <c r="B58">
        <v>1</v>
      </c>
      <c r="C58" t="s">
        <v>171</v>
      </c>
      <c r="F58" s="1">
        <v>46478</v>
      </c>
      <c r="G58" s="1">
        <v>47208</v>
      </c>
      <c r="I58" t="s">
        <v>172</v>
      </c>
      <c r="J58" t="s">
        <v>173</v>
      </c>
      <c r="K58" t="s">
        <v>174</v>
      </c>
      <c r="L58">
        <v>3674687</v>
      </c>
      <c r="M58" t="s">
        <v>175</v>
      </c>
      <c r="N58" t="s">
        <v>176</v>
      </c>
      <c r="P58" t="s">
        <v>177</v>
      </c>
      <c r="R58" t="s">
        <v>178</v>
      </c>
      <c r="S58" t="s">
        <v>179</v>
      </c>
      <c r="T58" t="s">
        <v>180</v>
      </c>
      <c r="U58" t="s">
        <v>181</v>
      </c>
      <c r="V58" t="s">
        <v>182</v>
      </c>
      <c r="X58" t="s">
        <v>183</v>
      </c>
      <c r="Y58" t="s">
        <v>373</v>
      </c>
      <c r="Z58" t="s">
        <v>370</v>
      </c>
      <c r="AB58" t="s">
        <v>257</v>
      </c>
      <c r="AD58" t="s">
        <v>371</v>
      </c>
      <c r="AF58" t="s">
        <v>187</v>
      </c>
      <c r="AG58" t="s">
        <v>188</v>
      </c>
      <c r="AH58" t="s">
        <v>189</v>
      </c>
      <c r="AI58">
        <v>21</v>
      </c>
      <c r="AJ58" t="s">
        <v>374</v>
      </c>
      <c r="AK58" s="4">
        <v>2200014214970</v>
      </c>
      <c r="AL58" t="s">
        <v>191</v>
      </c>
      <c r="AM58" t="s">
        <v>192</v>
      </c>
      <c r="AN58">
        <v>3</v>
      </c>
      <c r="AO58">
        <v>801</v>
      </c>
      <c r="AP58">
        <v>110</v>
      </c>
      <c r="AQ58" t="s">
        <v>194</v>
      </c>
      <c r="AR58" t="s">
        <v>195</v>
      </c>
      <c r="AS58" t="s">
        <v>196</v>
      </c>
      <c r="AT58" s="2">
        <v>0</v>
      </c>
      <c r="AV58" t="s">
        <v>197</v>
      </c>
      <c r="AW58" t="s">
        <v>198</v>
      </c>
      <c r="AX58">
        <v>393</v>
      </c>
      <c r="AY58">
        <v>0</v>
      </c>
      <c r="AZ58" t="s">
        <v>199</v>
      </c>
      <c r="BA58">
        <v>120.8468</v>
      </c>
      <c r="BB58">
        <f t="shared" si="0"/>
        <v>36.757568333333332</v>
      </c>
      <c r="BD58">
        <v>0</v>
      </c>
      <c r="BE58" t="s">
        <v>201</v>
      </c>
      <c r="BF58">
        <v>0</v>
      </c>
      <c r="BG58" t="s">
        <v>202</v>
      </c>
      <c r="BH58">
        <v>1</v>
      </c>
      <c r="BI58" t="s">
        <v>203</v>
      </c>
      <c r="BJ58">
        <v>27.3094</v>
      </c>
      <c r="BK58" t="s">
        <v>204</v>
      </c>
      <c r="BL58" s="3">
        <v>1445.6</v>
      </c>
      <c r="BM58" s="3">
        <v>39478.5357</v>
      </c>
      <c r="FE58" s="1">
        <v>46309</v>
      </c>
      <c r="FF58">
        <v>0</v>
      </c>
      <c r="FG58" t="s">
        <v>200</v>
      </c>
      <c r="FH58" t="s">
        <v>205</v>
      </c>
      <c r="FI58">
        <v>110</v>
      </c>
      <c r="FJ58" t="s">
        <v>191</v>
      </c>
      <c r="FK58" t="s">
        <v>206</v>
      </c>
      <c r="FL58" t="s">
        <v>191</v>
      </c>
      <c r="FM58">
        <v>393</v>
      </c>
      <c r="FN58" t="s">
        <v>214</v>
      </c>
    </row>
    <row r="59" spans="1:170" x14ac:dyDescent="0.25">
      <c r="A59" t="s">
        <v>170</v>
      </c>
      <c r="B59">
        <v>1</v>
      </c>
      <c r="C59" t="s">
        <v>171</v>
      </c>
      <c r="F59" s="1">
        <v>46478</v>
      </c>
      <c r="G59" s="1">
        <v>47208</v>
      </c>
      <c r="I59" t="s">
        <v>172</v>
      </c>
      <c r="J59" t="s">
        <v>173</v>
      </c>
      <c r="K59" t="s">
        <v>174</v>
      </c>
      <c r="L59">
        <v>3674687</v>
      </c>
      <c r="M59" t="s">
        <v>175</v>
      </c>
      <c r="N59" t="s">
        <v>176</v>
      </c>
      <c r="P59" t="s">
        <v>177</v>
      </c>
      <c r="R59" t="s">
        <v>178</v>
      </c>
      <c r="S59" t="s">
        <v>179</v>
      </c>
      <c r="T59" t="s">
        <v>180</v>
      </c>
      <c r="U59" t="s">
        <v>181</v>
      </c>
      <c r="V59" t="s">
        <v>182</v>
      </c>
      <c r="X59" t="s">
        <v>183</v>
      </c>
      <c r="Y59" t="s">
        <v>375</v>
      </c>
      <c r="Z59" t="s">
        <v>370</v>
      </c>
      <c r="AB59" t="s">
        <v>257</v>
      </c>
      <c r="AD59" t="s">
        <v>371</v>
      </c>
      <c r="AF59" t="s">
        <v>187</v>
      </c>
      <c r="AG59" t="s">
        <v>188</v>
      </c>
      <c r="AH59" t="s">
        <v>189</v>
      </c>
      <c r="AI59">
        <v>21</v>
      </c>
      <c r="AJ59" t="s">
        <v>376</v>
      </c>
      <c r="AK59" s="4">
        <v>2200014214980</v>
      </c>
      <c r="AL59" t="s">
        <v>191</v>
      </c>
      <c r="AM59" t="s">
        <v>192</v>
      </c>
      <c r="AN59">
        <v>3</v>
      </c>
      <c r="AO59">
        <v>801</v>
      </c>
      <c r="AP59">
        <v>110</v>
      </c>
      <c r="AQ59" t="s">
        <v>194</v>
      </c>
      <c r="AR59" t="s">
        <v>195</v>
      </c>
      <c r="AS59" t="s">
        <v>196</v>
      </c>
      <c r="AT59" s="2">
        <v>0</v>
      </c>
      <c r="AV59" t="s">
        <v>197</v>
      </c>
      <c r="AW59" t="s">
        <v>198</v>
      </c>
      <c r="AX59">
        <v>393</v>
      </c>
      <c r="AY59">
        <v>0</v>
      </c>
      <c r="AZ59" t="s">
        <v>199</v>
      </c>
      <c r="BA59">
        <v>120.8822</v>
      </c>
      <c r="BB59">
        <f t="shared" si="0"/>
        <v>36.768335833333332</v>
      </c>
      <c r="BD59">
        <v>0</v>
      </c>
      <c r="BE59" t="s">
        <v>201</v>
      </c>
      <c r="BF59">
        <v>0</v>
      </c>
      <c r="BG59" t="s">
        <v>202</v>
      </c>
      <c r="BH59">
        <v>1</v>
      </c>
      <c r="BI59" t="s">
        <v>203</v>
      </c>
      <c r="BJ59">
        <v>27.302700000000002</v>
      </c>
      <c r="BK59" t="s">
        <v>204</v>
      </c>
      <c r="BL59" s="3">
        <v>1876.9999</v>
      </c>
      <c r="BM59" s="3">
        <v>51247.1057</v>
      </c>
      <c r="FE59" s="1">
        <v>46309</v>
      </c>
      <c r="FF59">
        <v>0</v>
      </c>
      <c r="FG59" t="s">
        <v>200</v>
      </c>
      <c r="FH59" t="s">
        <v>205</v>
      </c>
      <c r="FI59">
        <v>110</v>
      </c>
      <c r="FJ59" t="s">
        <v>191</v>
      </c>
      <c r="FK59" t="s">
        <v>206</v>
      </c>
      <c r="FL59" t="s">
        <v>191</v>
      </c>
      <c r="FM59">
        <v>393</v>
      </c>
      <c r="FN59" t="s">
        <v>214</v>
      </c>
    </row>
    <row r="60" spans="1:170" x14ac:dyDescent="0.25">
      <c r="A60" t="s">
        <v>170</v>
      </c>
      <c r="B60">
        <v>1</v>
      </c>
      <c r="C60" t="s">
        <v>171</v>
      </c>
      <c r="F60" s="1">
        <v>46478</v>
      </c>
      <c r="G60" s="1">
        <v>47208</v>
      </c>
      <c r="I60" t="s">
        <v>172</v>
      </c>
      <c r="J60" t="s">
        <v>173</v>
      </c>
      <c r="K60" t="s">
        <v>174</v>
      </c>
      <c r="L60">
        <v>3674687</v>
      </c>
      <c r="M60" t="s">
        <v>175</v>
      </c>
      <c r="N60" t="s">
        <v>176</v>
      </c>
      <c r="P60" t="s">
        <v>177</v>
      </c>
      <c r="R60" t="s">
        <v>178</v>
      </c>
      <c r="S60" t="s">
        <v>179</v>
      </c>
      <c r="T60" t="s">
        <v>180</v>
      </c>
      <c r="U60" t="s">
        <v>181</v>
      </c>
      <c r="V60" t="s">
        <v>182</v>
      </c>
      <c r="X60" t="s">
        <v>183</v>
      </c>
      <c r="Y60" t="s">
        <v>377</v>
      </c>
      <c r="Z60" t="s">
        <v>378</v>
      </c>
      <c r="AB60" t="s">
        <v>257</v>
      </c>
      <c r="AD60" t="s">
        <v>371</v>
      </c>
      <c r="AF60" t="s">
        <v>187</v>
      </c>
      <c r="AG60" t="s">
        <v>188</v>
      </c>
      <c r="AH60" t="s">
        <v>189</v>
      </c>
      <c r="AI60">
        <v>21</v>
      </c>
      <c r="AJ60" t="s">
        <v>379</v>
      </c>
      <c r="AK60" s="4">
        <v>2200014214999</v>
      </c>
      <c r="AL60" t="s">
        <v>191</v>
      </c>
      <c r="AM60" t="s">
        <v>192</v>
      </c>
      <c r="AN60">
        <v>3</v>
      </c>
      <c r="AO60">
        <v>801</v>
      </c>
      <c r="AP60">
        <v>110</v>
      </c>
      <c r="AQ60" t="s">
        <v>194</v>
      </c>
      <c r="AR60" t="s">
        <v>195</v>
      </c>
      <c r="AS60" t="s">
        <v>196</v>
      </c>
      <c r="AT60" s="2">
        <v>0</v>
      </c>
      <c r="AV60" t="s">
        <v>197</v>
      </c>
      <c r="AW60" t="s">
        <v>198</v>
      </c>
      <c r="AX60">
        <v>393</v>
      </c>
      <c r="AY60">
        <v>0</v>
      </c>
      <c r="AZ60" t="s">
        <v>199</v>
      </c>
      <c r="BA60">
        <v>120.84990000000001</v>
      </c>
      <c r="BB60">
        <f t="shared" si="0"/>
        <v>36.758511250000005</v>
      </c>
      <c r="BD60">
        <v>0</v>
      </c>
      <c r="BE60" t="s">
        <v>201</v>
      </c>
      <c r="BF60">
        <v>0</v>
      </c>
      <c r="BG60" t="s">
        <v>202</v>
      </c>
      <c r="BH60">
        <v>1</v>
      </c>
      <c r="BI60" t="s">
        <v>203</v>
      </c>
      <c r="BJ60">
        <v>27.255700000000001</v>
      </c>
      <c r="BK60" t="s">
        <v>204</v>
      </c>
      <c r="BL60">
        <v>550.79999999999995</v>
      </c>
      <c r="BM60" s="3">
        <v>15012.463100000001</v>
      </c>
      <c r="FE60" s="1">
        <v>46309</v>
      </c>
      <c r="FF60">
        <v>0</v>
      </c>
      <c r="FG60" t="s">
        <v>200</v>
      </c>
      <c r="FH60" t="s">
        <v>205</v>
      </c>
      <c r="FI60">
        <v>110</v>
      </c>
      <c r="FJ60" t="s">
        <v>191</v>
      </c>
      <c r="FK60" t="s">
        <v>206</v>
      </c>
      <c r="FL60" t="s">
        <v>191</v>
      </c>
      <c r="FM60">
        <v>393</v>
      </c>
      <c r="FN60" t="s">
        <v>214</v>
      </c>
    </row>
    <row r="61" spans="1:170" x14ac:dyDescent="0.25">
      <c r="A61" t="s">
        <v>170</v>
      </c>
      <c r="B61">
        <v>1</v>
      </c>
      <c r="C61" t="s">
        <v>171</v>
      </c>
      <c r="F61" s="1">
        <v>46478</v>
      </c>
      <c r="G61" s="1">
        <v>47208</v>
      </c>
      <c r="I61" t="s">
        <v>172</v>
      </c>
      <c r="J61" t="s">
        <v>173</v>
      </c>
      <c r="K61" t="s">
        <v>174</v>
      </c>
      <c r="L61">
        <v>3674687</v>
      </c>
      <c r="M61" t="s">
        <v>175</v>
      </c>
      <c r="N61" t="s">
        <v>176</v>
      </c>
      <c r="P61" t="s">
        <v>177</v>
      </c>
      <c r="R61" t="s">
        <v>178</v>
      </c>
      <c r="S61" t="s">
        <v>179</v>
      </c>
      <c r="T61" t="s">
        <v>180</v>
      </c>
      <c r="U61" t="s">
        <v>181</v>
      </c>
      <c r="V61" t="s">
        <v>182</v>
      </c>
      <c r="X61" t="s">
        <v>183</v>
      </c>
      <c r="Y61" t="s">
        <v>380</v>
      </c>
      <c r="Z61" t="s">
        <v>381</v>
      </c>
      <c r="AB61" t="s">
        <v>257</v>
      </c>
      <c r="AD61" t="s">
        <v>371</v>
      </c>
      <c r="AF61" t="s">
        <v>187</v>
      </c>
      <c r="AG61" t="s">
        <v>188</v>
      </c>
      <c r="AH61" t="s">
        <v>189</v>
      </c>
      <c r="AI61">
        <v>21</v>
      </c>
      <c r="AJ61" t="s">
        <v>382</v>
      </c>
      <c r="AK61" s="4">
        <v>2200014215005</v>
      </c>
      <c r="AL61" t="s">
        <v>191</v>
      </c>
      <c r="AM61" t="s">
        <v>192</v>
      </c>
      <c r="AN61">
        <v>3</v>
      </c>
      <c r="AO61">
        <v>801</v>
      </c>
      <c r="AP61">
        <v>110</v>
      </c>
      <c r="AQ61" t="s">
        <v>194</v>
      </c>
      <c r="AR61" t="s">
        <v>195</v>
      </c>
      <c r="AS61" t="s">
        <v>196</v>
      </c>
      <c r="AT61" s="2">
        <v>0</v>
      </c>
      <c r="AV61" t="s">
        <v>197</v>
      </c>
      <c r="AW61" t="s">
        <v>198</v>
      </c>
      <c r="AX61">
        <v>393</v>
      </c>
      <c r="AY61">
        <v>0</v>
      </c>
      <c r="AZ61" t="s">
        <v>199</v>
      </c>
      <c r="BA61">
        <v>120.7993</v>
      </c>
      <c r="BB61">
        <f t="shared" si="0"/>
        <v>36.74312041666667</v>
      </c>
      <c r="BD61">
        <v>0</v>
      </c>
      <c r="BE61" t="s">
        <v>201</v>
      </c>
      <c r="BF61">
        <v>0</v>
      </c>
      <c r="BG61" t="s">
        <v>202</v>
      </c>
      <c r="BH61">
        <v>1</v>
      </c>
      <c r="BI61" t="s">
        <v>203</v>
      </c>
      <c r="BJ61">
        <v>27.3291</v>
      </c>
      <c r="BK61" t="s">
        <v>204</v>
      </c>
      <c r="BL61">
        <v>867.6</v>
      </c>
      <c r="BM61" s="3">
        <v>23710.718400000002</v>
      </c>
      <c r="FE61" s="1">
        <v>46309</v>
      </c>
      <c r="FF61">
        <v>0</v>
      </c>
      <c r="FG61" t="s">
        <v>200</v>
      </c>
      <c r="FH61" t="s">
        <v>205</v>
      </c>
      <c r="FI61">
        <v>110</v>
      </c>
      <c r="FJ61" t="s">
        <v>191</v>
      </c>
      <c r="FK61" t="s">
        <v>206</v>
      </c>
      <c r="FL61" t="s">
        <v>191</v>
      </c>
      <c r="FM61">
        <v>393</v>
      </c>
      <c r="FN61" t="s">
        <v>214</v>
      </c>
    </row>
    <row r="62" spans="1:170" x14ac:dyDescent="0.25">
      <c r="A62" t="s">
        <v>170</v>
      </c>
      <c r="B62">
        <v>1</v>
      </c>
      <c r="C62" t="s">
        <v>171</v>
      </c>
      <c r="F62" s="1">
        <v>46478</v>
      </c>
      <c r="G62" s="1">
        <v>47208</v>
      </c>
      <c r="I62" t="s">
        <v>172</v>
      </c>
      <c r="J62" t="s">
        <v>173</v>
      </c>
      <c r="K62" t="s">
        <v>174</v>
      </c>
      <c r="L62">
        <v>3674687</v>
      </c>
      <c r="M62" t="s">
        <v>175</v>
      </c>
      <c r="N62" t="s">
        <v>176</v>
      </c>
      <c r="P62" t="s">
        <v>177</v>
      </c>
      <c r="R62" t="s">
        <v>178</v>
      </c>
      <c r="S62" t="s">
        <v>179</v>
      </c>
      <c r="T62" t="s">
        <v>180</v>
      </c>
      <c r="U62" t="s">
        <v>181</v>
      </c>
      <c r="V62" t="s">
        <v>182</v>
      </c>
      <c r="X62" t="s">
        <v>183</v>
      </c>
      <c r="Y62" t="s">
        <v>383</v>
      </c>
      <c r="Z62" t="s">
        <v>370</v>
      </c>
      <c r="AB62" t="s">
        <v>257</v>
      </c>
      <c r="AD62" t="s">
        <v>384</v>
      </c>
      <c r="AF62" t="s">
        <v>187</v>
      </c>
      <c r="AG62" t="s">
        <v>188</v>
      </c>
      <c r="AH62" t="s">
        <v>189</v>
      </c>
      <c r="AI62">
        <v>21</v>
      </c>
      <c r="AJ62" t="s">
        <v>385</v>
      </c>
      <c r="AK62" s="4">
        <v>2200014215014</v>
      </c>
      <c r="AL62" t="s">
        <v>191</v>
      </c>
      <c r="AM62" t="s">
        <v>212</v>
      </c>
      <c r="AN62">
        <v>3</v>
      </c>
      <c r="AO62">
        <v>801</v>
      </c>
      <c r="AP62">
        <v>110</v>
      </c>
      <c r="AQ62" t="s">
        <v>194</v>
      </c>
      <c r="AR62" t="s">
        <v>195</v>
      </c>
      <c r="AS62" t="s">
        <v>196</v>
      </c>
      <c r="AT62" s="2">
        <v>0</v>
      </c>
      <c r="AV62" t="s">
        <v>197</v>
      </c>
      <c r="AW62" t="s">
        <v>198</v>
      </c>
      <c r="AX62">
        <v>393</v>
      </c>
      <c r="AY62">
        <v>0</v>
      </c>
      <c r="AZ62" t="s">
        <v>199</v>
      </c>
      <c r="BA62">
        <v>120.851</v>
      </c>
      <c r="BB62">
        <f t="shared" si="0"/>
        <v>36.758845833333332</v>
      </c>
      <c r="BD62">
        <v>0</v>
      </c>
      <c r="BE62" t="s">
        <v>201</v>
      </c>
      <c r="BF62">
        <v>0</v>
      </c>
      <c r="BG62" t="s">
        <v>202</v>
      </c>
      <c r="BH62">
        <v>1</v>
      </c>
      <c r="BI62" t="s">
        <v>203</v>
      </c>
      <c r="BJ62">
        <v>27.3125</v>
      </c>
      <c r="BK62" t="s">
        <v>204</v>
      </c>
      <c r="BL62" s="3">
        <v>1497.5998999999999</v>
      </c>
      <c r="BM62" s="3">
        <v>40903.200199999999</v>
      </c>
      <c r="FE62" s="1">
        <v>46309</v>
      </c>
      <c r="FF62">
        <v>0</v>
      </c>
      <c r="FG62" t="s">
        <v>200</v>
      </c>
      <c r="FH62" t="s">
        <v>213</v>
      </c>
      <c r="FI62">
        <v>110</v>
      </c>
      <c r="FJ62" t="s">
        <v>191</v>
      </c>
      <c r="FK62" t="s">
        <v>206</v>
      </c>
      <c r="FL62" t="s">
        <v>191</v>
      </c>
      <c r="FM62">
        <v>393</v>
      </c>
      <c r="FN62" t="s">
        <v>214</v>
      </c>
    </row>
    <row r="63" spans="1:170" x14ac:dyDescent="0.25">
      <c r="A63" t="s">
        <v>170</v>
      </c>
      <c r="B63">
        <v>1</v>
      </c>
      <c r="C63" t="s">
        <v>171</v>
      </c>
      <c r="F63" s="1">
        <v>46478</v>
      </c>
      <c r="G63" s="1">
        <v>47208</v>
      </c>
      <c r="I63" t="s">
        <v>172</v>
      </c>
      <c r="J63" t="s">
        <v>173</v>
      </c>
      <c r="K63" t="s">
        <v>174</v>
      </c>
      <c r="L63">
        <v>3674687</v>
      </c>
      <c r="M63" t="s">
        <v>175</v>
      </c>
      <c r="N63" t="s">
        <v>176</v>
      </c>
      <c r="P63" t="s">
        <v>177</v>
      </c>
      <c r="R63" t="s">
        <v>178</v>
      </c>
      <c r="S63" t="s">
        <v>179</v>
      </c>
      <c r="T63" t="s">
        <v>180</v>
      </c>
      <c r="U63" t="s">
        <v>181</v>
      </c>
      <c r="V63" t="s">
        <v>182</v>
      </c>
      <c r="X63" t="s">
        <v>183</v>
      </c>
      <c r="Y63" t="s">
        <v>386</v>
      </c>
      <c r="Z63" t="s">
        <v>185</v>
      </c>
      <c r="AB63" t="s">
        <v>387</v>
      </c>
      <c r="AD63" t="s">
        <v>388</v>
      </c>
      <c r="AF63" t="s">
        <v>187</v>
      </c>
      <c r="AG63" t="s">
        <v>188</v>
      </c>
      <c r="AH63" t="s">
        <v>189</v>
      </c>
      <c r="AI63">
        <v>21</v>
      </c>
      <c r="AJ63" t="s">
        <v>389</v>
      </c>
      <c r="AK63" s="4">
        <v>2200014219783</v>
      </c>
      <c r="AL63" t="s">
        <v>191</v>
      </c>
      <c r="AM63" t="s">
        <v>212</v>
      </c>
      <c r="AN63">
        <v>3</v>
      </c>
      <c r="AO63">
        <v>801</v>
      </c>
      <c r="AP63">
        <v>110</v>
      </c>
      <c r="AQ63" t="s">
        <v>194</v>
      </c>
      <c r="AR63" t="s">
        <v>195</v>
      </c>
      <c r="AS63" t="s">
        <v>196</v>
      </c>
      <c r="AT63" s="2">
        <v>0</v>
      </c>
      <c r="AV63" t="s">
        <v>197</v>
      </c>
      <c r="AW63" t="s">
        <v>198</v>
      </c>
      <c r="AX63">
        <v>393</v>
      </c>
      <c r="AY63">
        <v>0</v>
      </c>
      <c r="AZ63" t="s">
        <v>199</v>
      </c>
      <c r="BA63">
        <v>120.8205</v>
      </c>
      <c r="BB63">
        <f t="shared" si="0"/>
        <v>36.749568750000002</v>
      </c>
      <c r="BD63">
        <v>0</v>
      </c>
      <c r="BE63" t="s">
        <v>201</v>
      </c>
      <c r="BF63">
        <v>0</v>
      </c>
      <c r="BG63" t="s">
        <v>202</v>
      </c>
      <c r="BH63">
        <v>1</v>
      </c>
      <c r="BI63" t="s">
        <v>203</v>
      </c>
      <c r="BJ63">
        <v>27.3232</v>
      </c>
      <c r="BK63" t="s">
        <v>204</v>
      </c>
      <c r="BL63" s="3">
        <v>1126.2</v>
      </c>
      <c r="BM63" s="3">
        <v>30771.424900000002</v>
      </c>
      <c r="FE63" s="1">
        <v>46309</v>
      </c>
      <c r="FF63">
        <v>0</v>
      </c>
      <c r="FG63" t="s">
        <v>200</v>
      </c>
      <c r="FH63" t="s">
        <v>213</v>
      </c>
      <c r="FI63">
        <v>110</v>
      </c>
      <c r="FJ63" t="s">
        <v>191</v>
      </c>
      <c r="FK63" t="s">
        <v>206</v>
      </c>
      <c r="FL63" t="s">
        <v>191</v>
      </c>
      <c r="FM63">
        <v>393</v>
      </c>
      <c r="FN63" t="s">
        <v>214</v>
      </c>
    </row>
    <row r="64" spans="1:170" x14ac:dyDescent="0.25">
      <c r="A64" t="s">
        <v>170</v>
      </c>
      <c r="B64">
        <v>1</v>
      </c>
      <c r="C64" t="s">
        <v>171</v>
      </c>
      <c r="F64" s="1">
        <v>46478</v>
      </c>
      <c r="G64" s="1">
        <v>47208</v>
      </c>
      <c r="I64" t="s">
        <v>172</v>
      </c>
      <c r="J64" t="s">
        <v>173</v>
      </c>
      <c r="K64" t="s">
        <v>174</v>
      </c>
      <c r="L64">
        <v>3674687</v>
      </c>
      <c r="M64" t="s">
        <v>175</v>
      </c>
      <c r="N64" t="s">
        <v>176</v>
      </c>
      <c r="P64" t="s">
        <v>177</v>
      </c>
      <c r="R64" t="s">
        <v>178</v>
      </c>
      <c r="S64" t="s">
        <v>179</v>
      </c>
      <c r="T64" t="s">
        <v>180</v>
      </c>
      <c r="U64" t="s">
        <v>181</v>
      </c>
      <c r="V64" t="s">
        <v>182</v>
      </c>
      <c r="X64" t="s">
        <v>183</v>
      </c>
      <c r="Y64" t="s">
        <v>390</v>
      </c>
      <c r="Z64" t="s">
        <v>185</v>
      </c>
      <c r="AB64" t="s">
        <v>387</v>
      </c>
      <c r="AD64" t="s">
        <v>388</v>
      </c>
      <c r="AF64" t="s">
        <v>187</v>
      </c>
      <c r="AG64" t="s">
        <v>188</v>
      </c>
      <c r="AH64" t="s">
        <v>189</v>
      </c>
      <c r="AI64">
        <v>21</v>
      </c>
      <c r="AJ64" t="s">
        <v>391</v>
      </c>
      <c r="AK64" s="4">
        <v>2200014219792</v>
      </c>
      <c r="AL64" t="s">
        <v>191</v>
      </c>
      <c r="AM64" t="s">
        <v>192</v>
      </c>
      <c r="AN64">
        <v>3</v>
      </c>
      <c r="AO64">
        <v>801</v>
      </c>
      <c r="AP64" t="s">
        <v>193</v>
      </c>
      <c r="AQ64" t="s">
        <v>194</v>
      </c>
      <c r="AR64" t="s">
        <v>195</v>
      </c>
      <c r="AS64" t="s">
        <v>196</v>
      </c>
      <c r="AT64" s="2">
        <v>0</v>
      </c>
      <c r="AV64" t="s">
        <v>197</v>
      </c>
      <c r="AW64" t="s">
        <v>198</v>
      </c>
      <c r="AX64">
        <v>393</v>
      </c>
      <c r="AY64">
        <v>0</v>
      </c>
      <c r="AZ64" t="s">
        <v>199</v>
      </c>
      <c r="BA64">
        <v>185.8398</v>
      </c>
      <c r="BB64">
        <f t="shared" si="0"/>
        <v>56.526272500000005</v>
      </c>
      <c r="BD64">
        <v>0</v>
      </c>
      <c r="BE64" t="s">
        <v>201</v>
      </c>
      <c r="BF64">
        <v>0</v>
      </c>
      <c r="BG64" t="s">
        <v>202</v>
      </c>
      <c r="BH64">
        <v>1</v>
      </c>
      <c r="BI64" t="s">
        <v>203</v>
      </c>
      <c r="BJ64">
        <v>27.305299999999999</v>
      </c>
      <c r="BK64" t="s">
        <v>204</v>
      </c>
      <c r="BL64" s="3">
        <v>3338.2</v>
      </c>
      <c r="BM64" s="3">
        <v>91150.514500000005</v>
      </c>
      <c r="FE64" s="1">
        <v>46309</v>
      </c>
      <c r="FF64">
        <v>0</v>
      </c>
      <c r="FG64" t="s">
        <v>200</v>
      </c>
      <c r="FH64" t="s">
        <v>205</v>
      </c>
      <c r="FI64" t="s">
        <v>193</v>
      </c>
      <c r="FJ64" t="s">
        <v>191</v>
      </c>
      <c r="FK64" t="s">
        <v>206</v>
      </c>
      <c r="FL64" t="s">
        <v>191</v>
      </c>
      <c r="FM64">
        <v>393</v>
      </c>
      <c r="FN64" t="s">
        <v>207</v>
      </c>
    </row>
    <row r="65" spans="1:170" x14ac:dyDescent="0.25">
      <c r="A65" t="s">
        <v>170</v>
      </c>
      <c r="B65">
        <v>1</v>
      </c>
      <c r="C65" t="s">
        <v>171</v>
      </c>
      <c r="F65" s="1">
        <v>46478</v>
      </c>
      <c r="G65" s="1">
        <v>47208</v>
      </c>
      <c r="I65" t="s">
        <v>172</v>
      </c>
      <c r="J65" t="s">
        <v>173</v>
      </c>
      <c r="K65" t="s">
        <v>174</v>
      </c>
      <c r="L65">
        <v>3674687</v>
      </c>
      <c r="M65" t="s">
        <v>175</v>
      </c>
      <c r="N65" t="s">
        <v>176</v>
      </c>
      <c r="P65" t="s">
        <v>177</v>
      </c>
      <c r="R65" t="s">
        <v>178</v>
      </c>
      <c r="S65" t="s">
        <v>179</v>
      </c>
      <c r="T65" t="s">
        <v>180</v>
      </c>
      <c r="U65" t="s">
        <v>181</v>
      </c>
      <c r="V65" t="s">
        <v>182</v>
      </c>
      <c r="X65" t="s">
        <v>183</v>
      </c>
      <c r="Y65" t="s">
        <v>392</v>
      </c>
      <c r="Z65" t="s">
        <v>185</v>
      </c>
      <c r="AB65" t="s">
        <v>387</v>
      </c>
      <c r="AD65" t="s">
        <v>388</v>
      </c>
      <c r="AF65" t="s">
        <v>187</v>
      </c>
      <c r="AG65" t="s">
        <v>188</v>
      </c>
      <c r="AH65" t="s">
        <v>189</v>
      </c>
      <c r="AI65">
        <v>21</v>
      </c>
      <c r="AJ65" t="s">
        <v>393</v>
      </c>
      <c r="AK65" s="4">
        <v>2200014219808</v>
      </c>
      <c r="AL65" t="s">
        <v>191</v>
      </c>
      <c r="AM65" t="s">
        <v>192</v>
      </c>
      <c r="AN65">
        <v>3</v>
      </c>
      <c r="AO65">
        <v>801</v>
      </c>
      <c r="AP65" t="s">
        <v>193</v>
      </c>
      <c r="AQ65" t="s">
        <v>194</v>
      </c>
      <c r="AR65" t="s">
        <v>195</v>
      </c>
      <c r="AS65" t="s">
        <v>196</v>
      </c>
      <c r="AT65" s="2">
        <v>0</v>
      </c>
      <c r="AV65" t="s">
        <v>197</v>
      </c>
      <c r="AW65" t="s">
        <v>198</v>
      </c>
      <c r="AX65">
        <v>393</v>
      </c>
      <c r="AY65">
        <v>0</v>
      </c>
      <c r="AZ65" t="s">
        <v>199</v>
      </c>
      <c r="BA65">
        <v>185.74680000000001</v>
      </c>
      <c r="BB65">
        <f t="shared" si="0"/>
        <v>56.497985000000007</v>
      </c>
      <c r="BD65">
        <v>0</v>
      </c>
      <c r="BE65" t="s">
        <v>201</v>
      </c>
      <c r="BF65">
        <v>0</v>
      </c>
      <c r="BG65" t="s">
        <v>202</v>
      </c>
      <c r="BH65">
        <v>1</v>
      </c>
      <c r="BI65" t="s">
        <v>203</v>
      </c>
      <c r="BJ65">
        <v>27.318300000000001</v>
      </c>
      <c r="BK65" t="s">
        <v>204</v>
      </c>
      <c r="BL65" s="3">
        <v>2204.8000000000002</v>
      </c>
      <c r="BM65" s="3">
        <v>60231.414199999999</v>
      </c>
      <c r="FE65" s="1">
        <v>46309</v>
      </c>
      <c r="FF65">
        <v>0</v>
      </c>
      <c r="FG65" t="s">
        <v>200</v>
      </c>
      <c r="FH65" t="s">
        <v>205</v>
      </c>
      <c r="FI65" t="s">
        <v>193</v>
      </c>
      <c r="FJ65" t="s">
        <v>191</v>
      </c>
      <c r="FK65" t="s">
        <v>206</v>
      </c>
      <c r="FL65" t="s">
        <v>191</v>
      </c>
      <c r="FM65">
        <v>393</v>
      </c>
      <c r="FN65" t="s">
        <v>207</v>
      </c>
    </row>
    <row r="66" spans="1:170" x14ac:dyDescent="0.25">
      <c r="A66" t="s">
        <v>170</v>
      </c>
      <c r="B66">
        <v>1</v>
      </c>
      <c r="C66" t="s">
        <v>171</v>
      </c>
      <c r="F66" s="1">
        <v>46478</v>
      </c>
      <c r="G66" s="1">
        <v>47208</v>
      </c>
      <c r="I66" t="s">
        <v>172</v>
      </c>
      <c r="J66" t="s">
        <v>173</v>
      </c>
      <c r="K66" t="s">
        <v>174</v>
      </c>
      <c r="L66">
        <v>3674687</v>
      </c>
      <c r="M66" t="s">
        <v>175</v>
      </c>
      <c r="N66" t="s">
        <v>176</v>
      </c>
      <c r="P66" t="s">
        <v>177</v>
      </c>
      <c r="R66" t="s">
        <v>178</v>
      </c>
      <c r="S66" t="s">
        <v>179</v>
      </c>
      <c r="T66" t="s">
        <v>180</v>
      </c>
      <c r="U66" t="s">
        <v>181</v>
      </c>
      <c r="V66" t="s">
        <v>182</v>
      </c>
      <c r="X66" t="s">
        <v>183</v>
      </c>
      <c r="Y66" t="s">
        <v>394</v>
      </c>
      <c r="Z66" t="s">
        <v>185</v>
      </c>
      <c r="AB66" t="s">
        <v>387</v>
      </c>
      <c r="AD66" t="s">
        <v>395</v>
      </c>
      <c r="AF66" t="s">
        <v>187</v>
      </c>
      <c r="AG66" t="s">
        <v>188</v>
      </c>
      <c r="AH66" t="s">
        <v>189</v>
      </c>
      <c r="AI66">
        <v>21</v>
      </c>
      <c r="AJ66" t="s">
        <v>396</v>
      </c>
      <c r="AK66" s="4">
        <v>2200014220005</v>
      </c>
      <c r="AL66" t="s">
        <v>191</v>
      </c>
      <c r="AM66" t="s">
        <v>212</v>
      </c>
      <c r="AN66">
        <v>3</v>
      </c>
      <c r="AO66">
        <v>801</v>
      </c>
      <c r="AP66">
        <v>110</v>
      </c>
      <c r="AQ66" t="s">
        <v>194</v>
      </c>
      <c r="AR66" t="s">
        <v>195</v>
      </c>
      <c r="AS66" t="s">
        <v>196</v>
      </c>
      <c r="AT66" s="2">
        <v>0</v>
      </c>
      <c r="AV66" t="s">
        <v>197</v>
      </c>
      <c r="AW66" t="s">
        <v>198</v>
      </c>
      <c r="AX66">
        <v>393</v>
      </c>
      <c r="AY66">
        <v>0</v>
      </c>
      <c r="AZ66" t="s">
        <v>199</v>
      </c>
      <c r="BA66">
        <v>120.8319</v>
      </c>
      <c r="BB66">
        <f t="shared" si="0"/>
        <v>36.753036250000001</v>
      </c>
      <c r="BD66">
        <v>0</v>
      </c>
      <c r="BE66" t="s">
        <v>201</v>
      </c>
      <c r="BF66">
        <v>0</v>
      </c>
      <c r="BG66" t="s">
        <v>202</v>
      </c>
      <c r="BH66">
        <v>1</v>
      </c>
      <c r="BI66" t="s">
        <v>203</v>
      </c>
      <c r="BJ66">
        <v>27.3185</v>
      </c>
      <c r="BK66" t="s">
        <v>204</v>
      </c>
      <c r="BL66" s="3">
        <v>1264.8</v>
      </c>
      <c r="BM66" s="3">
        <v>34552.426500000001</v>
      </c>
      <c r="FE66" s="1">
        <v>46309</v>
      </c>
      <c r="FF66">
        <v>0</v>
      </c>
      <c r="FG66" t="s">
        <v>200</v>
      </c>
      <c r="FH66" t="s">
        <v>213</v>
      </c>
      <c r="FI66">
        <v>110</v>
      </c>
      <c r="FJ66" t="s">
        <v>191</v>
      </c>
      <c r="FK66" t="s">
        <v>206</v>
      </c>
      <c r="FL66" t="s">
        <v>191</v>
      </c>
      <c r="FM66">
        <v>393</v>
      </c>
      <c r="FN66" t="s">
        <v>214</v>
      </c>
    </row>
    <row r="67" spans="1:170" x14ac:dyDescent="0.25">
      <c r="A67" t="s">
        <v>170</v>
      </c>
      <c r="B67">
        <v>1</v>
      </c>
      <c r="C67" t="s">
        <v>171</v>
      </c>
      <c r="F67" s="1">
        <v>46478</v>
      </c>
      <c r="G67" s="1">
        <v>47208</v>
      </c>
      <c r="I67" t="s">
        <v>172</v>
      </c>
      <c r="J67" t="s">
        <v>173</v>
      </c>
      <c r="K67" t="s">
        <v>174</v>
      </c>
      <c r="L67">
        <v>3674687</v>
      </c>
      <c r="M67" t="s">
        <v>175</v>
      </c>
      <c r="N67" t="s">
        <v>176</v>
      </c>
      <c r="P67" t="s">
        <v>177</v>
      </c>
      <c r="R67" t="s">
        <v>178</v>
      </c>
      <c r="S67" t="s">
        <v>179</v>
      </c>
      <c r="T67" t="s">
        <v>180</v>
      </c>
      <c r="U67" t="s">
        <v>181</v>
      </c>
      <c r="V67" t="s">
        <v>182</v>
      </c>
      <c r="X67" t="s">
        <v>183</v>
      </c>
      <c r="Y67" t="s">
        <v>397</v>
      </c>
      <c r="Z67" t="s">
        <v>185</v>
      </c>
      <c r="AB67" t="s">
        <v>387</v>
      </c>
      <c r="AD67" t="s">
        <v>395</v>
      </c>
      <c r="AF67" t="s">
        <v>187</v>
      </c>
      <c r="AG67" t="s">
        <v>188</v>
      </c>
      <c r="AH67" t="s">
        <v>189</v>
      </c>
      <c r="AI67">
        <v>21</v>
      </c>
      <c r="AJ67" t="s">
        <v>398</v>
      </c>
      <c r="AK67" s="4">
        <v>2200014220014</v>
      </c>
      <c r="AL67" t="s">
        <v>191</v>
      </c>
      <c r="AM67" t="s">
        <v>212</v>
      </c>
      <c r="AN67">
        <v>3</v>
      </c>
      <c r="AO67">
        <v>801</v>
      </c>
      <c r="AP67">
        <v>110</v>
      </c>
      <c r="AQ67" t="s">
        <v>194</v>
      </c>
      <c r="AR67" t="s">
        <v>195</v>
      </c>
      <c r="AS67" t="s">
        <v>196</v>
      </c>
      <c r="AT67" s="2">
        <v>0</v>
      </c>
      <c r="AV67" t="s">
        <v>197</v>
      </c>
      <c r="AW67" t="s">
        <v>198</v>
      </c>
      <c r="AX67">
        <v>393</v>
      </c>
      <c r="AY67">
        <v>0</v>
      </c>
      <c r="AZ67" t="s">
        <v>199</v>
      </c>
      <c r="BA67">
        <v>120.8664</v>
      </c>
      <c r="BB67">
        <f t="shared" ref="BB67:BB130" si="1">BA67*365/1200</f>
        <v>36.763529999999996</v>
      </c>
      <c r="BD67">
        <v>0</v>
      </c>
      <c r="BE67" t="s">
        <v>201</v>
      </c>
      <c r="BF67">
        <v>0</v>
      </c>
      <c r="BG67" t="s">
        <v>202</v>
      </c>
      <c r="BH67">
        <v>1</v>
      </c>
      <c r="BI67" t="s">
        <v>203</v>
      </c>
      <c r="BJ67">
        <v>27.255700000000001</v>
      </c>
      <c r="BK67" t="s">
        <v>204</v>
      </c>
      <c r="BL67">
        <v>621.80010000000004</v>
      </c>
      <c r="BM67" s="3">
        <v>16947.620999999999</v>
      </c>
      <c r="FE67" s="1">
        <v>46309</v>
      </c>
      <c r="FF67">
        <v>0</v>
      </c>
      <c r="FG67" t="s">
        <v>200</v>
      </c>
      <c r="FH67" t="s">
        <v>213</v>
      </c>
      <c r="FI67">
        <v>110</v>
      </c>
      <c r="FJ67" t="s">
        <v>191</v>
      </c>
      <c r="FK67" t="s">
        <v>206</v>
      </c>
      <c r="FL67" t="s">
        <v>191</v>
      </c>
      <c r="FM67">
        <v>393</v>
      </c>
      <c r="FN67" t="s">
        <v>214</v>
      </c>
    </row>
    <row r="68" spans="1:170" x14ac:dyDescent="0.25">
      <c r="A68" t="s">
        <v>170</v>
      </c>
      <c r="B68">
        <v>1</v>
      </c>
      <c r="C68" t="s">
        <v>171</v>
      </c>
      <c r="F68" s="1">
        <v>46478</v>
      </c>
      <c r="G68" s="1">
        <v>47208</v>
      </c>
      <c r="I68" t="s">
        <v>172</v>
      </c>
      <c r="J68" t="s">
        <v>173</v>
      </c>
      <c r="K68" t="s">
        <v>174</v>
      </c>
      <c r="L68">
        <v>3674687</v>
      </c>
      <c r="M68" t="s">
        <v>175</v>
      </c>
      <c r="N68" t="s">
        <v>176</v>
      </c>
      <c r="P68" t="s">
        <v>177</v>
      </c>
      <c r="R68" t="s">
        <v>178</v>
      </c>
      <c r="S68" t="s">
        <v>179</v>
      </c>
      <c r="T68" t="s">
        <v>180</v>
      </c>
      <c r="U68" t="s">
        <v>181</v>
      </c>
      <c r="V68" t="s">
        <v>182</v>
      </c>
      <c r="X68" t="s">
        <v>183</v>
      </c>
      <c r="Y68" t="s">
        <v>399</v>
      </c>
      <c r="Z68" t="s">
        <v>185</v>
      </c>
      <c r="AB68" t="s">
        <v>387</v>
      </c>
      <c r="AD68" t="s">
        <v>395</v>
      </c>
      <c r="AF68" t="s">
        <v>187</v>
      </c>
      <c r="AG68" t="s">
        <v>188</v>
      </c>
      <c r="AH68" t="s">
        <v>189</v>
      </c>
      <c r="AI68">
        <v>21</v>
      </c>
      <c r="AJ68" t="s">
        <v>400</v>
      </c>
      <c r="AK68" s="4">
        <v>2200014220088</v>
      </c>
      <c r="AL68" t="s">
        <v>191</v>
      </c>
      <c r="AM68" t="s">
        <v>192</v>
      </c>
      <c r="AN68">
        <v>3</v>
      </c>
      <c r="AO68">
        <v>801</v>
      </c>
      <c r="AP68">
        <v>110</v>
      </c>
      <c r="AQ68" t="s">
        <v>194</v>
      </c>
      <c r="AR68" t="s">
        <v>195</v>
      </c>
      <c r="AS68" t="s">
        <v>196</v>
      </c>
      <c r="AT68" s="2">
        <v>0</v>
      </c>
      <c r="AV68" t="s">
        <v>197</v>
      </c>
      <c r="AW68" t="s">
        <v>198</v>
      </c>
      <c r="AX68">
        <v>393</v>
      </c>
      <c r="AY68">
        <v>0</v>
      </c>
      <c r="AZ68" t="s">
        <v>199</v>
      </c>
      <c r="BA68">
        <v>120.82250000000001</v>
      </c>
      <c r="BB68">
        <f t="shared" si="1"/>
        <v>36.750177083333334</v>
      </c>
      <c r="BD68">
        <v>0</v>
      </c>
      <c r="BE68" t="s">
        <v>201</v>
      </c>
      <c r="BF68">
        <v>0</v>
      </c>
      <c r="BG68" t="s">
        <v>202</v>
      </c>
      <c r="BH68">
        <v>1</v>
      </c>
      <c r="BI68" t="s">
        <v>203</v>
      </c>
      <c r="BJ68">
        <v>27.317</v>
      </c>
      <c r="BK68" t="s">
        <v>204</v>
      </c>
      <c r="BL68" s="3">
        <v>1150.2</v>
      </c>
      <c r="BM68" s="3">
        <v>31420.0363</v>
      </c>
      <c r="FE68" s="1">
        <v>46309</v>
      </c>
      <c r="FF68">
        <v>0</v>
      </c>
      <c r="FG68" t="s">
        <v>200</v>
      </c>
      <c r="FH68" t="s">
        <v>205</v>
      </c>
      <c r="FI68">
        <v>110</v>
      </c>
      <c r="FJ68" t="s">
        <v>191</v>
      </c>
      <c r="FK68" t="s">
        <v>206</v>
      </c>
      <c r="FL68" t="s">
        <v>191</v>
      </c>
      <c r="FM68">
        <v>393</v>
      </c>
      <c r="FN68" t="s">
        <v>214</v>
      </c>
    </row>
    <row r="69" spans="1:170" x14ac:dyDescent="0.25">
      <c r="A69" t="s">
        <v>170</v>
      </c>
      <c r="B69">
        <v>1</v>
      </c>
      <c r="C69" t="s">
        <v>171</v>
      </c>
      <c r="F69" s="1">
        <v>46478</v>
      </c>
      <c r="G69" s="1">
        <v>47208</v>
      </c>
      <c r="I69" t="s">
        <v>172</v>
      </c>
      <c r="J69" t="s">
        <v>173</v>
      </c>
      <c r="K69" t="s">
        <v>174</v>
      </c>
      <c r="L69">
        <v>3674687</v>
      </c>
      <c r="M69" t="s">
        <v>175</v>
      </c>
      <c r="N69" t="s">
        <v>176</v>
      </c>
      <c r="P69" t="s">
        <v>177</v>
      </c>
      <c r="R69" t="s">
        <v>178</v>
      </c>
      <c r="S69" t="s">
        <v>179</v>
      </c>
      <c r="T69" t="s">
        <v>180</v>
      </c>
      <c r="U69" t="s">
        <v>181</v>
      </c>
      <c r="V69" t="s">
        <v>182</v>
      </c>
      <c r="X69" t="s">
        <v>183</v>
      </c>
      <c r="Y69" t="s">
        <v>401</v>
      </c>
      <c r="Z69" t="s">
        <v>185</v>
      </c>
      <c r="AB69" t="s">
        <v>387</v>
      </c>
      <c r="AD69" t="s">
        <v>395</v>
      </c>
      <c r="AF69" t="s">
        <v>187</v>
      </c>
      <c r="AG69" t="s">
        <v>188</v>
      </c>
      <c r="AH69" t="s">
        <v>189</v>
      </c>
      <c r="AI69">
        <v>21</v>
      </c>
      <c r="AJ69" t="s">
        <v>402</v>
      </c>
      <c r="AK69" s="4">
        <v>2200014220706</v>
      </c>
      <c r="AL69" t="s">
        <v>191</v>
      </c>
      <c r="AM69" t="s">
        <v>192</v>
      </c>
      <c r="AN69">
        <v>3</v>
      </c>
      <c r="AO69">
        <v>801</v>
      </c>
      <c r="AP69">
        <v>110</v>
      </c>
      <c r="AQ69" t="s">
        <v>194</v>
      </c>
      <c r="AR69" t="s">
        <v>195</v>
      </c>
      <c r="AS69" t="s">
        <v>196</v>
      </c>
      <c r="AT69" s="2">
        <v>0</v>
      </c>
      <c r="AV69" t="s">
        <v>197</v>
      </c>
      <c r="AW69" t="s">
        <v>198</v>
      </c>
      <c r="AX69">
        <v>393</v>
      </c>
      <c r="AY69">
        <v>0</v>
      </c>
      <c r="AZ69" t="s">
        <v>199</v>
      </c>
      <c r="BA69">
        <v>120.79349999999999</v>
      </c>
      <c r="BB69">
        <f t="shared" si="1"/>
        <v>36.741356249999995</v>
      </c>
      <c r="BD69">
        <v>0</v>
      </c>
      <c r="BE69" t="s">
        <v>201</v>
      </c>
      <c r="BF69">
        <v>0</v>
      </c>
      <c r="BG69" t="s">
        <v>202</v>
      </c>
      <c r="BH69">
        <v>1</v>
      </c>
      <c r="BI69" t="s">
        <v>203</v>
      </c>
      <c r="BJ69">
        <v>27.333500000000001</v>
      </c>
      <c r="BK69" t="s">
        <v>204</v>
      </c>
      <c r="BL69">
        <v>796.4</v>
      </c>
      <c r="BM69" s="3">
        <v>21768.385399999999</v>
      </c>
      <c r="FE69" s="1">
        <v>46309</v>
      </c>
      <c r="FF69">
        <v>0</v>
      </c>
      <c r="FG69" t="s">
        <v>200</v>
      </c>
      <c r="FH69" t="s">
        <v>205</v>
      </c>
      <c r="FI69">
        <v>110</v>
      </c>
      <c r="FJ69" t="s">
        <v>191</v>
      </c>
      <c r="FK69" t="s">
        <v>206</v>
      </c>
      <c r="FL69" t="s">
        <v>191</v>
      </c>
      <c r="FM69">
        <v>393</v>
      </c>
      <c r="FN69" t="s">
        <v>214</v>
      </c>
    </row>
    <row r="70" spans="1:170" x14ac:dyDescent="0.25">
      <c r="A70" t="s">
        <v>170</v>
      </c>
      <c r="B70">
        <v>1</v>
      </c>
      <c r="C70" t="s">
        <v>171</v>
      </c>
      <c r="F70" s="1">
        <v>46478</v>
      </c>
      <c r="G70" s="1">
        <v>47208</v>
      </c>
      <c r="I70" t="s">
        <v>172</v>
      </c>
      <c r="J70" t="s">
        <v>173</v>
      </c>
      <c r="K70" t="s">
        <v>174</v>
      </c>
      <c r="L70">
        <v>3674687</v>
      </c>
      <c r="M70" t="s">
        <v>175</v>
      </c>
      <c r="N70" t="s">
        <v>176</v>
      </c>
      <c r="P70" t="s">
        <v>177</v>
      </c>
      <c r="R70" t="s">
        <v>178</v>
      </c>
      <c r="S70" t="s">
        <v>179</v>
      </c>
      <c r="T70" t="s">
        <v>180</v>
      </c>
      <c r="U70" t="s">
        <v>181</v>
      </c>
      <c r="V70" t="s">
        <v>182</v>
      </c>
      <c r="X70" t="s">
        <v>183</v>
      </c>
      <c r="Y70" t="s">
        <v>403</v>
      </c>
      <c r="Z70" t="s">
        <v>185</v>
      </c>
      <c r="AB70" t="s">
        <v>387</v>
      </c>
      <c r="AD70" t="s">
        <v>395</v>
      </c>
      <c r="AF70" t="s">
        <v>187</v>
      </c>
      <c r="AG70" t="s">
        <v>188</v>
      </c>
      <c r="AH70" t="s">
        <v>189</v>
      </c>
      <c r="AI70">
        <v>21</v>
      </c>
      <c r="AJ70" t="s">
        <v>404</v>
      </c>
      <c r="AK70" s="4">
        <v>2200014220751</v>
      </c>
      <c r="AL70" t="s">
        <v>191</v>
      </c>
      <c r="AM70" t="s">
        <v>192</v>
      </c>
      <c r="AN70">
        <v>3</v>
      </c>
      <c r="AO70">
        <v>801</v>
      </c>
      <c r="AP70">
        <v>110</v>
      </c>
      <c r="AQ70" t="s">
        <v>194</v>
      </c>
      <c r="AR70" t="s">
        <v>195</v>
      </c>
      <c r="AS70" t="s">
        <v>196</v>
      </c>
      <c r="AT70" s="2">
        <v>0</v>
      </c>
      <c r="AV70" t="s">
        <v>197</v>
      </c>
      <c r="AW70" t="s">
        <v>198</v>
      </c>
      <c r="AX70">
        <v>393</v>
      </c>
      <c r="AY70">
        <v>0</v>
      </c>
      <c r="AZ70" t="s">
        <v>199</v>
      </c>
      <c r="BA70">
        <v>120.8262</v>
      </c>
      <c r="BB70">
        <f t="shared" si="1"/>
        <v>36.751302500000001</v>
      </c>
      <c r="BD70">
        <v>0</v>
      </c>
      <c r="BE70" t="s">
        <v>201</v>
      </c>
      <c r="BF70">
        <v>0</v>
      </c>
      <c r="BG70" t="s">
        <v>202</v>
      </c>
      <c r="BH70">
        <v>1</v>
      </c>
      <c r="BI70" t="s">
        <v>203</v>
      </c>
      <c r="BJ70">
        <v>27.255700000000001</v>
      </c>
      <c r="BK70" t="s">
        <v>204</v>
      </c>
      <c r="BL70">
        <v>345.3999</v>
      </c>
      <c r="BM70" s="3">
        <v>9414.1337000000003</v>
      </c>
      <c r="FE70" s="1">
        <v>46309</v>
      </c>
      <c r="FF70">
        <v>0</v>
      </c>
      <c r="FG70" t="s">
        <v>200</v>
      </c>
      <c r="FH70" t="s">
        <v>205</v>
      </c>
      <c r="FI70">
        <v>110</v>
      </c>
      <c r="FJ70" t="s">
        <v>191</v>
      </c>
      <c r="FK70" t="s">
        <v>206</v>
      </c>
      <c r="FL70" t="s">
        <v>191</v>
      </c>
      <c r="FM70">
        <v>393</v>
      </c>
      <c r="FN70" t="s">
        <v>214</v>
      </c>
    </row>
    <row r="71" spans="1:170" x14ac:dyDescent="0.25">
      <c r="A71" t="s">
        <v>170</v>
      </c>
      <c r="B71">
        <v>1</v>
      </c>
      <c r="C71" t="s">
        <v>171</v>
      </c>
      <c r="F71" s="1">
        <v>46478</v>
      </c>
      <c r="G71" s="1">
        <v>47208</v>
      </c>
      <c r="I71" t="s">
        <v>172</v>
      </c>
      <c r="J71" t="s">
        <v>173</v>
      </c>
      <c r="K71" t="s">
        <v>174</v>
      </c>
      <c r="L71">
        <v>3674687</v>
      </c>
      <c r="M71" t="s">
        <v>175</v>
      </c>
      <c r="N71" t="s">
        <v>176</v>
      </c>
      <c r="P71" t="s">
        <v>177</v>
      </c>
      <c r="R71" t="s">
        <v>178</v>
      </c>
      <c r="S71" t="s">
        <v>179</v>
      </c>
      <c r="T71" t="s">
        <v>180</v>
      </c>
      <c r="U71" t="s">
        <v>181</v>
      </c>
      <c r="V71" t="s">
        <v>182</v>
      </c>
      <c r="X71" t="s">
        <v>183</v>
      </c>
      <c r="Y71" t="s">
        <v>405</v>
      </c>
      <c r="Z71" t="s">
        <v>185</v>
      </c>
      <c r="AB71" t="s">
        <v>387</v>
      </c>
      <c r="AD71" t="s">
        <v>395</v>
      </c>
      <c r="AF71" t="s">
        <v>187</v>
      </c>
      <c r="AG71" t="s">
        <v>188</v>
      </c>
      <c r="AH71" t="s">
        <v>189</v>
      </c>
      <c r="AI71">
        <v>21</v>
      </c>
      <c r="AJ71" t="s">
        <v>406</v>
      </c>
      <c r="AK71" s="4">
        <v>2200014220803</v>
      </c>
      <c r="AL71" t="s">
        <v>191</v>
      </c>
      <c r="AM71" t="s">
        <v>212</v>
      </c>
      <c r="AN71">
        <v>3</v>
      </c>
      <c r="AO71">
        <v>801</v>
      </c>
      <c r="AP71">
        <v>110</v>
      </c>
      <c r="AQ71" t="s">
        <v>194</v>
      </c>
      <c r="AR71" t="s">
        <v>195</v>
      </c>
      <c r="AS71" t="s">
        <v>196</v>
      </c>
      <c r="AT71" s="2">
        <v>0</v>
      </c>
      <c r="AV71" t="s">
        <v>197</v>
      </c>
      <c r="AW71" t="s">
        <v>198</v>
      </c>
      <c r="AX71">
        <v>393</v>
      </c>
      <c r="AY71">
        <v>0</v>
      </c>
      <c r="AZ71" t="s">
        <v>199</v>
      </c>
      <c r="BA71">
        <v>120.8767</v>
      </c>
      <c r="BB71">
        <f t="shared" si="1"/>
        <v>36.766662916666661</v>
      </c>
      <c r="BD71">
        <v>0</v>
      </c>
      <c r="BE71" t="s">
        <v>201</v>
      </c>
      <c r="BF71">
        <v>0</v>
      </c>
      <c r="BG71" t="s">
        <v>202</v>
      </c>
      <c r="BH71">
        <v>1</v>
      </c>
      <c r="BI71" t="s">
        <v>203</v>
      </c>
      <c r="BJ71">
        <v>27.255700000000001</v>
      </c>
      <c r="BK71" t="s">
        <v>204</v>
      </c>
      <c r="BL71">
        <v>710.8</v>
      </c>
      <c r="BM71" s="3">
        <v>19373.3806</v>
      </c>
      <c r="FE71" s="1">
        <v>46309</v>
      </c>
      <c r="FF71">
        <v>0</v>
      </c>
      <c r="FG71" t="s">
        <v>200</v>
      </c>
      <c r="FH71" t="s">
        <v>213</v>
      </c>
      <c r="FI71">
        <v>110</v>
      </c>
      <c r="FJ71" t="s">
        <v>191</v>
      </c>
      <c r="FK71" t="s">
        <v>206</v>
      </c>
      <c r="FL71" t="s">
        <v>191</v>
      </c>
      <c r="FM71">
        <v>393</v>
      </c>
      <c r="FN71" t="s">
        <v>214</v>
      </c>
    </row>
    <row r="72" spans="1:170" x14ac:dyDescent="0.25">
      <c r="A72" t="s">
        <v>170</v>
      </c>
      <c r="B72">
        <v>1</v>
      </c>
      <c r="C72" t="s">
        <v>171</v>
      </c>
      <c r="F72" s="1">
        <v>46478</v>
      </c>
      <c r="G72" s="1">
        <v>47208</v>
      </c>
      <c r="I72" t="s">
        <v>172</v>
      </c>
      <c r="J72" t="s">
        <v>173</v>
      </c>
      <c r="K72" t="s">
        <v>174</v>
      </c>
      <c r="L72">
        <v>3674687</v>
      </c>
      <c r="M72" t="s">
        <v>175</v>
      </c>
      <c r="N72" t="s">
        <v>176</v>
      </c>
      <c r="P72" t="s">
        <v>177</v>
      </c>
      <c r="R72" t="s">
        <v>178</v>
      </c>
      <c r="S72" t="s">
        <v>179</v>
      </c>
      <c r="T72" t="s">
        <v>180</v>
      </c>
      <c r="U72" t="s">
        <v>181</v>
      </c>
      <c r="V72" t="s">
        <v>182</v>
      </c>
      <c r="X72" t="s">
        <v>183</v>
      </c>
      <c r="Y72" t="s">
        <v>407</v>
      </c>
      <c r="Z72" t="s">
        <v>219</v>
      </c>
      <c r="AB72" t="s">
        <v>176</v>
      </c>
      <c r="AD72" t="s">
        <v>408</v>
      </c>
      <c r="AF72" t="s">
        <v>187</v>
      </c>
      <c r="AG72" t="s">
        <v>188</v>
      </c>
      <c r="AH72" t="s">
        <v>189</v>
      </c>
      <c r="AI72">
        <v>21</v>
      </c>
      <c r="AJ72" t="s">
        <v>409</v>
      </c>
      <c r="AK72" s="4">
        <v>2200014223840</v>
      </c>
      <c r="AL72" t="s">
        <v>191</v>
      </c>
      <c r="AM72" t="s">
        <v>192</v>
      </c>
      <c r="AN72">
        <v>3</v>
      </c>
      <c r="AO72">
        <v>801</v>
      </c>
      <c r="AP72">
        <v>110</v>
      </c>
      <c r="AQ72" t="s">
        <v>194</v>
      </c>
      <c r="AR72" t="s">
        <v>195</v>
      </c>
      <c r="AS72" t="s">
        <v>196</v>
      </c>
      <c r="AT72" s="2">
        <v>0</v>
      </c>
      <c r="AV72" t="s">
        <v>197</v>
      </c>
      <c r="AW72" t="s">
        <v>198</v>
      </c>
      <c r="AX72">
        <v>393</v>
      </c>
      <c r="AY72">
        <v>0</v>
      </c>
      <c r="AZ72" t="s">
        <v>199</v>
      </c>
      <c r="BA72">
        <v>120.852</v>
      </c>
      <c r="BB72">
        <f t="shared" si="1"/>
        <v>36.759150000000005</v>
      </c>
      <c r="BD72">
        <v>0</v>
      </c>
      <c r="BE72" t="s">
        <v>201</v>
      </c>
      <c r="BF72">
        <v>0</v>
      </c>
      <c r="BG72" t="s">
        <v>202</v>
      </c>
      <c r="BH72">
        <v>1</v>
      </c>
      <c r="BI72" t="s">
        <v>203</v>
      </c>
      <c r="BJ72">
        <v>27.255700000000001</v>
      </c>
      <c r="BK72" t="s">
        <v>204</v>
      </c>
      <c r="BL72">
        <v>568.99990000000003</v>
      </c>
      <c r="BM72" s="3">
        <v>15508.5178</v>
      </c>
      <c r="FE72" s="1">
        <v>46309</v>
      </c>
      <c r="FF72">
        <v>0</v>
      </c>
      <c r="FG72" t="s">
        <v>200</v>
      </c>
      <c r="FH72" t="s">
        <v>205</v>
      </c>
      <c r="FI72">
        <v>110</v>
      </c>
      <c r="FJ72" t="s">
        <v>191</v>
      </c>
      <c r="FK72" t="s">
        <v>206</v>
      </c>
      <c r="FL72" t="s">
        <v>191</v>
      </c>
      <c r="FM72">
        <v>393</v>
      </c>
      <c r="FN72" t="s">
        <v>214</v>
      </c>
    </row>
    <row r="73" spans="1:170" x14ac:dyDescent="0.25">
      <c r="A73" t="s">
        <v>170</v>
      </c>
      <c r="B73">
        <v>1</v>
      </c>
      <c r="C73" t="s">
        <v>171</v>
      </c>
      <c r="F73" s="1">
        <v>46478</v>
      </c>
      <c r="G73" s="1">
        <v>47208</v>
      </c>
      <c r="I73" t="s">
        <v>172</v>
      </c>
      <c r="J73" t="s">
        <v>173</v>
      </c>
      <c r="K73" t="s">
        <v>174</v>
      </c>
      <c r="L73">
        <v>3674687</v>
      </c>
      <c r="M73" t="s">
        <v>175</v>
      </c>
      <c r="N73" t="s">
        <v>176</v>
      </c>
      <c r="P73" t="s">
        <v>177</v>
      </c>
      <c r="R73" t="s">
        <v>178</v>
      </c>
      <c r="S73" t="s">
        <v>179</v>
      </c>
      <c r="T73" t="s">
        <v>180</v>
      </c>
      <c r="U73" t="s">
        <v>181</v>
      </c>
      <c r="V73" t="s">
        <v>182</v>
      </c>
      <c r="X73" t="s">
        <v>183</v>
      </c>
      <c r="Y73" t="s">
        <v>410</v>
      </c>
      <c r="Z73" t="s">
        <v>219</v>
      </c>
      <c r="AB73" t="s">
        <v>176</v>
      </c>
      <c r="AD73" t="s">
        <v>408</v>
      </c>
      <c r="AF73" t="s">
        <v>187</v>
      </c>
      <c r="AG73" t="s">
        <v>188</v>
      </c>
      <c r="AH73" t="s">
        <v>189</v>
      </c>
      <c r="AI73">
        <v>21</v>
      </c>
      <c r="AJ73" t="s">
        <v>411</v>
      </c>
      <c r="AK73" s="4">
        <v>2200014224107</v>
      </c>
      <c r="AL73" t="s">
        <v>191</v>
      </c>
      <c r="AM73" t="s">
        <v>212</v>
      </c>
      <c r="AN73">
        <v>3</v>
      </c>
      <c r="AO73">
        <v>801</v>
      </c>
      <c r="AP73">
        <v>110</v>
      </c>
      <c r="AQ73" t="s">
        <v>194</v>
      </c>
      <c r="AR73" t="s">
        <v>195</v>
      </c>
      <c r="AS73" t="s">
        <v>196</v>
      </c>
      <c r="AT73" s="2">
        <v>0</v>
      </c>
      <c r="AV73" t="s">
        <v>197</v>
      </c>
      <c r="AW73" t="s">
        <v>198</v>
      </c>
      <c r="AX73">
        <v>393</v>
      </c>
      <c r="AY73">
        <v>0</v>
      </c>
      <c r="AZ73" t="s">
        <v>199</v>
      </c>
      <c r="BA73">
        <v>120.85299999999999</v>
      </c>
      <c r="BB73">
        <f t="shared" si="1"/>
        <v>36.759454166666664</v>
      </c>
      <c r="BD73">
        <v>0</v>
      </c>
      <c r="BE73" t="s">
        <v>201</v>
      </c>
      <c r="BF73">
        <v>0</v>
      </c>
      <c r="BG73" t="s">
        <v>202</v>
      </c>
      <c r="BH73">
        <v>1</v>
      </c>
      <c r="BI73" t="s">
        <v>203</v>
      </c>
      <c r="BJ73">
        <v>27.255700000000001</v>
      </c>
      <c r="BK73" t="s">
        <v>204</v>
      </c>
      <c r="BL73">
        <v>505.40010000000001</v>
      </c>
      <c r="BM73" s="3">
        <v>13775.052900000001</v>
      </c>
      <c r="FE73" s="1">
        <v>46309</v>
      </c>
      <c r="FF73">
        <v>0</v>
      </c>
      <c r="FG73" t="s">
        <v>200</v>
      </c>
      <c r="FH73" t="s">
        <v>213</v>
      </c>
      <c r="FI73">
        <v>110</v>
      </c>
      <c r="FJ73" t="s">
        <v>191</v>
      </c>
      <c r="FK73" t="s">
        <v>206</v>
      </c>
      <c r="FL73" t="s">
        <v>191</v>
      </c>
      <c r="FM73">
        <v>393</v>
      </c>
      <c r="FN73" t="s">
        <v>214</v>
      </c>
    </row>
    <row r="74" spans="1:170" x14ac:dyDescent="0.25">
      <c r="A74" t="s">
        <v>170</v>
      </c>
      <c r="B74">
        <v>1</v>
      </c>
      <c r="C74" t="s">
        <v>171</v>
      </c>
      <c r="F74" s="1">
        <v>46478</v>
      </c>
      <c r="G74" s="1">
        <v>47208</v>
      </c>
      <c r="I74" t="s">
        <v>172</v>
      </c>
      <c r="J74" t="s">
        <v>173</v>
      </c>
      <c r="K74" t="s">
        <v>174</v>
      </c>
      <c r="L74">
        <v>3674687</v>
      </c>
      <c r="M74" t="s">
        <v>175</v>
      </c>
      <c r="N74" t="s">
        <v>176</v>
      </c>
      <c r="P74" t="s">
        <v>177</v>
      </c>
      <c r="R74" t="s">
        <v>178</v>
      </c>
      <c r="S74" t="s">
        <v>179</v>
      </c>
      <c r="T74" t="s">
        <v>180</v>
      </c>
      <c r="U74" t="s">
        <v>181</v>
      </c>
      <c r="V74" t="s">
        <v>182</v>
      </c>
      <c r="X74" t="s">
        <v>183</v>
      </c>
      <c r="Y74" t="s">
        <v>412</v>
      </c>
      <c r="Z74" t="s">
        <v>209</v>
      </c>
      <c r="AB74" t="s">
        <v>176</v>
      </c>
      <c r="AD74" t="s">
        <v>408</v>
      </c>
      <c r="AF74" t="s">
        <v>187</v>
      </c>
      <c r="AG74" t="s">
        <v>188</v>
      </c>
      <c r="AH74" t="s">
        <v>189</v>
      </c>
      <c r="AI74">
        <v>21</v>
      </c>
      <c r="AJ74" t="s">
        <v>413</v>
      </c>
      <c r="AK74" s="4">
        <v>2200014224152</v>
      </c>
      <c r="AL74" t="s">
        <v>191</v>
      </c>
      <c r="AM74" t="s">
        <v>192</v>
      </c>
      <c r="AN74">
        <v>3</v>
      </c>
      <c r="AO74">
        <v>801</v>
      </c>
      <c r="AP74">
        <v>110</v>
      </c>
      <c r="AQ74" t="s">
        <v>194</v>
      </c>
      <c r="AR74" t="s">
        <v>195</v>
      </c>
      <c r="AS74" t="s">
        <v>196</v>
      </c>
      <c r="AT74" s="2">
        <v>0</v>
      </c>
      <c r="AV74" t="s">
        <v>197</v>
      </c>
      <c r="AW74" t="s">
        <v>198</v>
      </c>
      <c r="AX74">
        <v>393</v>
      </c>
      <c r="AY74">
        <v>0</v>
      </c>
      <c r="AZ74" t="s">
        <v>199</v>
      </c>
      <c r="BA74">
        <v>120.8408</v>
      </c>
      <c r="BB74">
        <f t="shared" si="1"/>
        <v>36.755743333333335</v>
      </c>
      <c r="BD74">
        <v>0</v>
      </c>
      <c r="BE74" t="s">
        <v>201</v>
      </c>
      <c r="BF74">
        <v>0</v>
      </c>
      <c r="BG74" t="s">
        <v>202</v>
      </c>
      <c r="BH74">
        <v>1</v>
      </c>
      <c r="BI74" t="s">
        <v>203</v>
      </c>
      <c r="BJ74">
        <v>27.255700000000001</v>
      </c>
      <c r="BK74" t="s">
        <v>204</v>
      </c>
      <c r="BL74">
        <v>472.40010000000001</v>
      </c>
      <c r="BM74" s="3">
        <v>12875.614</v>
      </c>
      <c r="FE74" s="1">
        <v>46309</v>
      </c>
      <c r="FF74">
        <v>0</v>
      </c>
      <c r="FG74" t="s">
        <v>200</v>
      </c>
      <c r="FH74" t="s">
        <v>205</v>
      </c>
      <c r="FI74">
        <v>110</v>
      </c>
      <c r="FJ74" t="s">
        <v>191</v>
      </c>
      <c r="FK74" t="s">
        <v>206</v>
      </c>
      <c r="FL74" t="s">
        <v>191</v>
      </c>
      <c r="FM74">
        <v>393</v>
      </c>
      <c r="FN74" t="s">
        <v>214</v>
      </c>
    </row>
    <row r="75" spans="1:170" x14ac:dyDescent="0.25">
      <c r="A75" t="s">
        <v>170</v>
      </c>
      <c r="B75">
        <v>1</v>
      </c>
      <c r="C75" t="s">
        <v>171</v>
      </c>
      <c r="F75" s="1">
        <v>46478</v>
      </c>
      <c r="G75" s="1">
        <v>47208</v>
      </c>
      <c r="I75" t="s">
        <v>172</v>
      </c>
      <c r="J75" t="s">
        <v>173</v>
      </c>
      <c r="K75" t="s">
        <v>174</v>
      </c>
      <c r="L75">
        <v>3674687</v>
      </c>
      <c r="M75" t="s">
        <v>175</v>
      </c>
      <c r="N75" t="s">
        <v>176</v>
      </c>
      <c r="P75" t="s">
        <v>177</v>
      </c>
      <c r="R75" t="s">
        <v>178</v>
      </c>
      <c r="S75" t="s">
        <v>179</v>
      </c>
      <c r="T75" t="s">
        <v>180</v>
      </c>
      <c r="U75" t="s">
        <v>181</v>
      </c>
      <c r="V75" t="s">
        <v>182</v>
      </c>
      <c r="X75" t="s">
        <v>183</v>
      </c>
      <c r="Y75" t="s">
        <v>414</v>
      </c>
      <c r="Z75" t="s">
        <v>209</v>
      </c>
      <c r="AB75" t="s">
        <v>176</v>
      </c>
      <c r="AD75" t="s">
        <v>408</v>
      </c>
      <c r="AF75" t="s">
        <v>187</v>
      </c>
      <c r="AG75" t="s">
        <v>188</v>
      </c>
      <c r="AH75" t="s">
        <v>189</v>
      </c>
      <c r="AI75">
        <v>21</v>
      </c>
      <c r="AJ75" t="s">
        <v>415</v>
      </c>
      <c r="AK75" s="4">
        <v>2200014224204</v>
      </c>
      <c r="AL75" t="s">
        <v>191</v>
      </c>
      <c r="AM75" t="s">
        <v>192</v>
      </c>
      <c r="AN75">
        <v>3</v>
      </c>
      <c r="AO75">
        <v>801</v>
      </c>
      <c r="AP75">
        <v>110</v>
      </c>
      <c r="AQ75" t="s">
        <v>194</v>
      </c>
      <c r="AR75" t="s">
        <v>195</v>
      </c>
      <c r="AS75" t="s">
        <v>196</v>
      </c>
      <c r="AT75" s="2">
        <v>0</v>
      </c>
      <c r="AV75" t="s">
        <v>197</v>
      </c>
      <c r="AW75" t="s">
        <v>198</v>
      </c>
      <c r="AX75">
        <v>393</v>
      </c>
      <c r="AY75">
        <v>0</v>
      </c>
      <c r="AZ75" t="s">
        <v>199</v>
      </c>
      <c r="BA75">
        <v>120.8493</v>
      </c>
      <c r="BB75">
        <f t="shared" si="1"/>
        <v>36.758328750000004</v>
      </c>
      <c r="BD75">
        <v>0</v>
      </c>
      <c r="BE75" t="s">
        <v>201</v>
      </c>
      <c r="BF75">
        <v>0</v>
      </c>
      <c r="BG75" t="s">
        <v>202</v>
      </c>
      <c r="BH75">
        <v>1</v>
      </c>
      <c r="BI75" t="s">
        <v>203</v>
      </c>
      <c r="BJ75">
        <v>27.255700000000001</v>
      </c>
      <c r="BK75" t="s">
        <v>204</v>
      </c>
      <c r="BL75">
        <v>546</v>
      </c>
      <c r="BM75" s="3">
        <v>14881.636200000001</v>
      </c>
      <c r="FE75" s="1">
        <v>46309</v>
      </c>
      <c r="FF75">
        <v>0</v>
      </c>
      <c r="FG75" t="s">
        <v>200</v>
      </c>
      <c r="FH75" t="s">
        <v>205</v>
      </c>
      <c r="FI75">
        <v>110</v>
      </c>
      <c r="FJ75" t="s">
        <v>191</v>
      </c>
      <c r="FK75" t="s">
        <v>206</v>
      </c>
      <c r="FL75" t="s">
        <v>191</v>
      </c>
      <c r="FM75">
        <v>393</v>
      </c>
      <c r="FN75" t="s">
        <v>214</v>
      </c>
    </row>
    <row r="76" spans="1:170" x14ac:dyDescent="0.25">
      <c r="A76" t="s">
        <v>170</v>
      </c>
      <c r="B76">
        <v>1</v>
      </c>
      <c r="C76" t="s">
        <v>171</v>
      </c>
      <c r="F76" s="1">
        <v>46478</v>
      </c>
      <c r="G76" s="1">
        <v>47208</v>
      </c>
      <c r="I76" t="s">
        <v>172</v>
      </c>
      <c r="J76" t="s">
        <v>173</v>
      </c>
      <c r="K76" t="s">
        <v>174</v>
      </c>
      <c r="L76">
        <v>3674687</v>
      </c>
      <c r="M76" t="s">
        <v>175</v>
      </c>
      <c r="N76" t="s">
        <v>176</v>
      </c>
      <c r="P76" t="s">
        <v>177</v>
      </c>
      <c r="R76" t="s">
        <v>178</v>
      </c>
      <c r="S76" t="s">
        <v>179</v>
      </c>
      <c r="T76" t="s">
        <v>180</v>
      </c>
      <c r="U76" t="s">
        <v>181</v>
      </c>
      <c r="V76" t="s">
        <v>182</v>
      </c>
      <c r="X76" t="s">
        <v>183</v>
      </c>
      <c r="Y76" t="s">
        <v>416</v>
      </c>
      <c r="Z76" t="s">
        <v>219</v>
      </c>
      <c r="AB76" t="s">
        <v>176</v>
      </c>
      <c r="AD76" t="s">
        <v>408</v>
      </c>
      <c r="AF76" t="s">
        <v>187</v>
      </c>
      <c r="AG76" t="s">
        <v>188</v>
      </c>
      <c r="AH76" t="s">
        <v>189</v>
      </c>
      <c r="AI76">
        <v>21</v>
      </c>
      <c r="AJ76" t="s">
        <v>417</v>
      </c>
      <c r="AK76" s="4">
        <v>2200014224310</v>
      </c>
      <c r="AL76" t="s">
        <v>191</v>
      </c>
      <c r="AM76" t="s">
        <v>192</v>
      </c>
      <c r="AN76">
        <v>3</v>
      </c>
      <c r="AO76">
        <v>801</v>
      </c>
      <c r="AP76">
        <v>110</v>
      </c>
      <c r="AQ76" t="s">
        <v>194</v>
      </c>
      <c r="AR76" t="s">
        <v>195</v>
      </c>
      <c r="AS76" t="s">
        <v>196</v>
      </c>
      <c r="AT76" s="2">
        <v>0</v>
      </c>
      <c r="AV76" t="s">
        <v>197</v>
      </c>
      <c r="AW76" t="s">
        <v>198</v>
      </c>
      <c r="AX76">
        <v>393</v>
      </c>
      <c r="AY76">
        <v>0</v>
      </c>
      <c r="AZ76" t="s">
        <v>199</v>
      </c>
      <c r="BA76">
        <v>120.84739999999999</v>
      </c>
      <c r="BB76">
        <f t="shared" si="1"/>
        <v>36.757750833333333</v>
      </c>
      <c r="BD76">
        <v>0</v>
      </c>
      <c r="BE76" t="s">
        <v>201</v>
      </c>
      <c r="BF76">
        <v>0</v>
      </c>
      <c r="BG76" t="s">
        <v>202</v>
      </c>
      <c r="BH76">
        <v>1</v>
      </c>
      <c r="BI76" t="s">
        <v>203</v>
      </c>
      <c r="BJ76">
        <v>27.255700000000001</v>
      </c>
      <c r="BK76" t="s">
        <v>204</v>
      </c>
      <c r="BL76">
        <v>529</v>
      </c>
      <c r="BM76" s="3">
        <v>14418.290499999999</v>
      </c>
      <c r="FE76" s="1">
        <v>46309</v>
      </c>
      <c r="FF76">
        <v>0</v>
      </c>
      <c r="FG76" t="s">
        <v>200</v>
      </c>
      <c r="FH76" t="s">
        <v>205</v>
      </c>
      <c r="FI76">
        <v>110</v>
      </c>
      <c r="FJ76" t="s">
        <v>191</v>
      </c>
      <c r="FK76" t="s">
        <v>206</v>
      </c>
      <c r="FL76" t="s">
        <v>191</v>
      </c>
      <c r="FM76">
        <v>393</v>
      </c>
      <c r="FN76" t="s">
        <v>214</v>
      </c>
    </row>
    <row r="77" spans="1:170" x14ac:dyDescent="0.25">
      <c r="A77" t="s">
        <v>170</v>
      </c>
      <c r="B77">
        <v>1</v>
      </c>
      <c r="C77" t="s">
        <v>171</v>
      </c>
      <c r="F77" s="1">
        <v>46478</v>
      </c>
      <c r="G77" s="1">
        <v>47208</v>
      </c>
      <c r="I77" t="s">
        <v>172</v>
      </c>
      <c r="J77" t="s">
        <v>173</v>
      </c>
      <c r="K77" t="s">
        <v>174</v>
      </c>
      <c r="L77">
        <v>3674687</v>
      </c>
      <c r="M77" t="s">
        <v>175</v>
      </c>
      <c r="N77" t="s">
        <v>176</v>
      </c>
      <c r="P77" t="s">
        <v>177</v>
      </c>
      <c r="R77" t="s">
        <v>178</v>
      </c>
      <c r="S77" t="s">
        <v>179</v>
      </c>
      <c r="T77" t="s">
        <v>180</v>
      </c>
      <c r="U77" t="s">
        <v>181</v>
      </c>
      <c r="V77" t="s">
        <v>182</v>
      </c>
      <c r="X77" t="s">
        <v>183</v>
      </c>
      <c r="Y77" t="s">
        <v>418</v>
      </c>
      <c r="Z77" t="s">
        <v>185</v>
      </c>
      <c r="AB77" t="s">
        <v>257</v>
      </c>
      <c r="AD77" t="s">
        <v>419</v>
      </c>
      <c r="AF77" t="s">
        <v>187</v>
      </c>
      <c r="AG77" t="s">
        <v>188</v>
      </c>
      <c r="AH77" t="s">
        <v>189</v>
      </c>
      <c r="AI77">
        <v>21</v>
      </c>
      <c r="AJ77" t="s">
        <v>420</v>
      </c>
      <c r="AK77" s="4">
        <v>2200014238322</v>
      </c>
      <c r="AL77" t="s">
        <v>191</v>
      </c>
      <c r="AM77" t="s">
        <v>192</v>
      </c>
      <c r="AN77">
        <v>3</v>
      </c>
      <c r="AO77">
        <v>801</v>
      </c>
      <c r="AP77">
        <v>110</v>
      </c>
      <c r="AQ77" t="s">
        <v>194</v>
      </c>
      <c r="AR77" t="s">
        <v>195</v>
      </c>
      <c r="AS77" t="s">
        <v>196</v>
      </c>
      <c r="AT77" s="2">
        <v>0</v>
      </c>
      <c r="AV77" t="s">
        <v>197</v>
      </c>
      <c r="AW77" t="s">
        <v>198</v>
      </c>
      <c r="AX77">
        <v>393</v>
      </c>
      <c r="AY77">
        <v>0</v>
      </c>
      <c r="AZ77" t="s">
        <v>199</v>
      </c>
      <c r="BA77">
        <v>120.8419</v>
      </c>
      <c r="BB77">
        <f t="shared" si="1"/>
        <v>36.756077916666669</v>
      </c>
      <c r="BD77">
        <v>0</v>
      </c>
      <c r="BE77" t="s">
        <v>201</v>
      </c>
      <c r="BF77">
        <v>0</v>
      </c>
      <c r="BG77" t="s">
        <v>202</v>
      </c>
      <c r="BH77">
        <v>1</v>
      </c>
      <c r="BI77" t="s">
        <v>203</v>
      </c>
      <c r="BJ77">
        <v>27.255700000000001</v>
      </c>
      <c r="BK77" t="s">
        <v>204</v>
      </c>
      <c r="BL77">
        <v>481.8</v>
      </c>
      <c r="BM77" s="3">
        <v>13131.816999999999</v>
      </c>
      <c r="FE77" s="1">
        <v>46309</v>
      </c>
      <c r="FF77">
        <v>0</v>
      </c>
      <c r="FG77" t="s">
        <v>200</v>
      </c>
      <c r="FH77" t="s">
        <v>205</v>
      </c>
      <c r="FI77">
        <v>110</v>
      </c>
      <c r="FJ77" t="s">
        <v>191</v>
      </c>
      <c r="FK77" t="s">
        <v>206</v>
      </c>
      <c r="FL77" t="s">
        <v>191</v>
      </c>
      <c r="FM77">
        <v>393</v>
      </c>
      <c r="FN77" t="s">
        <v>214</v>
      </c>
    </row>
    <row r="78" spans="1:170" x14ac:dyDescent="0.25">
      <c r="A78" t="s">
        <v>170</v>
      </c>
      <c r="B78">
        <v>1</v>
      </c>
      <c r="C78" t="s">
        <v>171</v>
      </c>
      <c r="F78" s="1">
        <v>46478</v>
      </c>
      <c r="G78" s="1">
        <v>47208</v>
      </c>
      <c r="I78" t="s">
        <v>172</v>
      </c>
      <c r="J78" t="s">
        <v>173</v>
      </c>
      <c r="K78" t="s">
        <v>174</v>
      </c>
      <c r="L78">
        <v>3674687</v>
      </c>
      <c r="M78" t="s">
        <v>175</v>
      </c>
      <c r="N78" t="s">
        <v>176</v>
      </c>
      <c r="P78" t="s">
        <v>177</v>
      </c>
      <c r="R78" t="s">
        <v>178</v>
      </c>
      <c r="S78" t="s">
        <v>179</v>
      </c>
      <c r="T78" t="s">
        <v>180</v>
      </c>
      <c r="U78" t="s">
        <v>181</v>
      </c>
      <c r="V78" t="s">
        <v>182</v>
      </c>
      <c r="X78" t="s">
        <v>183</v>
      </c>
      <c r="Y78" t="s">
        <v>421</v>
      </c>
      <c r="Z78" t="s">
        <v>282</v>
      </c>
      <c r="AB78" t="s">
        <v>257</v>
      </c>
      <c r="AD78" t="s">
        <v>419</v>
      </c>
      <c r="AF78" t="s">
        <v>187</v>
      </c>
      <c r="AG78" t="s">
        <v>188</v>
      </c>
      <c r="AH78" t="s">
        <v>189</v>
      </c>
      <c r="AI78">
        <v>21</v>
      </c>
      <c r="AJ78" t="s">
        <v>422</v>
      </c>
      <c r="AK78" s="4">
        <v>2200014238331</v>
      </c>
      <c r="AL78" t="s">
        <v>191</v>
      </c>
      <c r="AM78" t="s">
        <v>192</v>
      </c>
      <c r="AN78">
        <v>3</v>
      </c>
      <c r="AO78">
        <v>801</v>
      </c>
      <c r="AP78" t="s">
        <v>193</v>
      </c>
      <c r="AQ78" t="s">
        <v>194</v>
      </c>
      <c r="AR78" t="s">
        <v>195</v>
      </c>
      <c r="AS78" t="s">
        <v>196</v>
      </c>
      <c r="AT78" s="2">
        <v>0</v>
      </c>
      <c r="AV78" t="s">
        <v>197</v>
      </c>
      <c r="AW78" t="s">
        <v>198</v>
      </c>
      <c r="AX78">
        <v>393</v>
      </c>
      <c r="AY78">
        <v>0</v>
      </c>
      <c r="AZ78" t="s">
        <v>199</v>
      </c>
      <c r="BA78">
        <v>185.73419999999999</v>
      </c>
      <c r="BB78">
        <f t="shared" si="1"/>
        <v>56.494152499999991</v>
      </c>
      <c r="BD78">
        <v>0</v>
      </c>
      <c r="BE78" t="s">
        <v>201</v>
      </c>
      <c r="BF78">
        <v>0</v>
      </c>
      <c r="BG78" t="s">
        <v>202</v>
      </c>
      <c r="BH78">
        <v>1</v>
      </c>
      <c r="BI78" t="s">
        <v>203</v>
      </c>
      <c r="BJ78">
        <v>27.255700000000001</v>
      </c>
      <c r="BK78" t="s">
        <v>204</v>
      </c>
      <c r="BL78">
        <v>457.00009999999997</v>
      </c>
      <c r="BM78" s="3">
        <v>12455.8748</v>
      </c>
      <c r="FE78" s="1">
        <v>46309</v>
      </c>
      <c r="FF78">
        <v>0</v>
      </c>
      <c r="FG78" t="s">
        <v>200</v>
      </c>
      <c r="FH78" t="s">
        <v>213</v>
      </c>
      <c r="FI78" t="s">
        <v>193</v>
      </c>
      <c r="FJ78" t="s">
        <v>191</v>
      </c>
      <c r="FK78" t="s">
        <v>206</v>
      </c>
      <c r="FL78" t="s">
        <v>191</v>
      </c>
      <c r="FM78">
        <v>393</v>
      </c>
      <c r="FN78" t="s">
        <v>207</v>
      </c>
    </row>
    <row r="79" spans="1:170" x14ac:dyDescent="0.25">
      <c r="A79" t="s">
        <v>170</v>
      </c>
      <c r="B79">
        <v>1</v>
      </c>
      <c r="C79" t="s">
        <v>171</v>
      </c>
      <c r="F79" s="1">
        <v>46478</v>
      </c>
      <c r="G79" s="1">
        <v>47208</v>
      </c>
      <c r="I79" t="s">
        <v>172</v>
      </c>
      <c r="J79" t="s">
        <v>173</v>
      </c>
      <c r="K79" t="s">
        <v>174</v>
      </c>
      <c r="L79">
        <v>3674687</v>
      </c>
      <c r="M79" t="s">
        <v>175</v>
      </c>
      <c r="N79" t="s">
        <v>176</v>
      </c>
      <c r="P79" t="s">
        <v>177</v>
      </c>
      <c r="R79" t="s">
        <v>178</v>
      </c>
      <c r="S79" t="s">
        <v>179</v>
      </c>
      <c r="T79" t="s">
        <v>180</v>
      </c>
      <c r="U79" t="s">
        <v>181</v>
      </c>
      <c r="V79" t="s">
        <v>182</v>
      </c>
      <c r="X79" t="s">
        <v>183</v>
      </c>
      <c r="Y79" t="s">
        <v>423</v>
      </c>
      <c r="Z79" t="s">
        <v>282</v>
      </c>
      <c r="AB79" t="s">
        <v>257</v>
      </c>
      <c r="AD79" t="s">
        <v>419</v>
      </c>
      <c r="AF79" t="s">
        <v>187</v>
      </c>
      <c r="AG79" t="s">
        <v>188</v>
      </c>
      <c r="AH79" t="s">
        <v>189</v>
      </c>
      <c r="AI79">
        <v>21</v>
      </c>
      <c r="AJ79" t="s">
        <v>424</v>
      </c>
      <c r="AK79" s="4">
        <v>2200014238340</v>
      </c>
      <c r="AL79" t="s">
        <v>191</v>
      </c>
      <c r="AM79" t="s">
        <v>212</v>
      </c>
      <c r="AN79">
        <v>3</v>
      </c>
      <c r="AO79">
        <v>801</v>
      </c>
      <c r="AP79">
        <v>110</v>
      </c>
      <c r="AQ79" t="s">
        <v>194</v>
      </c>
      <c r="AR79" t="s">
        <v>195</v>
      </c>
      <c r="AS79" t="s">
        <v>196</v>
      </c>
      <c r="AT79" s="2">
        <v>0</v>
      </c>
      <c r="AV79" t="s">
        <v>197</v>
      </c>
      <c r="AW79" t="s">
        <v>198</v>
      </c>
      <c r="AX79">
        <v>393</v>
      </c>
      <c r="AY79">
        <v>0</v>
      </c>
      <c r="AZ79" t="s">
        <v>199</v>
      </c>
      <c r="BA79">
        <v>120.85420000000001</v>
      </c>
      <c r="BB79">
        <f t="shared" si="1"/>
        <v>36.759819166666666</v>
      </c>
      <c r="BD79">
        <v>0</v>
      </c>
      <c r="BE79" t="s">
        <v>201</v>
      </c>
      <c r="BF79">
        <v>0</v>
      </c>
      <c r="BG79" t="s">
        <v>202</v>
      </c>
      <c r="BH79">
        <v>1</v>
      </c>
      <c r="BI79" t="s">
        <v>203</v>
      </c>
      <c r="BJ79">
        <v>27.255700000000001</v>
      </c>
      <c r="BK79" t="s">
        <v>204</v>
      </c>
      <c r="BL79">
        <v>515.40009999999995</v>
      </c>
      <c r="BM79" s="3">
        <v>14047.611800000001</v>
      </c>
      <c r="FE79" s="1">
        <v>46309</v>
      </c>
      <c r="FF79">
        <v>0</v>
      </c>
      <c r="FG79" t="s">
        <v>200</v>
      </c>
      <c r="FH79" t="s">
        <v>213</v>
      </c>
      <c r="FI79">
        <v>110</v>
      </c>
      <c r="FJ79" t="s">
        <v>191</v>
      </c>
      <c r="FK79" t="s">
        <v>206</v>
      </c>
      <c r="FL79" t="s">
        <v>191</v>
      </c>
      <c r="FM79">
        <v>393</v>
      </c>
      <c r="FN79" t="s">
        <v>214</v>
      </c>
    </row>
    <row r="80" spans="1:170" x14ac:dyDescent="0.25">
      <c r="A80" t="s">
        <v>170</v>
      </c>
      <c r="B80">
        <v>1</v>
      </c>
      <c r="C80" t="s">
        <v>171</v>
      </c>
      <c r="F80" s="1">
        <v>46478</v>
      </c>
      <c r="G80" s="1">
        <v>47208</v>
      </c>
      <c r="I80" t="s">
        <v>172</v>
      </c>
      <c r="J80" t="s">
        <v>173</v>
      </c>
      <c r="K80" t="s">
        <v>174</v>
      </c>
      <c r="L80">
        <v>3674687</v>
      </c>
      <c r="M80" t="s">
        <v>175</v>
      </c>
      <c r="N80" t="s">
        <v>176</v>
      </c>
      <c r="P80" t="s">
        <v>177</v>
      </c>
      <c r="R80" t="s">
        <v>178</v>
      </c>
      <c r="S80" t="s">
        <v>179</v>
      </c>
      <c r="T80" t="s">
        <v>180</v>
      </c>
      <c r="U80" t="s">
        <v>181</v>
      </c>
      <c r="V80" t="s">
        <v>182</v>
      </c>
      <c r="X80" t="s">
        <v>183</v>
      </c>
      <c r="Y80" t="s">
        <v>425</v>
      </c>
      <c r="Z80" t="s">
        <v>185</v>
      </c>
      <c r="AB80" t="s">
        <v>257</v>
      </c>
      <c r="AD80" t="s">
        <v>419</v>
      </c>
      <c r="AF80" t="s">
        <v>187</v>
      </c>
      <c r="AG80" t="s">
        <v>188</v>
      </c>
      <c r="AH80" t="s">
        <v>189</v>
      </c>
      <c r="AI80">
        <v>21</v>
      </c>
      <c r="AJ80" t="s">
        <v>426</v>
      </c>
      <c r="AK80" s="4">
        <v>2200014238350</v>
      </c>
      <c r="AL80" t="s">
        <v>191</v>
      </c>
      <c r="AM80" t="s">
        <v>212</v>
      </c>
      <c r="AN80">
        <v>3</v>
      </c>
      <c r="AO80">
        <v>801</v>
      </c>
      <c r="AP80">
        <v>110</v>
      </c>
      <c r="AQ80" t="s">
        <v>194</v>
      </c>
      <c r="AR80" t="s">
        <v>195</v>
      </c>
      <c r="AS80" t="s">
        <v>196</v>
      </c>
      <c r="AT80" s="2">
        <v>0</v>
      </c>
      <c r="AV80" t="s">
        <v>197</v>
      </c>
      <c r="AW80" t="s">
        <v>198</v>
      </c>
      <c r="AX80">
        <v>393</v>
      </c>
      <c r="AY80">
        <v>0</v>
      </c>
      <c r="AZ80" t="s">
        <v>199</v>
      </c>
      <c r="BA80">
        <v>120.8467</v>
      </c>
      <c r="BB80">
        <f t="shared" si="1"/>
        <v>36.757537916666664</v>
      </c>
      <c r="BD80">
        <v>0</v>
      </c>
      <c r="BE80" t="s">
        <v>201</v>
      </c>
      <c r="BF80">
        <v>0</v>
      </c>
      <c r="BG80" t="s">
        <v>202</v>
      </c>
      <c r="BH80">
        <v>1</v>
      </c>
      <c r="BI80" t="s">
        <v>203</v>
      </c>
      <c r="BJ80">
        <v>27.255700000000001</v>
      </c>
      <c r="BK80" t="s">
        <v>204</v>
      </c>
      <c r="BL80">
        <v>450.8</v>
      </c>
      <c r="BM80" s="3">
        <v>12286.890600000001</v>
      </c>
      <c r="FE80" s="1">
        <v>46309</v>
      </c>
      <c r="FF80">
        <v>0</v>
      </c>
      <c r="FG80" t="s">
        <v>200</v>
      </c>
      <c r="FH80" t="s">
        <v>213</v>
      </c>
      <c r="FI80">
        <v>110</v>
      </c>
      <c r="FJ80" t="s">
        <v>191</v>
      </c>
      <c r="FK80" t="s">
        <v>206</v>
      </c>
      <c r="FL80" t="s">
        <v>191</v>
      </c>
      <c r="FM80">
        <v>393</v>
      </c>
      <c r="FN80" t="s">
        <v>214</v>
      </c>
    </row>
    <row r="81" spans="1:170" x14ac:dyDescent="0.25">
      <c r="A81" t="s">
        <v>170</v>
      </c>
      <c r="B81">
        <v>1</v>
      </c>
      <c r="C81" t="s">
        <v>171</v>
      </c>
      <c r="F81" s="1">
        <v>46478</v>
      </c>
      <c r="G81" s="1">
        <v>47208</v>
      </c>
      <c r="I81" t="s">
        <v>172</v>
      </c>
      <c r="J81" t="s">
        <v>173</v>
      </c>
      <c r="K81" t="s">
        <v>174</v>
      </c>
      <c r="L81">
        <v>3674687</v>
      </c>
      <c r="M81" t="s">
        <v>175</v>
      </c>
      <c r="N81" t="s">
        <v>176</v>
      </c>
      <c r="P81" t="s">
        <v>177</v>
      </c>
      <c r="R81" t="s">
        <v>178</v>
      </c>
      <c r="S81" t="s">
        <v>179</v>
      </c>
      <c r="T81" t="s">
        <v>180</v>
      </c>
      <c r="U81" t="s">
        <v>181</v>
      </c>
      <c r="V81" t="s">
        <v>182</v>
      </c>
      <c r="X81" t="s">
        <v>183</v>
      </c>
      <c r="Y81" t="s">
        <v>427</v>
      </c>
      <c r="Z81" t="s">
        <v>282</v>
      </c>
      <c r="AB81" t="s">
        <v>257</v>
      </c>
      <c r="AD81" t="s">
        <v>419</v>
      </c>
      <c r="AF81" t="s">
        <v>187</v>
      </c>
      <c r="AG81" t="s">
        <v>188</v>
      </c>
      <c r="AH81" t="s">
        <v>189</v>
      </c>
      <c r="AI81">
        <v>21</v>
      </c>
      <c r="AJ81" t="s">
        <v>428</v>
      </c>
      <c r="AK81" s="4">
        <v>2200014238369</v>
      </c>
      <c r="AL81" t="s">
        <v>191</v>
      </c>
      <c r="AM81" t="s">
        <v>212</v>
      </c>
      <c r="AN81">
        <v>3</v>
      </c>
      <c r="AO81">
        <v>801</v>
      </c>
      <c r="AP81">
        <v>110</v>
      </c>
      <c r="AQ81" t="s">
        <v>194</v>
      </c>
      <c r="AR81" t="s">
        <v>195</v>
      </c>
      <c r="AS81" t="s">
        <v>196</v>
      </c>
      <c r="AT81" s="2">
        <v>0</v>
      </c>
      <c r="AV81" t="s">
        <v>197</v>
      </c>
      <c r="AW81" t="s">
        <v>198</v>
      </c>
      <c r="AX81">
        <v>393</v>
      </c>
      <c r="AY81">
        <v>0</v>
      </c>
      <c r="AZ81" t="s">
        <v>199</v>
      </c>
      <c r="BA81">
        <v>120.877</v>
      </c>
      <c r="BB81">
        <f t="shared" si="1"/>
        <v>36.766754166666665</v>
      </c>
      <c r="BD81">
        <v>0</v>
      </c>
      <c r="BE81" t="s">
        <v>201</v>
      </c>
      <c r="BF81">
        <v>0</v>
      </c>
      <c r="BG81" t="s">
        <v>202</v>
      </c>
      <c r="BH81">
        <v>1</v>
      </c>
      <c r="BI81" t="s">
        <v>203</v>
      </c>
      <c r="BJ81">
        <v>27.255700000000001</v>
      </c>
      <c r="BK81" t="s">
        <v>204</v>
      </c>
      <c r="BL81">
        <v>713.59990000000005</v>
      </c>
      <c r="BM81" s="3">
        <v>19449.697199999999</v>
      </c>
      <c r="FE81" s="1">
        <v>46309</v>
      </c>
      <c r="FF81">
        <v>0</v>
      </c>
      <c r="FG81" t="s">
        <v>200</v>
      </c>
      <c r="FH81" t="s">
        <v>213</v>
      </c>
      <c r="FI81">
        <v>110</v>
      </c>
      <c r="FJ81" t="s">
        <v>191</v>
      </c>
      <c r="FK81" t="s">
        <v>206</v>
      </c>
      <c r="FL81" t="s">
        <v>191</v>
      </c>
      <c r="FM81">
        <v>393</v>
      </c>
      <c r="FN81" t="s">
        <v>214</v>
      </c>
    </row>
    <row r="82" spans="1:170" x14ac:dyDescent="0.25">
      <c r="A82" t="s">
        <v>170</v>
      </c>
      <c r="B82">
        <v>1</v>
      </c>
      <c r="C82" t="s">
        <v>171</v>
      </c>
      <c r="F82" s="1">
        <v>46478</v>
      </c>
      <c r="G82" s="1">
        <v>47208</v>
      </c>
      <c r="I82" t="s">
        <v>172</v>
      </c>
      <c r="J82" t="s">
        <v>173</v>
      </c>
      <c r="K82" t="s">
        <v>174</v>
      </c>
      <c r="L82">
        <v>3674687</v>
      </c>
      <c r="M82" t="s">
        <v>175</v>
      </c>
      <c r="N82" t="s">
        <v>176</v>
      </c>
      <c r="P82" t="s">
        <v>177</v>
      </c>
      <c r="R82" t="s">
        <v>178</v>
      </c>
      <c r="S82" t="s">
        <v>179</v>
      </c>
      <c r="T82" t="s">
        <v>180</v>
      </c>
      <c r="U82" t="s">
        <v>181</v>
      </c>
      <c r="V82" t="s">
        <v>182</v>
      </c>
      <c r="X82" t="s">
        <v>183</v>
      </c>
      <c r="Y82" t="s">
        <v>429</v>
      </c>
      <c r="Z82" t="s">
        <v>185</v>
      </c>
      <c r="AB82" t="s">
        <v>257</v>
      </c>
      <c r="AD82" t="s">
        <v>419</v>
      </c>
      <c r="AF82" t="s">
        <v>187</v>
      </c>
      <c r="AG82" t="s">
        <v>188</v>
      </c>
      <c r="AH82" t="s">
        <v>189</v>
      </c>
      <c r="AI82">
        <v>21</v>
      </c>
      <c r="AJ82" t="s">
        <v>430</v>
      </c>
      <c r="AK82" s="4">
        <v>2200014238378</v>
      </c>
      <c r="AL82" t="s">
        <v>191</v>
      </c>
      <c r="AM82" t="s">
        <v>212</v>
      </c>
      <c r="AN82">
        <v>3</v>
      </c>
      <c r="AO82">
        <v>801</v>
      </c>
      <c r="AP82">
        <v>110</v>
      </c>
      <c r="AQ82" t="s">
        <v>194</v>
      </c>
      <c r="AR82" t="s">
        <v>195</v>
      </c>
      <c r="AS82" t="s">
        <v>196</v>
      </c>
      <c r="AT82" s="2">
        <v>0</v>
      </c>
      <c r="AV82" t="s">
        <v>197</v>
      </c>
      <c r="AW82" t="s">
        <v>198</v>
      </c>
      <c r="AX82">
        <v>393</v>
      </c>
      <c r="AY82">
        <v>0</v>
      </c>
      <c r="AZ82" t="s">
        <v>199</v>
      </c>
      <c r="BA82">
        <v>120.8496</v>
      </c>
      <c r="BB82">
        <f t="shared" si="1"/>
        <v>36.758420000000001</v>
      </c>
      <c r="BD82">
        <v>0</v>
      </c>
      <c r="BE82" t="s">
        <v>201</v>
      </c>
      <c r="BF82">
        <v>0</v>
      </c>
      <c r="BG82" t="s">
        <v>202</v>
      </c>
      <c r="BH82">
        <v>1</v>
      </c>
      <c r="BI82" t="s">
        <v>203</v>
      </c>
      <c r="BJ82">
        <v>27.255700000000001</v>
      </c>
      <c r="BK82" t="s">
        <v>204</v>
      </c>
      <c r="BL82">
        <v>476.19990000000001</v>
      </c>
      <c r="BM82" s="3">
        <v>12979.1857</v>
      </c>
      <c r="FE82" s="1">
        <v>46309</v>
      </c>
      <c r="FF82">
        <v>0</v>
      </c>
      <c r="FG82" t="s">
        <v>200</v>
      </c>
      <c r="FH82" t="s">
        <v>213</v>
      </c>
      <c r="FI82">
        <v>110</v>
      </c>
      <c r="FJ82" t="s">
        <v>191</v>
      </c>
      <c r="FK82" t="s">
        <v>206</v>
      </c>
      <c r="FL82" t="s">
        <v>191</v>
      </c>
      <c r="FM82">
        <v>393</v>
      </c>
      <c r="FN82" t="s">
        <v>214</v>
      </c>
    </row>
    <row r="83" spans="1:170" x14ac:dyDescent="0.25">
      <c r="A83" t="s">
        <v>170</v>
      </c>
      <c r="B83">
        <v>1</v>
      </c>
      <c r="C83" t="s">
        <v>171</v>
      </c>
      <c r="F83" s="1">
        <v>46478</v>
      </c>
      <c r="G83" s="1">
        <v>47208</v>
      </c>
      <c r="I83" t="s">
        <v>172</v>
      </c>
      <c r="J83" t="s">
        <v>173</v>
      </c>
      <c r="K83" t="s">
        <v>174</v>
      </c>
      <c r="L83">
        <v>3674687</v>
      </c>
      <c r="M83" t="s">
        <v>175</v>
      </c>
      <c r="N83" t="s">
        <v>176</v>
      </c>
      <c r="P83" t="s">
        <v>177</v>
      </c>
      <c r="R83" t="s">
        <v>178</v>
      </c>
      <c r="S83" t="s">
        <v>179</v>
      </c>
      <c r="T83" t="s">
        <v>180</v>
      </c>
      <c r="U83" t="s">
        <v>181</v>
      </c>
      <c r="V83" t="s">
        <v>182</v>
      </c>
      <c r="X83" t="s">
        <v>183</v>
      </c>
      <c r="Y83" t="s">
        <v>431</v>
      </c>
      <c r="Z83" t="s">
        <v>282</v>
      </c>
      <c r="AB83" t="s">
        <v>432</v>
      </c>
      <c r="AD83" t="s">
        <v>419</v>
      </c>
      <c r="AF83" t="s">
        <v>187</v>
      </c>
      <c r="AG83" t="s">
        <v>188</v>
      </c>
      <c r="AH83" t="s">
        <v>189</v>
      </c>
      <c r="AI83">
        <v>21</v>
      </c>
      <c r="AJ83" t="s">
        <v>433</v>
      </c>
      <c r="AK83" s="4">
        <v>2200014238387</v>
      </c>
      <c r="AL83" t="s">
        <v>191</v>
      </c>
      <c r="AM83" t="s">
        <v>192</v>
      </c>
      <c r="AN83">
        <v>3</v>
      </c>
      <c r="AO83">
        <v>801</v>
      </c>
      <c r="AP83">
        <v>110</v>
      </c>
      <c r="AQ83" t="s">
        <v>194</v>
      </c>
      <c r="AR83" t="s">
        <v>195</v>
      </c>
      <c r="AS83" t="s">
        <v>196</v>
      </c>
      <c r="AT83" s="2">
        <v>0</v>
      </c>
      <c r="AV83" t="s">
        <v>197</v>
      </c>
      <c r="AW83" t="s">
        <v>198</v>
      </c>
      <c r="AX83">
        <v>393</v>
      </c>
      <c r="AY83">
        <v>0</v>
      </c>
      <c r="AZ83" t="s">
        <v>199</v>
      </c>
      <c r="BA83">
        <v>120.8639</v>
      </c>
      <c r="BB83">
        <f t="shared" si="1"/>
        <v>36.762769583333331</v>
      </c>
      <c r="BD83">
        <v>0</v>
      </c>
      <c r="BE83" t="s">
        <v>201</v>
      </c>
      <c r="BF83">
        <v>0</v>
      </c>
      <c r="BG83" t="s">
        <v>202</v>
      </c>
      <c r="BH83">
        <v>1</v>
      </c>
      <c r="BI83" t="s">
        <v>203</v>
      </c>
      <c r="BJ83">
        <v>27.255700000000001</v>
      </c>
      <c r="BK83" t="s">
        <v>204</v>
      </c>
      <c r="BL83">
        <v>672.3999</v>
      </c>
      <c r="BM83" s="3">
        <v>18326.760399999999</v>
      </c>
      <c r="FE83" s="1">
        <v>46309</v>
      </c>
      <c r="FF83">
        <v>0</v>
      </c>
      <c r="FG83" t="s">
        <v>200</v>
      </c>
      <c r="FH83" t="s">
        <v>213</v>
      </c>
      <c r="FI83">
        <v>110</v>
      </c>
      <c r="FJ83" t="s">
        <v>191</v>
      </c>
      <c r="FK83" t="s">
        <v>206</v>
      </c>
      <c r="FL83" t="s">
        <v>191</v>
      </c>
      <c r="FM83">
        <v>393</v>
      </c>
      <c r="FN83" t="s">
        <v>214</v>
      </c>
    </row>
    <row r="84" spans="1:170" x14ac:dyDescent="0.25">
      <c r="A84" t="s">
        <v>170</v>
      </c>
      <c r="B84">
        <v>1</v>
      </c>
      <c r="C84" t="s">
        <v>171</v>
      </c>
      <c r="F84" s="1">
        <v>46478</v>
      </c>
      <c r="G84" s="1">
        <v>47208</v>
      </c>
      <c r="I84" t="s">
        <v>172</v>
      </c>
      <c r="J84" t="s">
        <v>173</v>
      </c>
      <c r="K84" t="s">
        <v>174</v>
      </c>
      <c r="L84">
        <v>3674687</v>
      </c>
      <c r="M84" t="s">
        <v>175</v>
      </c>
      <c r="N84" t="s">
        <v>176</v>
      </c>
      <c r="P84" t="s">
        <v>177</v>
      </c>
      <c r="R84" t="s">
        <v>178</v>
      </c>
      <c r="S84" t="s">
        <v>179</v>
      </c>
      <c r="T84" t="s">
        <v>180</v>
      </c>
      <c r="U84" t="s">
        <v>181</v>
      </c>
      <c r="V84" t="s">
        <v>182</v>
      </c>
      <c r="X84" t="s">
        <v>183</v>
      </c>
      <c r="Y84" t="s">
        <v>434</v>
      </c>
      <c r="Z84" t="s">
        <v>435</v>
      </c>
      <c r="AB84" t="s">
        <v>436</v>
      </c>
      <c r="AD84" t="s">
        <v>437</v>
      </c>
      <c r="AF84" t="s">
        <v>187</v>
      </c>
      <c r="AG84" t="s">
        <v>188</v>
      </c>
      <c r="AH84" t="s">
        <v>189</v>
      </c>
      <c r="AI84">
        <v>21</v>
      </c>
      <c r="AJ84" t="s">
        <v>438</v>
      </c>
      <c r="AK84" s="4">
        <v>2200014263444</v>
      </c>
      <c r="AL84" t="s">
        <v>191</v>
      </c>
      <c r="AM84" t="s">
        <v>212</v>
      </c>
      <c r="AN84">
        <v>3</v>
      </c>
      <c r="AO84">
        <v>801</v>
      </c>
      <c r="AP84">
        <v>110</v>
      </c>
      <c r="AQ84" t="s">
        <v>194</v>
      </c>
      <c r="AR84" t="s">
        <v>195</v>
      </c>
      <c r="AS84" t="s">
        <v>196</v>
      </c>
      <c r="AT84" s="2">
        <v>0</v>
      </c>
      <c r="AV84" t="s">
        <v>197</v>
      </c>
      <c r="AW84" t="s">
        <v>198</v>
      </c>
      <c r="AX84">
        <v>393</v>
      </c>
      <c r="AY84">
        <v>0</v>
      </c>
      <c r="AZ84" t="s">
        <v>199</v>
      </c>
      <c r="BA84">
        <v>120.83159999999999</v>
      </c>
      <c r="BB84">
        <f t="shared" si="1"/>
        <v>36.752944999999997</v>
      </c>
      <c r="BD84">
        <v>0</v>
      </c>
      <c r="BE84" t="s">
        <v>201</v>
      </c>
      <c r="BF84">
        <v>0</v>
      </c>
      <c r="BG84" t="s">
        <v>202</v>
      </c>
      <c r="BH84">
        <v>1</v>
      </c>
      <c r="BI84" t="s">
        <v>203</v>
      </c>
      <c r="BJ84">
        <v>27.255700000000001</v>
      </c>
      <c r="BK84" t="s">
        <v>204</v>
      </c>
      <c r="BL84">
        <v>319.19990000000001</v>
      </c>
      <c r="BM84" s="3">
        <v>8700.0308000000005</v>
      </c>
      <c r="FE84" s="1">
        <v>46309</v>
      </c>
      <c r="FF84">
        <v>0</v>
      </c>
      <c r="FG84" t="s">
        <v>200</v>
      </c>
      <c r="FH84" t="s">
        <v>213</v>
      </c>
      <c r="FI84">
        <v>110</v>
      </c>
      <c r="FJ84" t="s">
        <v>191</v>
      </c>
      <c r="FK84" t="s">
        <v>206</v>
      </c>
      <c r="FL84" t="s">
        <v>191</v>
      </c>
      <c r="FM84">
        <v>393</v>
      </c>
      <c r="FN84" t="s">
        <v>214</v>
      </c>
    </row>
    <row r="85" spans="1:170" x14ac:dyDescent="0.25">
      <c r="A85" t="s">
        <v>170</v>
      </c>
      <c r="B85">
        <v>1</v>
      </c>
      <c r="C85" t="s">
        <v>171</v>
      </c>
      <c r="F85" s="1">
        <v>46478</v>
      </c>
      <c r="G85" s="1">
        <v>47208</v>
      </c>
      <c r="I85" t="s">
        <v>172</v>
      </c>
      <c r="J85" t="s">
        <v>173</v>
      </c>
      <c r="K85" t="s">
        <v>174</v>
      </c>
      <c r="L85">
        <v>3674687</v>
      </c>
      <c r="M85" t="s">
        <v>175</v>
      </c>
      <c r="N85" t="s">
        <v>176</v>
      </c>
      <c r="P85" t="s">
        <v>177</v>
      </c>
      <c r="R85" t="s">
        <v>178</v>
      </c>
      <c r="S85" t="s">
        <v>179</v>
      </c>
      <c r="T85" t="s">
        <v>180</v>
      </c>
      <c r="U85" t="s">
        <v>181</v>
      </c>
      <c r="V85" t="s">
        <v>182</v>
      </c>
      <c r="X85" t="s">
        <v>183</v>
      </c>
      <c r="Y85" t="s">
        <v>439</v>
      </c>
      <c r="Z85" t="s">
        <v>185</v>
      </c>
      <c r="AB85" t="s">
        <v>176</v>
      </c>
      <c r="AD85" t="s">
        <v>440</v>
      </c>
      <c r="AF85" t="s">
        <v>187</v>
      </c>
      <c r="AG85" t="s">
        <v>188</v>
      </c>
      <c r="AH85" t="s">
        <v>189</v>
      </c>
      <c r="AI85">
        <v>21</v>
      </c>
      <c r="AJ85" t="s">
        <v>441</v>
      </c>
      <c r="AK85" s="4">
        <v>2200014268994</v>
      </c>
      <c r="AL85" t="s">
        <v>191</v>
      </c>
      <c r="AM85" t="s">
        <v>192</v>
      </c>
      <c r="AN85">
        <v>1</v>
      </c>
      <c r="AO85">
        <v>801</v>
      </c>
      <c r="AP85">
        <v>10</v>
      </c>
      <c r="AQ85" t="s">
        <v>194</v>
      </c>
      <c r="AR85" t="s">
        <v>195</v>
      </c>
      <c r="AS85" t="s">
        <v>196</v>
      </c>
      <c r="AT85" s="2">
        <v>0</v>
      </c>
      <c r="AV85" t="s">
        <v>197</v>
      </c>
      <c r="AW85" t="s">
        <v>198</v>
      </c>
      <c r="AX85">
        <v>393</v>
      </c>
      <c r="AY85">
        <v>0</v>
      </c>
      <c r="AZ85" t="s">
        <v>199</v>
      </c>
      <c r="BA85">
        <v>113.7462</v>
      </c>
      <c r="BB85">
        <f t="shared" si="1"/>
        <v>34.5978025</v>
      </c>
      <c r="BD85">
        <v>0</v>
      </c>
      <c r="BE85" t="s">
        <v>201</v>
      </c>
      <c r="BF85">
        <v>0</v>
      </c>
      <c r="BG85" t="s">
        <v>202</v>
      </c>
      <c r="BH85">
        <v>1</v>
      </c>
      <c r="BI85" t="s">
        <v>203</v>
      </c>
      <c r="BJ85">
        <v>28.6191</v>
      </c>
      <c r="BK85" t="s">
        <v>204</v>
      </c>
      <c r="BL85" s="3">
        <v>11031.8</v>
      </c>
      <c r="BM85" s="3">
        <v>315720.38380000001</v>
      </c>
      <c r="FE85" s="1">
        <v>46309</v>
      </c>
      <c r="FF85">
        <v>0</v>
      </c>
      <c r="FG85" t="s">
        <v>200</v>
      </c>
      <c r="FH85" t="s">
        <v>205</v>
      </c>
      <c r="FI85">
        <v>10</v>
      </c>
      <c r="FJ85" t="s">
        <v>191</v>
      </c>
      <c r="FK85" t="s">
        <v>206</v>
      </c>
      <c r="FL85" t="s">
        <v>191</v>
      </c>
      <c r="FM85">
        <v>393</v>
      </c>
      <c r="FN85" t="s">
        <v>265</v>
      </c>
    </row>
    <row r="86" spans="1:170" x14ac:dyDescent="0.25">
      <c r="A86" t="s">
        <v>170</v>
      </c>
      <c r="B86">
        <v>1</v>
      </c>
      <c r="C86" t="s">
        <v>171</v>
      </c>
      <c r="F86" s="1">
        <v>46478</v>
      </c>
      <c r="G86" s="1">
        <v>47208</v>
      </c>
      <c r="I86" t="s">
        <v>172</v>
      </c>
      <c r="J86" t="s">
        <v>173</v>
      </c>
      <c r="K86" t="s">
        <v>174</v>
      </c>
      <c r="L86">
        <v>3674687</v>
      </c>
      <c r="M86" t="s">
        <v>175</v>
      </c>
      <c r="N86" t="s">
        <v>176</v>
      </c>
      <c r="P86" t="s">
        <v>177</v>
      </c>
      <c r="R86" t="s">
        <v>178</v>
      </c>
      <c r="S86" t="s">
        <v>179</v>
      </c>
      <c r="T86" t="s">
        <v>180</v>
      </c>
      <c r="U86" t="s">
        <v>181</v>
      </c>
      <c r="V86" t="s">
        <v>182</v>
      </c>
      <c r="X86" t="s">
        <v>183</v>
      </c>
      <c r="Y86" t="s">
        <v>442</v>
      </c>
      <c r="Z86" t="s">
        <v>219</v>
      </c>
      <c r="AB86" t="s">
        <v>436</v>
      </c>
      <c r="AD86" t="s">
        <v>443</v>
      </c>
      <c r="AF86" t="s">
        <v>187</v>
      </c>
      <c r="AG86" t="s">
        <v>188</v>
      </c>
      <c r="AH86" t="s">
        <v>189</v>
      </c>
      <c r="AI86">
        <v>21</v>
      </c>
      <c r="AJ86" t="s">
        <v>444</v>
      </c>
      <c r="AK86" s="4">
        <v>2200014271960</v>
      </c>
      <c r="AL86" t="s">
        <v>191</v>
      </c>
      <c r="AM86" t="s">
        <v>192</v>
      </c>
      <c r="AN86">
        <v>1</v>
      </c>
      <c r="AO86">
        <v>801</v>
      </c>
      <c r="AP86">
        <v>10</v>
      </c>
      <c r="AQ86" t="s">
        <v>194</v>
      </c>
      <c r="AR86" t="s">
        <v>195</v>
      </c>
      <c r="AS86" t="s">
        <v>196</v>
      </c>
      <c r="AT86" s="2">
        <v>0</v>
      </c>
      <c r="AV86" t="s">
        <v>197</v>
      </c>
      <c r="AW86" t="s">
        <v>198</v>
      </c>
      <c r="AX86">
        <v>393</v>
      </c>
      <c r="AY86">
        <v>0</v>
      </c>
      <c r="AZ86" t="s">
        <v>199</v>
      </c>
      <c r="BA86">
        <v>121.9577</v>
      </c>
      <c r="BB86">
        <f t="shared" si="1"/>
        <v>37.095467083333332</v>
      </c>
      <c r="BD86">
        <v>0</v>
      </c>
      <c r="BE86" t="s">
        <v>201</v>
      </c>
      <c r="BF86">
        <v>0</v>
      </c>
      <c r="BG86" t="s">
        <v>202</v>
      </c>
      <c r="BH86">
        <v>1</v>
      </c>
      <c r="BI86" t="s">
        <v>203</v>
      </c>
      <c r="BJ86">
        <v>28.616099999999999</v>
      </c>
      <c r="BK86" t="s">
        <v>204</v>
      </c>
      <c r="BL86" s="3">
        <v>111076.0001</v>
      </c>
      <c r="BM86" s="3">
        <v>3178556.8906999999</v>
      </c>
      <c r="FE86" s="1">
        <v>46309</v>
      </c>
      <c r="FF86">
        <v>0</v>
      </c>
      <c r="FG86" t="s">
        <v>200</v>
      </c>
      <c r="FH86" t="s">
        <v>213</v>
      </c>
      <c r="FI86">
        <v>10</v>
      </c>
      <c r="FJ86" t="s">
        <v>191</v>
      </c>
      <c r="FK86" t="s">
        <v>206</v>
      </c>
      <c r="FL86" t="s">
        <v>191</v>
      </c>
      <c r="FM86">
        <v>393</v>
      </c>
      <c r="FN86" t="s">
        <v>265</v>
      </c>
    </row>
    <row r="87" spans="1:170" x14ac:dyDescent="0.25">
      <c r="A87" t="s">
        <v>170</v>
      </c>
      <c r="B87">
        <v>1</v>
      </c>
      <c r="C87" t="s">
        <v>171</v>
      </c>
      <c r="F87" s="1">
        <v>46478</v>
      </c>
      <c r="G87" s="1">
        <v>47208</v>
      </c>
      <c r="I87" t="s">
        <v>172</v>
      </c>
      <c r="J87" t="s">
        <v>173</v>
      </c>
      <c r="K87" t="s">
        <v>174</v>
      </c>
      <c r="L87">
        <v>3674687</v>
      </c>
      <c r="M87" t="s">
        <v>175</v>
      </c>
      <c r="N87" t="s">
        <v>176</v>
      </c>
      <c r="P87" t="s">
        <v>177</v>
      </c>
      <c r="R87" t="s">
        <v>178</v>
      </c>
      <c r="S87" t="s">
        <v>179</v>
      </c>
      <c r="T87" t="s">
        <v>180</v>
      </c>
      <c r="U87" t="s">
        <v>181</v>
      </c>
      <c r="V87" t="s">
        <v>182</v>
      </c>
      <c r="X87" t="s">
        <v>183</v>
      </c>
      <c r="Y87" t="s">
        <v>445</v>
      </c>
      <c r="Z87" t="s">
        <v>185</v>
      </c>
      <c r="AB87" t="s">
        <v>176</v>
      </c>
      <c r="AD87" t="s">
        <v>446</v>
      </c>
      <c r="AF87" t="s">
        <v>187</v>
      </c>
      <c r="AG87" t="s">
        <v>188</v>
      </c>
      <c r="AH87" t="s">
        <v>189</v>
      </c>
      <c r="AI87">
        <v>21</v>
      </c>
      <c r="AJ87" t="s">
        <v>447</v>
      </c>
      <c r="AK87" s="4">
        <v>2200014282429</v>
      </c>
      <c r="AL87" t="s">
        <v>191</v>
      </c>
      <c r="AM87" t="s">
        <v>212</v>
      </c>
      <c r="AN87">
        <v>3</v>
      </c>
      <c r="AO87">
        <v>801</v>
      </c>
      <c r="AP87">
        <v>110</v>
      </c>
      <c r="AQ87" t="s">
        <v>194</v>
      </c>
      <c r="AR87" t="s">
        <v>195</v>
      </c>
      <c r="AS87" t="s">
        <v>196</v>
      </c>
      <c r="AT87" s="2">
        <v>0</v>
      </c>
      <c r="AV87" t="s">
        <v>197</v>
      </c>
      <c r="AW87" t="s">
        <v>198</v>
      </c>
      <c r="AX87">
        <v>393</v>
      </c>
      <c r="AY87">
        <v>0</v>
      </c>
      <c r="AZ87" t="s">
        <v>199</v>
      </c>
      <c r="BA87">
        <v>120.8445</v>
      </c>
      <c r="BB87">
        <f t="shared" si="1"/>
        <v>36.756868750000002</v>
      </c>
      <c r="BD87">
        <v>0</v>
      </c>
      <c r="BE87" t="s">
        <v>201</v>
      </c>
      <c r="BF87">
        <v>0</v>
      </c>
      <c r="BG87" t="s">
        <v>202</v>
      </c>
      <c r="BH87">
        <v>1</v>
      </c>
      <c r="BI87" t="s">
        <v>203</v>
      </c>
      <c r="BJ87">
        <v>27.255700000000001</v>
      </c>
      <c r="BK87" t="s">
        <v>204</v>
      </c>
      <c r="BL87">
        <v>431.59989999999999</v>
      </c>
      <c r="BM87" s="3">
        <v>11763.577799999999</v>
      </c>
      <c r="FE87" s="1">
        <v>46309</v>
      </c>
      <c r="FF87">
        <v>0</v>
      </c>
      <c r="FG87" t="s">
        <v>200</v>
      </c>
      <c r="FH87" t="s">
        <v>213</v>
      </c>
      <c r="FI87">
        <v>110</v>
      </c>
      <c r="FJ87" t="s">
        <v>191</v>
      </c>
      <c r="FK87" t="s">
        <v>206</v>
      </c>
      <c r="FL87" t="s">
        <v>191</v>
      </c>
      <c r="FM87">
        <v>393</v>
      </c>
      <c r="FN87" t="s">
        <v>214</v>
      </c>
    </row>
    <row r="88" spans="1:170" x14ac:dyDescent="0.25">
      <c r="A88" t="s">
        <v>170</v>
      </c>
      <c r="B88">
        <v>1</v>
      </c>
      <c r="C88" t="s">
        <v>171</v>
      </c>
      <c r="F88" s="1">
        <v>46478</v>
      </c>
      <c r="G88" s="1">
        <v>47208</v>
      </c>
      <c r="I88" t="s">
        <v>172</v>
      </c>
      <c r="J88" t="s">
        <v>173</v>
      </c>
      <c r="K88" t="s">
        <v>174</v>
      </c>
      <c r="L88">
        <v>3674687</v>
      </c>
      <c r="M88" t="s">
        <v>175</v>
      </c>
      <c r="N88" t="s">
        <v>176</v>
      </c>
      <c r="P88" t="s">
        <v>177</v>
      </c>
      <c r="R88" t="s">
        <v>178</v>
      </c>
      <c r="S88" t="s">
        <v>179</v>
      </c>
      <c r="T88" t="s">
        <v>180</v>
      </c>
      <c r="U88" t="s">
        <v>181</v>
      </c>
      <c r="V88" t="s">
        <v>182</v>
      </c>
      <c r="X88" t="s">
        <v>183</v>
      </c>
      <c r="Y88" t="s">
        <v>448</v>
      </c>
      <c r="Z88" t="s">
        <v>282</v>
      </c>
      <c r="AB88" t="s">
        <v>176</v>
      </c>
      <c r="AD88" t="s">
        <v>446</v>
      </c>
      <c r="AF88" t="s">
        <v>187</v>
      </c>
      <c r="AG88" t="s">
        <v>188</v>
      </c>
      <c r="AH88" t="s">
        <v>189</v>
      </c>
      <c r="AI88">
        <v>21</v>
      </c>
      <c r="AJ88" t="s">
        <v>449</v>
      </c>
      <c r="AK88" s="4">
        <v>2200014282474</v>
      </c>
      <c r="AL88" t="s">
        <v>191</v>
      </c>
      <c r="AM88" t="s">
        <v>212</v>
      </c>
      <c r="AN88">
        <v>3</v>
      </c>
      <c r="AO88">
        <v>801</v>
      </c>
      <c r="AP88">
        <v>110</v>
      </c>
      <c r="AQ88" t="s">
        <v>194</v>
      </c>
      <c r="AR88" t="s">
        <v>195</v>
      </c>
      <c r="AS88" t="s">
        <v>196</v>
      </c>
      <c r="AT88" s="2">
        <v>0</v>
      </c>
      <c r="AV88" t="s">
        <v>197</v>
      </c>
      <c r="AW88" t="s">
        <v>198</v>
      </c>
      <c r="AX88">
        <v>393</v>
      </c>
      <c r="AY88">
        <v>0</v>
      </c>
      <c r="AZ88" t="s">
        <v>199</v>
      </c>
      <c r="BA88">
        <v>120.855</v>
      </c>
      <c r="BB88">
        <f t="shared" si="1"/>
        <v>36.760062500000004</v>
      </c>
      <c r="BD88">
        <v>0</v>
      </c>
      <c r="BE88" t="s">
        <v>201</v>
      </c>
      <c r="BF88">
        <v>0</v>
      </c>
      <c r="BG88" t="s">
        <v>202</v>
      </c>
      <c r="BH88">
        <v>1</v>
      </c>
      <c r="BI88" t="s">
        <v>203</v>
      </c>
      <c r="BJ88">
        <v>27.255700000000001</v>
      </c>
      <c r="BK88" t="s">
        <v>204</v>
      </c>
      <c r="BL88">
        <v>522.4</v>
      </c>
      <c r="BM88" s="3">
        <v>14238.402099999999</v>
      </c>
      <c r="FE88" s="1">
        <v>46309</v>
      </c>
      <c r="FF88">
        <v>0</v>
      </c>
      <c r="FG88" t="s">
        <v>200</v>
      </c>
      <c r="FH88" t="s">
        <v>213</v>
      </c>
      <c r="FI88">
        <v>110</v>
      </c>
      <c r="FJ88" t="s">
        <v>191</v>
      </c>
      <c r="FK88" t="s">
        <v>206</v>
      </c>
      <c r="FL88" t="s">
        <v>191</v>
      </c>
      <c r="FM88">
        <v>393</v>
      </c>
      <c r="FN88" t="s">
        <v>214</v>
      </c>
    </row>
    <row r="89" spans="1:170" x14ac:dyDescent="0.25">
      <c r="A89" t="s">
        <v>170</v>
      </c>
      <c r="B89">
        <v>1</v>
      </c>
      <c r="C89" t="s">
        <v>171</v>
      </c>
      <c r="F89" s="1">
        <v>46478</v>
      </c>
      <c r="G89" s="1">
        <v>47208</v>
      </c>
      <c r="I89" t="s">
        <v>172</v>
      </c>
      <c r="J89" t="s">
        <v>173</v>
      </c>
      <c r="K89" t="s">
        <v>174</v>
      </c>
      <c r="L89">
        <v>3674687</v>
      </c>
      <c r="M89" t="s">
        <v>175</v>
      </c>
      <c r="N89" t="s">
        <v>176</v>
      </c>
      <c r="P89" t="s">
        <v>177</v>
      </c>
      <c r="R89" t="s">
        <v>178</v>
      </c>
      <c r="S89" t="s">
        <v>179</v>
      </c>
      <c r="T89" t="s">
        <v>180</v>
      </c>
      <c r="U89" t="s">
        <v>181</v>
      </c>
      <c r="V89" t="s">
        <v>182</v>
      </c>
      <c r="X89" t="s">
        <v>183</v>
      </c>
      <c r="Y89" t="s">
        <v>450</v>
      </c>
      <c r="Z89" t="s">
        <v>185</v>
      </c>
      <c r="AB89" t="s">
        <v>176</v>
      </c>
      <c r="AD89" t="s">
        <v>446</v>
      </c>
      <c r="AF89" t="s">
        <v>187</v>
      </c>
      <c r="AG89" t="s">
        <v>188</v>
      </c>
      <c r="AH89" t="s">
        <v>189</v>
      </c>
      <c r="AI89">
        <v>21</v>
      </c>
      <c r="AJ89" t="s">
        <v>451</v>
      </c>
      <c r="AK89" s="4">
        <v>2200014282526</v>
      </c>
      <c r="AL89" t="s">
        <v>191</v>
      </c>
      <c r="AM89" t="s">
        <v>212</v>
      </c>
      <c r="AN89">
        <v>3</v>
      </c>
      <c r="AO89">
        <v>801</v>
      </c>
      <c r="AP89">
        <v>110</v>
      </c>
      <c r="AQ89" t="s">
        <v>194</v>
      </c>
      <c r="AR89" t="s">
        <v>195</v>
      </c>
      <c r="AS89" t="s">
        <v>196</v>
      </c>
      <c r="AT89" s="2">
        <v>0</v>
      </c>
      <c r="AV89" t="s">
        <v>197</v>
      </c>
      <c r="AW89" t="s">
        <v>198</v>
      </c>
      <c r="AX89">
        <v>393</v>
      </c>
      <c r="AY89">
        <v>0</v>
      </c>
      <c r="AZ89" t="s">
        <v>199</v>
      </c>
      <c r="BA89">
        <v>120.8236</v>
      </c>
      <c r="BB89">
        <f t="shared" si="1"/>
        <v>36.750511666666668</v>
      </c>
      <c r="BD89">
        <v>0</v>
      </c>
      <c r="BE89" t="s">
        <v>201</v>
      </c>
      <c r="BF89">
        <v>0</v>
      </c>
      <c r="BG89" t="s">
        <v>202</v>
      </c>
      <c r="BH89">
        <v>1</v>
      </c>
      <c r="BI89" t="s">
        <v>203</v>
      </c>
      <c r="BJ89">
        <v>27.255800000000001</v>
      </c>
      <c r="BK89" t="s">
        <v>204</v>
      </c>
      <c r="BL89">
        <v>249.8</v>
      </c>
      <c r="BM89" s="3">
        <v>6808.4862000000003</v>
      </c>
      <c r="FE89" s="1">
        <v>46309</v>
      </c>
      <c r="FF89">
        <v>0</v>
      </c>
      <c r="FG89" t="s">
        <v>200</v>
      </c>
      <c r="FH89" t="s">
        <v>213</v>
      </c>
      <c r="FI89">
        <v>110</v>
      </c>
      <c r="FJ89" t="s">
        <v>191</v>
      </c>
      <c r="FK89" t="s">
        <v>206</v>
      </c>
      <c r="FL89" t="s">
        <v>191</v>
      </c>
      <c r="FM89">
        <v>393</v>
      </c>
      <c r="FN89" t="s">
        <v>214</v>
      </c>
    </row>
    <row r="90" spans="1:170" x14ac:dyDescent="0.25">
      <c r="A90" t="s">
        <v>170</v>
      </c>
      <c r="B90">
        <v>1</v>
      </c>
      <c r="C90" t="s">
        <v>171</v>
      </c>
      <c r="F90" s="1">
        <v>46478</v>
      </c>
      <c r="G90" s="1">
        <v>47208</v>
      </c>
      <c r="I90" t="s">
        <v>172</v>
      </c>
      <c r="J90" t="s">
        <v>173</v>
      </c>
      <c r="K90" t="s">
        <v>174</v>
      </c>
      <c r="L90">
        <v>3674687</v>
      </c>
      <c r="M90" t="s">
        <v>175</v>
      </c>
      <c r="N90" t="s">
        <v>176</v>
      </c>
      <c r="P90" t="s">
        <v>177</v>
      </c>
      <c r="R90" t="s">
        <v>178</v>
      </c>
      <c r="S90" t="s">
        <v>179</v>
      </c>
      <c r="T90" t="s">
        <v>180</v>
      </c>
      <c r="U90" t="s">
        <v>181</v>
      </c>
      <c r="V90" t="s">
        <v>182</v>
      </c>
      <c r="X90" t="s">
        <v>183</v>
      </c>
      <c r="Y90" t="s">
        <v>452</v>
      </c>
      <c r="Z90" t="s">
        <v>185</v>
      </c>
      <c r="AB90" t="s">
        <v>176</v>
      </c>
      <c r="AD90" t="s">
        <v>446</v>
      </c>
      <c r="AF90" t="s">
        <v>187</v>
      </c>
      <c r="AG90" t="s">
        <v>188</v>
      </c>
      <c r="AH90" t="s">
        <v>189</v>
      </c>
      <c r="AI90">
        <v>21</v>
      </c>
      <c r="AJ90" t="s">
        <v>453</v>
      </c>
      <c r="AK90" s="4">
        <v>2200014282571</v>
      </c>
      <c r="AL90" t="s">
        <v>191</v>
      </c>
      <c r="AM90" t="s">
        <v>212</v>
      </c>
      <c r="AN90">
        <v>3</v>
      </c>
      <c r="AO90">
        <v>801</v>
      </c>
      <c r="AP90">
        <v>110</v>
      </c>
      <c r="AQ90" t="s">
        <v>194</v>
      </c>
      <c r="AR90" t="s">
        <v>195</v>
      </c>
      <c r="AS90" t="s">
        <v>196</v>
      </c>
      <c r="AT90" s="2">
        <v>0</v>
      </c>
      <c r="AV90" t="s">
        <v>197</v>
      </c>
      <c r="AW90" t="s">
        <v>198</v>
      </c>
      <c r="AX90">
        <v>393</v>
      </c>
      <c r="AY90">
        <v>0</v>
      </c>
      <c r="AZ90" t="s">
        <v>199</v>
      </c>
      <c r="BA90">
        <v>120.8266</v>
      </c>
      <c r="BB90">
        <f t="shared" si="1"/>
        <v>36.751424166666666</v>
      </c>
      <c r="BD90">
        <v>0</v>
      </c>
      <c r="BE90" t="s">
        <v>201</v>
      </c>
      <c r="BF90">
        <v>0</v>
      </c>
      <c r="BG90" t="s">
        <v>202</v>
      </c>
      <c r="BH90">
        <v>1</v>
      </c>
      <c r="BI90" t="s">
        <v>203</v>
      </c>
      <c r="BJ90">
        <v>27.255700000000001</v>
      </c>
      <c r="BK90" t="s">
        <v>204</v>
      </c>
      <c r="BL90">
        <v>275.80009999999999</v>
      </c>
      <c r="BM90" s="3">
        <v>7517.1346000000003</v>
      </c>
      <c r="FE90" s="1">
        <v>46309</v>
      </c>
      <c r="FF90">
        <v>0</v>
      </c>
      <c r="FG90" t="s">
        <v>200</v>
      </c>
      <c r="FH90" t="s">
        <v>213</v>
      </c>
      <c r="FI90">
        <v>110</v>
      </c>
      <c r="FJ90" t="s">
        <v>191</v>
      </c>
      <c r="FK90" t="s">
        <v>206</v>
      </c>
      <c r="FL90" t="s">
        <v>191</v>
      </c>
      <c r="FM90">
        <v>393</v>
      </c>
      <c r="FN90" t="s">
        <v>214</v>
      </c>
    </row>
    <row r="91" spans="1:170" x14ac:dyDescent="0.25">
      <c r="A91" t="s">
        <v>170</v>
      </c>
      <c r="B91">
        <v>1</v>
      </c>
      <c r="C91" t="s">
        <v>171</v>
      </c>
      <c r="F91" s="1">
        <v>46478</v>
      </c>
      <c r="G91" s="1">
        <v>47208</v>
      </c>
      <c r="I91" t="s">
        <v>172</v>
      </c>
      <c r="J91" t="s">
        <v>173</v>
      </c>
      <c r="K91" t="s">
        <v>174</v>
      </c>
      <c r="L91">
        <v>3674687</v>
      </c>
      <c r="M91" t="s">
        <v>175</v>
      </c>
      <c r="N91" t="s">
        <v>176</v>
      </c>
      <c r="P91" t="s">
        <v>177</v>
      </c>
      <c r="R91" t="s">
        <v>178</v>
      </c>
      <c r="S91" t="s">
        <v>179</v>
      </c>
      <c r="T91" t="s">
        <v>180</v>
      </c>
      <c r="U91" t="s">
        <v>181</v>
      </c>
      <c r="V91" t="s">
        <v>182</v>
      </c>
      <c r="X91" t="s">
        <v>183</v>
      </c>
      <c r="Y91" t="s">
        <v>454</v>
      </c>
      <c r="Z91" t="s">
        <v>305</v>
      </c>
      <c r="AB91" t="s">
        <v>436</v>
      </c>
      <c r="AD91" t="s">
        <v>455</v>
      </c>
      <c r="AF91" t="s">
        <v>187</v>
      </c>
      <c r="AG91" t="s">
        <v>188</v>
      </c>
      <c r="AH91" t="s">
        <v>189</v>
      </c>
      <c r="AI91">
        <v>21</v>
      </c>
      <c r="AJ91" t="s">
        <v>456</v>
      </c>
      <c r="AK91" s="4">
        <v>2200014298943</v>
      </c>
      <c r="AL91" t="s">
        <v>191</v>
      </c>
      <c r="AM91" t="s">
        <v>192</v>
      </c>
      <c r="AN91">
        <v>3</v>
      </c>
      <c r="AO91">
        <v>801</v>
      </c>
      <c r="AP91">
        <v>110</v>
      </c>
      <c r="AQ91" t="s">
        <v>194</v>
      </c>
      <c r="AR91" t="s">
        <v>195</v>
      </c>
      <c r="AS91" t="s">
        <v>196</v>
      </c>
      <c r="AT91" s="2">
        <v>0</v>
      </c>
      <c r="AV91" t="s">
        <v>197</v>
      </c>
      <c r="AW91" t="s">
        <v>198</v>
      </c>
      <c r="AX91">
        <v>393</v>
      </c>
      <c r="AY91">
        <v>0</v>
      </c>
      <c r="AZ91" t="s">
        <v>199</v>
      </c>
      <c r="BA91">
        <v>120.8412</v>
      </c>
      <c r="BB91">
        <f t="shared" si="1"/>
        <v>36.755865</v>
      </c>
      <c r="BD91">
        <v>0</v>
      </c>
      <c r="BE91" t="s">
        <v>201</v>
      </c>
      <c r="BF91">
        <v>0</v>
      </c>
      <c r="BG91" t="s">
        <v>202</v>
      </c>
      <c r="BH91">
        <v>1</v>
      </c>
      <c r="BI91" t="s">
        <v>203</v>
      </c>
      <c r="BJ91">
        <v>27.255700000000001</v>
      </c>
      <c r="BK91" t="s">
        <v>204</v>
      </c>
      <c r="BL91">
        <v>475.2</v>
      </c>
      <c r="BM91" s="3">
        <v>12951.9298</v>
      </c>
      <c r="FE91" s="1">
        <v>46309</v>
      </c>
      <c r="FF91">
        <v>0</v>
      </c>
      <c r="FG91" t="s">
        <v>200</v>
      </c>
      <c r="FH91" t="s">
        <v>205</v>
      </c>
      <c r="FI91">
        <v>110</v>
      </c>
      <c r="FJ91" t="s">
        <v>191</v>
      </c>
      <c r="FK91" t="s">
        <v>206</v>
      </c>
      <c r="FL91" t="s">
        <v>191</v>
      </c>
      <c r="FM91">
        <v>393</v>
      </c>
      <c r="FN91" t="s">
        <v>214</v>
      </c>
    </row>
    <row r="92" spans="1:170" x14ac:dyDescent="0.25">
      <c r="A92" t="s">
        <v>170</v>
      </c>
      <c r="B92">
        <v>1</v>
      </c>
      <c r="C92" t="s">
        <v>171</v>
      </c>
      <c r="F92" s="1">
        <v>46478</v>
      </c>
      <c r="G92" s="1">
        <v>47208</v>
      </c>
      <c r="I92" t="s">
        <v>172</v>
      </c>
      <c r="J92" t="s">
        <v>173</v>
      </c>
      <c r="K92" t="s">
        <v>174</v>
      </c>
      <c r="L92">
        <v>3674687</v>
      </c>
      <c r="M92" t="s">
        <v>175</v>
      </c>
      <c r="N92" t="s">
        <v>176</v>
      </c>
      <c r="P92" t="s">
        <v>177</v>
      </c>
      <c r="R92" t="s">
        <v>178</v>
      </c>
      <c r="S92" t="s">
        <v>179</v>
      </c>
      <c r="T92" t="s">
        <v>180</v>
      </c>
      <c r="U92" t="s">
        <v>181</v>
      </c>
      <c r="V92" t="s">
        <v>182</v>
      </c>
      <c r="X92" t="s">
        <v>183</v>
      </c>
      <c r="Y92" t="s">
        <v>184</v>
      </c>
      <c r="AB92" t="s">
        <v>176</v>
      </c>
      <c r="AD92" t="s">
        <v>186</v>
      </c>
      <c r="AF92" t="s">
        <v>187</v>
      </c>
      <c r="AG92" t="s">
        <v>188</v>
      </c>
      <c r="AH92" t="s">
        <v>189</v>
      </c>
      <c r="AI92">
        <v>21</v>
      </c>
      <c r="AJ92" t="s">
        <v>457</v>
      </c>
      <c r="AK92" s="4">
        <v>2200014298999</v>
      </c>
      <c r="AL92" t="s">
        <v>191</v>
      </c>
      <c r="AM92" t="s">
        <v>212</v>
      </c>
      <c r="AN92">
        <v>3</v>
      </c>
      <c r="AO92">
        <v>801</v>
      </c>
      <c r="AP92">
        <v>110</v>
      </c>
      <c r="AQ92" t="s">
        <v>194</v>
      </c>
      <c r="AR92" t="s">
        <v>195</v>
      </c>
      <c r="AS92" t="s">
        <v>196</v>
      </c>
      <c r="AT92" s="2">
        <v>0</v>
      </c>
      <c r="AV92" t="s">
        <v>197</v>
      </c>
      <c r="AW92" t="s">
        <v>198</v>
      </c>
      <c r="AX92">
        <v>393</v>
      </c>
      <c r="AY92">
        <v>0</v>
      </c>
      <c r="AZ92" t="s">
        <v>199</v>
      </c>
      <c r="BA92">
        <v>120.843</v>
      </c>
      <c r="BB92">
        <f t="shared" si="1"/>
        <v>36.756412500000003</v>
      </c>
      <c r="BD92">
        <v>0</v>
      </c>
      <c r="BE92" t="s">
        <v>201</v>
      </c>
      <c r="BF92">
        <v>0</v>
      </c>
      <c r="BG92" t="s">
        <v>202</v>
      </c>
      <c r="BH92">
        <v>1</v>
      </c>
      <c r="BI92" t="s">
        <v>203</v>
      </c>
      <c r="BJ92">
        <v>27.255700000000001</v>
      </c>
      <c r="BK92" t="s">
        <v>204</v>
      </c>
      <c r="BL92">
        <v>418.4</v>
      </c>
      <c r="BM92" s="3">
        <v>11403.8043</v>
      </c>
      <c r="FE92" s="1">
        <v>46309</v>
      </c>
      <c r="FF92">
        <v>0</v>
      </c>
      <c r="FG92" t="s">
        <v>200</v>
      </c>
      <c r="FH92" t="s">
        <v>213</v>
      </c>
      <c r="FI92">
        <v>110</v>
      </c>
      <c r="FJ92" t="s">
        <v>191</v>
      </c>
      <c r="FK92" t="s">
        <v>206</v>
      </c>
      <c r="FL92" t="s">
        <v>191</v>
      </c>
      <c r="FM92">
        <v>393</v>
      </c>
      <c r="FN92" t="s">
        <v>214</v>
      </c>
    </row>
    <row r="93" spans="1:170" x14ac:dyDescent="0.25">
      <c r="A93" t="s">
        <v>170</v>
      </c>
      <c r="B93">
        <v>1</v>
      </c>
      <c r="C93" t="s">
        <v>171</v>
      </c>
      <c r="F93" s="1">
        <v>46478</v>
      </c>
      <c r="G93" s="1">
        <v>47208</v>
      </c>
      <c r="I93" t="s">
        <v>172</v>
      </c>
      <c r="J93" t="s">
        <v>173</v>
      </c>
      <c r="K93" t="s">
        <v>174</v>
      </c>
      <c r="L93">
        <v>3674687</v>
      </c>
      <c r="M93" t="s">
        <v>175</v>
      </c>
      <c r="N93" t="s">
        <v>176</v>
      </c>
      <c r="P93" t="s">
        <v>177</v>
      </c>
      <c r="R93" t="s">
        <v>178</v>
      </c>
      <c r="S93" t="s">
        <v>179</v>
      </c>
      <c r="T93" t="s">
        <v>180</v>
      </c>
      <c r="U93" t="s">
        <v>181</v>
      </c>
      <c r="V93" t="s">
        <v>182</v>
      </c>
      <c r="X93" t="s">
        <v>183</v>
      </c>
      <c r="Y93" t="s">
        <v>458</v>
      </c>
      <c r="Z93" t="s">
        <v>222</v>
      </c>
      <c r="AB93" t="s">
        <v>176</v>
      </c>
      <c r="AD93" t="s">
        <v>223</v>
      </c>
      <c r="AF93" t="s">
        <v>187</v>
      </c>
      <c r="AG93" t="s">
        <v>188</v>
      </c>
      <c r="AH93" t="s">
        <v>189</v>
      </c>
      <c r="AI93">
        <v>21</v>
      </c>
      <c r="AJ93" t="s">
        <v>459</v>
      </c>
      <c r="AK93" s="4">
        <v>2200014316654</v>
      </c>
      <c r="AL93" t="s">
        <v>191</v>
      </c>
      <c r="AM93" t="s">
        <v>192</v>
      </c>
      <c r="AN93">
        <v>4</v>
      </c>
      <c r="AO93">
        <v>807</v>
      </c>
      <c r="AP93" t="s">
        <v>460</v>
      </c>
      <c r="AQ93" t="s">
        <v>194</v>
      </c>
      <c r="AR93" t="s">
        <v>195</v>
      </c>
      <c r="AS93" t="s">
        <v>196</v>
      </c>
      <c r="AT93" s="2">
        <v>0</v>
      </c>
      <c r="AV93" t="s">
        <v>197</v>
      </c>
      <c r="AW93" t="s">
        <v>198</v>
      </c>
      <c r="AX93">
        <v>244</v>
      </c>
      <c r="AY93">
        <v>0</v>
      </c>
      <c r="AZ93" t="s">
        <v>199</v>
      </c>
      <c r="BA93">
        <v>665.68780000000004</v>
      </c>
      <c r="BB93">
        <f t="shared" si="1"/>
        <v>202.48003916666667</v>
      </c>
      <c r="BD93">
        <v>0</v>
      </c>
      <c r="BE93" t="s">
        <v>201</v>
      </c>
      <c r="BF93">
        <v>0</v>
      </c>
      <c r="BG93" t="s">
        <v>202</v>
      </c>
      <c r="BH93">
        <v>2</v>
      </c>
      <c r="BI93" t="s">
        <v>241</v>
      </c>
      <c r="BJ93">
        <v>28.761800000000001</v>
      </c>
      <c r="BK93" t="s">
        <v>204</v>
      </c>
      <c r="BL93" s="3">
        <v>27127.5942</v>
      </c>
      <c r="BM93" s="3">
        <v>780238.13450000004</v>
      </c>
      <c r="BN93" t="s">
        <v>242</v>
      </c>
      <c r="BO93">
        <v>21.279299999999999</v>
      </c>
      <c r="BP93" t="s">
        <v>204</v>
      </c>
      <c r="BQ93" s="3">
        <v>11185.605799999999</v>
      </c>
      <c r="BR93" s="3">
        <v>238021.5932</v>
      </c>
      <c r="FE93" s="1">
        <v>46309</v>
      </c>
      <c r="FF93">
        <v>0</v>
      </c>
      <c r="FG93" t="s">
        <v>200</v>
      </c>
      <c r="FH93" t="s">
        <v>213</v>
      </c>
      <c r="FI93" t="s">
        <v>460</v>
      </c>
      <c r="FJ93" t="s">
        <v>191</v>
      </c>
      <c r="FK93" t="s">
        <v>206</v>
      </c>
      <c r="FL93" t="s">
        <v>191</v>
      </c>
      <c r="FM93">
        <v>244</v>
      </c>
      <c r="FN93" t="s">
        <v>461</v>
      </c>
    </row>
    <row r="94" spans="1:170" x14ac:dyDescent="0.25">
      <c r="A94" t="s">
        <v>170</v>
      </c>
      <c r="B94">
        <v>1</v>
      </c>
      <c r="C94" t="s">
        <v>171</v>
      </c>
      <c r="F94" s="1">
        <v>46478</v>
      </c>
      <c r="G94" s="1">
        <v>47208</v>
      </c>
      <c r="I94" t="s">
        <v>172</v>
      </c>
      <c r="J94" t="s">
        <v>173</v>
      </c>
      <c r="K94" t="s">
        <v>174</v>
      </c>
      <c r="L94">
        <v>3674687</v>
      </c>
      <c r="M94" t="s">
        <v>175</v>
      </c>
      <c r="N94" t="s">
        <v>176</v>
      </c>
      <c r="P94" t="s">
        <v>177</v>
      </c>
      <c r="R94" t="s">
        <v>178</v>
      </c>
      <c r="S94" t="s">
        <v>179</v>
      </c>
      <c r="T94" t="s">
        <v>180</v>
      </c>
      <c r="U94" t="s">
        <v>181</v>
      </c>
      <c r="V94" t="s">
        <v>182</v>
      </c>
      <c r="X94" t="s">
        <v>183</v>
      </c>
      <c r="Y94" t="s">
        <v>462</v>
      </c>
      <c r="Z94" t="s">
        <v>185</v>
      </c>
      <c r="AB94" t="s">
        <v>176</v>
      </c>
      <c r="AD94" t="s">
        <v>463</v>
      </c>
      <c r="AF94" t="s">
        <v>187</v>
      </c>
      <c r="AG94" t="s">
        <v>188</v>
      </c>
      <c r="AH94" t="s">
        <v>189</v>
      </c>
      <c r="AI94">
        <v>21</v>
      </c>
      <c r="AJ94" t="s">
        <v>464</v>
      </c>
      <c r="AK94" s="4">
        <v>2200014326086</v>
      </c>
      <c r="AL94" t="s">
        <v>191</v>
      </c>
      <c r="AM94" t="s">
        <v>192</v>
      </c>
      <c r="AN94">
        <v>3</v>
      </c>
      <c r="AO94">
        <v>801</v>
      </c>
      <c r="AP94" t="s">
        <v>193</v>
      </c>
      <c r="AQ94" t="s">
        <v>194</v>
      </c>
      <c r="AR94" t="s">
        <v>195</v>
      </c>
      <c r="AS94" t="s">
        <v>196</v>
      </c>
      <c r="AT94" s="2">
        <v>0</v>
      </c>
      <c r="AV94" t="s">
        <v>197</v>
      </c>
      <c r="AW94" t="s">
        <v>198</v>
      </c>
      <c r="AX94">
        <v>393</v>
      </c>
      <c r="AY94">
        <v>0</v>
      </c>
      <c r="AZ94" t="s">
        <v>199</v>
      </c>
      <c r="BA94">
        <v>185.69640000000001</v>
      </c>
      <c r="BB94">
        <f t="shared" si="1"/>
        <v>56.482655000000001</v>
      </c>
      <c r="BD94">
        <v>0</v>
      </c>
      <c r="BE94" t="s">
        <v>201</v>
      </c>
      <c r="BF94">
        <v>0</v>
      </c>
      <c r="BG94" t="s">
        <v>202</v>
      </c>
      <c r="BH94">
        <v>1</v>
      </c>
      <c r="BI94" t="s">
        <v>203</v>
      </c>
      <c r="BJ94">
        <v>27.333100000000002</v>
      </c>
      <c r="BK94" t="s">
        <v>204</v>
      </c>
      <c r="BL94" s="3">
        <v>1590.5998999999999</v>
      </c>
      <c r="BM94" s="3">
        <v>43476.065699999999</v>
      </c>
      <c r="FE94" s="1">
        <v>46309</v>
      </c>
      <c r="FF94">
        <v>0</v>
      </c>
      <c r="FG94" t="s">
        <v>200</v>
      </c>
      <c r="FH94" t="s">
        <v>205</v>
      </c>
      <c r="FI94" t="s">
        <v>193</v>
      </c>
      <c r="FJ94" t="s">
        <v>191</v>
      </c>
      <c r="FK94" t="s">
        <v>206</v>
      </c>
      <c r="FL94" t="s">
        <v>191</v>
      </c>
      <c r="FM94">
        <v>393</v>
      </c>
      <c r="FN94" t="s">
        <v>207</v>
      </c>
    </row>
    <row r="95" spans="1:170" x14ac:dyDescent="0.25">
      <c r="A95" t="s">
        <v>170</v>
      </c>
      <c r="B95">
        <v>1</v>
      </c>
      <c r="C95" t="s">
        <v>171</v>
      </c>
      <c r="F95" s="1">
        <v>46478</v>
      </c>
      <c r="G95" s="1">
        <v>47208</v>
      </c>
      <c r="I95" t="s">
        <v>172</v>
      </c>
      <c r="J95" t="s">
        <v>173</v>
      </c>
      <c r="K95" t="s">
        <v>174</v>
      </c>
      <c r="L95">
        <v>3674687</v>
      </c>
      <c r="M95" t="s">
        <v>175</v>
      </c>
      <c r="N95" t="s">
        <v>176</v>
      </c>
      <c r="P95" t="s">
        <v>177</v>
      </c>
      <c r="R95" t="s">
        <v>178</v>
      </c>
      <c r="S95" t="s">
        <v>179</v>
      </c>
      <c r="T95" t="s">
        <v>180</v>
      </c>
      <c r="U95" t="s">
        <v>181</v>
      </c>
      <c r="V95" t="s">
        <v>182</v>
      </c>
      <c r="X95" t="s">
        <v>183</v>
      </c>
      <c r="Y95" t="s">
        <v>465</v>
      </c>
      <c r="Z95" t="s">
        <v>185</v>
      </c>
      <c r="AB95" t="s">
        <v>257</v>
      </c>
      <c r="AD95" t="s">
        <v>258</v>
      </c>
      <c r="AF95" t="s">
        <v>187</v>
      </c>
      <c r="AG95" t="s">
        <v>188</v>
      </c>
      <c r="AH95" t="s">
        <v>189</v>
      </c>
      <c r="AI95">
        <v>21</v>
      </c>
      <c r="AJ95" t="s">
        <v>466</v>
      </c>
      <c r="AK95" s="4">
        <v>2200014326147</v>
      </c>
      <c r="AL95" t="s">
        <v>191</v>
      </c>
      <c r="AM95" t="s">
        <v>192</v>
      </c>
      <c r="AN95">
        <v>3</v>
      </c>
      <c r="AO95">
        <v>801</v>
      </c>
      <c r="AP95">
        <v>110</v>
      </c>
      <c r="AQ95" t="s">
        <v>194</v>
      </c>
      <c r="AR95" t="s">
        <v>195</v>
      </c>
      <c r="AS95" t="s">
        <v>196</v>
      </c>
      <c r="AT95" s="2">
        <v>0</v>
      </c>
      <c r="AV95" t="s">
        <v>197</v>
      </c>
      <c r="AW95" t="s">
        <v>198</v>
      </c>
      <c r="AX95">
        <v>393</v>
      </c>
      <c r="AY95">
        <v>0</v>
      </c>
      <c r="AZ95" t="s">
        <v>199</v>
      </c>
      <c r="BA95">
        <v>120.8561</v>
      </c>
      <c r="BB95">
        <f t="shared" si="1"/>
        <v>36.760397083333331</v>
      </c>
      <c r="BD95">
        <v>0</v>
      </c>
      <c r="BE95" t="s">
        <v>201</v>
      </c>
      <c r="BF95">
        <v>0</v>
      </c>
      <c r="BG95" t="s">
        <v>202</v>
      </c>
      <c r="BH95">
        <v>1</v>
      </c>
      <c r="BI95" t="s">
        <v>203</v>
      </c>
      <c r="BJ95">
        <v>27.307300000000001</v>
      </c>
      <c r="BK95" t="s">
        <v>204</v>
      </c>
      <c r="BL95" s="3">
        <v>1559.2001</v>
      </c>
      <c r="BM95" s="3">
        <v>42577.535499999998</v>
      </c>
      <c r="FE95" s="1">
        <v>46309</v>
      </c>
      <c r="FF95">
        <v>0</v>
      </c>
      <c r="FG95" t="s">
        <v>200</v>
      </c>
      <c r="FH95" t="s">
        <v>205</v>
      </c>
      <c r="FI95">
        <v>110</v>
      </c>
      <c r="FJ95" t="s">
        <v>191</v>
      </c>
      <c r="FK95" t="s">
        <v>206</v>
      </c>
      <c r="FL95" t="s">
        <v>191</v>
      </c>
      <c r="FM95">
        <v>393</v>
      </c>
      <c r="FN95" t="s">
        <v>214</v>
      </c>
    </row>
    <row r="96" spans="1:170" x14ac:dyDescent="0.25">
      <c r="A96" t="s">
        <v>170</v>
      </c>
      <c r="B96">
        <v>1</v>
      </c>
      <c r="C96" t="s">
        <v>171</v>
      </c>
      <c r="F96" s="1">
        <v>46478</v>
      </c>
      <c r="G96" s="1">
        <v>47208</v>
      </c>
      <c r="I96" t="s">
        <v>172</v>
      </c>
      <c r="J96" t="s">
        <v>173</v>
      </c>
      <c r="K96" t="s">
        <v>174</v>
      </c>
      <c r="L96">
        <v>3674687</v>
      </c>
      <c r="M96" t="s">
        <v>175</v>
      </c>
      <c r="N96" t="s">
        <v>176</v>
      </c>
      <c r="P96" t="s">
        <v>177</v>
      </c>
      <c r="R96" t="s">
        <v>178</v>
      </c>
      <c r="S96" t="s">
        <v>179</v>
      </c>
      <c r="T96" t="s">
        <v>180</v>
      </c>
      <c r="U96" t="s">
        <v>181</v>
      </c>
      <c r="V96" t="s">
        <v>182</v>
      </c>
      <c r="X96" t="s">
        <v>183</v>
      </c>
      <c r="Y96" t="s">
        <v>467</v>
      </c>
      <c r="Z96" t="s">
        <v>185</v>
      </c>
      <c r="AB96" t="s">
        <v>176</v>
      </c>
      <c r="AD96" t="s">
        <v>463</v>
      </c>
      <c r="AF96" t="s">
        <v>187</v>
      </c>
      <c r="AG96" t="s">
        <v>188</v>
      </c>
      <c r="AH96" t="s">
        <v>189</v>
      </c>
      <c r="AI96">
        <v>21</v>
      </c>
      <c r="AJ96" t="s">
        <v>468</v>
      </c>
      <c r="AK96" s="4">
        <v>2200014326165</v>
      </c>
      <c r="AL96" t="s">
        <v>191</v>
      </c>
      <c r="AM96" t="s">
        <v>212</v>
      </c>
      <c r="AN96">
        <v>3</v>
      </c>
      <c r="AO96">
        <v>801</v>
      </c>
      <c r="AP96">
        <v>110</v>
      </c>
      <c r="AQ96" t="s">
        <v>194</v>
      </c>
      <c r="AR96" t="s">
        <v>195</v>
      </c>
      <c r="AS96" t="s">
        <v>196</v>
      </c>
      <c r="AT96" s="2">
        <v>0</v>
      </c>
      <c r="AV96" t="s">
        <v>197</v>
      </c>
      <c r="AW96" t="s">
        <v>198</v>
      </c>
      <c r="AX96">
        <v>393</v>
      </c>
      <c r="AY96">
        <v>0</v>
      </c>
      <c r="AZ96" t="s">
        <v>199</v>
      </c>
      <c r="BA96">
        <v>120.8772</v>
      </c>
      <c r="BB96">
        <f t="shared" si="1"/>
        <v>36.766815000000001</v>
      </c>
      <c r="BD96">
        <v>0</v>
      </c>
      <c r="BE96" t="s">
        <v>201</v>
      </c>
      <c r="BF96">
        <v>0</v>
      </c>
      <c r="BG96" t="s">
        <v>202</v>
      </c>
      <c r="BH96">
        <v>1</v>
      </c>
      <c r="BI96" t="s">
        <v>203</v>
      </c>
      <c r="BJ96">
        <v>27.255700000000001</v>
      </c>
      <c r="BK96" t="s">
        <v>204</v>
      </c>
      <c r="BL96">
        <v>715.4</v>
      </c>
      <c r="BM96" s="3">
        <v>19498.7592</v>
      </c>
      <c r="FE96" s="1">
        <v>46309</v>
      </c>
      <c r="FF96">
        <v>0</v>
      </c>
      <c r="FG96" t="s">
        <v>200</v>
      </c>
      <c r="FH96" t="s">
        <v>213</v>
      </c>
      <c r="FI96">
        <v>110</v>
      </c>
      <c r="FJ96" t="s">
        <v>191</v>
      </c>
      <c r="FK96" t="s">
        <v>206</v>
      </c>
      <c r="FL96" t="s">
        <v>191</v>
      </c>
      <c r="FM96">
        <v>393</v>
      </c>
      <c r="FN96" t="s">
        <v>214</v>
      </c>
    </row>
    <row r="97" spans="1:170" x14ac:dyDescent="0.25">
      <c r="A97" t="s">
        <v>170</v>
      </c>
      <c r="B97">
        <v>1</v>
      </c>
      <c r="C97" t="s">
        <v>171</v>
      </c>
      <c r="F97" s="1">
        <v>46478</v>
      </c>
      <c r="G97" s="1">
        <v>47208</v>
      </c>
      <c r="I97" t="s">
        <v>172</v>
      </c>
      <c r="J97" t="s">
        <v>173</v>
      </c>
      <c r="K97" t="s">
        <v>174</v>
      </c>
      <c r="L97">
        <v>3674687</v>
      </c>
      <c r="M97" t="s">
        <v>175</v>
      </c>
      <c r="N97" t="s">
        <v>176</v>
      </c>
      <c r="P97" t="s">
        <v>177</v>
      </c>
      <c r="R97" t="s">
        <v>178</v>
      </c>
      <c r="S97" t="s">
        <v>179</v>
      </c>
      <c r="T97" t="s">
        <v>180</v>
      </c>
      <c r="U97" t="s">
        <v>181</v>
      </c>
      <c r="V97" t="s">
        <v>182</v>
      </c>
      <c r="X97" t="s">
        <v>183</v>
      </c>
      <c r="Y97" t="s">
        <v>469</v>
      </c>
      <c r="Z97" t="s">
        <v>185</v>
      </c>
      <c r="AB97" t="s">
        <v>257</v>
      </c>
      <c r="AD97" t="s">
        <v>258</v>
      </c>
      <c r="AF97" t="s">
        <v>187</v>
      </c>
      <c r="AG97" t="s">
        <v>188</v>
      </c>
      <c r="AH97" t="s">
        <v>189</v>
      </c>
      <c r="AI97">
        <v>21</v>
      </c>
      <c r="AJ97" t="s">
        <v>470</v>
      </c>
      <c r="AK97" s="4">
        <v>2200014326192</v>
      </c>
      <c r="AL97" t="s">
        <v>191</v>
      </c>
      <c r="AM97" t="s">
        <v>212</v>
      </c>
      <c r="AN97">
        <v>3</v>
      </c>
      <c r="AO97">
        <v>801</v>
      </c>
      <c r="AP97">
        <v>110</v>
      </c>
      <c r="AQ97" t="s">
        <v>194</v>
      </c>
      <c r="AR97" t="s">
        <v>195</v>
      </c>
      <c r="AS97" t="s">
        <v>196</v>
      </c>
      <c r="AT97" s="2">
        <v>0</v>
      </c>
      <c r="AV97" t="s">
        <v>197</v>
      </c>
      <c r="AW97" t="s">
        <v>198</v>
      </c>
      <c r="AX97">
        <v>393</v>
      </c>
      <c r="AY97">
        <v>0</v>
      </c>
      <c r="AZ97" t="s">
        <v>199</v>
      </c>
      <c r="BA97">
        <v>120.7958</v>
      </c>
      <c r="BB97">
        <f t="shared" si="1"/>
        <v>36.742055833333332</v>
      </c>
      <c r="BD97">
        <v>0</v>
      </c>
      <c r="BE97" t="s">
        <v>201</v>
      </c>
      <c r="BF97">
        <v>0</v>
      </c>
      <c r="BG97" t="s">
        <v>202</v>
      </c>
      <c r="BH97">
        <v>1</v>
      </c>
      <c r="BI97" t="s">
        <v>203</v>
      </c>
      <c r="BJ97">
        <v>27.339099999999998</v>
      </c>
      <c r="BK97" t="s">
        <v>204</v>
      </c>
      <c r="BL97">
        <v>824.19989999999996</v>
      </c>
      <c r="BM97" s="3">
        <v>22532.878100000002</v>
      </c>
      <c r="FE97" s="1">
        <v>46309</v>
      </c>
      <c r="FF97">
        <v>0</v>
      </c>
      <c r="FG97" t="s">
        <v>200</v>
      </c>
      <c r="FH97" t="s">
        <v>213</v>
      </c>
      <c r="FI97">
        <v>110</v>
      </c>
      <c r="FJ97" t="s">
        <v>191</v>
      </c>
      <c r="FK97" t="s">
        <v>206</v>
      </c>
      <c r="FL97" t="s">
        <v>191</v>
      </c>
      <c r="FM97">
        <v>393</v>
      </c>
      <c r="FN97" t="s">
        <v>214</v>
      </c>
    </row>
    <row r="98" spans="1:170" x14ac:dyDescent="0.25">
      <c r="A98" t="s">
        <v>170</v>
      </c>
      <c r="B98">
        <v>1</v>
      </c>
      <c r="C98" t="s">
        <v>171</v>
      </c>
      <c r="F98" s="1">
        <v>46478</v>
      </c>
      <c r="G98" s="1">
        <v>47208</v>
      </c>
      <c r="I98" t="s">
        <v>172</v>
      </c>
      <c r="J98" t="s">
        <v>173</v>
      </c>
      <c r="K98" t="s">
        <v>174</v>
      </c>
      <c r="L98">
        <v>3674687</v>
      </c>
      <c r="M98" t="s">
        <v>175</v>
      </c>
      <c r="N98" t="s">
        <v>176</v>
      </c>
      <c r="P98" t="s">
        <v>177</v>
      </c>
      <c r="R98" t="s">
        <v>178</v>
      </c>
      <c r="S98" t="s">
        <v>179</v>
      </c>
      <c r="T98" t="s">
        <v>180</v>
      </c>
      <c r="U98" t="s">
        <v>181</v>
      </c>
      <c r="V98" t="s">
        <v>182</v>
      </c>
      <c r="X98" t="s">
        <v>183</v>
      </c>
      <c r="Y98" t="s">
        <v>414</v>
      </c>
      <c r="AB98" t="s">
        <v>176</v>
      </c>
      <c r="AD98" t="s">
        <v>408</v>
      </c>
      <c r="AF98" t="s">
        <v>187</v>
      </c>
      <c r="AG98" t="s">
        <v>188</v>
      </c>
      <c r="AH98" t="s">
        <v>189</v>
      </c>
      <c r="AI98">
        <v>21</v>
      </c>
      <c r="AJ98" t="s">
        <v>471</v>
      </c>
      <c r="AK98" s="4">
        <v>2200014357614</v>
      </c>
      <c r="AL98" t="s">
        <v>191</v>
      </c>
      <c r="AM98" t="s">
        <v>192</v>
      </c>
      <c r="AN98">
        <v>3</v>
      </c>
      <c r="AO98">
        <v>801</v>
      </c>
      <c r="AP98">
        <v>110</v>
      </c>
      <c r="AQ98" t="s">
        <v>194</v>
      </c>
      <c r="AR98" t="s">
        <v>195</v>
      </c>
      <c r="AS98" t="s">
        <v>196</v>
      </c>
      <c r="AT98" s="2">
        <v>0</v>
      </c>
      <c r="AV98" t="s">
        <v>197</v>
      </c>
      <c r="AW98" t="s">
        <v>198</v>
      </c>
      <c r="AX98">
        <v>393</v>
      </c>
      <c r="AY98">
        <v>0</v>
      </c>
      <c r="AZ98" t="s">
        <v>199</v>
      </c>
      <c r="BA98">
        <v>120.7915</v>
      </c>
      <c r="BB98">
        <f t="shared" si="1"/>
        <v>36.740747916666663</v>
      </c>
      <c r="BD98">
        <v>0</v>
      </c>
      <c r="BE98" t="s">
        <v>201</v>
      </c>
      <c r="BF98">
        <v>0</v>
      </c>
      <c r="BG98" t="s">
        <v>202</v>
      </c>
      <c r="BH98">
        <v>1</v>
      </c>
      <c r="BI98" t="s">
        <v>203</v>
      </c>
      <c r="BJ98">
        <v>27.3352</v>
      </c>
      <c r="BK98" t="s">
        <v>204</v>
      </c>
      <c r="BL98">
        <v>772.2</v>
      </c>
      <c r="BM98" s="3">
        <v>21108.21</v>
      </c>
      <c r="FE98" s="1">
        <v>46309</v>
      </c>
      <c r="FF98">
        <v>0</v>
      </c>
      <c r="FG98" t="s">
        <v>200</v>
      </c>
      <c r="FH98" t="s">
        <v>205</v>
      </c>
      <c r="FI98">
        <v>110</v>
      </c>
      <c r="FJ98" t="s">
        <v>191</v>
      </c>
      <c r="FK98" t="s">
        <v>206</v>
      </c>
      <c r="FL98" t="s">
        <v>191</v>
      </c>
      <c r="FM98">
        <v>393</v>
      </c>
      <c r="FN98" t="s">
        <v>214</v>
      </c>
    </row>
    <row r="99" spans="1:170" x14ac:dyDescent="0.25">
      <c r="A99" t="s">
        <v>170</v>
      </c>
      <c r="B99">
        <v>1</v>
      </c>
      <c r="C99" t="s">
        <v>171</v>
      </c>
      <c r="F99" s="1">
        <v>46478</v>
      </c>
      <c r="G99" s="1">
        <v>47208</v>
      </c>
      <c r="I99" t="s">
        <v>172</v>
      </c>
      <c r="J99" t="s">
        <v>173</v>
      </c>
      <c r="K99" t="s">
        <v>174</v>
      </c>
      <c r="L99">
        <v>3674687</v>
      </c>
      <c r="M99" t="s">
        <v>175</v>
      </c>
      <c r="N99" t="s">
        <v>176</v>
      </c>
      <c r="P99" t="s">
        <v>177</v>
      </c>
      <c r="R99" t="s">
        <v>178</v>
      </c>
      <c r="S99" t="s">
        <v>179</v>
      </c>
      <c r="T99" t="s">
        <v>180</v>
      </c>
      <c r="U99" t="s">
        <v>181</v>
      </c>
      <c r="V99" t="s">
        <v>182</v>
      </c>
      <c r="X99" t="s">
        <v>183</v>
      </c>
      <c r="Y99" t="s">
        <v>414</v>
      </c>
      <c r="AB99" t="s">
        <v>176</v>
      </c>
      <c r="AD99" t="s">
        <v>408</v>
      </c>
      <c r="AF99" t="s">
        <v>187</v>
      </c>
      <c r="AG99" t="s">
        <v>188</v>
      </c>
      <c r="AH99" t="s">
        <v>189</v>
      </c>
      <c r="AI99">
        <v>21</v>
      </c>
      <c r="AJ99" t="s">
        <v>472</v>
      </c>
      <c r="AK99" s="4">
        <v>2200014357660</v>
      </c>
      <c r="AL99" t="s">
        <v>191</v>
      </c>
      <c r="AM99" t="s">
        <v>192</v>
      </c>
      <c r="AN99">
        <v>3</v>
      </c>
      <c r="AO99">
        <v>801</v>
      </c>
      <c r="AP99">
        <v>110</v>
      </c>
      <c r="AQ99" t="s">
        <v>194</v>
      </c>
      <c r="AR99" t="s">
        <v>195</v>
      </c>
      <c r="AS99" t="s">
        <v>196</v>
      </c>
      <c r="AT99" s="2">
        <v>0</v>
      </c>
      <c r="AV99" t="s">
        <v>197</v>
      </c>
      <c r="AW99" t="s">
        <v>198</v>
      </c>
      <c r="AX99">
        <v>393</v>
      </c>
      <c r="AY99">
        <v>0</v>
      </c>
      <c r="AZ99" t="s">
        <v>199</v>
      </c>
      <c r="BA99">
        <v>120.79949999999999</v>
      </c>
      <c r="BB99">
        <f t="shared" si="1"/>
        <v>36.743181249999999</v>
      </c>
      <c r="BD99">
        <v>0</v>
      </c>
      <c r="BE99" t="s">
        <v>201</v>
      </c>
      <c r="BF99">
        <v>0</v>
      </c>
      <c r="BG99" t="s">
        <v>202</v>
      </c>
      <c r="BH99">
        <v>1</v>
      </c>
      <c r="BI99" t="s">
        <v>203</v>
      </c>
      <c r="BJ99">
        <v>27.328900000000001</v>
      </c>
      <c r="BK99" t="s">
        <v>204</v>
      </c>
      <c r="BL99">
        <v>870.2</v>
      </c>
      <c r="BM99" s="3">
        <v>23781.647000000001</v>
      </c>
      <c r="FE99" s="1">
        <v>46309</v>
      </c>
      <c r="FF99">
        <v>0</v>
      </c>
      <c r="FG99" t="s">
        <v>200</v>
      </c>
      <c r="FH99" t="s">
        <v>205</v>
      </c>
      <c r="FI99">
        <v>110</v>
      </c>
      <c r="FJ99" t="s">
        <v>191</v>
      </c>
      <c r="FK99" t="s">
        <v>206</v>
      </c>
      <c r="FL99" t="s">
        <v>191</v>
      </c>
      <c r="FM99">
        <v>393</v>
      </c>
      <c r="FN99" t="s">
        <v>214</v>
      </c>
    </row>
    <row r="100" spans="1:170" x14ac:dyDescent="0.25">
      <c r="A100" t="s">
        <v>170</v>
      </c>
      <c r="B100">
        <v>1</v>
      </c>
      <c r="C100" t="s">
        <v>171</v>
      </c>
      <c r="F100" s="1">
        <v>46478</v>
      </c>
      <c r="G100" s="1">
        <v>47208</v>
      </c>
      <c r="I100" t="s">
        <v>172</v>
      </c>
      <c r="J100" t="s">
        <v>173</v>
      </c>
      <c r="K100" t="s">
        <v>174</v>
      </c>
      <c r="L100">
        <v>3674687</v>
      </c>
      <c r="M100" t="s">
        <v>175</v>
      </c>
      <c r="N100" t="s">
        <v>176</v>
      </c>
      <c r="P100" t="s">
        <v>177</v>
      </c>
      <c r="R100" t="s">
        <v>178</v>
      </c>
      <c r="S100" t="s">
        <v>179</v>
      </c>
      <c r="T100" t="s">
        <v>180</v>
      </c>
      <c r="U100" t="s">
        <v>181</v>
      </c>
      <c r="V100" t="s">
        <v>182</v>
      </c>
      <c r="X100" t="s">
        <v>183</v>
      </c>
      <c r="Y100" t="s">
        <v>414</v>
      </c>
      <c r="Z100" t="s">
        <v>209</v>
      </c>
      <c r="AB100" t="s">
        <v>176</v>
      </c>
      <c r="AD100" t="s">
        <v>408</v>
      </c>
      <c r="AF100" t="s">
        <v>187</v>
      </c>
      <c r="AG100" t="s">
        <v>188</v>
      </c>
      <c r="AH100" t="s">
        <v>189</v>
      </c>
      <c r="AI100">
        <v>21</v>
      </c>
      <c r="AJ100" t="s">
        <v>473</v>
      </c>
      <c r="AK100" s="4">
        <v>2200014357702</v>
      </c>
      <c r="AL100" t="s">
        <v>191</v>
      </c>
      <c r="AM100" t="s">
        <v>192</v>
      </c>
      <c r="AN100">
        <v>3</v>
      </c>
      <c r="AO100">
        <v>801</v>
      </c>
      <c r="AP100">
        <v>110</v>
      </c>
      <c r="AQ100" t="s">
        <v>194</v>
      </c>
      <c r="AR100" t="s">
        <v>195</v>
      </c>
      <c r="AS100" t="s">
        <v>196</v>
      </c>
      <c r="AT100" s="2">
        <v>0</v>
      </c>
      <c r="AV100" t="s">
        <v>197</v>
      </c>
      <c r="AW100" t="s">
        <v>198</v>
      </c>
      <c r="AX100">
        <v>393</v>
      </c>
      <c r="AY100">
        <v>0</v>
      </c>
      <c r="AZ100" t="s">
        <v>199</v>
      </c>
      <c r="BA100">
        <v>120.9546</v>
      </c>
      <c r="BB100">
        <f t="shared" si="1"/>
        <v>36.790357499999999</v>
      </c>
      <c r="BD100">
        <v>0</v>
      </c>
      <c r="BE100" t="s">
        <v>201</v>
      </c>
      <c r="BF100">
        <v>0</v>
      </c>
      <c r="BG100" t="s">
        <v>202</v>
      </c>
      <c r="BH100">
        <v>1</v>
      </c>
      <c r="BI100" t="s">
        <v>203</v>
      </c>
      <c r="BJ100">
        <v>27.295400000000001</v>
      </c>
      <c r="BK100" t="s">
        <v>204</v>
      </c>
      <c r="BL100" s="3">
        <v>2758.9998999999998</v>
      </c>
      <c r="BM100" s="3">
        <v>75308.028600000005</v>
      </c>
      <c r="FE100" s="1">
        <v>46309</v>
      </c>
      <c r="FF100">
        <v>0</v>
      </c>
      <c r="FG100" t="s">
        <v>200</v>
      </c>
      <c r="FH100" t="s">
        <v>205</v>
      </c>
      <c r="FI100">
        <v>110</v>
      </c>
      <c r="FJ100" t="s">
        <v>191</v>
      </c>
      <c r="FK100" t="s">
        <v>206</v>
      </c>
      <c r="FL100" t="s">
        <v>191</v>
      </c>
      <c r="FM100">
        <v>393</v>
      </c>
      <c r="FN100" t="s">
        <v>214</v>
      </c>
    </row>
    <row r="101" spans="1:170" x14ac:dyDescent="0.25">
      <c r="A101" t="s">
        <v>170</v>
      </c>
      <c r="B101">
        <v>1</v>
      </c>
      <c r="C101" t="s">
        <v>171</v>
      </c>
      <c r="F101" s="1">
        <v>46478</v>
      </c>
      <c r="G101" s="1">
        <v>47208</v>
      </c>
      <c r="I101" t="s">
        <v>172</v>
      </c>
      <c r="J101" t="s">
        <v>173</v>
      </c>
      <c r="K101" t="s">
        <v>174</v>
      </c>
      <c r="L101">
        <v>3674687</v>
      </c>
      <c r="M101" t="s">
        <v>175</v>
      </c>
      <c r="N101" t="s">
        <v>176</v>
      </c>
      <c r="P101" t="s">
        <v>177</v>
      </c>
      <c r="R101" t="s">
        <v>178</v>
      </c>
      <c r="S101" t="s">
        <v>179</v>
      </c>
      <c r="T101" t="s">
        <v>180</v>
      </c>
      <c r="U101" t="s">
        <v>181</v>
      </c>
      <c r="V101" t="s">
        <v>182</v>
      </c>
      <c r="X101" t="s">
        <v>183</v>
      </c>
      <c r="Y101" t="s">
        <v>474</v>
      </c>
      <c r="AB101" t="s">
        <v>176</v>
      </c>
      <c r="AD101" t="s">
        <v>475</v>
      </c>
      <c r="AF101" t="s">
        <v>187</v>
      </c>
      <c r="AG101" t="s">
        <v>188</v>
      </c>
      <c r="AH101" t="s">
        <v>189</v>
      </c>
      <c r="AI101">
        <v>21</v>
      </c>
      <c r="AJ101" t="s">
        <v>476</v>
      </c>
      <c r="AK101" s="4">
        <v>2200014357758</v>
      </c>
      <c r="AL101" t="s">
        <v>191</v>
      </c>
      <c r="AM101" t="s">
        <v>192</v>
      </c>
      <c r="AN101">
        <v>3</v>
      </c>
      <c r="AO101">
        <v>801</v>
      </c>
      <c r="AP101">
        <v>110</v>
      </c>
      <c r="AQ101" t="s">
        <v>194</v>
      </c>
      <c r="AR101" t="s">
        <v>195</v>
      </c>
      <c r="AS101" t="s">
        <v>196</v>
      </c>
      <c r="AT101" s="2">
        <v>0</v>
      </c>
      <c r="AV101" t="s">
        <v>197</v>
      </c>
      <c r="AW101" t="s">
        <v>198</v>
      </c>
      <c r="AX101">
        <v>393</v>
      </c>
      <c r="AY101">
        <v>0</v>
      </c>
      <c r="AZ101" t="s">
        <v>199</v>
      </c>
      <c r="BA101">
        <v>120.8514</v>
      </c>
      <c r="BB101">
        <f t="shared" si="1"/>
        <v>36.758967499999997</v>
      </c>
      <c r="BD101">
        <v>0</v>
      </c>
      <c r="BE101" t="s">
        <v>201</v>
      </c>
      <c r="BF101">
        <v>0</v>
      </c>
      <c r="BG101" t="s">
        <v>202</v>
      </c>
      <c r="BH101">
        <v>1</v>
      </c>
      <c r="BI101" t="s">
        <v>203</v>
      </c>
      <c r="BJ101">
        <v>27.255700000000001</v>
      </c>
      <c r="BK101" t="s">
        <v>204</v>
      </c>
      <c r="BL101">
        <v>564.4</v>
      </c>
      <c r="BM101" s="3">
        <v>15383.141900000001</v>
      </c>
      <c r="FE101" s="1">
        <v>46309</v>
      </c>
      <c r="FF101">
        <v>0</v>
      </c>
      <c r="FG101" t="s">
        <v>200</v>
      </c>
      <c r="FH101" t="s">
        <v>205</v>
      </c>
      <c r="FI101">
        <v>110</v>
      </c>
      <c r="FJ101" t="s">
        <v>191</v>
      </c>
      <c r="FK101" t="s">
        <v>206</v>
      </c>
      <c r="FL101" t="s">
        <v>191</v>
      </c>
      <c r="FM101">
        <v>393</v>
      </c>
      <c r="FN101" t="s">
        <v>214</v>
      </c>
    </row>
    <row r="102" spans="1:170" x14ac:dyDescent="0.25">
      <c r="A102" t="s">
        <v>170</v>
      </c>
      <c r="B102">
        <v>1</v>
      </c>
      <c r="C102" t="s">
        <v>171</v>
      </c>
      <c r="F102" s="1">
        <v>46478</v>
      </c>
      <c r="G102" s="1">
        <v>47208</v>
      </c>
      <c r="I102" t="s">
        <v>172</v>
      </c>
      <c r="J102" t="s">
        <v>173</v>
      </c>
      <c r="K102" t="s">
        <v>174</v>
      </c>
      <c r="L102">
        <v>3674687</v>
      </c>
      <c r="M102" t="s">
        <v>175</v>
      </c>
      <c r="N102" t="s">
        <v>176</v>
      </c>
      <c r="P102" t="s">
        <v>177</v>
      </c>
      <c r="R102" t="s">
        <v>178</v>
      </c>
      <c r="S102" t="s">
        <v>179</v>
      </c>
      <c r="T102" t="s">
        <v>180</v>
      </c>
      <c r="U102" t="s">
        <v>181</v>
      </c>
      <c r="V102" t="s">
        <v>182</v>
      </c>
      <c r="X102" t="s">
        <v>183</v>
      </c>
      <c r="Y102" t="s">
        <v>477</v>
      </c>
      <c r="Z102" t="s">
        <v>219</v>
      </c>
      <c r="AB102" t="s">
        <v>176</v>
      </c>
      <c r="AD102" t="s">
        <v>478</v>
      </c>
      <c r="AF102" t="s">
        <v>187</v>
      </c>
      <c r="AG102" t="s">
        <v>188</v>
      </c>
      <c r="AH102" t="s">
        <v>189</v>
      </c>
      <c r="AI102">
        <v>21</v>
      </c>
      <c r="AJ102" t="s">
        <v>479</v>
      </c>
      <c r="AK102" s="4">
        <v>2200014367621</v>
      </c>
      <c r="AL102" t="s">
        <v>191</v>
      </c>
      <c r="AM102" t="s">
        <v>192</v>
      </c>
      <c r="AN102">
        <v>2</v>
      </c>
      <c r="AO102">
        <v>807</v>
      </c>
      <c r="AP102">
        <v>30</v>
      </c>
      <c r="AQ102" t="s">
        <v>194</v>
      </c>
      <c r="AR102" t="s">
        <v>195</v>
      </c>
      <c r="AS102" t="s">
        <v>196</v>
      </c>
      <c r="AT102" s="2">
        <v>0</v>
      </c>
      <c r="AV102" t="s">
        <v>197</v>
      </c>
      <c r="AW102" t="s">
        <v>198</v>
      </c>
      <c r="AX102">
        <v>244</v>
      </c>
      <c r="AY102">
        <v>0</v>
      </c>
      <c r="AZ102" t="s">
        <v>199</v>
      </c>
      <c r="BA102">
        <v>122.7567</v>
      </c>
      <c r="BB102">
        <f t="shared" si="1"/>
        <v>37.338496249999999</v>
      </c>
      <c r="BD102">
        <v>0</v>
      </c>
      <c r="BE102" t="s">
        <v>201</v>
      </c>
      <c r="BF102">
        <v>0</v>
      </c>
      <c r="BG102" t="s">
        <v>202</v>
      </c>
      <c r="BH102">
        <v>2</v>
      </c>
      <c r="BI102" t="s">
        <v>241</v>
      </c>
      <c r="BJ102">
        <v>30.1614</v>
      </c>
      <c r="BK102" t="s">
        <v>204</v>
      </c>
      <c r="BL102" s="3">
        <v>66341.294099999999</v>
      </c>
      <c r="BM102" s="3">
        <v>2000947.5662</v>
      </c>
      <c r="BN102" t="s">
        <v>242</v>
      </c>
      <c r="BO102">
        <v>21.151199999999999</v>
      </c>
      <c r="BP102" t="s">
        <v>204</v>
      </c>
      <c r="BQ102" s="3">
        <v>54469.105900000002</v>
      </c>
      <c r="BR102" s="3">
        <v>1152088.5784</v>
      </c>
      <c r="FE102" s="1">
        <v>46309</v>
      </c>
      <c r="FF102">
        <v>0</v>
      </c>
      <c r="FG102" t="s">
        <v>200</v>
      </c>
      <c r="FH102" t="s">
        <v>205</v>
      </c>
      <c r="FI102">
        <v>30</v>
      </c>
      <c r="FJ102" t="s">
        <v>191</v>
      </c>
      <c r="FK102" t="s">
        <v>206</v>
      </c>
      <c r="FL102" t="s">
        <v>191</v>
      </c>
      <c r="FM102">
        <v>244</v>
      </c>
      <c r="FN102" t="s">
        <v>265</v>
      </c>
    </row>
    <row r="103" spans="1:170" x14ac:dyDescent="0.25">
      <c r="A103" t="s">
        <v>170</v>
      </c>
      <c r="B103">
        <v>1</v>
      </c>
      <c r="C103" t="s">
        <v>171</v>
      </c>
      <c r="F103" s="1">
        <v>46478</v>
      </c>
      <c r="G103" s="1">
        <v>47208</v>
      </c>
      <c r="I103" t="s">
        <v>172</v>
      </c>
      <c r="J103" t="s">
        <v>173</v>
      </c>
      <c r="K103" t="s">
        <v>174</v>
      </c>
      <c r="L103">
        <v>3674687</v>
      </c>
      <c r="M103" t="s">
        <v>175</v>
      </c>
      <c r="N103" t="s">
        <v>176</v>
      </c>
      <c r="P103" t="s">
        <v>177</v>
      </c>
      <c r="R103" t="s">
        <v>178</v>
      </c>
      <c r="S103" t="s">
        <v>179</v>
      </c>
      <c r="T103" t="s">
        <v>180</v>
      </c>
      <c r="U103" t="s">
        <v>181</v>
      </c>
      <c r="V103" t="s">
        <v>182</v>
      </c>
      <c r="X103" t="s">
        <v>183</v>
      </c>
      <c r="Y103" t="s">
        <v>480</v>
      </c>
      <c r="Z103" t="s">
        <v>219</v>
      </c>
      <c r="AB103" t="s">
        <v>481</v>
      </c>
      <c r="AD103" t="s">
        <v>482</v>
      </c>
      <c r="AF103" t="s">
        <v>187</v>
      </c>
      <c r="AG103" t="s">
        <v>188</v>
      </c>
      <c r="AH103" t="s">
        <v>189</v>
      </c>
      <c r="AI103">
        <v>21</v>
      </c>
      <c r="AJ103" t="s">
        <v>483</v>
      </c>
      <c r="AK103" s="4">
        <v>2200014378224</v>
      </c>
      <c r="AL103" t="s">
        <v>191</v>
      </c>
      <c r="AM103" t="s">
        <v>192</v>
      </c>
      <c r="AN103">
        <v>3</v>
      </c>
      <c r="AO103">
        <v>801</v>
      </c>
      <c r="AP103">
        <v>110</v>
      </c>
      <c r="AQ103" t="s">
        <v>194</v>
      </c>
      <c r="AR103" t="s">
        <v>195</v>
      </c>
      <c r="AS103" t="s">
        <v>196</v>
      </c>
      <c r="AT103" s="2">
        <v>0</v>
      </c>
      <c r="AV103" t="s">
        <v>197</v>
      </c>
      <c r="AW103" t="s">
        <v>198</v>
      </c>
      <c r="AX103">
        <v>393</v>
      </c>
      <c r="AY103">
        <v>0</v>
      </c>
      <c r="AZ103" t="s">
        <v>199</v>
      </c>
      <c r="BA103">
        <v>120.9442</v>
      </c>
      <c r="BB103">
        <f t="shared" si="1"/>
        <v>36.787194166666666</v>
      </c>
      <c r="BD103">
        <v>0</v>
      </c>
      <c r="BE103" t="s">
        <v>201</v>
      </c>
      <c r="BF103">
        <v>0</v>
      </c>
      <c r="BG103" t="s">
        <v>202</v>
      </c>
      <c r="BH103">
        <v>1</v>
      </c>
      <c r="BI103" t="s">
        <v>203</v>
      </c>
      <c r="BJ103">
        <v>27.296099999999999</v>
      </c>
      <c r="BK103" t="s">
        <v>204</v>
      </c>
      <c r="BL103" s="3">
        <v>2632.9998999999998</v>
      </c>
      <c r="BM103" s="3">
        <v>71870.753599999996</v>
      </c>
      <c r="FE103" s="1">
        <v>46309</v>
      </c>
      <c r="FF103">
        <v>0</v>
      </c>
      <c r="FG103" t="s">
        <v>200</v>
      </c>
      <c r="FH103" t="s">
        <v>205</v>
      </c>
      <c r="FI103">
        <v>110</v>
      </c>
      <c r="FJ103" t="s">
        <v>191</v>
      </c>
      <c r="FK103" t="s">
        <v>206</v>
      </c>
      <c r="FL103" t="s">
        <v>191</v>
      </c>
      <c r="FM103">
        <v>393</v>
      </c>
      <c r="FN103" t="s">
        <v>214</v>
      </c>
    </row>
    <row r="104" spans="1:170" x14ac:dyDescent="0.25">
      <c r="A104" t="s">
        <v>170</v>
      </c>
      <c r="B104">
        <v>1</v>
      </c>
      <c r="C104" t="s">
        <v>171</v>
      </c>
      <c r="F104" s="1">
        <v>46478</v>
      </c>
      <c r="G104" s="1">
        <v>47208</v>
      </c>
      <c r="I104" t="s">
        <v>172</v>
      </c>
      <c r="J104" t="s">
        <v>173</v>
      </c>
      <c r="K104" t="s">
        <v>174</v>
      </c>
      <c r="L104">
        <v>3674687</v>
      </c>
      <c r="M104" t="s">
        <v>175</v>
      </c>
      <c r="N104" t="s">
        <v>176</v>
      </c>
      <c r="P104" t="s">
        <v>177</v>
      </c>
      <c r="R104" t="s">
        <v>178</v>
      </c>
      <c r="S104" t="s">
        <v>179</v>
      </c>
      <c r="T104" t="s">
        <v>180</v>
      </c>
      <c r="U104" t="s">
        <v>181</v>
      </c>
      <c r="V104" t="s">
        <v>182</v>
      </c>
      <c r="X104" t="s">
        <v>183</v>
      </c>
      <c r="Y104" t="s">
        <v>484</v>
      </c>
      <c r="Z104" t="s">
        <v>185</v>
      </c>
      <c r="AB104" t="s">
        <v>176</v>
      </c>
      <c r="AD104" t="s">
        <v>463</v>
      </c>
      <c r="AF104" t="s">
        <v>187</v>
      </c>
      <c r="AG104" t="s">
        <v>188</v>
      </c>
      <c r="AH104" t="s">
        <v>189</v>
      </c>
      <c r="AI104">
        <v>21</v>
      </c>
      <c r="AJ104" t="s">
        <v>485</v>
      </c>
      <c r="AK104" s="4">
        <v>2200014385620</v>
      </c>
      <c r="AL104" t="s">
        <v>191</v>
      </c>
      <c r="AM104" t="s">
        <v>212</v>
      </c>
      <c r="AN104">
        <v>3</v>
      </c>
      <c r="AO104">
        <v>801</v>
      </c>
      <c r="AP104">
        <v>110</v>
      </c>
      <c r="AQ104" t="s">
        <v>194</v>
      </c>
      <c r="AR104" t="s">
        <v>195</v>
      </c>
      <c r="AS104" t="s">
        <v>196</v>
      </c>
      <c r="AT104" s="2">
        <v>0</v>
      </c>
      <c r="AV104" t="s">
        <v>197</v>
      </c>
      <c r="AW104" t="s">
        <v>198</v>
      </c>
      <c r="AX104">
        <v>393</v>
      </c>
      <c r="AY104">
        <v>0</v>
      </c>
      <c r="AZ104" t="s">
        <v>199</v>
      </c>
      <c r="BA104">
        <v>120.8617</v>
      </c>
      <c r="BB104">
        <f t="shared" si="1"/>
        <v>36.762100416666662</v>
      </c>
      <c r="BD104">
        <v>0</v>
      </c>
      <c r="BE104" t="s">
        <v>201</v>
      </c>
      <c r="BF104">
        <v>0</v>
      </c>
      <c r="BG104" t="s">
        <v>202</v>
      </c>
      <c r="BH104">
        <v>1</v>
      </c>
      <c r="BI104" t="s">
        <v>203</v>
      </c>
      <c r="BJ104">
        <v>27.255700000000001</v>
      </c>
      <c r="BK104" t="s">
        <v>204</v>
      </c>
      <c r="BL104">
        <v>580.59990000000005</v>
      </c>
      <c r="BM104" s="3">
        <v>15824.684600000001</v>
      </c>
      <c r="FE104" s="1">
        <v>46309</v>
      </c>
      <c r="FF104">
        <v>0</v>
      </c>
      <c r="FG104" t="s">
        <v>200</v>
      </c>
      <c r="FH104" t="s">
        <v>213</v>
      </c>
      <c r="FI104">
        <v>110</v>
      </c>
      <c r="FJ104" t="s">
        <v>191</v>
      </c>
      <c r="FK104" t="s">
        <v>206</v>
      </c>
      <c r="FL104" t="s">
        <v>191</v>
      </c>
      <c r="FM104">
        <v>393</v>
      </c>
      <c r="FN104" t="s">
        <v>214</v>
      </c>
    </row>
    <row r="105" spans="1:170" x14ac:dyDescent="0.25">
      <c r="A105" t="s">
        <v>170</v>
      </c>
      <c r="B105">
        <v>1</v>
      </c>
      <c r="C105" t="s">
        <v>171</v>
      </c>
      <c r="F105" s="1">
        <v>46478</v>
      </c>
      <c r="G105" s="1">
        <v>47208</v>
      </c>
      <c r="I105" t="s">
        <v>172</v>
      </c>
      <c r="J105" t="s">
        <v>173</v>
      </c>
      <c r="K105" t="s">
        <v>174</v>
      </c>
      <c r="L105">
        <v>3674687</v>
      </c>
      <c r="M105" t="s">
        <v>175</v>
      </c>
      <c r="N105" t="s">
        <v>176</v>
      </c>
      <c r="P105" t="s">
        <v>177</v>
      </c>
      <c r="R105" t="s">
        <v>178</v>
      </c>
      <c r="S105" t="s">
        <v>179</v>
      </c>
      <c r="T105" t="s">
        <v>180</v>
      </c>
      <c r="U105" t="s">
        <v>181</v>
      </c>
      <c r="V105" t="s">
        <v>182</v>
      </c>
      <c r="X105" t="s">
        <v>183</v>
      </c>
      <c r="Y105" t="s">
        <v>486</v>
      </c>
      <c r="Z105" t="s">
        <v>185</v>
      </c>
      <c r="AB105" t="s">
        <v>176</v>
      </c>
      <c r="AD105" t="s">
        <v>463</v>
      </c>
      <c r="AF105" t="s">
        <v>187</v>
      </c>
      <c r="AG105" t="s">
        <v>188</v>
      </c>
      <c r="AH105" t="s">
        <v>189</v>
      </c>
      <c r="AI105">
        <v>21</v>
      </c>
      <c r="AJ105" t="s">
        <v>487</v>
      </c>
      <c r="AK105" s="4">
        <v>2200014385658</v>
      </c>
      <c r="AL105" t="s">
        <v>191</v>
      </c>
      <c r="AM105" t="s">
        <v>212</v>
      </c>
      <c r="AN105">
        <v>3</v>
      </c>
      <c r="AO105">
        <v>801</v>
      </c>
      <c r="AP105">
        <v>110</v>
      </c>
      <c r="AQ105" t="s">
        <v>194</v>
      </c>
      <c r="AR105" t="s">
        <v>195</v>
      </c>
      <c r="AS105" t="s">
        <v>196</v>
      </c>
      <c r="AT105" s="2">
        <v>0</v>
      </c>
      <c r="AV105" t="s">
        <v>197</v>
      </c>
      <c r="AW105" t="s">
        <v>198</v>
      </c>
      <c r="AX105">
        <v>393</v>
      </c>
      <c r="AY105">
        <v>0</v>
      </c>
      <c r="AZ105" t="s">
        <v>199</v>
      </c>
      <c r="BA105">
        <v>120.8546</v>
      </c>
      <c r="BB105">
        <f t="shared" si="1"/>
        <v>36.759940833333339</v>
      </c>
      <c r="BD105">
        <v>0</v>
      </c>
      <c r="BE105" t="s">
        <v>201</v>
      </c>
      <c r="BF105">
        <v>0</v>
      </c>
      <c r="BG105" t="s">
        <v>202</v>
      </c>
      <c r="BH105">
        <v>1</v>
      </c>
      <c r="BI105" t="s">
        <v>203</v>
      </c>
      <c r="BJ105">
        <v>27.255700000000001</v>
      </c>
      <c r="BK105" t="s">
        <v>204</v>
      </c>
      <c r="BL105">
        <v>519.40009999999995</v>
      </c>
      <c r="BM105" s="3">
        <v>14156.634599999999</v>
      </c>
      <c r="FE105" s="1">
        <v>46309</v>
      </c>
      <c r="FF105">
        <v>0</v>
      </c>
      <c r="FG105" t="s">
        <v>200</v>
      </c>
      <c r="FH105" t="s">
        <v>213</v>
      </c>
      <c r="FI105">
        <v>110</v>
      </c>
      <c r="FJ105" t="s">
        <v>191</v>
      </c>
      <c r="FK105" t="s">
        <v>206</v>
      </c>
      <c r="FL105" t="s">
        <v>191</v>
      </c>
      <c r="FM105">
        <v>393</v>
      </c>
      <c r="FN105" t="s">
        <v>214</v>
      </c>
    </row>
    <row r="106" spans="1:170" x14ac:dyDescent="0.25">
      <c r="A106" t="s">
        <v>170</v>
      </c>
      <c r="B106">
        <v>1</v>
      </c>
      <c r="C106" t="s">
        <v>171</v>
      </c>
      <c r="F106" s="1">
        <v>46478</v>
      </c>
      <c r="G106" s="1">
        <v>47208</v>
      </c>
      <c r="I106" t="s">
        <v>172</v>
      </c>
      <c r="J106" t="s">
        <v>173</v>
      </c>
      <c r="K106" t="s">
        <v>174</v>
      </c>
      <c r="L106">
        <v>3674687</v>
      </c>
      <c r="M106" t="s">
        <v>175</v>
      </c>
      <c r="N106" t="s">
        <v>176</v>
      </c>
      <c r="P106" t="s">
        <v>177</v>
      </c>
      <c r="R106" t="s">
        <v>178</v>
      </c>
      <c r="S106" t="s">
        <v>179</v>
      </c>
      <c r="T106" t="s">
        <v>180</v>
      </c>
      <c r="U106" t="s">
        <v>181</v>
      </c>
      <c r="V106" t="s">
        <v>182</v>
      </c>
      <c r="X106" t="s">
        <v>183</v>
      </c>
      <c r="Y106" t="s">
        <v>488</v>
      </c>
      <c r="Z106" t="s">
        <v>219</v>
      </c>
      <c r="AB106" t="s">
        <v>481</v>
      </c>
      <c r="AD106" t="s">
        <v>489</v>
      </c>
      <c r="AF106" t="s">
        <v>187</v>
      </c>
      <c r="AG106" t="s">
        <v>188</v>
      </c>
      <c r="AH106" t="s">
        <v>189</v>
      </c>
      <c r="AI106">
        <v>21</v>
      </c>
      <c r="AJ106" t="s">
        <v>490</v>
      </c>
      <c r="AK106" s="4">
        <v>2200014388418</v>
      </c>
      <c r="AL106" t="s">
        <v>191</v>
      </c>
      <c r="AM106" t="s">
        <v>192</v>
      </c>
      <c r="AN106">
        <v>3</v>
      </c>
      <c r="AO106">
        <v>801</v>
      </c>
      <c r="AP106" t="s">
        <v>193</v>
      </c>
      <c r="AQ106" t="s">
        <v>194</v>
      </c>
      <c r="AR106" t="s">
        <v>195</v>
      </c>
      <c r="AS106" t="s">
        <v>196</v>
      </c>
      <c r="AT106" s="2">
        <v>0</v>
      </c>
      <c r="AV106" t="s">
        <v>197</v>
      </c>
      <c r="AW106" t="s">
        <v>198</v>
      </c>
      <c r="AX106">
        <v>393</v>
      </c>
      <c r="AY106">
        <v>0</v>
      </c>
      <c r="AZ106" t="s">
        <v>199</v>
      </c>
      <c r="BA106">
        <v>187.62649999999999</v>
      </c>
      <c r="BB106">
        <f t="shared" si="1"/>
        <v>57.069727083333333</v>
      </c>
      <c r="BD106">
        <v>0</v>
      </c>
      <c r="BE106" t="s">
        <v>201</v>
      </c>
      <c r="BF106">
        <v>0</v>
      </c>
      <c r="BG106" t="s">
        <v>202</v>
      </c>
      <c r="BH106">
        <v>1</v>
      </c>
      <c r="BI106" t="s">
        <v>203</v>
      </c>
      <c r="BJ106">
        <v>27.283300000000001</v>
      </c>
      <c r="BK106" t="s">
        <v>204</v>
      </c>
      <c r="BL106" s="3">
        <v>25105.8</v>
      </c>
      <c r="BM106" s="3">
        <v>684969.69530000002</v>
      </c>
      <c r="FE106" s="1">
        <v>46309</v>
      </c>
      <c r="FF106">
        <v>0</v>
      </c>
      <c r="FG106" t="s">
        <v>200</v>
      </c>
      <c r="FH106" t="s">
        <v>213</v>
      </c>
      <c r="FI106" t="s">
        <v>193</v>
      </c>
      <c r="FJ106" t="s">
        <v>191</v>
      </c>
      <c r="FK106" t="s">
        <v>206</v>
      </c>
      <c r="FL106" t="s">
        <v>191</v>
      </c>
      <c r="FM106">
        <v>393</v>
      </c>
      <c r="FN106" t="s">
        <v>207</v>
      </c>
    </row>
    <row r="107" spans="1:170" x14ac:dyDescent="0.25">
      <c r="A107" t="s">
        <v>170</v>
      </c>
      <c r="B107">
        <v>1</v>
      </c>
      <c r="C107" t="s">
        <v>171</v>
      </c>
      <c r="F107" s="1">
        <v>46478</v>
      </c>
      <c r="G107" s="1">
        <v>47208</v>
      </c>
      <c r="I107" t="s">
        <v>172</v>
      </c>
      <c r="J107" t="s">
        <v>173</v>
      </c>
      <c r="K107" t="s">
        <v>174</v>
      </c>
      <c r="L107">
        <v>3674687</v>
      </c>
      <c r="M107" t="s">
        <v>175</v>
      </c>
      <c r="N107" t="s">
        <v>176</v>
      </c>
      <c r="P107" t="s">
        <v>177</v>
      </c>
      <c r="R107" t="s">
        <v>178</v>
      </c>
      <c r="S107" t="s">
        <v>179</v>
      </c>
      <c r="T107" t="s">
        <v>180</v>
      </c>
      <c r="U107" t="s">
        <v>181</v>
      </c>
      <c r="V107" t="s">
        <v>182</v>
      </c>
      <c r="X107" t="s">
        <v>183</v>
      </c>
      <c r="Y107" t="s">
        <v>491</v>
      </c>
      <c r="Z107" t="s">
        <v>492</v>
      </c>
      <c r="AB107" t="s">
        <v>257</v>
      </c>
      <c r="AD107" t="s">
        <v>493</v>
      </c>
      <c r="AF107" t="s">
        <v>187</v>
      </c>
      <c r="AG107" t="s">
        <v>494</v>
      </c>
      <c r="AH107" t="s">
        <v>189</v>
      </c>
      <c r="AI107">
        <v>21</v>
      </c>
      <c r="AJ107" t="s">
        <v>495</v>
      </c>
      <c r="AK107" s="4">
        <v>2200030139998</v>
      </c>
      <c r="AL107" t="s">
        <v>191</v>
      </c>
      <c r="AM107" t="s">
        <v>192</v>
      </c>
      <c r="AN107">
        <v>7</v>
      </c>
      <c r="AO107">
        <v>804</v>
      </c>
      <c r="AP107" t="s">
        <v>496</v>
      </c>
      <c r="AQ107" t="s">
        <v>194</v>
      </c>
      <c r="AR107" t="s">
        <v>497</v>
      </c>
      <c r="AS107" t="s">
        <v>196</v>
      </c>
      <c r="AT107" s="2">
        <v>0</v>
      </c>
      <c r="AV107" t="s">
        <v>197</v>
      </c>
      <c r="AW107" t="s">
        <v>198</v>
      </c>
      <c r="AX107">
        <v>154</v>
      </c>
      <c r="AY107">
        <v>0</v>
      </c>
      <c r="AZ107" t="s">
        <v>199</v>
      </c>
      <c r="BA107">
        <v>704.42539999999997</v>
      </c>
      <c r="BB107">
        <f t="shared" si="1"/>
        <v>214.26272583333332</v>
      </c>
      <c r="BD107">
        <v>0</v>
      </c>
      <c r="BE107" t="s">
        <v>201</v>
      </c>
      <c r="BF107">
        <v>0</v>
      </c>
      <c r="BG107" t="s">
        <v>202</v>
      </c>
      <c r="BH107">
        <v>2</v>
      </c>
      <c r="BI107" t="s">
        <v>241</v>
      </c>
      <c r="BJ107">
        <v>28.780999999999999</v>
      </c>
      <c r="BK107" t="s">
        <v>204</v>
      </c>
      <c r="BL107" s="3">
        <v>343507.18520000001</v>
      </c>
      <c r="BM107" s="3">
        <v>9886490.4703000002</v>
      </c>
      <c r="BN107" t="s">
        <v>242</v>
      </c>
      <c r="BO107">
        <v>20.7942</v>
      </c>
      <c r="BP107" t="s">
        <v>204</v>
      </c>
      <c r="BQ107" s="3">
        <v>166760.01490000001</v>
      </c>
      <c r="BR107" s="3">
        <v>3467639.8086000001</v>
      </c>
      <c r="FE107" s="1">
        <v>46309</v>
      </c>
      <c r="FF107">
        <v>0</v>
      </c>
      <c r="FG107" t="s">
        <v>200</v>
      </c>
      <c r="FH107" t="s">
        <v>213</v>
      </c>
      <c r="FI107" t="s">
        <v>496</v>
      </c>
      <c r="FJ107" t="s">
        <v>191</v>
      </c>
      <c r="FK107" t="s">
        <v>206</v>
      </c>
      <c r="FL107" t="s">
        <v>191</v>
      </c>
      <c r="FM107">
        <v>154</v>
      </c>
      <c r="FN107" t="s">
        <v>461</v>
      </c>
    </row>
    <row r="108" spans="1:170" x14ac:dyDescent="0.25">
      <c r="A108" t="s">
        <v>170</v>
      </c>
      <c r="B108">
        <v>1</v>
      </c>
      <c r="C108" t="s">
        <v>171</v>
      </c>
      <c r="F108" s="1">
        <v>46478</v>
      </c>
      <c r="G108" s="1">
        <v>47208</v>
      </c>
      <c r="I108" t="s">
        <v>172</v>
      </c>
      <c r="J108" t="s">
        <v>173</v>
      </c>
      <c r="K108" t="s">
        <v>174</v>
      </c>
      <c r="L108">
        <v>3674687</v>
      </c>
      <c r="M108" t="s">
        <v>175</v>
      </c>
      <c r="N108" t="s">
        <v>176</v>
      </c>
      <c r="P108" t="s">
        <v>177</v>
      </c>
      <c r="R108" t="s">
        <v>178</v>
      </c>
      <c r="S108" t="s">
        <v>179</v>
      </c>
      <c r="T108" t="s">
        <v>180</v>
      </c>
      <c r="U108" t="s">
        <v>181</v>
      </c>
      <c r="V108" t="s">
        <v>182</v>
      </c>
      <c r="X108" t="s">
        <v>183</v>
      </c>
      <c r="Y108" t="s">
        <v>498</v>
      </c>
      <c r="AB108" t="s">
        <v>176</v>
      </c>
      <c r="AD108" t="s">
        <v>296</v>
      </c>
      <c r="AF108" t="s">
        <v>187</v>
      </c>
      <c r="AG108" t="s">
        <v>188</v>
      </c>
      <c r="AH108" t="s">
        <v>189</v>
      </c>
      <c r="AI108">
        <v>21</v>
      </c>
      <c r="AJ108" t="s">
        <v>499</v>
      </c>
      <c r="AK108" s="4">
        <v>2200031096040</v>
      </c>
      <c r="AL108" t="s">
        <v>191</v>
      </c>
      <c r="AM108" t="s">
        <v>192</v>
      </c>
      <c r="AN108">
        <v>3</v>
      </c>
      <c r="AO108">
        <v>801</v>
      </c>
      <c r="AP108">
        <v>110</v>
      </c>
      <c r="AQ108" t="s">
        <v>194</v>
      </c>
      <c r="AR108" t="s">
        <v>195</v>
      </c>
      <c r="AS108" t="s">
        <v>196</v>
      </c>
      <c r="AT108" s="2">
        <v>0</v>
      </c>
      <c r="AV108" t="s">
        <v>197</v>
      </c>
      <c r="AW108" t="s">
        <v>198</v>
      </c>
      <c r="AX108">
        <v>393</v>
      </c>
      <c r="AY108">
        <v>0</v>
      </c>
      <c r="AZ108" t="s">
        <v>199</v>
      </c>
      <c r="BA108">
        <v>120.79859999999999</v>
      </c>
      <c r="BB108">
        <f t="shared" si="1"/>
        <v>36.742907499999994</v>
      </c>
      <c r="BD108">
        <v>0</v>
      </c>
      <c r="BE108" t="s">
        <v>201</v>
      </c>
      <c r="BF108">
        <v>0</v>
      </c>
      <c r="BG108" t="s">
        <v>202</v>
      </c>
      <c r="BH108">
        <v>1</v>
      </c>
      <c r="BI108" t="s">
        <v>203</v>
      </c>
      <c r="BJ108">
        <v>27.255700000000001</v>
      </c>
      <c r="BK108" t="s">
        <v>204</v>
      </c>
      <c r="BL108">
        <v>105.6</v>
      </c>
      <c r="BM108" s="3">
        <v>2878.2058000000002</v>
      </c>
      <c r="FE108" s="1">
        <v>46309</v>
      </c>
      <c r="FF108">
        <v>0</v>
      </c>
      <c r="FG108" t="s">
        <v>200</v>
      </c>
      <c r="FH108" t="s">
        <v>205</v>
      </c>
      <c r="FI108">
        <v>110</v>
      </c>
      <c r="FJ108" t="s">
        <v>191</v>
      </c>
      <c r="FK108" t="s">
        <v>206</v>
      </c>
      <c r="FL108" t="s">
        <v>191</v>
      </c>
      <c r="FM108">
        <v>393</v>
      </c>
      <c r="FN108" t="s">
        <v>214</v>
      </c>
    </row>
    <row r="109" spans="1:170" x14ac:dyDescent="0.25">
      <c r="A109" t="s">
        <v>170</v>
      </c>
      <c r="B109">
        <v>1</v>
      </c>
      <c r="C109" t="s">
        <v>171</v>
      </c>
      <c r="F109" s="1">
        <v>46478</v>
      </c>
      <c r="G109" s="1">
        <v>47208</v>
      </c>
      <c r="I109" t="s">
        <v>172</v>
      </c>
      <c r="J109" t="s">
        <v>173</v>
      </c>
      <c r="K109" t="s">
        <v>174</v>
      </c>
      <c r="L109">
        <v>3674687</v>
      </c>
      <c r="M109" t="s">
        <v>175</v>
      </c>
      <c r="N109" t="s">
        <v>176</v>
      </c>
      <c r="P109" t="s">
        <v>177</v>
      </c>
      <c r="R109" t="s">
        <v>178</v>
      </c>
      <c r="S109" t="s">
        <v>179</v>
      </c>
      <c r="T109" t="s">
        <v>180</v>
      </c>
      <c r="U109" t="s">
        <v>181</v>
      </c>
      <c r="V109" t="s">
        <v>182</v>
      </c>
      <c r="X109" t="s">
        <v>183</v>
      </c>
      <c r="Y109" t="s">
        <v>500</v>
      </c>
      <c r="AB109" t="s">
        <v>176</v>
      </c>
      <c r="AD109" t="s">
        <v>296</v>
      </c>
      <c r="AF109" t="s">
        <v>187</v>
      </c>
      <c r="AG109" t="s">
        <v>188</v>
      </c>
      <c r="AH109" t="s">
        <v>189</v>
      </c>
      <c r="AI109">
        <v>21</v>
      </c>
      <c r="AJ109" t="s">
        <v>501</v>
      </c>
      <c r="AK109" s="4">
        <v>2200031096059</v>
      </c>
      <c r="AL109" t="s">
        <v>191</v>
      </c>
      <c r="AM109" t="s">
        <v>192</v>
      </c>
      <c r="AN109">
        <v>3</v>
      </c>
      <c r="AO109">
        <v>801</v>
      </c>
      <c r="AP109">
        <v>110</v>
      </c>
      <c r="AQ109" t="s">
        <v>194</v>
      </c>
      <c r="AR109" t="s">
        <v>195</v>
      </c>
      <c r="AS109" t="s">
        <v>196</v>
      </c>
      <c r="AT109" s="2">
        <v>0</v>
      </c>
      <c r="AV109" t="s">
        <v>197</v>
      </c>
      <c r="AW109" t="s">
        <v>198</v>
      </c>
      <c r="AX109">
        <v>393</v>
      </c>
      <c r="AY109">
        <v>0</v>
      </c>
      <c r="AZ109" t="s">
        <v>199</v>
      </c>
      <c r="BA109">
        <v>120.8372</v>
      </c>
      <c r="BB109">
        <f t="shared" si="1"/>
        <v>36.754648333333336</v>
      </c>
      <c r="BD109">
        <v>0</v>
      </c>
      <c r="BE109" t="s">
        <v>201</v>
      </c>
      <c r="BF109">
        <v>0</v>
      </c>
      <c r="BG109" t="s">
        <v>202</v>
      </c>
      <c r="BH109">
        <v>1</v>
      </c>
      <c r="BI109" t="s">
        <v>203</v>
      </c>
      <c r="BJ109">
        <v>27.312000000000001</v>
      </c>
      <c r="BK109" t="s">
        <v>204</v>
      </c>
      <c r="BL109" s="3">
        <v>1329.4</v>
      </c>
      <c r="BM109" s="3">
        <v>36308.604599999999</v>
      </c>
      <c r="FE109" s="1">
        <v>46309</v>
      </c>
      <c r="FF109">
        <v>0</v>
      </c>
      <c r="FG109" t="s">
        <v>200</v>
      </c>
      <c r="FH109" t="s">
        <v>205</v>
      </c>
      <c r="FI109">
        <v>110</v>
      </c>
      <c r="FJ109" t="s">
        <v>191</v>
      </c>
      <c r="FK109" t="s">
        <v>206</v>
      </c>
      <c r="FL109" t="s">
        <v>191</v>
      </c>
      <c r="FM109">
        <v>393</v>
      </c>
      <c r="FN109" t="s">
        <v>214</v>
      </c>
    </row>
    <row r="110" spans="1:170" x14ac:dyDescent="0.25">
      <c r="A110" t="s">
        <v>170</v>
      </c>
      <c r="B110">
        <v>1</v>
      </c>
      <c r="C110" t="s">
        <v>171</v>
      </c>
      <c r="F110" s="1">
        <v>46478</v>
      </c>
      <c r="G110" s="1">
        <v>47208</v>
      </c>
      <c r="I110" t="s">
        <v>172</v>
      </c>
      <c r="J110" t="s">
        <v>173</v>
      </c>
      <c r="K110" t="s">
        <v>174</v>
      </c>
      <c r="L110">
        <v>3674687</v>
      </c>
      <c r="M110" t="s">
        <v>175</v>
      </c>
      <c r="N110" t="s">
        <v>176</v>
      </c>
      <c r="P110" t="s">
        <v>177</v>
      </c>
      <c r="R110" t="s">
        <v>178</v>
      </c>
      <c r="S110" t="s">
        <v>179</v>
      </c>
      <c r="T110" t="s">
        <v>180</v>
      </c>
      <c r="U110" t="s">
        <v>181</v>
      </c>
      <c r="V110" t="s">
        <v>182</v>
      </c>
      <c r="X110" t="s">
        <v>183</v>
      </c>
      <c r="Y110" t="s">
        <v>502</v>
      </c>
      <c r="AB110" t="s">
        <v>176</v>
      </c>
      <c r="AD110" t="s">
        <v>296</v>
      </c>
      <c r="AF110" t="s">
        <v>187</v>
      </c>
      <c r="AG110" t="s">
        <v>188</v>
      </c>
      <c r="AH110" t="s">
        <v>189</v>
      </c>
      <c r="AI110">
        <v>21</v>
      </c>
      <c r="AJ110" t="s">
        <v>503</v>
      </c>
      <c r="AK110" s="4">
        <v>2200031096068</v>
      </c>
      <c r="AL110" t="s">
        <v>191</v>
      </c>
      <c r="AM110" t="s">
        <v>192</v>
      </c>
      <c r="AN110">
        <v>3</v>
      </c>
      <c r="AO110">
        <v>801</v>
      </c>
      <c r="AP110">
        <v>110</v>
      </c>
      <c r="AQ110" t="s">
        <v>194</v>
      </c>
      <c r="AR110" t="s">
        <v>195</v>
      </c>
      <c r="AS110" t="s">
        <v>196</v>
      </c>
      <c r="AT110" s="2">
        <v>0</v>
      </c>
      <c r="AV110" t="s">
        <v>197</v>
      </c>
      <c r="AW110" t="s">
        <v>198</v>
      </c>
      <c r="AX110">
        <v>393</v>
      </c>
      <c r="AY110">
        <v>0</v>
      </c>
      <c r="AZ110" t="s">
        <v>199</v>
      </c>
      <c r="BA110">
        <v>120.79640000000001</v>
      </c>
      <c r="BB110">
        <f t="shared" si="1"/>
        <v>36.742238333333333</v>
      </c>
      <c r="BD110">
        <v>0</v>
      </c>
      <c r="BE110" t="s">
        <v>201</v>
      </c>
      <c r="BF110">
        <v>0</v>
      </c>
      <c r="BG110" t="s">
        <v>202</v>
      </c>
      <c r="BH110">
        <v>1</v>
      </c>
      <c r="BI110" t="s">
        <v>203</v>
      </c>
      <c r="BJ110">
        <v>27.255800000000001</v>
      </c>
      <c r="BK110" t="s">
        <v>204</v>
      </c>
      <c r="BL110">
        <v>86.2</v>
      </c>
      <c r="BM110" s="3">
        <v>2349.4457000000002</v>
      </c>
      <c r="FE110" s="1">
        <v>46309</v>
      </c>
      <c r="FF110">
        <v>0</v>
      </c>
      <c r="FG110" t="s">
        <v>200</v>
      </c>
      <c r="FH110" t="s">
        <v>205</v>
      </c>
      <c r="FI110">
        <v>110</v>
      </c>
      <c r="FJ110" t="s">
        <v>191</v>
      </c>
      <c r="FK110" t="s">
        <v>206</v>
      </c>
      <c r="FL110" t="s">
        <v>191</v>
      </c>
      <c r="FM110">
        <v>393</v>
      </c>
      <c r="FN110" t="s">
        <v>214</v>
      </c>
    </row>
    <row r="111" spans="1:170" x14ac:dyDescent="0.25">
      <c r="A111" t="s">
        <v>170</v>
      </c>
      <c r="B111">
        <v>1</v>
      </c>
      <c r="C111" t="s">
        <v>171</v>
      </c>
      <c r="F111" s="1">
        <v>46478</v>
      </c>
      <c r="G111" s="1">
        <v>47208</v>
      </c>
      <c r="I111" t="s">
        <v>172</v>
      </c>
      <c r="J111" t="s">
        <v>173</v>
      </c>
      <c r="K111" t="s">
        <v>174</v>
      </c>
      <c r="L111">
        <v>3674687</v>
      </c>
      <c r="M111" t="s">
        <v>175</v>
      </c>
      <c r="N111" t="s">
        <v>176</v>
      </c>
      <c r="P111" t="s">
        <v>177</v>
      </c>
      <c r="R111" t="s">
        <v>178</v>
      </c>
      <c r="S111" t="s">
        <v>179</v>
      </c>
      <c r="T111" t="s">
        <v>180</v>
      </c>
      <c r="U111" t="s">
        <v>181</v>
      </c>
      <c r="V111" t="s">
        <v>182</v>
      </c>
      <c r="X111" t="s">
        <v>183</v>
      </c>
      <c r="Y111" t="s">
        <v>504</v>
      </c>
      <c r="AB111" t="s">
        <v>176</v>
      </c>
      <c r="AD111" t="s">
        <v>296</v>
      </c>
      <c r="AF111" t="s">
        <v>187</v>
      </c>
      <c r="AG111" t="s">
        <v>188</v>
      </c>
      <c r="AH111" t="s">
        <v>189</v>
      </c>
      <c r="AI111">
        <v>21</v>
      </c>
      <c r="AJ111" t="s">
        <v>505</v>
      </c>
      <c r="AK111" s="4">
        <v>2200031096077</v>
      </c>
      <c r="AL111" t="s">
        <v>191</v>
      </c>
      <c r="AM111" t="s">
        <v>192</v>
      </c>
      <c r="AN111">
        <v>3</v>
      </c>
      <c r="AO111">
        <v>801</v>
      </c>
      <c r="AP111">
        <v>110</v>
      </c>
      <c r="AQ111" t="s">
        <v>194</v>
      </c>
      <c r="AR111" t="s">
        <v>195</v>
      </c>
      <c r="AS111" t="s">
        <v>196</v>
      </c>
      <c r="AT111" s="2">
        <v>0</v>
      </c>
      <c r="AV111" t="s">
        <v>197</v>
      </c>
      <c r="AW111" t="s">
        <v>198</v>
      </c>
      <c r="AX111">
        <v>393</v>
      </c>
      <c r="AY111">
        <v>0</v>
      </c>
      <c r="AZ111" t="s">
        <v>199</v>
      </c>
      <c r="BA111">
        <v>120.79770000000001</v>
      </c>
      <c r="BB111">
        <f t="shared" si="1"/>
        <v>36.742633750000003</v>
      </c>
      <c r="BD111">
        <v>0</v>
      </c>
      <c r="BE111" t="s">
        <v>201</v>
      </c>
      <c r="BF111">
        <v>0</v>
      </c>
      <c r="BG111" t="s">
        <v>202</v>
      </c>
      <c r="BH111">
        <v>1</v>
      </c>
      <c r="BI111" t="s">
        <v>203</v>
      </c>
      <c r="BJ111">
        <v>27.255700000000001</v>
      </c>
      <c r="BK111" t="s">
        <v>204</v>
      </c>
      <c r="BL111">
        <v>98</v>
      </c>
      <c r="BM111" s="3">
        <v>2671.0617000000002</v>
      </c>
      <c r="FE111" s="1">
        <v>46309</v>
      </c>
      <c r="FF111">
        <v>0</v>
      </c>
      <c r="FG111" t="s">
        <v>200</v>
      </c>
      <c r="FH111" t="s">
        <v>205</v>
      </c>
      <c r="FI111">
        <v>110</v>
      </c>
      <c r="FJ111" t="s">
        <v>191</v>
      </c>
      <c r="FK111" t="s">
        <v>206</v>
      </c>
      <c r="FL111" t="s">
        <v>191</v>
      </c>
      <c r="FM111">
        <v>393</v>
      </c>
      <c r="FN111" t="s">
        <v>214</v>
      </c>
    </row>
    <row r="112" spans="1:170" x14ac:dyDescent="0.25">
      <c r="A112" t="s">
        <v>170</v>
      </c>
      <c r="B112">
        <v>1</v>
      </c>
      <c r="C112" t="s">
        <v>171</v>
      </c>
      <c r="F112" s="1">
        <v>46478</v>
      </c>
      <c r="G112" s="1">
        <v>47208</v>
      </c>
      <c r="I112" t="s">
        <v>172</v>
      </c>
      <c r="J112" t="s">
        <v>173</v>
      </c>
      <c r="K112" t="s">
        <v>174</v>
      </c>
      <c r="L112">
        <v>3674687</v>
      </c>
      <c r="M112" t="s">
        <v>175</v>
      </c>
      <c r="N112" t="s">
        <v>176</v>
      </c>
      <c r="P112" t="s">
        <v>177</v>
      </c>
      <c r="R112" t="s">
        <v>178</v>
      </c>
      <c r="S112" t="s">
        <v>179</v>
      </c>
      <c r="T112" t="s">
        <v>180</v>
      </c>
      <c r="U112" t="s">
        <v>181</v>
      </c>
      <c r="V112" t="s">
        <v>182</v>
      </c>
      <c r="X112" t="s">
        <v>183</v>
      </c>
      <c r="Y112" t="s">
        <v>506</v>
      </c>
      <c r="AB112" t="s">
        <v>176</v>
      </c>
      <c r="AD112" t="s">
        <v>475</v>
      </c>
      <c r="AF112" t="s">
        <v>187</v>
      </c>
      <c r="AG112" t="s">
        <v>188</v>
      </c>
      <c r="AH112" t="s">
        <v>189</v>
      </c>
      <c r="AI112">
        <v>21</v>
      </c>
      <c r="AJ112" t="s">
        <v>507</v>
      </c>
      <c r="AK112" s="4">
        <v>2200031096086</v>
      </c>
      <c r="AL112" t="s">
        <v>191</v>
      </c>
      <c r="AM112" t="s">
        <v>192</v>
      </c>
      <c r="AN112">
        <v>3</v>
      </c>
      <c r="AO112">
        <v>801</v>
      </c>
      <c r="AP112">
        <v>110</v>
      </c>
      <c r="AQ112" t="s">
        <v>194</v>
      </c>
      <c r="AR112" t="s">
        <v>195</v>
      </c>
      <c r="AS112" t="s">
        <v>196</v>
      </c>
      <c r="AT112" s="2">
        <v>0</v>
      </c>
      <c r="AV112" t="s">
        <v>197</v>
      </c>
      <c r="AW112" t="s">
        <v>198</v>
      </c>
      <c r="AX112">
        <v>393</v>
      </c>
      <c r="AY112">
        <v>0</v>
      </c>
      <c r="AZ112" t="s">
        <v>199</v>
      </c>
      <c r="BA112">
        <v>120.79559999999999</v>
      </c>
      <c r="BB112">
        <f t="shared" si="1"/>
        <v>36.741995000000003</v>
      </c>
      <c r="BD112">
        <v>0</v>
      </c>
      <c r="BE112" t="s">
        <v>201</v>
      </c>
      <c r="BF112">
        <v>0</v>
      </c>
      <c r="BG112" t="s">
        <v>202</v>
      </c>
      <c r="BH112">
        <v>1</v>
      </c>
      <c r="BI112" t="s">
        <v>203</v>
      </c>
      <c r="BJ112">
        <v>27.255700000000001</v>
      </c>
      <c r="BK112" t="s">
        <v>204</v>
      </c>
      <c r="BL112">
        <v>80</v>
      </c>
      <c r="BM112" s="3">
        <v>2180.4585000000002</v>
      </c>
      <c r="FE112" s="1">
        <v>46309</v>
      </c>
      <c r="FF112">
        <v>0</v>
      </c>
      <c r="FG112" t="s">
        <v>200</v>
      </c>
      <c r="FH112" t="s">
        <v>205</v>
      </c>
      <c r="FI112">
        <v>110</v>
      </c>
      <c r="FJ112" t="s">
        <v>191</v>
      </c>
      <c r="FK112" t="s">
        <v>206</v>
      </c>
      <c r="FL112" t="s">
        <v>191</v>
      </c>
      <c r="FM112">
        <v>393</v>
      </c>
      <c r="FN112" t="s">
        <v>214</v>
      </c>
    </row>
    <row r="113" spans="1:170" x14ac:dyDescent="0.25">
      <c r="A113" t="s">
        <v>170</v>
      </c>
      <c r="B113">
        <v>1</v>
      </c>
      <c r="C113" t="s">
        <v>171</v>
      </c>
      <c r="F113" s="1">
        <v>46478</v>
      </c>
      <c r="G113" s="1">
        <v>47208</v>
      </c>
      <c r="I113" t="s">
        <v>172</v>
      </c>
      <c r="J113" t="s">
        <v>173</v>
      </c>
      <c r="K113" t="s">
        <v>174</v>
      </c>
      <c r="L113">
        <v>3674687</v>
      </c>
      <c r="M113" t="s">
        <v>175</v>
      </c>
      <c r="N113" t="s">
        <v>176</v>
      </c>
      <c r="P113" t="s">
        <v>177</v>
      </c>
      <c r="R113" t="s">
        <v>178</v>
      </c>
      <c r="S113" t="s">
        <v>179</v>
      </c>
      <c r="T113" t="s">
        <v>180</v>
      </c>
      <c r="U113" t="s">
        <v>181</v>
      </c>
      <c r="V113" t="s">
        <v>182</v>
      </c>
      <c r="X113" t="s">
        <v>183</v>
      </c>
      <c r="Y113" t="s">
        <v>508</v>
      </c>
      <c r="AB113" t="s">
        <v>176</v>
      </c>
      <c r="AD113" t="s">
        <v>296</v>
      </c>
      <c r="AF113" t="s">
        <v>187</v>
      </c>
      <c r="AG113" t="s">
        <v>188</v>
      </c>
      <c r="AH113" t="s">
        <v>189</v>
      </c>
      <c r="AI113">
        <v>21</v>
      </c>
      <c r="AJ113" t="s">
        <v>509</v>
      </c>
      <c r="AK113" s="4">
        <v>2200031096095</v>
      </c>
      <c r="AL113" t="s">
        <v>191</v>
      </c>
      <c r="AM113" t="s">
        <v>192</v>
      </c>
      <c r="AN113">
        <v>3</v>
      </c>
      <c r="AO113">
        <v>801</v>
      </c>
      <c r="AP113">
        <v>110</v>
      </c>
      <c r="AQ113" t="s">
        <v>194</v>
      </c>
      <c r="AR113" t="s">
        <v>195</v>
      </c>
      <c r="AS113" t="s">
        <v>196</v>
      </c>
      <c r="AT113" s="2">
        <v>0</v>
      </c>
      <c r="AV113" t="s">
        <v>197</v>
      </c>
      <c r="AW113" t="s">
        <v>198</v>
      </c>
      <c r="AX113">
        <v>393</v>
      </c>
      <c r="AY113">
        <v>0</v>
      </c>
      <c r="AZ113" t="s">
        <v>199</v>
      </c>
      <c r="BA113">
        <v>120.8058</v>
      </c>
      <c r="BB113">
        <f t="shared" si="1"/>
        <v>36.7450975</v>
      </c>
      <c r="BD113">
        <v>0</v>
      </c>
      <c r="BE113" t="s">
        <v>201</v>
      </c>
      <c r="BF113">
        <v>0</v>
      </c>
      <c r="BG113" t="s">
        <v>202</v>
      </c>
      <c r="BH113">
        <v>1</v>
      </c>
      <c r="BI113" t="s">
        <v>203</v>
      </c>
      <c r="BJ113">
        <v>27.255700000000001</v>
      </c>
      <c r="BK113" t="s">
        <v>204</v>
      </c>
      <c r="BL113">
        <v>168.6</v>
      </c>
      <c r="BM113" s="3">
        <v>4595.3166000000001</v>
      </c>
      <c r="FE113" s="1">
        <v>46309</v>
      </c>
      <c r="FF113">
        <v>0</v>
      </c>
      <c r="FG113" t="s">
        <v>200</v>
      </c>
      <c r="FH113" t="s">
        <v>205</v>
      </c>
      <c r="FI113">
        <v>110</v>
      </c>
      <c r="FJ113" t="s">
        <v>191</v>
      </c>
      <c r="FK113" t="s">
        <v>206</v>
      </c>
      <c r="FL113" t="s">
        <v>191</v>
      </c>
      <c r="FM113">
        <v>393</v>
      </c>
      <c r="FN113" t="s">
        <v>214</v>
      </c>
    </row>
    <row r="114" spans="1:170" x14ac:dyDescent="0.25">
      <c r="A114" t="s">
        <v>170</v>
      </c>
      <c r="B114">
        <v>1</v>
      </c>
      <c r="C114" t="s">
        <v>171</v>
      </c>
      <c r="F114" s="1">
        <v>46478</v>
      </c>
      <c r="G114" s="1">
        <v>47208</v>
      </c>
      <c r="I114" t="s">
        <v>172</v>
      </c>
      <c r="J114" t="s">
        <v>173</v>
      </c>
      <c r="K114" t="s">
        <v>174</v>
      </c>
      <c r="L114">
        <v>3674687</v>
      </c>
      <c r="M114" t="s">
        <v>175</v>
      </c>
      <c r="N114" t="s">
        <v>176</v>
      </c>
      <c r="P114" t="s">
        <v>177</v>
      </c>
      <c r="R114" t="s">
        <v>178</v>
      </c>
      <c r="S114" t="s">
        <v>179</v>
      </c>
      <c r="T114" t="s">
        <v>180</v>
      </c>
      <c r="U114" t="s">
        <v>181</v>
      </c>
      <c r="V114" t="s">
        <v>182</v>
      </c>
      <c r="X114" t="s">
        <v>183</v>
      </c>
      <c r="Y114" t="s">
        <v>510</v>
      </c>
      <c r="AB114" t="s">
        <v>176</v>
      </c>
      <c r="AD114" t="s">
        <v>296</v>
      </c>
      <c r="AF114" t="s">
        <v>187</v>
      </c>
      <c r="AG114" t="s">
        <v>188</v>
      </c>
      <c r="AH114" t="s">
        <v>189</v>
      </c>
      <c r="AI114">
        <v>21</v>
      </c>
      <c r="AJ114" t="s">
        <v>511</v>
      </c>
      <c r="AK114" s="4">
        <v>2200031098906</v>
      </c>
      <c r="AL114" t="s">
        <v>191</v>
      </c>
      <c r="AM114" t="s">
        <v>192</v>
      </c>
      <c r="AN114">
        <v>3</v>
      </c>
      <c r="AO114">
        <v>801</v>
      </c>
      <c r="AP114">
        <v>110</v>
      </c>
      <c r="AQ114" t="s">
        <v>194</v>
      </c>
      <c r="AR114" t="s">
        <v>195</v>
      </c>
      <c r="AS114" t="s">
        <v>196</v>
      </c>
      <c r="AT114" s="2">
        <v>0</v>
      </c>
      <c r="AV114" t="s">
        <v>197</v>
      </c>
      <c r="AW114" t="s">
        <v>198</v>
      </c>
      <c r="AX114">
        <v>393</v>
      </c>
      <c r="AY114">
        <v>0</v>
      </c>
      <c r="AZ114" t="s">
        <v>199</v>
      </c>
      <c r="BA114">
        <v>120.8313</v>
      </c>
      <c r="BB114">
        <f t="shared" si="1"/>
        <v>36.75285375</v>
      </c>
      <c r="BD114">
        <v>0</v>
      </c>
      <c r="BE114" t="s">
        <v>201</v>
      </c>
      <c r="BF114">
        <v>0</v>
      </c>
      <c r="BG114" t="s">
        <v>202</v>
      </c>
      <c r="BH114">
        <v>1</v>
      </c>
      <c r="BI114" t="s">
        <v>203</v>
      </c>
      <c r="BJ114">
        <v>27.255700000000001</v>
      </c>
      <c r="BK114" t="s">
        <v>204</v>
      </c>
      <c r="BL114">
        <v>389.8</v>
      </c>
      <c r="BM114" s="3">
        <v>10624.289500000001</v>
      </c>
      <c r="FE114" s="1">
        <v>46309</v>
      </c>
      <c r="FF114">
        <v>0</v>
      </c>
      <c r="FG114" t="s">
        <v>200</v>
      </c>
      <c r="FH114" t="s">
        <v>205</v>
      </c>
      <c r="FI114">
        <v>110</v>
      </c>
      <c r="FJ114" t="s">
        <v>191</v>
      </c>
      <c r="FK114" t="s">
        <v>206</v>
      </c>
      <c r="FL114" t="s">
        <v>191</v>
      </c>
      <c r="FM114">
        <v>393</v>
      </c>
      <c r="FN114" t="s">
        <v>214</v>
      </c>
    </row>
    <row r="115" spans="1:170" x14ac:dyDescent="0.25">
      <c r="A115" t="s">
        <v>170</v>
      </c>
      <c r="B115">
        <v>1</v>
      </c>
      <c r="C115" t="s">
        <v>171</v>
      </c>
      <c r="F115" s="1">
        <v>46478</v>
      </c>
      <c r="G115" s="1">
        <v>47208</v>
      </c>
      <c r="I115" t="s">
        <v>172</v>
      </c>
      <c r="J115" t="s">
        <v>173</v>
      </c>
      <c r="K115" t="s">
        <v>174</v>
      </c>
      <c r="L115">
        <v>3674687</v>
      </c>
      <c r="M115" t="s">
        <v>175</v>
      </c>
      <c r="N115" t="s">
        <v>176</v>
      </c>
      <c r="P115" t="s">
        <v>177</v>
      </c>
      <c r="R115" t="s">
        <v>178</v>
      </c>
      <c r="S115" t="s">
        <v>179</v>
      </c>
      <c r="T115" t="s">
        <v>180</v>
      </c>
      <c r="U115" t="s">
        <v>181</v>
      </c>
      <c r="V115" t="s">
        <v>182</v>
      </c>
      <c r="X115" t="s">
        <v>183</v>
      </c>
      <c r="Y115" t="s">
        <v>512</v>
      </c>
      <c r="AB115" t="s">
        <v>176</v>
      </c>
      <c r="AD115" t="s">
        <v>296</v>
      </c>
      <c r="AF115" t="s">
        <v>187</v>
      </c>
      <c r="AG115" t="s">
        <v>188</v>
      </c>
      <c r="AH115" t="s">
        <v>189</v>
      </c>
      <c r="AI115">
        <v>21</v>
      </c>
      <c r="AJ115" t="s">
        <v>513</v>
      </c>
      <c r="AK115" s="4">
        <v>2200031098970</v>
      </c>
      <c r="AL115" t="s">
        <v>191</v>
      </c>
      <c r="AM115" t="s">
        <v>192</v>
      </c>
      <c r="AN115">
        <v>3</v>
      </c>
      <c r="AO115">
        <v>801</v>
      </c>
      <c r="AP115">
        <v>110</v>
      </c>
      <c r="AQ115" t="s">
        <v>194</v>
      </c>
      <c r="AR115" t="s">
        <v>195</v>
      </c>
      <c r="AS115" t="s">
        <v>196</v>
      </c>
      <c r="AT115" s="2">
        <v>0</v>
      </c>
      <c r="AV115" t="s">
        <v>197</v>
      </c>
      <c r="AW115" t="s">
        <v>198</v>
      </c>
      <c r="AX115">
        <v>393</v>
      </c>
      <c r="AY115">
        <v>0</v>
      </c>
      <c r="AZ115" t="s">
        <v>199</v>
      </c>
      <c r="BA115">
        <v>120.8447</v>
      </c>
      <c r="BB115">
        <f t="shared" si="1"/>
        <v>36.756929583333338</v>
      </c>
      <c r="BD115">
        <v>0</v>
      </c>
      <c r="BE115" t="s">
        <v>201</v>
      </c>
      <c r="BF115">
        <v>0</v>
      </c>
      <c r="BG115" t="s">
        <v>202</v>
      </c>
      <c r="BH115">
        <v>1</v>
      </c>
      <c r="BI115" t="s">
        <v>203</v>
      </c>
      <c r="BJ115">
        <v>27.31</v>
      </c>
      <c r="BK115" t="s">
        <v>204</v>
      </c>
      <c r="BL115" s="3">
        <v>1420.8000999999999</v>
      </c>
      <c r="BM115" s="3">
        <v>38801.991699999999</v>
      </c>
      <c r="FE115" s="1">
        <v>46309</v>
      </c>
      <c r="FF115">
        <v>0</v>
      </c>
      <c r="FG115" t="s">
        <v>200</v>
      </c>
      <c r="FH115" t="s">
        <v>205</v>
      </c>
      <c r="FI115">
        <v>110</v>
      </c>
      <c r="FJ115" t="s">
        <v>191</v>
      </c>
      <c r="FK115" t="s">
        <v>206</v>
      </c>
      <c r="FL115" t="s">
        <v>191</v>
      </c>
      <c r="FM115">
        <v>393</v>
      </c>
      <c r="FN115" t="s">
        <v>214</v>
      </c>
    </row>
    <row r="116" spans="1:170" x14ac:dyDescent="0.25">
      <c r="A116" t="s">
        <v>170</v>
      </c>
      <c r="B116">
        <v>1</v>
      </c>
      <c r="C116" t="s">
        <v>171</v>
      </c>
      <c r="F116" s="1">
        <v>46478</v>
      </c>
      <c r="G116" s="1">
        <v>47208</v>
      </c>
      <c r="I116" t="s">
        <v>172</v>
      </c>
      <c r="J116" t="s">
        <v>173</v>
      </c>
      <c r="K116" t="s">
        <v>174</v>
      </c>
      <c r="L116">
        <v>3674687</v>
      </c>
      <c r="M116" t="s">
        <v>175</v>
      </c>
      <c r="N116" t="s">
        <v>176</v>
      </c>
      <c r="P116" t="s">
        <v>177</v>
      </c>
      <c r="R116" t="s">
        <v>178</v>
      </c>
      <c r="S116" t="s">
        <v>179</v>
      </c>
      <c r="T116" t="s">
        <v>180</v>
      </c>
      <c r="U116" t="s">
        <v>181</v>
      </c>
      <c r="V116" t="s">
        <v>182</v>
      </c>
      <c r="X116" t="s">
        <v>183</v>
      </c>
      <c r="Y116" t="s">
        <v>514</v>
      </c>
      <c r="AB116" t="s">
        <v>176</v>
      </c>
      <c r="AD116" t="s">
        <v>296</v>
      </c>
      <c r="AF116" t="s">
        <v>187</v>
      </c>
      <c r="AG116" t="s">
        <v>188</v>
      </c>
      <c r="AH116" t="s">
        <v>189</v>
      </c>
      <c r="AI116">
        <v>21</v>
      </c>
      <c r="AJ116" t="s">
        <v>515</v>
      </c>
      <c r="AK116" s="4">
        <v>2200031099004</v>
      </c>
      <c r="AL116" t="s">
        <v>191</v>
      </c>
      <c r="AM116" t="s">
        <v>192</v>
      </c>
      <c r="AN116">
        <v>3</v>
      </c>
      <c r="AO116">
        <v>801</v>
      </c>
      <c r="AP116">
        <v>110</v>
      </c>
      <c r="AQ116" t="s">
        <v>194</v>
      </c>
      <c r="AR116" t="s">
        <v>195</v>
      </c>
      <c r="AS116" t="s">
        <v>196</v>
      </c>
      <c r="AT116" s="2">
        <v>0</v>
      </c>
      <c r="AV116" t="s">
        <v>197</v>
      </c>
      <c r="AW116" t="s">
        <v>198</v>
      </c>
      <c r="AX116">
        <v>393</v>
      </c>
      <c r="AY116">
        <v>0</v>
      </c>
      <c r="AZ116" t="s">
        <v>199</v>
      </c>
      <c r="BA116">
        <v>120.78879999999999</v>
      </c>
      <c r="BB116">
        <f t="shared" si="1"/>
        <v>36.739926666666662</v>
      </c>
      <c r="BD116">
        <v>0</v>
      </c>
      <c r="BE116" t="s">
        <v>201</v>
      </c>
      <c r="BF116">
        <v>0</v>
      </c>
      <c r="BG116" t="s">
        <v>202</v>
      </c>
      <c r="BH116">
        <v>1</v>
      </c>
      <c r="BI116" t="s">
        <v>203</v>
      </c>
      <c r="BJ116">
        <v>27.337599999999998</v>
      </c>
      <c r="BK116" t="s">
        <v>204</v>
      </c>
      <c r="BL116">
        <v>739.4</v>
      </c>
      <c r="BM116" s="3">
        <v>20213.428</v>
      </c>
      <c r="FE116" s="1">
        <v>46309</v>
      </c>
      <c r="FF116">
        <v>0</v>
      </c>
      <c r="FG116" t="s">
        <v>200</v>
      </c>
      <c r="FH116" t="s">
        <v>205</v>
      </c>
      <c r="FI116">
        <v>110</v>
      </c>
      <c r="FJ116" t="s">
        <v>191</v>
      </c>
      <c r="FK116" t="s">
        <v>206</v>
      </c>
      <c r="FL116" t="s">
        <v>191</v>
      </c>
      <c r="FM116">
        <v>393</v>
      </c>
      <c r="FN116" t="s">
        <v>214</v>
      </c>
    </row>
    <row r="117" spans="1:170" x14ac:dyDescent="0.25">
      <c r="A117" t="s">
        <v>170</v>
      </c>
      <c r="B117">
        <v>1</v>
      </c>
      <c r="C117" t="s">
        <v>171</v>
      </c>
      <c r="F117" s="1">
        <v>46478</v>
      </c>
      <c r="G117" s="1">
        <v>47208</v>
      </c>
      <c r="I117" t="s">
        <v>172</v>
      </c>
      <c r="J117" t="s">
        <v>173</v>
      </c>
      <c r="K117" t="s">
        <v>174</v>
      </c>
      <c r="L117">
        <v>3674687</v>
      </c>
      <c r="M117" t="s">
        <v>175</v>
      </c>
      <c r="N117" t="s">
        <v>176</v>
      </c>
      <c r="P117" t="s">
        <v>177</v>
      </c>
      <c r="R117" t="s">
        <v>178</v>
      </c>
      <c r="S117" t="s">
        <v>179</v>
      </c>
      <c r="T117" t="s">
        <v>180</v>
      </c>
      <c r="U117" t="s">
        <v>181</v>
      </c>
      <c r="V117" t="s">
        <v>182</v>
      </c>
      <c r="X117" t="s">
        <v>183</v>
      </c>
      <c r="Y117" t="s">
        <v>516</v>
      </c>
      <c r="AB117" t="s">
        <v>176</v>
      </c>
      <c r="AD117" t="s">
        <v>296</v>
      </c>
      <c r="AF117" t="s">
        <v>187</v>
      </c>
      <c r="AG117" t="s">
        <v>188</v>
      </c>
      <c r="AH117" t="s">
        <v>189</v>
      </c>
      <c r="AI117">
        <v>21</v>
      </c>
      <c r="AJ117" t="s">
        <v>517</v>
      </c>
      <c r="AK117" s="4">
        <v>2200031099101</v>
      </c>
      <c r="AL117" t="s">
        <v>191</v>
      </c>
      <c r="AM117" t="s">
        <v>192</v>
      </c>
      <c r="AN117">
        <v>3</v>
      </c>
      <c r="AO117">
        <v>801</v>
      </c>
      <c r="AP117">
        <v>110</v>
      </c>
      <c r="AQ117" t="s">
        <v>194</v>
      </c>
      <c r="AR117" t="s">
        <v>195</v>
      </c>
      <c r="AS117" t="s">
        <v>196</v>
      </c>
      <c r="AT117" s="2">
        <v>0</v>
      </c>
      <c r="AV117" t="s">
        <v>197</v>
      </c>
      <c r="AW117" t="s">
        <v>198</v>
      </c>
      <c r="AX117">
        <v>393</v>
      </c>
      <c r="AY117">
        <v>0</v>
      </c>
      <c r="AZ117" t="s">
        <v>199</v>
      </c>
      <c r="BA117">
        <v>120.8154</v>
      </c>
      <c r="BB117">
        <f t="shared" si="1"/>
        <v>36.748017499999996</v>
      </c>
      <c r="BD117">
        <v>0</v>
      </c>
      <c r="BE117" t="s">
        <v>201</v>
      </c>
      <c r="BF117">
        <v>0</v>
      </c>
      <c r="BG117" t="s">
        <v>202</v>
      </c>
      <c r="BH117">
        <v>1</v>
      </c>
      <c r="BI117" t="s">
        <v>203</v>
      </c>
      <c r="BJ117">
        <v>27.255700000000001</v>
      </c>
      <c r="BK117" t="s">
        <v>204</v>
      </c>
      <c r="BL117">
        <v>251.6</v>
      </c>
      <c r="BM117" s="3">
        <v>6857.5445</v>
      </c>
      <c r="FE117" s="1">
        <v>46309</v>
      </c>
      <c r="FF117">
        <v>0</v>
      </c>
      <c r="FG117" t="s">
        <v>200</v>
      </c>
      <c r="FH117" t="s">
        <v>205</v>
      </c>
      <c r="FI117">
        <v>110</v>
      </c>
      <c r="FJ117" t="s">
        <v>191</v>
      </c>
      <c r="FK117" t="s">
        <v>206</v>
      </c>
      <c r="FL117" t="s">
        <v>191</v>
      </c>
      <c r="FM117">
        <v>393</v>
      </c>
      <c r="FN117" t="s">
        <v>214</v>
      </c>
    </row>
    <row r="118" spans="1:170" x14ac:dyDescent="0.25">
      <c r="A118" t="s">
        <v>170</v>
      </c>
      <c r="B118">
        <v>1</v>
      </c>
      <c r="C118" t="s">
        <v>171</v>
      </c>
      <c r="F118" s="1">
        <v>46478</v>
      </c>
      <c r="G118" s="1">
        <v>47208</v>
      </c>
      <c r="I118" t="s">
        <v>172</v>
      </c>
      <c r="J118" t="s">
        <v>173</v>
      </c>
      <c r="K118" t="s">
        <v>174</v>
      </c>
      <c r="L118">
        <v>3674687</v>
      </c>
      <c r="M118" t="s">
        <v>175</v>
      </c>
      <c r="N118" t="s">
        <v>176</v>
      </c>
      <c r="P118" t="s">
        <v>177</v>
      </c>
      <c r="R118" t="s">
        <v>178</v>
      </c>
      <c r="S118" t="s">
        <v>179</v>
      </c>
      <c r="T118" t="s">
        <v>180</v>
      </c>
      <c r="U118" t="s">
        <v>181</v>
      </c>
      <c r="V118" t="s">
        <v>182</v>
      </c>
      <c r="X118" t="s">
        <v>183</v>
      </c>
      <c r="Y118" t="s">
        <v>518</v>
      </c>
      <c r="AB118" t="s">
        <v>176</v>
      </c>
      <c r="AD118" t="s">
        <v>296</v>
      </c>
      <c r="AF118" t="s">
        <v>187</v>
      </c>
      <c r="AG118" t="s">
        <v>188</v>
      </c>
      <c r="AH118" t="s">
        <v>189</v>
      </c>
      <c r="AI118">
        <v>21</v>
      </c>
      <c r="AJ118" t="s">
        <v>519</v>
      </c>
      <c r="AK118" s="4">
        <v>2200031099120</v>
      </c>
      <c r="AL118" t="s">
        <v>191</v>
      </c>
      <c r="AM118" t="s">
        <v>192</v>
      </c>
      <c r="AN118">
        <v>3</v>
      </c>
      <c r="AO118">
        <v>801</v>
      </c>
      <c r="AP118">
        <v>110</v>
      </c>
      <c r="AQ118" t="s">
        <v>194</v>
      </c>
      <c r="AR118" t="s">
        <v>195</v>
      </c>
      <c r="AS118" t="s">
        <v>196</v>
      </c>
      <c r="AT118" s="2">
        <v>0</v>
      </c>
      <c r="AV118" t="s">
        <v>197</v>
      </c>
      <c r="AW118" t="s">
        <v>198</v>
      </c>
      <c r="AX118">
        <v>393</v>
      </c>
      <c r="AY118">
        <v>0</v>
      </c>
      <c r="AZ118" t="s">
        <v>199</v>
      </c>
      <c r="BA118">
        <v>120.9481</v>
      </c>
      <c r="BB118">
        <f t="shared" si="1"/>
        <v>36.788380416666662</v>
      </c>
      <c r="BD118">
        <v>0</v>
      </c>
      <c r="BE118" t="s">
        <v>201</v>
      </c>
      <c r="BF118">
        <v>0</v>
      </c>
      <c r="BG118" t="s">
        <v>202</v>
      </c>
      <c r="BH118">
        <v>1</v>
      </c>
      <c r="BI118" t="s">
        <v>203</v>
      </c>
      <c r="BJ118">
        <v>27.2959</v>
      </c>
      <c r="BK118" t="s">
        <v>204</v>
      </c>
      <c r="BL118" s="3">
        <v>2679.7999</v>
      </c>
      <c r="BM118" s="3">
        <v>73147.4565</v>
      </c>
      <c r="FE118" s="1">
        <v>46309</v>
      </c>
      <c r="FF118">
        <v>0</v>
      </c>
      <c r="FG118" t="s">
        <v>200</v>
      </c>
      <c r="FH118" t="s">
        <v>205</v>
      </c>
      <c r="FI118">
        <v>110</v>
      </c>
      <c r="FJ118" t="s">
        <v>191</v>
      </c>
      <c r="FK118" t="s">
        <v>206</v>
      </c>
      <c r="FL118" t="s">
        <v>191</v>
      </c>
      <c r="FM118">
        <v>393</v>
      </c>
      <c r="FN118" t="s">
        <v>214</v>
      </c>
    </row>
    <row r="119" spans="1:170" x14ac:dyDescent="0.25">
      <c r="A119" t="s">
        <v>170</v>
      </c>
      <c r="B119">
        <v>1</v>
      </c>
      <c r="C119" t="s">
        <v>171</v>
      </c>
      <c r="F119" s="1">
        <v>46478</v>
      </c>
      <c r="G119" s="1">
        <v>47208</v>
      </c>
      <c r="I119" t="s">
        <v>172</v>
      </c>
      <c r="J119" t="s">
        <v>173</v>
      </c>
      <c r="K119" t="s">
        <v>174</v>
      </c>
      <c r="L119">
        <v>3674687</v>
      </c>
      <c r="M119" t="s">
        <v>175</v>
      </c>
      <c r="N119" t="s">
        <v>176</v>
      </c>
      <c r="P119" t="s">
        <v>177</v>
      </c>
      <c r="R119" t="s">
        <v>178</v>
      </c>
      <c r="S119" t="s">
        <v>179</v>
      </c>
      <c r="T119" t="s">
        <v>180</v>
      </c>
      <c r="U119" t="s">
        <v>181</v>
      </c>
      <c r="V119" t="s">
        <v>182</v>
      </c>
      <c r="X119" t="s">
        <v>183</v>
      </c>
      <c r="Y119" t="s">
        <v>506</v>
      </c>
      <c r="AB119" t="s">
        <v>176</v>
      </c>
      <c r="AD119" t="s">
        <v>475</v>
      </c>
      <c r="AF119" t="s">
        <v>187</v>
      </c>
      <c r="AG119" t="s">
        <v>188</v>
      </c>
      <c r="AH119" t="s">
        <v>189</v>
      </c>
      <c r="AI119">
        <v>21</v>
      </c>
      <c r="AJ119" t="s">
        <v>520</v>
      </c>
      <c r="AK119" s="4">
        <v>2200031099148</v>
      </c>
      <c r="AL119" t="s">
        <v>191</v>
      </c>
      <c r="AM119" t="s">
        <v>192</v>
      </c>
      <c r="AN119">
        <v>3</v>
      </c>
      <c r="AO119">
        <v>801</v>
      </c>
      <c r="AP119">
        <v>110</v>
      </c>
      <c r="AQ119" t="s">
        <v>194</v>
      </c>
      <c r="AR119" t="s">
        <v>195</v>
      </c>
      <c r="AS119" t="s">
        <v>196</v>
      </c>
      <c r="AT119" s="2">
        <v>0</v>
      </c>
      <c r="AV119" t="s">
        <v>197</v>
      </c>
      <c r="AW119" t="s">
        <v>198</v>
      </c>
      <c r="AX119">
        <v>393</v>
      </c>
      <c r="AY119">
        <v>0</v>
      </c>
      <c r="AZ119" t="s">
        <v>199</v>
      </c>
      <c r="BA119">
        <v>120.8292</v>
      </c>
      <c r="BB119">
        <f t="shared" si="1"/>
        <v>36.752215</v>
      </c>
      <c r="BD119">
        <v>0</v>
      </c>
      <c r="BE119" t="s">
        <v>201</v>
      </c>
      <c r="BF119">
        <v>0</v>
      </c>
      <c r="BG119" t="s">
        <v>202</v>
      </c>
      <c r="BH119">
        <v>1</v>
      </c>
      <c r="BI119" t="s">
        <v>203</v>
      </c>
      <c r="BJ119">
        <v>27.314599999999999</v>
      </c>
      <c r="BK119" t="s">
        <v>204</v>
      </c>
      <c r="BL119" s="3">
        <v>1232.2</v>
      </c>
      <c r="BM119" s="3">
        <v>33656.991000000002</v>
      </c>
      <c r="FE119" s="1">
        <v>46309</v>
      </c>
      <c r="FF119">
        <v>0</v>
      </c>
      <c r="FG119" t="s">
        <v>200</v>
      </c>
      <c r="FH119" t="s">
        <v>205</v>
      </c>
      <c r="FI119">
        <v>110</v>
      </c>
      <c r="FJ119" t="s">
        <v>191</v>
      </c>
      <c r="FK119" t="s">
        <v>206</v>
      </c>
      <c r="FL119" t="s">
        <v>191</v>
      </c>
      <c r="FM119">
        <v>393</v>
      </c>
      <c r="FN119" t="s">
        <v>214</v>
      </c>
    </row>
    <row r="120" spans="1:170" x14ac:dyDescent="0.25">
      <c r="A120" t="s">
        <v>170</v>
      </c>
      <c r="B120">
        <v>1</v>
      </c>
      <c r="C120" t="s">
        <v>171</v>
      </c>
      <c r="F120" s="1">
        <v>46478</v>
      </c>
      <c r="G120" s="1">
        <v>47208</v>
      </c>
      <c r="I120" t="s">
        <v>172</v>
      </c>
      <c r="J120" t="s">
        <v>173</v>
      </c>
      <c r="K120" t="s">
        <v>174</v>
      </c>
      <c r="L120">
        <v>3674687</v>
      </c>
      <c r="M120" t="s">
        <v>175</v>
      </c>
      <c r="N120" t="s">
        <v>176</v>
      </c>
      <c r="P120" t="s">
        <v>177</v>
      </c>
      <c r="R120" t="s">
        <v>178</v>
      </c>
      <c r="S120" t="s">
        <v>179</v>
      </c>
      <c r="T120" t="s">
        <v>180</v>
      </c>
      <c r="U120" t="s">
        <v>181</v>
      </c>
      <c r="V120" t="s">
        <v>182</v>
      </c>
      <c r="X120" t="s">
        <v>183</v>
      </c>
      <c r="Y120" t="s">
        <v>521</v>
      </c>
      <c r="Z120" t="s">
        <v>522</v>
      </c>
      <c r="AB120" t="s">
        <v>257</v>
      </c>
      <c r="AD120" t="s">
        <v>523</v>
      </c>
      <c r="AF120" t="s">
        <v>187</v>
      </c>
      <c r="AG120" t="s">
        <v>188</v>
      </c>
      <c r="AH120" t="s">
        <v>189</v>
      </c>
      <c r="AI120">
        <v>21</v>
      </c>
      <c r="AJ120" t="s">
        <v>524</v>
      </c>
      <c r="AK120" s="4">
        <v>2200031613938</v>
      </c>
      <c r="AL120" t="s">
        <v>191</v>
      </c>
      <c r="AM120" t="s">
        <v>212</v>
      </c>
      <c r="AN120">
        <v>3</v>
      </c>
      <c r="AO120">
        <v>801</v>
      </c>
      <c r="AP120">
        <v>110</v>
      </c>
      <c r="AQ120" t="s">
        <v>194</v>
      </c>
      <c r="AR120" t="s">
        <v>195</v>
      </c>
      <c r="AS120" t="s">
        <v>196</v>
      </c>
      <c r="AT120" s="2">
        <v>0</v>
      </c>
      <c r="AV120" t="s">
        <v>197</v>
      </c>
      <c r="AW120" t="s">
        <v>198</v>
      </c>
      <c r="AX120">
        <v>393</v>
      </c>
      <c r="AY120">
        <v>0</v>
      </c>
      <c r="AZ120" t="s">
        <v>199</v>
      </c>
      <c r="BA120">
        <v>120.795</v>
      </c>
      <c r="BB120">
        <f t="shared" si="1"/>
        <v>36.741812500000002</v>
      </c>
      <c r="BD120">
        <v>0</v>
      </c>
      <c r="BE120" t="s">
        <v>201</v>
      </c>
      <c r="BF120">
        <v>0</v>
      </c>
      <c r="BG120" t="s">
        <v>202</v>
      </c>
      <c r="BH120">
        <v>1</v>
      </c>
      <c r="BI120" t="s">
        <v>203</v>
      </c>
      <c r="BJ120">
        <v>27.256900000000002</v>
      </c>
      <c r="BK120" t="s">
        <v>204</v>
      </c>
      <c r="BL120">
        <v>2</v>
      </c>
      <c r="BM120">
        <v>54.512700000000002</v>
      </c>
      <c r="FE120" s="1">
        <v>46309</v>
      </c>
      <c r="FF120">
        <v>0</v>
      </c>
      <c r="FG120" t="s">
        <v>200</v>
      </c>
      <c r="FH120" t="s">
        <v>213</v>
      </c>
      <c r="FI120">
        <v>110</v>
      </c>
      <c r="FJ120" t="s">
        <v>191</v>
      </c>
      <c r="FK120" t="s">
        <v>206</v>
      </c>
      <c r="FL120" t="s">
        <v>191</v>
      </c>
      <c r="FM120">
        <v>393</v>
      </c>
      <c r="FN120" t="s">
        <v>214</v>
      </c>
    </row>
    <row r="121" spans="1:170" x14ac:dyDescent="0.25">
      <c r="A121" t="s">
        <v>170</v>
      </c>
      <c r="B121">
        <v>1</v>
      </c>
      <c r="C121" t="s">
        <v>171</v>
      </c>
      <c r="F121" s="1">
        <v>46478</v>
      </c>
      <c r="G121" s="1">
        <v>47208</v>
      </c>
      <c r="I121" t="s">
        <v>172</v>
      </c>
      <c r="J121" t="s">
        <v>173</v>
      </c>
      <c r="K121" t="s">
        <v>174</v>
      </c>
      <c r="L121">
        <v>3674687</v>
      </c>
      <c r="M121" t="s">
        <v>175</v>
      </c>
      <c r="N121" t="s">
        <v>176</v>
      </c>
      <c r="P121" t="s">
        <v>177</v>
      </c>
      <c r="R121" t="s">
        <v>178</v>
      </c>
      <c r="S121" t="s">
        <v>179</v>
      </c>
      <c r="T121" t="s">
        <v>180</v>
      </c>
      <c r="U121" t="s">
        <v>181</v>
      </c>
      <c r="V121" t="s">
        <v>182</v>
      </c>
      <c r="X121" t="s">
        <v>183</v>
      </c>
      <c r="Y121" t="s">
        <v>525</v>
      </c>
      <c r="Z121" t="s">
        <v>219</v>
      </c>
      <c r="AB121" t="s">
        <v>176</v>
      </c>
      <c r="AD121" t="s">
        <v>526</v>
      </c>
      <c r="AF121" t="s">
        <v>187</v>
      </c>
      <c r="AG121" t="s">
        <v>188</v>
      </c>
      <c r="AH121" t="s">
        <v>189</v>
      </c>
      <c r="AI121">
        <v>21</v>
      </c>
      <c r="AJ121" t="s">
        <v>527</v>
      </c>
      <c r="AK121" s="4">
        <v>2200040362384</v>
      </c>
      <c r="AL121" t="s">
        <v>191</v>
      </c>
      <c r="AM121" t="s">
        <v>192</v>
      </c>
      <c r="AN121">
        <v>3</v>
      </c>
      <c r="AO121">
        <v>801</v>
      </c>
      <c r="AP121">
        <v>110</v>
      </c>
      <c r="AQ121" t="s">
        <v>194</v>
      </c>
      <c r="AR121" t="s">
        <v>195</v>
      </c>
      <c r="AS121" t="s">
        <v>196</v>
      </c>
      <c r="AT121" s="2">
        <v>0</v>
      </c>
      <c r="AV121" t="s">
        <v>197</v>
      </c>
      <c r="AW121" t="s">
        <v>198</v>
      </c>
      <c r="AX121">
        <v>393</v>
      </c>
      <c r="AY121">
        <v>0</v>
      </c>
      <c r="AZ121" t="s">
        <v>199</v>
      </c>
      <c r="BA121">
        <v>120.7869</v>
      </c>
      <c r="BB121">
        <f t="shared" si="1"/>
        <v>36.739348750000005</v>
      </c>
      <c r="BD121">
        <v>0</v>
      </c>
      <c r="BE121" t="s">
        <v>201</v>
      </c>
      <c r="BF121">
        <v>0</v>
      </c>
      <c r="BG121" t="s">
        <v>202</v>
      </c>
      <c r="BH121">
        <v>1</v>
      </c>
      <c r="BI121" t="s">
        <v>203</v>
      </c>
      <c r="BJ121">
        <v>27.255500000000001</v>
      </c>
      <c r="BK121" t="s">
        <v>204</v>
      </c>
      <c r="BL121">
        <v>4.4001000000000001</v>
      </c>
      <c r="BM121">
        <v>119.9258</v>
      </c>
      <c r="FE121" s="1">
        <v>46309</v>
      </c>
      <c r="FF121">
        <v>0</v>
      </c>
      <c r="FG121" t="s">
        <v>200</v>
      </c>
      <c r="FH121" t="s">
        <v>205</v>
      </c>
      <c r="FI121">
        <v>110</v>
      </c>
      <c r="FJ121" t="s">
        <v>191</v>
      </c>
      <c r="FK121" t="s">
        <v>206</v>
      </c>
      <c r="FL121" t="s">
        <v>191</v>
      </c>
      <c r="FM121">
        <v>393</v>
      </c>
      <c r="FN121" t="s">
        <v>214</v>
      </c>
    </row>
    <row r="122" spans="1:170" x14ac:dyDescent="0.25">
      <c r="A122" t="s">
        <v>170</v>
      </c>
      <c r="B122">
        <v>1</v>
      </c>
      <c r="C122" t="s">
        <v>171</v>
      </c>
      <c r="F122" s="1">
        <v>46478</v>
      </c>
      <c r="G122" s="1">
        <v>47208</v>
      </c>
      <c r="I122" t="s">
        <v>172</v>
      </c>
      <c r="J122" t="s">
        <v>173</v>
      </c>
      <c r="K122" t="s">
        <v>174</v>
      </c>
      <c r="L122">
        <v>3674687</v>
      </c>
      <c r="M122" t="s">
        <v>175</v>
      </c>
      <c r="N122" t="s">
        <v>176</v>
      </c>
      <c r="P122" t="s">
        <v>177</v>
      </c>
      <c r="R122" t="s">
        <v>178</v>
      </c>
      <c r="S122" t="s">
        <v>179</v>
      </c>
      <c r="T122" t="s">
        <v>180</v>
      </c>
      <c r="U122" t="s">
        <v>181</v>
      </c>
      <c r="V122" t="s">
        <v>182</v>
      </c>
      <c r="X122" t="s">
        <v>183</v>
      </c>
      <c r="Y122" t="s">
        <v>528</v>
      </c>
      <c r="Z122" t="s">
        <v>222</v>
      </c>
      <c r="AB122" t="s">
        <v>176</v>
      </c>
      <c r="AD122" t="s">
        <v>223</v>
      </c>
      <c r="AF122" t="s">
        <v>187</v>
      </c>
      <c r="AG122" t="s">
        <v>188</v>
      </c>
      <c r="AH122" t="s">
        <v>189</v>
      </c>
      <c r="AI122">
        <v>21</v>
      </c>
      <c r="AJ122" t="s">
        <v>529</v>
      </c>
      <c r="AK122" s="4">
        <v>2200040362393</v>
      </c>
      <c r="AL122" t="s">
        <v>191</v>
      </c>
      <c r="AM122" t="s">
        <v>192</v>
      </c>
      <c r="AN122">
        <v>3</v>
      </c>
      <c r="AO122">
        <v>801</v>
      </c>
      <c r="AP122">
        <v>110</v>
      </c>
      <c r="AQ122" t="s">
        <v>194</v>
      </c>
      <c r="AR122" t="s">
        <v>195</v>
      </c>
      <c r="AS122" t="s">
        <v>196</v>
      </c>
      <c r="AT122" s="2">
        <v>0</v>
      </c>
      <c r="AV122" t="s">
        <v>197</v>
      </c>
      <c r="AW122" t="s">
        <v>198</v>
      </c>
      <c r="AX122">
        <v>393</v>
      </c>
      <c r="AY122">
        <v>0</v>
      </c>
      <c r="AZ122" t="s">
        <v>199</v>
      </c>
      <c r="BA122">
        <v>121.09820000000001</v>
      </c>
      <c r="BB122">
        <f t="shared" si="1"/>
        <v>36.834035833333331</v>
      </c>
      <c r="BD122">
        <v>0</v>
      </c>
      <c r="BE122" t="s">
        <v>201</v>
      </c>
      <c r="BF122">
        <v>0</v>
      </c>
      <c r="BG122" t="s">
        <v>202</v>
      </c>
      <c r="BH122">
        <v>1</v>
      </c>
      <c r="BI122" t="s">
        <v>203</v>
      </c>
      <c r="BJ122">
        <v>27.289400000000001</v>
      </c>
      <c r="BK122" t="s">
        <v>204</v>
      </c>
      <c r="BL122" s="3">
        <v>4509.4000999999998</v>
      </c>
      <c r="BM122" s="3">
        <v>123058.8639</v>
      </c>
      <c r="FE122" s="1">
        <v>46309</v>
      </c>
      <c r="FF122">
        <v>0</v>
      </c>
      <c r="FG122" t="s">
        <v>200</v>
      </c>
      <c r="FH122" t="s">
        <v>205</v>
      </c>
      <c r="FI122">
        <v>110</v>
      </c>
      <c r="FJ122" t="s">
        <v>191</v>
      </c>
      <c r="FK122" t="s">
        <v>206</v>
      </c>
      <c r="FL122" t="s">
        <v>191</v>
      </c>
      <c r="FM122">
        <v>393</v>
      </c>
      <c r="FN122" t="s">
        <v>214</v>
      </c>
    </row>
    <row r="123" spans="1:170" x14ac:dyDescent="0.25">
      <c r="A123" t="s">
        <v>170</v>
      </c>
      <c r="B123">
        <v>1</v>
      </c>
      <c r="C123" t="s">
        <v>171</v>
      </c>
      <c r="F123" s="1">
        <v>46478</v>
      </c>
      <c r="G123" s="1">
        <v>47208</v>
      </c>
      <c r="I123" t="s">
        <v>172</v>
      </c>
      <c r="J123" t="s">
        <v>173</v>
      </c>
      <c r="K123" t="s">
        <v>174</v>
      </c>
      <c r="L123">
        <v>3674687</v>
      </c>
      <c r="M123" t="s">
        <v>175</v>
      </c>
      <c r="N123" t="s">
        <v>176</v>
      </c>
      <c r="P123" t="s">
        <v>177</v>
      </c>
      <c r="R123" t="s">
        <v>178</v>
      </c>
      <c r="S123" t="s">
        <v>179</v>
      </c>
      <c r="T123" t="s">
        <v>180</v>
      </c>
      <c r="U123" t="s">
        <v>181</v>
      </c>
      <c r="V123" t="s">
        <v>182</v>
      </c>
      <c r="X123" t="s">
        <v>183</v>
      </c>
      <c r="Y123" t="s">
        <v>184</v>
      </c>
      <c r="Z123" t="s">
        <v>185</v>
      </c>
      <c r="AB123" t="s">
        <v>176</v>
      </c>
      <c r="AD123" t="s">
        <v>186</v>
      </c>
      <c r="AF123" t="s">
        <v>187</v>
      </c>
      <c r="AG123" t="s">
        <v>188</v>
      </c>
      <c r="AH123" t="s">
        <v>189</v>
      </c>
      <c r="AI123">
        <v>21</v>
      </c>
      <c r="AJ123" t="s">
        <v>530</v>
      </c>
      <c r="AK123" s="4">
        <v>2200040371802</v>
      </c>
      <c r="AL123" t="s">
        <v>191</v>
      </c>
      <c r="AM123" t="s">
        <v>192</v>
      </c>
      <c r="AN123">
        <v>3</v>
      </c>
      <c r="AO123">
        <v>801</v>
      </c>
      <c r="AP123">
        <v>110</v>
      </c>
      <c r="AQ123" t="s">
        <v>194</v>
      </c>
      <c r="AR123" t="s">
        <v>195</v>
      </c>
      <c r="AS123" t="s">
        <v>196</v>
      </c>
      <c r="AT123" s="2">
        <v>0</v>
      </c>
      <c r="AV123" t="s">
        <v>197</v>
      </c>
      <c r="AW123" t="s">
        <v>198</v>
      </c>
      <c r="AX123">
        <v>393</v>
      </c>
      <c r="AY123">
        <v>0</v>
      </c>
      <c r="AZ123" t="s">
        <v>199</v>
      </c>
      <c r="BA123">
        <v>120.86790000000001</v>
      </c>
      <c r="BB123">
        <f t="shared" si="1"/>
        <v>36.763986250000002</v>
      </c>
      <c r="BD123">
        <v>0</v>
      </c>
      <c r="BE123" t="s">
        <v>201</v>
      </c>
      <c r="BF123">
        <v>0</v>
      </c>
      <c r="BG123" t="s">
        <v>202</v>
      </c>
      <c r="BH123">
        <v>1</v>
      </c>
      <c r="BI123" t="s">
        <v>203</v>
      </c>
      <c r="BJ123">
        <v>27.255700000000001</v>
      </c>
      <c r="BK123" t="s">
        <v>204</v>
      </c>
      <c r="BL123">
        <v>707.4</v>
      </c>
      <c r="BM123" s="3">
        <v>19280.713299999999</v>
      </c>
      <c r="FE123" s="1">
        <v>46309</v>
      </c>
      <c r="FF123">
        <v>0</v>
      </c>
      <c r="FG123" t="s">
        <v>200</v>
      </c>
      <c r="FH123" t="s">
        <v>205</v>
      </c>
      <c r="FI123">
        <v>110</v>
      </c>
      <c r="FJ123" t="s">
        <v>191</v>
      </c>
      <c r="FK123" t="s">
        <v>206</v>
      </c>
      <c r="FL123" t="s">
        <v>191</v>
      </c>
      <c r="FM123">
        <v>393</v>
      </c>
      <c r="FN123" t="s">
        <v>214</v>
      </c>
    </row>
    <row r="124" spans="1:170" x14ac:dyDescent="0.25">
      <c r="A124" t="s">
        <v>170</v>
      </c>
      <c r="B124">
        <v>1</v>
      </c>
      <c r="C124" t="s">
        <v>171</v>
      </c>
      <c r="F124" s="1">
        <v>46478</v>
      </c>
      <c r="G124" s="1">
        <v>47208</v>
      </c>
      <c r="I124" t="s">
        <v>172</v>
      </c>
      <c r="J124" t="s">
        <v>173</v>
      </c>
      <c r="K124" t="s">
        <v>174</v>
      </c>
      <c r="L124">
        <v>3674687</v>
      </c>
      <c r="M124" t="s">
        <v>175</v>
      </c>
      <c r="N124" t="s">
        <v>176</v>
      </c>
      <c r="P124" t="s">
        <v>177</v>
      </c>
      <c r="R124" t="s">
        <v>178</v>
      </c>
      <c r="S124" t="s">
        <v>179</v>
      </c>
      <c r="T124" t="s">
        <v>180</v>
      </c>
      <c r="U124" t="s">
        <v>181</v>
      </c>
      <c r="V124" t="s">
        <v>182</v>
      </c>
      <c r="X124" t="s">
        <v>183</v>
      </c>
      <c r="Y124" t="s">
        <v>531</v>
      </c>
      <c r="AB124" t="s">
        <v>176</v>
      </c>
      <c r="AD124" t="s">
        <v>532</v>
      </c>
      <c r="AF124" t="s">
        <v>187</v>
      </c>
      <c r="AG124" t="s">
        <v>188</v>
      </c>
      <c r="AH124" t="s">
        <v>189</v>
      </c>
      <c r="AI124">
        <v>21</v>
      </c>
      <c r="AJ124" t="s">
        <v>533</v>
      </c>
      <c r="AK124" s="4">
        <v>2200041097919</v>
      </c>
      <c r="AL124" t="s">
        <v>191</v>
      </c>
      <c r="AM124" t="s">
        <v>192</v>
      </c>
      <c r="AN124">
        <v>3</v>
      </c>
      <c r="AO124">
        <v>801</v>
      </c>
      <c r="AP124">
        <v>110</v>
      </c>
      <c r="AQ124" t="s">
        <v>194</v>
      </c>
      <c r="AR124" t="s">
        <v>195</v>
      </c>
      <c r="AS124" t="s">
        <v>196</v>
      </c>
      <c r="AT124" s="2">
        <v>0</v>
      </c>
      <c r="AV124" t="s">
        <v>197</v>
      </c>
      <c r="AW124" t="s">
        <v>198</v>
      </c>
      <c r="AX124">
        <v>393</v>
      </c>
      <c r="AY124">
        <v>0</v>
      </c>
      <c r="AZ124" t="s">
        <v>199</v>
      </c>
      <c r="BA124">
        <v>120.86750000000001</v>
      </c>
      <c r="BB124">
        <f t="shared" si="1"/>
        <v>36.763864583333337</v>
      </c>
      <c r="BD124">
        <v>0</v>
      </c>
      <c r="BE124" t="s">
        <v>201</v>
      </c>
      <c r="BF124">
        <v>0</v>
      </c>
      <c r="BG124" t="s">
        <v>202</v>
      </c>
      <c r="BH124">
        <v>1</v>
      </c>
      <c r="BI124" t="s">
        <v>203</v>
      </c>
      <c r="BJ124">
        <v>27.305099999999999</v>
      </c>
      <c r="BK124" t="s">
        <v>204</v>
      </c>
      <c r="BL124" s="3">
        <v>1698.6001000000001</v>
      </c>
      <c r="BM124" s="3">
        <v>46380.363499999999</v>
      </c>
      <c r="FE124" s="1">
        <v>46309</v>
      </c>
      <c r="FF124">
        <v>0</v>
      </c>
      <c r="FG124" t="s">
        <v>200</v>
      </c>
      <c r="FH124" t="s">
        <v>205</v>
      </c>
      <c r="FI124">
        <v>110</v>
      </c>
      <c r="FJ124" t="s">
        <v>191</v>
      </c>
      <c r="FK124" t="s">
        <v>206</v>
      </c>
      <c r="FL124" t="s">
        <v>191</v>
      </c>
      <c r="FM124">
        <v>393</v>
      </c>
      <c r="FN124" t="s">
        <v>214</v>
      </c>
    </row>
    <row r="125" spans="1:170" x14ac:dyDescent="0.25">
      <c r="A125" t="s">
        <v>170</v>
      </c>
      <c r="B125">
        <v>1</v>
      </c>
      <c r="C125" t="s">
        <v>171</v>
      </c>
      <c r="F125" s="1">
        <v>46478</v>
      </c>
      <c r="G125" s="1">
        <v>47208</v>
      </c>
      <c r="I125" t="s">
        <v>172</v>
      </c>
      <c r="J125" t="s">
        <v>173</v>
      </c>
      <c r="K125" t="s">
        <v>174</v>
      </c>
      <c r="L125">
        <v>3674687</v>
      </c>
      <c r="M125" t="s">
        <v>175</v>
      </c>
      <c r="N125" t="s">
        <v>176</v>
      </c>
      <c r="P125" t="s">
        <v>177</v>
      </c>
      <c r="R125" t="s">
        <v>178</v>
      </c>
      <c r="S125" t="s">
        <v>179</v>
      </c>
      <c r="T125" t="s">
        <v>180</v>
      </c>
      <c r="U125" t="s">
        <v>181</v>
      </c>
      <c r="V125" t="s">
        <v>182</v>
      </c>
      <c r="X125" t="s">
        <v>183</v>
      </c>
      <c r="Y125" t="s">
        <v>534</v>
      </c>
      <c r="Z125" t="s">
        <v>535</v>
      </c>
      <c r="AB125" t="s">
        <v>481</v>
      </c>
      <c r="AD125" t="s">
        <v>536</v>
      </c>
      <c r="AF125" t="s">
        <v>187</v>
      </c>
      <c r="AG125" t="s">
        <v>188</v>
      </c>
      <c r="AH125" t="s">
        <v>189</v>
      </c>
      <c r="AI125">
        <v>21</v>
      </c>
      <c r="AJ125" t="s">
        <v>537</v>
      </c>
      <c r="AK125" s="4">
        <v>2200041982992</v>
      </c>
      <c r="AL125" t="s">
        <v>191</v>
      </c>
      <c r="AM125" t="s">
        <v>212</v>
      </c>
      <c r="AN125">
        <v>3</v>
      </c>
      <c r="AO125">
        <v>801</v>
      </c>
      <c r="AP125">
        <v>110</v>
      </c>
      <c r="AQ125" t="s">
        <v>194</v>
      </c>
      <c r="AR125" t="s">
        <v>195</v>
      </c>
      <c r="AS125" t="s">
        <v>196</v>
      </c>
      <c r="AT125" s="2">
        <v>0</v>
      </c>
      <c r="AV125" t="s">
        <v>197</v>
      </c>
      <c r="AW125" t="s">
        <v>198</v>
      </c>
      <c r="AX125">
        <v>393</v>
      </c>
      <c r="AY125">
        <v>0</v>
      </c>
      <c r="AZ125" t="s">
        <v>199</v>
      </c>
      <c r="BA125">
        <v>120.9344</v>
      </c>
      <c r="BB125">
        <f t="shared" si="1"/>
        <v>36.784213333333334</v>
      </c>
      <c r="BD125">
        <v>0</v>
      </c>
      <c r="BE125" t="s">
        <v>201</v>
      </c>
      <c r="BF125">
        <v>0</v>
      </c>
      <c r="BG125" t="s">
        <v>202</v>
      </c>
      <c r="BH125">
        <v>1</v>
      </c>
      <c r="BI125" t="s">
        <v>203</v>
      </c>
      <c r="BJ125">
        <v>27.299399999999999</v>
      </c>
      <c r="BK125" t="s">
        <v>204</v>
      </c>
      <c r="BL125" s="3">
        <v>2512.8000000000002</v>
      </c>
      <c r="BM125" s="3">
        <v>68597.809399999998</v>
      </c>
      <c r="FE125" s="1">
        <v>46309</v>
      </c>
      <c r="FF125">
        <v>0</v>
      </c>
      <c r="FG125" t="s">
        <v>200</v>
      </c>
      <c r="FH125" t="s">
        <v>213</v>
      </c>
      <c r="FI125">
        <v>110</v>
      </c>
      <c r="FJ125" t="s">
        <v>191</v>
      </c>
      <c r="FK125" t="s">
        <v>206</v>
      </c>
      <c r="FL125" t="s">
        <v>191</v>
      </c>
      <c r="FM125">
        <v>393</v>
      </c>
      <c r="FN125" t="s">
        <v>214</v>
      </c>
    </row>
    <row r="126" spans="1:170" x14ac:dyDescent="0.25">
      <c r="A126" t="s">
        <v>170</v>
      </c>
      <c r="B126">
        <v>1</v>
      </c>
      <c r="C126" t="s">
        <v>171</v>
      </c>
      <c r="F126" s="1">
        <v>46478</v>
      </c>
      <c r="G126" s="1">
        <v>47208</v>
      </c>
      <c r="I126" t="s">
        <v>172</v>
      </c>
      <c r="J126" t="s">
        <v>173</v>
      </c>
      <c r="K126" t="s">
        <v>174</v>
      </c>
      <c r="L126">
        <v>3674687</v>
      </c>
      <c r="M126" t="s">
        <v>175</v>
      </c>
      <c r="N126" t="s">
        <v>176</v>
      </c>
      <c r="P126" t="s">
        <v>177</v>
      </c>
      <c r="R126" t="s">
        <v>178</v>
      </c>
      <c r="S126" t="s">
        <v>179</v>
      </c>
      <c r="T126" t="s">
        <v>180</v>
      </c>
      <c r="U126" t="s">
        <v>181</v>
      </c>
      <c r="V126" t="s">
        <v>182</v>
      </c>
      <c r="X126" t="s">
        <v>183</v>
      </c>
      <c r="Y126" t="s">
        <v>538</v>
      </c>
      <c r="Z126" t="s">
        <v>539</v>
      </c>
      <c r="AB126" t="s">
        <v>292</v>
      </c>
      <c r="AD126" t="s">
        <v>540</v>
      </c>
      <c r="AF126" t="s">
        <v>187</v>
      </c>
      <c r="AG126" t="s">
        <v>188</v>
      </c>
      <c r="AH126" t="s">
        <v>189</v>
      </c>
      <c r="AI126">
        <v>21</v>
      </c>
      <c r="AJ126" t="s">
        <v>541</v>
      </c>
      <c r="AK126" s="4">
        <v>2200042003327</v>
      </c>
      <c r="AL126" t="s">
        <v>191</v>
      </c>
      <c r="AM126" t="s">
        <v>192</v>
      </c>
      <c r="AN126">
        <v>3</v>
      </c>
      <c r="AO126">
        <v>801</v>
      </c>
      <c r="AP126" t="s">
        <v>193</v>
      </c>
      <c r="AQ126" t="s">
        <v>194</v>
      </c>
      <c r="AR126" t="s">
        <v>195</v>
      </c>
      <c r="AS126" t="s">
        <v>196</v>
      </c>
      <c r="AT126" s="2">
        <v>0</v>
      </c>
      <c r="AV126" t="s">
        <v>197</v>
      </c>
      <c r="AW126" t="s">
        <v>198</v>
      </c>
      <c r="AX126">
        <v>393</v>
      </c>
      <c r="AY126">
        <v>0</v>
      </c>
      <c r="AZ126" t="s">
        <v>199</v>
      </c>
      <c r="BA126">
        <v>185.6362</v>
      </c>
      <c r="BB126">
        <f t="shared" si="1"/>
        <v>56.46434416666667</v>
      </c>
      <c r="BD126">
        <v>0</v>
      </c>
      <c r="BE126" t="s">
        <v>201</v>
      </c>
      <c r="BF126">
        <v>0</v>
      </c>
      <c r="BG126" t="s">
        <v>202</v>
      </c>
      <c r="BH126">
        <v>1</v>
      </c>
      <c r="BI126" t="s">
        <v>203</v>
      </c>
      <c r="BJ126">
        <v>27.378699999999998</v>
      </c>
      <c r="BK126" t="s">
        <v>204</v>
      </c>
      <c r="BL126">
        <v>856.8</v>
      </c>
      <c r="BM126" s="3">
        <v>23458.032500000001</v>
      </c>
      <c r="FE126" s="1">
        <v>46309</v>
      </c>
      <c r="FF126">
        <v>0</v>
      </c>
      <c r="FG126" t="s">
        <v>200</v>
      </c>
      <c r="FH126" t="s">
        <v>213</v>
      </c>
      <c r="FI126" t="s">
        <v>193</v>
      </c>
      <c r="FJ126" t="s">
        <v>191</v>
      </c>
      <c r="FK126" t="s">
        <v>206</v>
      </c>
      <c r="FL126" t="s">
        <v>191</v>
      </c>
      <c r="FM126">
        <v>393</v>
      </c>
      <c r="FN126" t="s">
        <v>207</v>
      </c>
    </row>
    <row r="127" spans="1:170" x14ac:dyDescent="0.25">
      <c r="A127" t="s">
        <v>170</v>
      </c>
      <c r="B127">
        <v>1</v>
      </c>
      <c r="C127" t="s">
        <v>171</v>
      </c>
      <c r="F127" s="1">
        <v>46478</v>
      </c>
      <c r="G127" s="1">
        <v>47208</v>
      </c>
      <c r="I127" t="s">
        <v>172</v>
      </c>
      <c r="J127" t="s">
        <v>173</v>
      </c>
      <c r="K127" t="s">
        <v>174</v>
      </c>
      <c r="L127">
        <v>3674687</v>
      </c>
      <c r="M127" t="s">
        <v>175</v>
      </c>
      <c r="N127" t="s">
        <v>176</v>
      </c>
      <c r="P127" t="s">
        <v>177</v>
      </c>
      <c r="R127" t="s">
        <v>178</v>
      </c>
      <c r="S127" t="s">
        <v>179</v>
      </c>
      <c r="T127" t="s">
        <v>180</v>
      </c>
      <c r="U127" t="s">
        <v>181</v>
      </c>
      <c r="V127" t="s">
        <v>182</v>
      </c>
      <c r="X127" t="s">
        <v>183</v>
      </c>
      <c r="Y127" t="s">
        <v>542</v>
      </c>
      <c r="Z127" t="s">
        <v>222</v>
      </c>
      <c r="AB127" t="s">
        <v>176</v>
      </c>
      <c r="AD127" t="s">
        <v>223</v>
      </c>
      <c r="AF127" t="s">
        <v>187</v>
      </c>
      <c r="AG127" t="s">
        <v>188</v>
      </c>
      <c r="AH127" t="s">
        <v>189</v>
      </c>
      <c r="AI127">
        <v>21</v>
      </c>
      <c r="AJ127" t="s">
        <v>543</v>
      </c>
      <c r="AK127" s="4">
        <v>2200042174351</v>
      </c>
      <c r="AL127" t="s">
        <v>191</v>
      </c>
      <c r="AM127" t="s">
        <v>192</v>
      </c>
      <c r="AN127">
        <v>1</v>
      </c>
      <c r="AO127">
        <v>801</v>
      </c>
      <c r="AP127">
        <v>10</v>
      </c>
      <c r="AQ127" t="s">
        <v>194</v>
      </c>
      <c r="AR127" t="s">
        <v>195</v>
      </c>
      <c r="AS127" t="s">
        <v>196</v>
      </c>
      <c r="AT127" s="2">
        <v>0</v>
      </c>
      <c r="AV127" t="s">
        <v>197</v>
      </c>
      <c r="AW127" t="s">
        <v>198</v>
      </c>
      <c r="AX127">
        <v>393</v>
      </c>
      <c r="AY127">
        <v>0</v>
      </c>
      <c r="AZ127" t="s">
        <v>199</v>
      </c>
      <c r="BA127">
        <v>112.9149</v>
      </c>
      <c r="BB127">
        <f t="shared" si="1"/>
        <v>34.34494875</v>
      </c>
      <c r="BD127">
        <v>0</v>
      </c>
      <c r="BE127" t="s">
        <v>201</v>
      </c>
      <c r="BF127">
        <v>0</v>
      </c>
      <c r="BG127" t="s">
        <v>202</v>
      </c>
      <c r="BH127">
        <v>1</v>
      </c>
      <c r="BI127" t="s">
        <v>203</v>
      </c>
      <c r="BJ127">
        <v>28.6572</v>
      </c>
      <c r="BK127" t="s">
        <v>204</v>
      </c>
      <c r="BL127">
        <v>904.2</v>
      </c>
      <c r="BM127" s="3">
        <v>25911.853599999999</v>
      </c>
      <c r="FE127" s="1">
        <v>46309</v>
      </c>
      <c r="FF127">
        <v>0</v>
      </c>
      <c r="FG127" t="s">
        <v>200</v>
      </c>
      <c r="FH127" t="s">
        <v>205</v>
      </c>
      <c r="FI127">
        <v>10</v>
      </c>
      <c r="FJ127" t="s">
        <v>191</v>
      </c>
      <c r="FK127" t="s">
        <v>206</v>
      </c>
      <c r="FL127" t="s">
        <v>191</v>
      </c>
      <c r="FM127">
        <v>393</v>
      </c>
      <c r="FN127" t="s">
        <v>265</v>
      </c>
    </row>
    <row r="128" spans="1:170" x14ac:dyDescent="0.25">
      <c r="A128" t="s">
        <v>170</v>
      </c>
      <c r="B128">
        <v>1</v>
      </c>
      <c r="C128" t="s">
        <v>171</v>
      </c>
      <c r="F128" s="1">
        <v>46478</v>
      </c>
      <c r="G128" s="1">
        <v>47208</v>
      </c>
      <c r="I128" t="s">
        <v>172</v>
      </c>
      <c r="J128" t="s">
        <v>173</v>
      </c>
      <c r="K128" t="s">
        <v>174</v>
      </c>
      <c r="L128">
        <v>3674687</v>
      </c>
      <c r="M128" t="s">
        <v>175</v>
      </c>
      <c r="N128" t="s">
        <v>176</v>
      </c>
      <c r="P128" t="s">
        <v>177</v>
      </c>
      <c r="R128" t="s">
        <v>178</v>
      </c>
      <c r="S128" t="s">
        <v>179</v>
      </c>
      <c r="T128" t="s">
        <v>180</v>
      </c>
      <c r="U128" t="s">
        <v>181</v>
      </c>
      <c r="V128" t="s">
        <v>182</v>
      </c>
      <c r="X128" t="s">
        <v>183</v>
      </c>
      <c r="Y128" t="s">
        <v>544</v>
      </c>
      <c r="Z128" t="s">
        <v>219</v>
      </c>
      <c r="AB128" t="s">
        <v>176</v>
      </c>
      <c r="AD128" t="s">
        <v>545</v>
      </c>
      <c r="AF128" t="s">
        <v>187</v>
      </c>
      <c r="AG128" t="s">
        <v>188</v>
      </c>
      <c r="AH128" t="s">
        <v>189</v>
      </c>
      <c r="AI128">
        <v>21</v>
      </c>
      <c r="AJ128" t="s">
        <v>546</v>
      </c>
      <c r="AK128" s="4">
        <v>2200042241760</v>
      </c>
      <c r="AL128" t="s">
        <v>191</v>
      </c>
      <c r="AM128" t="s">
        <v>192</v>
      </c>
      <c r="AN128">
        <v>1</v>
      </c>
      <c r="AO128">
        <v>801</v>
      </c>
      <c r="AP128">
        <v>10</v>
      </c>
      <c r="AQ128" t="s">
        <v>194</v>
      </c>
      <c r="AR128" t="s">
        <v>195</v>
      </c>
      <c r="AS128" t="s">
        <v>196</v>
      </c>
      <c r="AT128" s="2">
        <v>0</v>
      </c>
      <c r="AV128" t="s">
        <v>197</v>
      </c>
      <c r="AW128" t="s">
        <v>198</v>
      </c>
      <c r="AX128">
        <v>393</v>
      </c>
      <c r="AY128">
        <v>0</v>
      </c>
      <c r="AZ128" t="s">
        <v>199</v>
      </c>
      <c r="BA128">
        <v>112.946</v>
      </c>
      <c r="BB128">
        <f t="shared" si="1"/>
        <v>34.354408333333332</v>
      </c>
      <c r="BD128">
        <v>0</v>
      </c>
      <c r="BE128" t="s">
        <v>201</v>
      </c>
      <c r="BF128">
        <v>0</v>
      </c>
      <c r="BG128" t="s">
        <v>202</v>
      </c>
      <c r="BH128">
        <v>1</v>
      </c>
      <c r="BI128" t="s">
        <v>203</v>
      </c>
      <c r="BJ128">
        <v>28.6449</v>
      </c>
      <c r="BK128" t="s">
        <v>204</v>
      </c>
      <c r="BL128" s="3">
        <v>1283.5999999999999</v>
      </c>
      <c r="BM128" s="3">
        <v>36768.652900000001</v>
      </c>
      <c r="FE128" s="1">
        <v>46309</v>
      </c>
      <c r="FF128">
        <v>0</v>
      </c>
      <c r="FG128" t="s">
        <v>200</v>
      </c>
      <c r="FH128" t="s">
        <v>205</v>
      </c>
      <c r="FI128">
        <v>10</v>
      </c>
      <c r="FJ128" t="s">
        <v>191</v>
      </c>
      <c r="FK128" t="s">
        <v>206</v>
      </c>
      <c r="FL128" t="s">
        <v>191</v>
      </c>
      <c r="FM128">
        <v>393</v>
      </c>
      <c r="FN128" t="s">
        <v>265</v>
      </c>
    </row>
    <row r="129" spans="1:170" x14ac:dyDescent="0.25">
      <c r="A129" t="s">
        <v>170</v>
      </c>
      <c r="B129">
        <v>1</v>
      </c>
      <c r="C129" t="s">
        <v>171</v>
      </c>
      <c r="F129" s="1">
        <v>46478</v>
      </c>
      <c r="G129" s="1">
        <v>47208</v>
      </c>
      <c r="I129" t="s">
        <v>172</v>
      </c>
      <c r="J129" t="s">
        <v>173</v>
      </c>
      <c r="K129" t="s">
        <v>174</v>
      </c>
      <c r="L129">
        <v>3674687</v>
      </c>
      <c r="M129" t="s">
        <v>175</v>
      </c>
      <c r="N129" t="s">
        <v>176</v>
      </c>
      <c r="P129" t="s">
        <v>177</v>
      </c>
      <c r="R129" t="s">
        <v>178</v>
      </c>
      <c r="S129" t="s">
        <v>179</v>
      </c>
      <c r="T129" t="s">
        <v>180</v>
      </c>
      <c r="U129" t="s">
        <v>181</v>
      </c>
      <c r="V129" t="s">
        <v>182</v>
      </c>
      <c r="X129" t="s">
        <v>183</v>
      </c>
      <c r="Y129" t="s">
        <v>547</v>
      </c>
      <c r="Z129" t="s">
        <v>548</v>
      </c>
      <c r="AB129" t="s">
        <v>436</v>
      </c>
      <c r="AD129" t="s">
        <v>549</v>
      </c>
      <c r="AF129" t="s">
        <v>187</v>
      </c>
      <c r="AG129" t="s">
        <v>188</v>
      </c>
      <c r="AH129" t="s">
        <v>189</v>
      </c>
      <c r="AI129">
        <v>21</v>
      </c>
      <c r="AJ129" t="s">
        <v>550</v>
      </c>
      <c r="AK129" s="4">
        <v>2200042243261</v>
      </c>
      <c r="AL129" t="s">
        <v>191</v>
      </c>
      <c r="AM129" t="s">
        <v>192</v>
      </c>
      <c r="AN129">
        <v>1</v>
      </c>
      <c r="AO129">
        <v>801</v>
      </c>
      <c r="AP129">
        <v>10</v>
      </c>
      <c r="AQ129" t="s">
        <v>194</v>
      </c>
      <c r="AR129" t="s">
        <v>195</v>
      </c>
      <c r="AS129" t="s">
        <v>196</v>
      </c>
      <c r="AT129" s="2">
        <v>0</v>
      </c>
      <c r="AV129" t="s">
        <v>197</v>
      </c>
      <c r="AW129" t="s">
        <v>198</v>
      </c>
      <c r="AX129">
        <v>393</v>
      </c>
      <c r="AY129">
        <v>0</v>
      </c>
      <c r="AZ129" t="s">
        <v>199</v>
      </c>
      <c r="BA129">
        <v>112.9204</v>
      </c>
      <c r="BB129">
        <f t="shared" si="1"/>
        <v>34.346621666666671</v>
      </c>
      <c r="BD129">
        <v>0</v>
      </c>
      <c r="BE129" t="s">
        <v>201</v>
      </c>
      <c r="BF129">
        <v>0</v>
      </c>
      <c r="BG129" t="s">
        <v>202</v>
      </c>
      <c r="BH129">
        <v>1</v>
      </c>
      <c r="BI129" t="s">
        <v>203</v>
      </c>
      <c r="BJ129">
        <v>28.654299999999999</v>
      </c>
      <c r="BK129" t="s">
        <v>204</v>
      </c>
      <c r="BL129">
        <v>971.4</v>
      </c>
      <c r="BM129" s="3">
        <v>27834.8298</v>
      </c>
      <c r="FE129" s="1">
        <v>46309</v>
      </c>
      <c r="FF129">
        <v>0</v>
      </c>
      <c r="FG129" t="s">
        <v>200</v>
      </c>
      <c r="FH129" t="s">
        <v>205</v>
      </c>
      <c r="FI129">
        <v>10</v>
      </c>
      <c r="FJ129" t="s">
        <v>191</v>
      </c>
      <c r="FK129" t="s">
        <v>206</v>
      </c>
      <c r="FL129" t="s">
        <v>191</v>
      </c>
      <c r="FM129">
        <v>393</v>
      </c>
      <c r="FN129" t="s">
        <v>265</v>
      </c>
    </row>
    <row r="130" spans="1:170" x14ac:dyDescent="0.25">
      <c r="A130" t="s">
        <v>170</v>
      </c>
      <c r="B130">
        <v>1</v>
      </c>
      <c r="C130" t="s">
        <v>171</v>
      </c>
      <c r="F130" s="1">
        <v>46478</v>
      </c>
      <c r="G130" s="1">
        <v>47208</v>
      </c>
      <c r="I130" t="s">
        <v>172</v>
      </c>
      <c r="J130" t="s">
        <v>173</v>
      </c>
      <c r="K130" t="s">
        <v>174</v>
      </c>
      <c r="L130">
        <v>3674687</v>
      </c>
      <c r="M130" t="s">
        <v>175</v>
      </c>
      <c r="N130" t="s">
        <v>176</v>
      </c>
      <c r="P130" t="s">
        <v>177</v>
      </c>
      <c r="R130" t="s">
        <v>178</v>
      </c>
      <c r="S130" t="s">
        <v>179</v>
      </c>
      <c r="T130" t="s">
        <v>180</v>
      </c>
      <c r="U130" t="s">
        <v>181</v>
      </c>
      <c r="V130" t="s">
        <v>182</v>
      </c>
      <c r="X130" t="s">
        <v>183</v>
      </c>
      <c r="Y130" t="s">
        <v>551</v>
      </c>
      <c r="Z130" t="s">
        <v>219</v>
      </c>
      <c r="AB130" t="s">
        <v>481</v>
      </c>
      <c r="AD130" t="s">
        <v>482</v>
      </c>
      <c r="AF130" t="s">
        <v>187</v>
      </c>
      <c r="AG130" t="s">
        <v>188</v>
      </c>
      <c r="AH130" t="s">
        <v>189</v>
      </c>
      <c r="AI130">
        <v>21</v>
      </c>
      <c r="AJ130" t="s">
        <v>552</v>
      </c>
      <c r="AK130" s="4">
        <v>2200042547371</v>
      </c>
      <c r="AL130" t="s">
        <v>191</v>
      </c>
      <c r="AM130" t="s">
        <v>192</v>
      </c>
      <c r="AN130">
        <v>3</v>
      </c>
      <c r="AO130">
        <v>801</v>
      </c>
      <c r="AP130">
        <v>110</v>
      </c>
      <c r="AQ130" t="s">
        <v>194</v>
      </c>
      <c r="AR130" t="s">
        <v>195</v>
      </c>
      <c r="AS130" t="s">
        <v>196</v>
      </c>
      <c r="AT130" s="2">
        <v>0</v>
      </c>
      <c r="AV130" t="s">
        <v>197</v>
      </c>
      <c r="AW130" t="s">
        <v>198</v>
      </c>
      <c r="AX130">
        <v>393</v>
      </c>
      <c r="AY130">
        <v>0</v>
      </c>
      <c r="AZ130" t="s">
        <v>199</v>
      </c>
      <c r="BA130">
        <v>120.83620000000001</v>
      </c>
      <c r="BB130">
        <f t="shared" si="1"/>
        <v>36.754344166666669</v>
      </c>
      <c r="BD130">
        <v>0</v>
      </c>
      <c r="BE130" t="s">
        <v>201</v>
      </c>
      <c r="BF130">
        <v>0</v>
      </c>
      <c r="BG130" t="s">
        <v>202</v>
      </c>
      <c r="BH130">
        <v>1</v>
      </c>
      <c r="BI130" t="s">
        <v>203</v>
      </c>
      <c r="BJ130">
        <v>27.3123</v>
      </c>
      <c r="BK130" t="s">
        <v>204</v>
      </c>
      <c r="BL130" s="3">
        <v>1317.2</v>
      </c>
      <c r="BM130" s="3">
        <v>35975.786800000002</v>
      </c>
      <c r="FE130" s="1">
        <v>46309</v>
      </c>
      <c r="FF130">
        <v>0</v>
      </c>
      <c r="FG130" t="s">
        <v>200</v>
      </c>
      <c r="FH130" t="s">
        <v>205</v>
      </c>
      <c r="FI130">
        <v>110</v>
      </c>
      <c r="FJ130" t="s">
        <v>191</v>
      </c>
      <c r="FK130" t="s">
        <v>206</v>
      </c>
      <c r="FL130" t="s">
        <v>191</v>
      </c>
      <c r="FM130">
        <v>393</v>
      </c>
      <c r="FN130" t="s">
        <v>214</v>
      </c>
    </row>
    <row r="131" spans="1:170" x14ac:dyDescent="0.25">
      <c r="A131" t="s">
        <v>170</v>
      </c>
      <c r="B131">
        <v>1</v>
      </c>
      <c r="C131" t="s">
        <v>171</v>
      </c>
      <c r="F131" s="1">
        <v>46478</v>
      </c>
      <c r="G131" s="1">
        <v>47208</v>
      </c>
      <c r="I131" t="s">
        <v>172</v>
      </c>
      <c r="J131" t="s">
        <v>173</v>
      </c>
      <c r="K131" t="s">
        <v>174</v>
      </c>
      <c r="L131">
        <v>3674687</v>
      </c>
      <c r="M131" t="s">
        <v>175</v>
      </c>
      <c r="N131" t="s">
        <v>176</v>
      </c>
      <c r="P131" t="s">
        <v>177</v>
      </c>
      <c r="R131" t="s">
        <v>178</v>
      </c>
      <c r="S131" t="s">
        <v>179</v>
      </c>
      <c r="T131" t="s">
        <v>180</v>
      </c>
      <c r="U131" t="s">
        <v>181</v>
      </c>
      <c r="V131" t="s">
        <v>182</v>
      </c>
      <c r="X131" t="s">
        <v>183</v>
      </c>
      <c r="Y131" t="s">
        <v>553</v>
      </c>
      <c r="Z131" t="s">
        <v>554</v>
      </c>
      <c r="AB131" t="s">
        <v>481</v>
      </c>
      <c r="AD131" t="s">
        <v>555</v>
      </c>
      <c r="AF131" t="s">
        <v>187</v>
      </c>
      <c r="AG131" t="s">
        <v>188</v>
      </c>
      <c r="AH131" t="s">
        <v>189</v>
      </c>
      <c r="AI131">
        <v>21</v>
      </c>
      <c r="AJ131" t="s">
        <v>556</v>
      </c>
      <c r="AK131" s="4">
        <v>2200042547405</v>
      </c>
      <c r="AL131" t="s">
        <v>191</v>
      </c>
      <c r="AM131" t="s">
        <v>192</v>
      </c>
      <c r="AN131">
        <v>3</v>
      </c>
      <c r="AO131">
        <v>801</v>
      </c>
      <c r="AP131">
        <v>110</v>
      </c>
      <c r="AQ131" t="s">
        <v>194</v>
      </c>
      <c r="AR131" t="s">
        <v>195</v>
      </c>
      <c r="AS131" t="s">
        <v>196</v>
      </c>
      <c r="AT131" s="2">
        <v>0</v>
      </c>
      <c r="AV131" t="s">
        <v>197</v>
      </c>
      <c r="AW131" t="s">
        <v>198</v>
      </c>
      <c r="AX131">
        <v>393</v>
      </c>
      <c r="AY131">
        <v>0</v>
      </c>
      <c r="AZ131" t="s">
        <v>199</v>
      </c>
      <c r="BA131">
        <v>121.11320000000001</v>
      </c>
      <c r="BB131">
        <f t="shared" ref="BB131:BB134" si="2">BA131*365/1200</f>
        <v>36.83859833333333</v>
      </c>
      <c r="BD131">
        <v>0</v>
      </c>
      <c r="BE131" t="s">
        <v>201</v>
      </c>
      <c r="BF131">
        <v>0</v>
      </c>
      <c r="BG131" t="s">
        <v>202</v>
      </c>
      <c r="BH131">
        <v>1</v>
      </c>
      <c r="BI131" t="s">
        <v>203</v>
      </c>
      <c r="BJ131">
        <v>27.289000000000001</v>
      </c>
      <c r="BK131" t="s">
        <v>204</v>
      </c>
      <c r="BL131" s="3">
        <v>4691.6000000000004</v>
      </c>
      <c r="BM131" s="3">
        <v>128029.27280000001</v>
      </c>
      <c r="FE131" s="1">
        <v>46309</v>
      </c>
      <c r="FF131">
        <v>0</v>
      </c>
      <c r="FG131" t="s">
        <v>200</v>
      </c>
      <c r="FH131" t="s">
        <v>205</v>
      </c>
      <c r="FI131">
        <v>110</v>
      </c>
      <c r="FJ131" t="s">
        <v>191</v>
      </c>
      <c r="FK131" t="s">
        <v>206</v>
      </c>
      <c r="FL131" t="s">
        <v>191</v>
      </c>
      <c r="FM131">
        <v>393</v>
      </c>
      <c r="FN131" t="s">
        <v>214</v>
      </c>
    </row>
    <row r="132" spans="1:170" x14ac:dyDescent="0.25">
      <c r="A132" t="s">
        <v>170</v>
      </c>
      <c r="B132">
        <v>1</v>
      </c>
      <c r="C132" t="s">
        <v>171</v>
      </c>
      <c r="F132" s="1">
        <v>46478</v>
      </c>
      <c r="G132" s="1">
        <v>47208</v>
      </c>
      <c r="I132" t="s">
        <v>172</v>
      </c>
      <c r="J132" t="s">
        <v>173</v>
      </c>
      <c r="K132" t="s">
        <v>174</v>
      </c>
      <c r="L132">
        <v>3674687</v>
      </c>
      <c r="M132" t="s">
        <v>175</v>
      </c>
      <c r="N132" t="s">
        <v>176</v>
      </c>
      <c r="P132" t="s">
        <v>177</v>
      </c>
      <c r="R132" t="s">
        <v>178</v>
      </c>
      <c r="S132" t="s">
        <v>179</v>
      </c>
      <c r="T132" t="s">
        <v>180</v>
      </c>
      <c r="U132" t="s">
        <v>181</v>
      </c>
      <c r="V132" t="s">
        <v>182</v>
      </c>
      <c r="X132" t="s">
        <v>183</v>
      </c>
      <c r="Y132" t="s">
        <v>557</v>
      </c>
      <c r="Z132" t="s">
        <v>558</v>
      </c>
      <c r="AB132" t="s">
        <v>292</v>
      </c>
      <c r="AD132" t="s">
        <v>559</v>
      </c>
      <c r="AF132" t="s">
        <v>187</v>
      </c>
      <c r="AG132" t="s">
        <v>188</v>
      </c>
      <c r="AH132" t="s">
        <v>189</v>
      </c>
      <c r="AI132">
        <v>21</v>
      </c>
      <c r="AJ132" t="s">
        <v>560</v>
      </c>
      <c r="AK132" s="4">
        <v>2200042794685</v>
      </c>
      <c r="AL132" t="s">
        <v>191</v>
      </c>
      <c r="AM132" t="s">
        <v>212</v>
      </c>
      <c r="AN132">
        <v>3</v>
      </c>
      <c r="AO132">
        <v>801</v>
      </c>
      <c r="AP132">
        <v>110</v>
      </c>
      <c r="AQ132" t="s">
        <v>194</v>
      </c>
      <c r="AR132" t="s">
        <v>195</v>
      </c>
      <c r="AS132" t="s">
        <v>196</v>
      </c>
      <c r="AT132" s="2">
        <v>0</v>
      </c>
      <c r="AV132" t="s">
        <v>197</v>
      </c>
      <c r="AW132" t="s">
        <v>198</v>
      </c>
      <c r="AX132">
        <v>393</v>
      </c>
      <c r="AY132">
        <v>0</v>
      </c>
      <c r="AZ132" t="s">
        <v>199</v>
      </c>
      <c r="BA132">
        <v>120.8019</v>
      </c>
      <c r="BB132">
        <f t="shared" si="2"/>
        <v>36.743911250000004</v>
      </c>
      <c r="BD132">
        <v>0</v>
      </c>
      <c r="BE132" t="s">
        <v>201</v>
      </c>
      <c r="BF132">
        <v>0</v>
      </c>
      <c r="BG132" t="s">
        <v>202</v>
      </c>
      <c r="BH132">
        <v>1</v>
      </c>
      <c r="BI132" t="s">
        <v>203</v>
      </c>
      <c r="BJ132">
        <v>27.255800000000001</v>
      </c>
      <c r="BK132" t="s">
        <v>204</v>
      </c>
      <c r="BL132">
        <v>61.8</v>
      </c>
      <c r="BM132" s="3">
        <v>1684.4066</v>
      </c>
      <c r="FE132" s="1">
        <v>46309</v>
      </c>
      <c r="FF132">
        <v>0</v>
      </c>
      <c r="FG132" t="s">
        <v>200</v>
      </c>
      <c r="FH132" t="s">
        <v>213</v>
      </c>
      <c r="FI132">
        <v>110</v>
      </c>
      <c r="FJ132" t="s">
        <v>191</v>
      </c>
      <c r="FK132" t="s">
        <v>206</v>
      </c>
      <c r="FL132" t="s">
        <v>191</v>
      </c>
      <c r="FM132">
        <v>393</v>
      </c>
      <c r="FN132" t="s">
        <v>214</v>
      </c>
    </row>
    <row r="133" spans="1:170" x14ac:dyDescent="0.25">
      <c r="A133" t="s">
        <v>170</v>
      </c>
      <c r="B133">
        <v>1</v>
      </c>
      <c r="C133" t="s">
        <v>171</v>
      </c>
      <c r="F133" s="1">
        <v>46478</v>
      </c>
      <c r="G133" s="1">
        <v>47208</v>
      </c>
      <c r="I133" t="s">
        <v>172</v>
      </c>
      <c r="J133" t="s">
        <v>173</v>
      </c>
      <c r="K133" t="s">
        <v>174</v>
      </c>
      <c r="L133">
        <v>3674687</v>
      </c>
      <c r="M133" t="s">
        <v>175</v>
      </c>
      <c r="N133" t="s">
        <v>176</v>
      </c>
      <c r="P133" t="s">
        <v>177</v>
      </c>
      <c r="R133" t="s">
        <v>178</v>
      </c>
      <c r="S133" t="s">
        <v>179</v>
      </c>
      <c r="T133" t="s">
        <v>180</v>
      </c>
      <c r="U133" t="s">
        <v>181</v>
      </c>
      <c r="V133" t="s">
        <v>182</v>
      </c>
      <c r="X133" t="s">
        <v>183</v>
      </c>
      <c r="Y133" t="s">
        <v>561</v>
      </c>
      <c r="Z133" t="s">
        <v>219</v>
      </c>
      <c r="AB133" t="s">
        <v>562</v>
      </c>
      <c r="AD133" t="s">
        <v>563</v>
      </c>
      <c r="AF133" t="s">
        <v>187</v>
      </c>
      <c r="AG133" t="s">
        <v>188</v>
      </c>
      <c r="AH133" t="s">
        <v>189</v>
      </c>
      <c r="AI133">
        <v>21</v>
      </c>
      <c r="AJ133" t="s">
        <v>564</v>
      </c>
      <c r="AK133" s="4">
        <v>2200042900699</v>
      </c>
      <c r="AL133" t="s">
        <v>191</v>
      </c>
      <c r="AM133" t="s">
        <v>212</v>
      </c>
      <c r="AN133">
        <v>3</v>
      </c>
      <c r="AO133">
        <v>801</v>
      </c>
      <c r="AP133">
        <v>110</v>
      </c>
      <c r="AQ133" t="s">
        <v>194</v>
      </c>
      <c r="AR133" t="s">
        <v>195</v>
      </c>
      <c r="AS133" t="s">
        <v>196</v>
      </c>
      <c r="AT133" s="2">
        <v>0</v>
      </c>
      <c r="AV133" t="s">
        <v>197</v>
      </c>
      <c r="AW133" t="s">
        <v>198</v>
      </c>
      <c r="AX133">
        <v>393</v>
      </c>
      <c r="AY133">
        <v>0</v>
      </c>
      <c r="AZ133" t="s">
        <v>199</v>
      </c>
      <c r="BA133">
        <v>120.8368</v>
      </c>
      <c r="BB133">
        <f t="shared" si="2"/>
        <v>36.754526666666671</v>
      </c>
      <c r="BD133">
        <v>0</v>
      </c>
      <c r="BE133" t="s">
        <v>201</v>
      </c>
      <c r="BF133">
        <v>0</v>
      </c>
      <c r="BG133" t="s">
        <v>202</v>
      </c>
      <c r="BH133">
        <v>1</v>
      </c>
      <c r="BI133" t="s">
        <v>203</v>
      </c>
      <c r="BJ133">
        <v>27.316700000000001</v>
      </c>
      <c r="BK133" t="s">
        <v>204</v>
      </c>
      <c r="BL133" s="3">
        <v>1324.8</v>
      </c>
      <c r="BM133" s="3">
        <v>36189.224399999999</v>
      </c>
      <c r="FE133" s="1">
        <v>46309</v>
      </c>
      <c r="FF133">
        <v>0</v>
      </c>
      <c r="FG133" t="s">
        <v>200</v>
      </c>
      <c r="FH133" t="s">
        <v>213</v>
      </c>
      <c r="FI133">
        <v>110</v>
      </c>
      <c r="FJ133" t="s">
        <v>191</v>
      </c>
      <c r="FK133" t="s">
        <v>206</v>
      </c>
      <c r="FL133" t="s">
        <v>191</v>
      </c>
      <c r="FM133">
        <v>393</v>
      </c>
      <c r="FN133" t="s">
        <v>214</v>
      </c>
    </row>
    <row r="134" spans="1:170" x14ac:dyDescent="0.25">
      <c r="A134" t="s">
        <v>170</v>
      </c>
      <c r="B134">
        <v>1</v>
      </c>
      <c r="C134" t="s">
        <v>171</v>
      </c>
      <c r="F134" s="1">
        <v>46478</v>
      </c>
      <c r="G134" s="1">
        <v>47208</v>
      </c>
      <c r="I134" t="s">
        <v>172</v>
      </c>
      <c r="J134" t="s">
        <v>173</v>
      </c>
      <c r="K134" t="s">
        <v>174</v>
      </c>
      <c r="L134">
        <v>3674687</v>
      </c>
      <c r="M134" t="s">
        <v>175</v>
      </c>
      <c r="N134" t="s">
        <v>176</v>
      </c>
      <c r="P134" t="s">
        <v>177</v>
      </c>
      <c r="R134" t="s">
        <v>178</v>
      </c>
      <c r="S134" t="s">
        <v>179</v>
      </c>
      <c r="T134" t="s">
        <v>180</v>
      </c>
      <c r="U134" t="s">
        <v>181</v>
      </c>
      <c r="V134" t="s">
        <v>182</v>
      </c>
      <c r="X134" t="s">
        <v>183</v>
      </c>
      <c r="Y134" t="s">
        <v>565</v>
      </c>
      <c r="Z134" t="s">
        <v>219</v>
      </c>
      <c r="AB134" t="s">
        <v>562</v>
      </c>
      <c r="AD134" t="s">
        <v>563</v>
      </c>
      <c r="AF134" t="s">
        <v>187</v>
      </c>
      <c r="AG134" t="s">
        <v>188</v>
      </c>
      <c r="AH134" t="s">
        <v>189</v>
      </c>
      <c r="AI134">
        <v>21</v>
      </c>
      <c r="AJ134" t="s">
        <v>566</v>
      </c>
      <c r="AK134" s="4">
        <v>2200042900704</v>
      </c>
      <c r="AL134" t="s">
        <v>191</v>
      </c>
      <c r="AM134" t="s">
        <v>212</v>
      </c>
      <c r="AN134">
        <v>3</v>
      </c>
      <c r="AO134">
        <v>801</v>
      </c>
      <c r="AP134">
        <v>110</v>
      </c>
      <c r="AQ134" t="s">
        <v>194</v>
      </c>
      <c r="AR134" t="s">
        <v>195</v>
      </c>
      <c r="AS134" t="s">
        <v>196</v>
      </c>
      <c r="AT134" s="2">
        <v>0</v>
      </c>
      <c r="AV134" t="s">
        <v>197</v>
      </c>
      <c r="AW134" t="s">
        <v>198</v>
      </c>
      <c r="AX134">
        <v>393</v>
      </c>
      <c r="AY134">
        <v>0</v>
      </c>
      <c r="AZ134" t="s">
        <v>199</v>
      </c>
      <c r="BA134">
        <v>120.8659</v>
      </c>
      <c r="BB134">
        <f t="shared" si="2"/>
        <v>36.76337791666667</v>
      </c>
      <c r="BD134">
        <v>0</v>
      </c>
      <c r="BE134" t="s">
        <v>201</v>
      </c>
      <c r="BF134">
        <v>0</v>
      </c>
      <c r="BG134" t="s">
        <v>202</v>
      </c>
      <c r="BH134">
        <v>1</v>
      </c>
      <c r="BI134" t="s">
        <v>203</v>
      </c>
      <c r="BJ134">
        <v>27.309000000000001</v>
      </c>
      <c r="BK134" t="s">
        <v>204</v>
      </c>
      <c r="BL134" s="3">
        <v>1678.6</v>
      </c>
      <c r="BM134" s="3">
        <v>45840.8727</v>
      </c>
      <c r="FE134" s="1">
        <v>46309</v>
      </c>
      <c r="FF134">
        <v>0</v>
      </c>
      <c r="FG134" t="s">
        <v>200</v>
      </c>
      <c r="FH134" t="s">
        <v>213</v>
      </c>
      <c r="FI134">
        <v>110</v>
      </c>
      <c r="FJ134" t="s">
        <v>191</v>
      </c>
      <c r="FK134" t="s">
        <v>206</v>
      </c>
      <c r="FL134" t="s">
        <v>191</v>
      </c>
      <c r="FM134">
        <v>393</v>
      </c>
      <c r="FN134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Q-201678-M3V3Z9_1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Macdougall-Mitchell</dc:creator>
  <cp:lastModifiedBy>Guy Macdougall-Mitchell</cp:lastModifiedBy>
  <dcterms:created xsi:type="dcterms:W3CDTF">2026-10-21T20:55:08Z</dcterms:created>
  <dcterms:modified xsi:type="dcterms:W3CDTF">2026-10-22T06:43:59Z</dcterms:modified>
</cp:coreProperties>
</file>
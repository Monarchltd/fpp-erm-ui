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jesticintranet-my.sharepoint.com/personal/guy_macdougall-mitchell_eic_co_uk/Documents/Documents/pricing/Energy tender portal/Testing EDF entry/EDF gas/"/>
    </mc:Choice>
  </mc:AlternateContent>
  <xr:revisionPtr revIDLastSave="8" documentId="8_{D89C30D0-8056-457A-B2C2-4819148D4AB6}" xr6:coauthVersionLast="47" xr6:coauthVersionMax="47" xr10:uidLastSave="{4AF9B984-8E5A-41F0-AECD-782694337ADE}"/>
  <bookViews>
    <workbookView xWindow="-120" yWindow="-120" windowWidth="29040" windowHeight="15720" xr2:uid="{43A951D0-5919-4275-8027-2DFDC7B4DC1D}"/>
  </bookViews>
  <sheets>
    <sheet name="Q-198023-J3F7P3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8" i="1" l="1"/>
</calcChain>
</file>

<file path=xl/sharedStrings.xml><?xml version="1.0" encoding="utf-8"?>
<sst xmlns="http://schemas.openxmlformats.org/spreadsheetml/2006/main" count="839" uniqueCount="232">
  <si>
    <t>QuoteID</t>
  </si>
  <si>
    <t>Quote Revision</t>
  </si>
  <si>
    <t>Primary Requestor</t>
  </si>
  <si>
    <t>Secondary Requestor</t>
  </si>
  <si>
    <t>Tertiary Requestor</t>
  </si>
  <si>
    <t>Earliest Supply Start Date</t>
  </si>
  <si>
    <t>Earliest Termination Date</t>
  </si>
  <si>
    <t>Your Reference</t>
  </si>
  <si>
    <t>CR</t>
  </si>
  <si>
    <t>Customer Name</t>
  </si>
  <si>
    <t>Contact Name</t>
  </si>
  <si>
    <t>Company Registered Number</t>
  </si>
  <si>
    <t>Registered Address1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</si>
  <si>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</si>
  <si>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</si>
  <si>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</si>
  <si>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</si>
  <si>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</si>
  <si>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</si>
  <si>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>Billing Address 2</t>
  </si>
  <si>
    <t>Billing Address 3</t>
  </si>
  <si>
    <t>Billing Address Town</t>
  </si>
  <si>
    <t>Billing County</t>
  </si>
  <si>
    <t>Billing Postcode</t>
  </si>
  <si>
    <t>Site Address1</t>
  </si>
  <si>
    <t>Site Address2</t>
  </si>
  <si>
    <t>Site Address3</t>
  </si>
  <si>
    <t>Site Address Town</t>
  </si>
  <si>
    <t>Site County</t>
  </si>
  <si>
    <t>Site Postcode</t>
  </si>
  <si>
    <t>EDF Energy Group Reference</t>
  </si>
  <si>
    <t>Price Point</t>
  </si>
  <si>
    <t>Billing Cycle</t>
  </si>
  <si>
    <t>Payment Method</t>
  </si>
  <si>
    <t>Payment Period</t>
  </si>
  <si>
    <t>Premise ID</t>
  </si>
  <si>
    <t>MPRN</t>
  </si>
  <si>
    <t>Formula AQ (kWh)</t>
  </si>
  <si>
    <t>Rolling AQ (kWh)</t>
  </si>
  <si>
    <t>Customer AQ (kWh)</t>
  </si>
  <si>
    <t>AQ Used</t>
  </si>
  <si>
    <t>Local Distribution Zone (LDZ)</t>
  </si>
  <si>
    <t>Exit Zone</t>
  </si>
  <si>
    <t>Daily Metered/ Non Daily Metered</t>
  </si>
  <si>
    <t>Monthly Read</t>
  </si>
  <si>
    <t>End User Category</t>
  </si>
  <si>
    <t>SOQ - Formula (kWh/day)</t>
  </si>
  <si>
    <t>SOQ - Rolling (kWh/day)</t>
  </si>
  <si>
    <t>AMR Indicator</t>
  </si>
  <si>
    <t>Meter Type</t>
  </si>
  <si>
    <t>Imperial Indicator</t>
  </si>
  <si>
    <t>Meter Capacity (scmh or scfh)</t>
  </si>
  <si>
    <t>Meter Mechanism</t>
  </si>
  <si>
    <t>Converter</t>
  </si>
  <si>
    <t>Gas Source</t>
  </si>
  <si>
    <t>Price Structure Description</t>
  </si>
  <si>
    <t>Price Structure Code</t>
  </si>
  <si>
    <t>Standing Charge Rate</t>
  </si>
  <si>
    <t>Standing Charge UOM</t>
  </si>
  <si>
    <t>Standing Charge Cost Pence</t>
  </si>
  <si>
    <t>Rate Count</t>
  </si>
  <si>
    <t>Rate 1 Description</t>
  </si>
  <si>
    <t>Rate 1 Value</t>
  </si>
  <si>
    <t>Rate 1 UOM</t>
  </si>
  <si>
    <t>Rate 1 Usage kWh</t>
  </si>
  <si>
    <t>Rate 1 Cost Pence</t>
  </si>
  <si>
    <t>Rate 2 Description</t>
  </si>
  <si>
    <t>Rate 2 Value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</si>
  <si>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</si>
  <si>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</si>
  <si>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</si>
  <si>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</si>
  <si>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</si>
  <si>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</si>
  <si>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</si>
  <si>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</si>
  <si>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</si>
  <si>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</si>
  <si>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</si>
  <si>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>Rate 4 Usage kWh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</si>
  <si>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</si>
  <si>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</si>
  <si>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</si>
  <si>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</si>
  <si>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</si>
  <si>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</si>
  <si>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</si>
  <si>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>Rate 6 Value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</si>
  <si>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</si>
  <si>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</si>
  <si>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</si>
  <si>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</si>
  <si>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</si>
  <si>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</si>
  <si>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</si>
  <si>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</si>
  <si>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Rate 8 Description</t>
  </si>
  <si>
    <t>Rate 8 Value</t>
  </si>
  <si>
    <t>Rate 8 UOM</t>
  </si>
  <si>
    <t>Rate 8 Usage kWh</t>
  </si>
  <si>
    <t>Rate 8 Cost Pence</t>
  </si>
  <si>
    <t>Rate 9 Description</t>
  </si>
  <si>
    <t>Rate 9 Value</t>
  </si>
  <si>
    <t>Rate 9 UOM</t>
  </si>
  <si>
    <t>Rate 9 Usage kWh</t>
  </si>
  <si>
    <t>Rate 9 Cost Pence</t>
  </si>
  <si>
    <t>Rate 10 Description</t>
  </si>
  <si>
    <t>Rate 10 Value</t>
  </si>
  <si>
    <t>Rate 10 UOM</t>
  </si>
  <si>
    <t>Rate 10 Usage kWh</t>
  </si>
  <si>
    <t>Rate 10 Cost Pence</t>
  </si>
  <si>
    <t>Quote Date</t>
  </si>
  <si>
    <t>Site Fee Rate</t>
  </si>
  <si>
    <t>Site Fee UOM</t>
  </si>
  <si>
    <t>Smart Meter</t>
  </si>
  <si>
    <t>Q-198023-J3F7P3</t>
  </si>
  <si>
    <t>THE MONARCH PARTNERSHIP.</t>
  </si>
  <si>
    <t xml:space="preserve">CUP 0.3000  </t>
  </si>
  <si>
    <t>TWO RIVERS HOUSING</t>
  </si>
  <si>
    <t>Shared Mailbox Monarch</t>
  </si>
  <si>
    <t>RS009498</t>
  </si>
  <si>
    <t>Rivers Meet</t>
  </si>
  <si>
    <t>Cleeve Mill Lane</t>
  </si>
  <si>
    <t>Newent</t>
  </si>
  <si>
    <t>Gloucestershire</t>
  </si>
  <si>
    <t>GL18 1DS</t>
  </si>
  <si>
    <t xml:space="preserve">Communal Block </t>
  </si>
  <si>
    <t xml:space="preserve">Sheltered Housing </t>
  </si>
  <si>
    <t>Buttington Road, Sedbury</t>
  </si>
  <si>
    <t>Gwent</t>
  </si>
  <si>
    <t>NP16 7AN</t>
  </si>
  <si>
    <t>Gas Fully Inclusive</t>
  </si>
  <si>
    <t>M</t>
  </si>
  <si>
    <t>BACS</t>
  </si>
  <si>
    <t>PID-25275</t>
  </si>
  <si>
    <t>Rolling AQ</t>
  </si>
  <si>
    <t>WS</t>
  </si>
  <si>
    <t>WA2</t>
  </si>
  <si>
    <t xml:space="preserve">Non Daily Metered </t>
  </si>
  <si>
    <t>WS:E2501BNI</t>
  </si>
  <si>
    <t>Synthetic Diaphragm</t>
  </si>
  <si>
    <t>Y</t>
  </si>
  <si>
    <t>N</t>
  </si>
  <si>
    <t>Standard 100%</t>
  </si>
  <si>
    <t>Single rate (00:00 - 24:00)</t>
  </si>
  <si>
    <t>SINGLE</t>
  </si>
  <si>
    <t>P/DAY</t>
  </si>
  <si>
    <t>Unit Rate</t>
  </si>
  <si>
    <t>P/KWH</t>
  </si>
  <si>
    <t>Coombe Drive</t>
  </si>
  <si>
    <t>Communal Centre</t>
  </si>
  <si>
    <t>Glos</t>
  </si>
  <si>
    <t>GL14 3EF</t>
  </si>
  <si>
    <t>PID-25274</t>
  </si>
  <si>
    <t>SW</t>
  </si>
  <si>
    <t>SW1</t>
  </si>
  <si>
    <t>SW:E2501BNI</t>
  </si>
  <si>
    <t>Ultrasonic</t>
  </si>
  <si>
    <t>S2</t>
  </si>
  <si>
    <t>Grouped Accommodation ,Parkside</t>
  </si>
  <si>
    <t>Mile End</t>
  </si>
  <si>
    <t>GL16 8DA</t>
  </si>
  <si>
    <t>PID-25261</t>
  </si>
  <si>
    <t>Hillcrest Road</t>
  </si>
  <si>
    <t>Berry HIll</t>
  </si>
  <si>
    <t>GL16 7RJ</t>
  </si>
  <si>
    <t>PID-25273</t>
  </si>
  <si>
    <t>Birch Road</t>
  </si>
  <si>
    <t>Grouped Accomodation</t>
  </si>
  <si>
    <t>GL16 7DW</t>
  </si>
  <si>
    <t>PID-25260</t>
  </si>
  <si>
    <t xml:space="preserve">2 Crawshay Place </t>
  </si>
  <si>
    <t>Valley Road</t>
  </si>
  <si>
    <t>GL14 2EW</t>
  </si>
  <si>
    <t>PID-25259</t>
  </si>
  <si>
    <t>Ryelands Road</t>
  </si>
  <si>
    <t>Bream</t>
  </si>
  <si>
    <t>GL15 6LD</t>
  </si>
  <si>
    <t>PID-25257</t>
  </si>
  <si>
    <t>Church Street</t>
  </si>
  <si>
    <t>St Batholemews</t>
  </si>
  <si>
    <t>GL18 1PU</t>
  </si>
  <si>
    <t>PID-25272</t>
  </si>
  <si>
    <t>Customer AQ</t>
  </si>
  <si>
    <t>Communal Block</t>
  </si>
  <si>
    <t>Penby Lawn</t>
  </si>
  <si>
    <t>GL14 1DL</t>
  </si>
  <si>
    <t>PID-25262</t>
  </si>
  <si>
    <t>7 The Horsepool</t>
  </si>
  <si>
    <t>Berry Hill</t>
  </si>
  <si>
    <t>GL16 7BD</t>
  </si>
  <si>
    <t>PID-25270</t>
  </si>
  <si>
    <t>The Flats</t>
  </si>
  <si>
    <t>Spring Meadow</t>
  </si>
  <si>
    <t>Lydney</t>
  </si>
  <si>
    <t>GL15 5LF</t>
  </si>
  <si>
    <t>PID-25268</t>
  </si>
  <si>
    <t>Meads Close</t>
  </si>
  <si>
    <t>GL16 8EW</t>
  </si>
  <si>
    <t>PID-25271</t>
  </si>
  <si>
    <t>Wynols Close</t>
  </si>
  <si>
    <t>Community Centre</t>
  </si>
  <si>
    <t>Broadwell</t>
  </si>
  <si>
    <t>GL16 7RR</t>
  </si>
  <si>
    <t>PID-25266</t>
  </si>
  <si>
    <t>Rowandean</t>
  </si>
  <si>
    <t>GL14 2XP</t>
  </si>
  <si>
    <t>PID-25267</t>
  </si>
  <si>
    <t>Worcester Road</t>
  </si>
  <si>
    <t>GL14 2XA</t>
  </si>
  <si>
    <t>PID-25264</t>
  </si>
  <si>
    <t>Tufton Close</t>
  </si>
  <si>
    <t>GLos</t>
  </si>
  <si>
    <t>GL16 8PU</t>
  </si>
  <si>
    <t>PID-25263</t>
  </si>
  <si>
    <t>Communal Centre, 5 Watermead</t>
  </si>
  <si>
    <t>The Springs</t>
  </si>
  <si>
    <t>GL15 5NF</t>
  </si>
  <si>
    <t>PID-25269</t>
  </si>
  <si>
    <t>15 King Alfreds Road</t>
  </si>
  <si>
    <t>Sedbury</t>
  </si>
  <si>
    <t>Chepstow</t>
  </si>
  <si>
    <t>NP16 7AG</t>
  </si>
  <si>
    <t>PID-19546</t>
  </si>
  <si>
    <t>18 Willowdean</t>
  </si>
  <si>
    <t>Lower Denecroft</t>
  </si>
  <si>
    <t>GL14 2NF</t>
  </si>
  <si>
    <t>PID-25265</t>
  </si>
  <si>
    <t xml:space="preserve">Flats Adjacent to 9 Wellington Street </t>
  </si>
  <si>
    <t>GL1 1RB</t>
  </si>
  <si>
    <t>PID-25276</t>
  </si>
  <si>
    <t>SW:E2502BNI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</si>
</sst>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C115-ECA8-4712-8890-EEB6F31D0EEE}">
  <dimension ref="A1:DK21"/>
  <sheetViews>
    <sheetView tabSelected="1" topLeftCell="AV1" workbookViewId="0">
      <selection activeCell="BG2" sqref="BG2"/>
    </sheetView>
  </sheetViews>
  <sheetFormatPr defaultRowHeight="15" x14ac:dyDescent="0.25"/>
  <cols>
    <col min="6" max="6" width="23.140625" bestFit="1" customWidth="1"/>
    <col min="7" max="7" width="23.5703125" bestFit="1" customWidth="1"/>
    <col min="37" max="37" width="11" bestFit="1" customWidth="1"/>
    <col min="38" max="38" width="17.42578125" bestFit="1" customWidth="1"/>
    <col min="39" max="39" width="16" bestFit="1" customWidth="1"/>
    <col min="40" max="40" width="18.42578125" bestFit="1" customWidth="1"/>
    <col min="41" max="41" width="12.42578125" bestFit="1" customWidth="1"/>
    <col min="42" max="42" width="26.85546875" bestFit="1" customWidth="1"/>
    <col min="43" max="43" width="8.7109375" bestFit="1" customWidth="1"/>
    <col min="44" max="44" width="30.7109375" bestFit="1" customWidth="1"/>
    <col min="45" max="45" width="12.85546875" bestFit="1" customWidth="1"/>
    <col min="46" max="46" width="16.85546875" bestFit="1" customWidth="1"/>
    <col min="47" max="47" width="23.85546875" bestFit="1" customWidth="1"/>
    <col min="48" max="48" width="22.5703125" bestFit="1" customWidth="1"/>
    <col min="49" max="49" width="13.42578125" bestFit="1" customWidth="1"/>
    <col min="50" max="50" width="19.42578125" bestFit="1" customWidth="1"/>
    <col min="51" max="51" width="17" bestFit="1" customWidth="1"/>
    <col min="52" max="52" width="27.5703125" bestFit="1" customWidth="1"/>
    <col min="53" max="53" width="16.7109375" bestFit="1" customWidth="1"/>
    <col min="54" max="54" width="9.28515625" bestFit="1" customWidth="1"/>
    <col min="55" max="55" width="14.140625" bestFit="1" customWidth="1"/>
    <col min="56" max="56" width="24.7109375" bestFit="1" customWidth="1"/>
    <col min="57" max="57" width="18.85546875" bestFit="1" customWidth="1"/>
    <col min="58" max="58" width="19.85546875" bestFit="1" customWidth="1"/>
    <col min="59" max="59" width="20.28515625" bestFit="1" customWidth="1"/>
    <col min="60" max="60" width="25.85546875" bestFit="1" customWidth="1"/>
    <col min="61" max="61" width="12" bestFit="1" customWidth="1"/>
    <col min="62" max="62" width="17" bestFit="1" customWidth="1"/>
    <col min="63" max="63" width="11.7109375" bestFit="1" customWidth="1"/>
  </cols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 t="s">
        <v>115</v>
      </c>
      <c r="B2">
        <v>2</v>
      </c>
      <c r="C2" t="s">
        <v>116</v>
      </c>
      <c r="F2" s="1">
        <v>46388</v>
      </c>
      <c r="G2" s="1">
        <v>46752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P2" t="s">
        <v>123</v>
      </c>
      <c r="Q2" t="s">
        <v>124</v>
      </c>
      <c r="R2" t="s">
        <v>125</v>
      </c>
      <c r="Y2" t="s">
        <v>126</v>
      </c>
      <c r="Z2" t="s">
        <v>127</v>
      </c>
      <c r="AA2" t="s">
        <v>128</v>
      </c>
      <c r="AB2" t="s">
        <v>129</v>
      </c>
      <c r="AD2" t="s">
        <v>130</v>
      </c>
      <c r="AF2" t="s">
        <v>131</v>
      </c>
      <c r="AG2" t="s">
        <v>132</v>
      </c>
      <c r="AH2" t="s">
        <v>133</v>
      </c>
      <c r="AI2">
        <v>28</v>
      </c>
      <c r="AJ2" t="s">
        <v>134</v>
      </c>
      <c r="AK2">
        <v>2782909304</v>
      </c>
      <c r="AM2">
        <v>11413</v>
      </c>
      <c r="AN2">
        <v>8464</v>
      </c>
      <c r="AO2" t="s">
        <v>135</v>
      </c>
      <c r="AP2" t="s">
        <v>136</v>
      </c>
      <c r="AQ2" t="s">
        <v>137</v>
      </c>
      <c r="AR2" t="s">
        <v>138</v>
      </c>
      <c r="AS2" t="s">
        <v>132</v>
      </c>
      <c r="AT2" t="s">
        <v>139</v>
      </c>
      <c r="AU2">
        <v>221</v>
      </c>
      <c r="AV2">
        <v>123</v>
      </c>
      <c r="AX2" t="s">
        <v>140</v>
      </c>
      <c r="AY2" t="s">
        <v>141</v>
      </c>
      <c r="AZ2">
        <v>212</v>
      </c>
      <c r="BA2" t="s">
        <v>8</v>
      </c>
      <c r="BB2" t="s">
        <v>142</v>
      </c>
      <c r="BC2" t="s">
        <v>143</v>
      </c>
      <c r="BD2" t="s">
        <v>144</v>
      </c>
      <c r="BE2" t="s">
        <v>145</v>
      </c>
      <c r="BF2">
        <v>177.79570000000001</v>
      </c>
      <c r="BG2" t="s">
        <v>146</v>
      </c>
      <c r="BH2">
        <v>648.95420000000001</v>
      </c>
      <c r="BI2">
        <v>1</v>
      </c>
      <c r="BJ2" t="s">
        <v>147</v>
      </c>
      <c r="BK2">
        <v>8.4391999999999996</v>
      </c>
      <c r="BL2" t="s">
        <v>148</v>
      </c>
      <c r="BM2" s="2">
        <v>11171</v>
      </c>
      <c r="BN2">
        <v>942.81219999999996</v>
      </c>
      <c r="DH2" s="1">
        <v>46309</v>
      </c>
      <c r="DK2" t="s">
        <v>142</v>
      </c>
    </row>
    <row r="3" spans="1:115" x14ac:dyDescent="0.25">
      <c r="A3" t="s">
        <v>115</v>
      </c>
      <c r="B3">
        <v>2</v>
      </c>
      <c r="C3" t="s">
        <v>116</v>
      </c>
      <c r="F3" s="1">
        <v>46388</v>
      </c>
      <c r="G3" s="1">
        <v>46752</v>
      </c>
      <c r="I3" t="s">
        <v>117</v>
      </c>
      <c r="J3" t="s">
        <v>118</v>
      </c>
      <c r="K3" t="s">
        <v>119</v>
      </c>
      <c r="L3" t="s">
        <v>120</v>
      </c>
      <c r="M3" t="s">
        <v>121</v>
      </c>
      <c r="N3" t="s">
        <v>122</v>
      </c>
      <c r="P3" t="s">
        <v>123</v>
      </c>
      <c r="Q3" t="s">
        <v>124</v>
      </c>
      <c r="R3" t="s">
        <v>125</v>
      </c>
      <c r="Y3" t="s">
        <v>149</v>
      </c>
      <c r="Z3" t="s">
        <v>150</v>
      </c>
      <c r="AB3" t="s">
        <v>151</v>
      </c>
      <c r="AD3" t="s">
        <v>152</v>
      </c>
      <c r="AF3" t="s">
        <v>131</v>
      </c>
      <c r="AG3" t="s">
        <v>132</v>
      </c>
      <c r="AH3" t="s">
        <v>133</v>
      </c>
      <c r="AI3">
        <v>28</v>
      </c>
      <c r="AJ3" t="s">
        <v>153</v>
      </c>
      <c r="AK3">
        <v>4155449210</v>
      </c>
      <c r="AM3">
        <v>6952</v>
      </c>
      <c r="AN3">
        <v>5027</v>
      </c>
      <c r="AO3" t="s">
        <v>135</v>
      </c>
      <c r="AP3" t="s">
        <v>154</v>
      </c>
      <c r="AQ3" t="s">
        <v>155</v>
      </c>
      <c r="AR3" t="s">
        <v>138</v>
      </c>
      <c r="AS3" t="s">
        <v>132</v>
      </c>
      <c r="AT3" t="s">
        <v>156</v>
      </c>
      <c r="AU3">
        <v>66</v>
      </c>
      <c r="AV3">
        <v>72</v>
      </c>
      <c r="AX3" t="s">
        <v>157</v>
      </c>
      <c r="AY3" t="s">
        <v>142</v>
      </c>
      <c r="AZ3">
        <v>6</v>
      </c>
      <c r="BA3" t="s">
        <v>158</v>
      </c>
      <c r="BB3" t="s">
        <v>142</v>
      </c>
      <c r="BC3" t="s">
        <v>143</v>
      </c>
      <c r="BD3" t="s">
        <v>144</v>
      </c>
      <c r="BE3" t="s">
        <v>145</v>
      </c>
      <c r="BF3">
        <v>86.075599999999994</v>
      </c>
      <c r="BG3" t="s">
        <v>146</v>
      </c>
      <c r="BH3">
        <v>314.17599999999999</v>
      </c>
      <c r="BI3">
        <v>1</v>
      </c>
      <c r="BJ3" t="s">
        <v>147</v>
      </c>
      <c r="BK3">
        <v>8.4118999999999993</v>
      </c>
      <c r="BL3" t="s">
        <v>148</v>
      </c>
      <c r="BM3" s="2">
        <v>6834</v>
      </c>
      <c r="BN3">
        <v>574.93259999999998</v>
      </c>
      <c r="DH3" s="1">
        <v>46309</v>
      </c>
      <c r="DK3" t="s">
        <v>141</v>
      </c>
    </row>
    <row r="4" spans="1:115" x14ac:dyDescent="0.25">
      <c r="A4" t="s">
        <v>115</v>
      </c>
      <c r="B4">
        <v>2</v>
      </c>
      <c r="C4" t="s">
        <v>116</v>
      </c>
      <c r="F4" s="1">
        <v>46388</v>
      </c>
      <c r="G4" s="1">
        <v>46752</v>
      </c>
      <c r="I4" t="s">
        <v>117</v>
      </c>
      <c r="J4" t="s">
        <v>118</v>
      </c>
      <c r="K4" t="s">
        <v>119</v>
      </c>
      <c r="L4" t="s">
        <v>120</v>
      </c>
      <c r="M4" t="s">
        <v>121</v>
      </c>
      <c r="N4" t="s">
        <v>122</v>
      </c>
      <c r="P4" t="s">
        <v>123</v>
      </c>
      <c r="Q4" t="s">
        <v>124</v>
      </c>
      <c r="R4" t="s">
        <v>125</v>
      </c>
      <c r="Y4" t="s">
        <v>159</v>
      </c>
      <c r="Z4" t="s">
        <v>160</v>
      </c>
      <c r="AB4" t="s">
        <v>151</v>
      </c>
      <c r="AD4" t="s">
        <v>161</v>
      </c>
      <c r="AF4" t="s">
        <v>131</v>
      </c>
      <c r="AG4" t="s">
        <v>132</v>
      </c>
      <c r="AH4" t="s">
        <v>133</v>
      </c>
      <c r="AI4">
        <v>28</v>
      </c>
      <c r="AJ4" t="s">
        <v>162</v>
      </c>
      <c r="AK4">
        <v>4155732306</v>
      </c>
      <c r="AM4">
        <v>21994</v>
      </c>
      <c r="AN4">
        <v>17754</v>
      </c>
      <c r="AO4" t="s">
        <v>135</v>
      </c>
      <c r="AP4" t="s">
        <v>154</v>
      </c>
      <c r="AQ4" t="s">
        <v>155</v>
      </c>
      <c r="AR4" t="s">
        <v>138</v>
      </c>
      <c r="AS4" t="s">
        <v>132</v>
      </c>
      <c r="AT4" t="s">
        <v>156</v>
      </c>
      <c r="AU4">
        <v>232</v>
      </c>
      <c r="AV4">
        <v>227</v>
      </c>
      <c r="AX4" t="s">
        <v>140</v>
      </c>
      <c r="AY4" t="s">
        <v>142</v>
      </c>
      <c r="AZ4">
        <v>6</v>
      </c>
      <c r="BA4" t="s">
        <v>158</v>
      </c>
      <c r="BB4" t="s">
        <v>142</v>
      </c>
      <c r="BC4" t="s">
        <v>143</v>
      </c>
      <c r="BD4" t="s">
        <v>144</v>
      </c>
      <c r="BE4" t="s">
        <v>145</v>
      </c>
      <c r="BF4">
        <v>182.42859999999999</v>
      </c>
      <c r="BG4" t="s">
        <v>146</v>
      </c>
      <c r="BH4">
        <v>665.86419999999998</v>
      </c>
      <c r="BI4">
        <v>1</v>
      </c>
      <c r="BJ4" t="s">
        <v>147</v>
      </c>
      <c r="BK4">
        <v>8.4077999999999999</v>
      </c>
      <c r="BL4" t="s">
        <v>148</v>
      </c>
      <c r="BM4" s="2">
        <v>21623</v>
      </c>
      <c r="BN4" s="3">
        <v>1818.2760000000001</v>
      </c>
      <c r="DH4" s="1">
        <v>46309</v>
      </c>
      <c r="DK4" t="s">
        <v>141</v>
      </c>
    </row>
    <row r="5" spans="1:115" x14ac:dyDescent="0.25">
      <c r="A5" t="s">
        <v>115</v>
      </c>
      <c r="B5">
        <v>2</v>
      </c>
      <c r="C5" t="s">
        <v>116</v>
      </c>
      <c r="F5" s="1">
        <v>46388</v>
      </c>
      <c r="G5" s="1">
        <v>46752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P5" t="s">
        <v>123</v>
      </c>
      <c r="Q5" t="s">
        <v>124</v>
      </c>
      <c r="R5" t="s">
        <v>125</v>
      </c>
      <c r="Y5" t="s">
        <v>150</v>
      </c>
      <c r="Z5" t="s">
        <v>163</v>
      </c>
      <c r="AA5" t="s">
        <v>164</v>
      </c>
      <c r="AD5" t="s">
        <v>165</v>
      </c>
      <c r="AF5" t="s">
        <v>131</v>
      </c>
      <c r="AG5" t="s">
        <v>132</v>
      </c>
      <c r="AH5" t="s">
        <v>133</v>
      </c>
      <c r="AI5">
        <v>28</v>
      </c>
      <c r="AJ5" t="s">
        <v>166</v>
      </c>
      <c r="AK5">
        <v>4155788008</v>
      </c>
      <c r="AM5">
        <v>15414</v>
      </c>
      <c r="AN5">
        <v>13317</v>
      </c>
      <c r="AO5" t="s">
        <v>135</v>
      </c>
      <c r="AP5" t="s">
        <v>154</v>
      </c>
      <c r="AQ5" t="s">
        <v>155</v>
      </c>
      <c r="AR5" t="s">
        <v>138</v>
      </c>
      <c r="AS5" t="s">
        <v>132</v>
      </c>
      <c r="AT5" t="s">
        <v>156</v>
      </c>
      <c r="AU5">
        <v>165</v>
      </c>
      <c r="AV5">
        <v>159</v>
      </c>
      <c r="AX5" t="s">
        <v>157</v>
      </c>
      <c r="AY5" t="s">
        <v>142</v>
      </c>
      <c r="AZ5">
        <v>6</v>
      </c>
      <c r="BA5" t="s">
        <v>158</v>
      </c>
      <c r="BB5" t="s">
        <v>142</v>
      </c>
      <c r="BC5" t="s">
        <v>143</v>
      </c>
      <c r="BD5" t="s">
        <v>144</v>
      </c>
      <c r="BE5" t="s">
        <v>145</v>
      </c>
      <c r="BF5">
        <v>143.53909999999999</v>
      </c>
      <c r="BG5" t="s">
        <v>146</v>
      </c>
      <c r="BH5">
        <v>523.91780000000006</v>
      </c>
      <c r="BI5">
        <v>1</v>
      </c>
      <c r="BJ5" t="s">
        <v>147</v>
      </c>
      <c r="BK5">
        <v>8.4087999999999994</v>
      </c>
      <c r="BL5" t="s">
        <v>148</v>
      </c>
      <c r="BM5" s="2">
        <v>15154</v>
      </c>
      <c r="BN5" s="3">
        <v>1274.2779</v>
      </c>
      <c r="DH5" s="1">
        <v>46309</v>
      </c>
      <c r="DK5" t="s">
        <v>141</v>
      </c>
    </row>
    <row r="6" spans="1:115" x14ac:dyDescent="0.25">
      <c r="A6" t="s">
        <v>115</v>
      </c>
      <c r="B6">
        <v>2</v>
      </c>
      <c r="C6" t="s">
        <v>116</v>
      </c>
      <c r="F6" s="1">
        <v>46388</v>
      </c>
      <c r="G6" s="1">
        <v>46752</v>
      </c>
      <c r="I6" t="s">
        <v>117</v>
      </c>
      <c r="J6" t="s">
        <v>118</v>
      </c>
      <c r="K6" t="s">
        <v>119</v>
      </c>
      <c r="L6" t="s">
        <v>120</v>
      </c>
      <c r="M6" t="s">
        <v>121</v>
      </c>
      <c r="N6" t="s">
        <v>122</v>
      </c>
      <c r="P6" t="s">
        <v>123</v>
      </c>
      <c r="Q6" t="s">
        <v>124</v>
      </c>
      <c r="R6" t="s">
        <v>125</v>
      </c>
      <c r="Y6" t="s">
        <v>167</v>
      </c>
      <c r="Z6" t="s">
        <v>160</v>
      </c>
      <c r="AA6" t="s">
        <v>168</v>
      </c>
      <c r="AB6" t="s">
        <v>151</v>
      </c>
      <c r="AD6" t="s">
        <v>169</v>
      </c>
      <c r="AF6" t="s">
        <v>131</v>
      </c>
      <c r="AG6" t="s">
        <v>132</v>
      </c>
      <c r="AH6" t="s">
        <v>133</v>
      </c>
      <c r="AI6">
        <v>28</v>
      </c>
      <c r="AJ6" t="s">
        <v>170</v>
      </c>
      <c r="AK6">
        <v>4155865606</v>
      </c>
      <c r="AM6">
        <v>25203</v>
      </c>
      <c r="AN6">
        <v>21849</v>
      </c>
      <c r="AO6" t="s">
        <v>135</v>
      </c>
      <c r="AP6" t="s">
        <v>154</v>
      </c>
      <c r="AQ6" t="s">
        <v>155</v>
      </c>
      <c r="AR6" t="s">
        <v>138</v>
      </c>
      <c r="AS6" t="s">
        <v>132</v>
      </c>
      <c r="AT6" t="s">
        <v>156</v>
      </c>
      <c r="AU6">
        <v>242</v>
      </c>
      <c r="AV6">
        <v>260</v>
      </c>
      <c r="AX6" t="s">
        <v>140</v>
      </c>
      <c r="AY6" t="s">
        <v>142</v>
      </c>
      <c r="AZ6">
        <v>6</v>
      </c>
      <c r="BA6" t="s">
        <v>158</v>
      </c>
      <c r="BB6" t="s">
        <v>142</v>
      </c>
      <c r="BC6" t="s">
        <v>143</v>
      </c>
      <c r="BD6" t="s">
        <v>144</v>
      </c>
      <c r="BE6" t="s">
        <v>145</v>
      </c>
      <c r="BF6">
        <v>188.233</v>
      </c>
      <c r="BG6" t="s">
        <v>146</v>
      </c>
      <c r="BH6">
        <v>687.50300000000004</v>
      </c>
      <c r="BI6">
        <v>1</v>
      </c>
      <c r="BJ6" t="s">
        <v>147</v>
      </c>
      <c r="BK6">
        <v>8.407</v>
      </c>
      <c r="BL6" t="s">
        <v>148</v>
      </c>
      <c r="BM6" s="2">
        <v>24777</v>
      </c>
      <c r="BN6" s="3">
        <v>2083.7939999999999</v>
      </c>
      <c r="DH6" s="1">
        <v>46309</v>
      </c>
      <c r="DK6" t="s">
        <v>141</v>
      </c>
    </row>
    <row r="7" spans="1:115" x14ac:dyDescent="0.25">
      <c r="A7" t="s">
        <v>115</v>
      </c>
      <c r="B7">
        <v>2</v>
      </c>
      <c r="C7" t="s">
        <v>116</v>
      </c>
      <c r="F7" s="1">
        <v>46388</v>
      </c>
      <c r="G7" s="1">
        <v>46752</v>
      </c>
      <c r="I7" t="s">
        <v>117</v>
      </c>
      <c r="J7" t="s">
        <v>118</v>
      </c>
      <c r="K7" t="s">
        <v>119</v>
      </c>
      <c r="L7" t="s">
        <v>120</v>
      </c>
      <c r="M7" t="s">
        <v>121</v>
      </c>
      <c r="N7" t="s">
        <v>122</v>
      </c>
      <c r="P7" t="s">
        <v>123</v>
      </c>
      <c r="Q7" t="s">
        <v>124</v>
      </c>
      <c r="R7" t="s">
        <v>125</v>
      </c>
      <c r="Y7" t="s">
        <v>171</v>
      </c>
      <c r="Z7" t="s">
        <v>150</v>
      </c>
      <c r="AA7" t="s">
        <v>172</v>
      </c>
      <c r="AB7" t="s">
        <v>151</v>
      </c>
      <c r="AD7" t="s">
        <v>173</v>
      </c>
      <c r="AF7" t="s">
        <v>131</v>
      </c>
      <c r="AG7" t="s">
        <v>132</v>
      </c>
      <c r="AH7" t="s">
        <v>133</v>
      </c>
      <c r="AI7">
        <v>28</v>
      </c>
      <c r="AJ7" t="s">
        <v>174</v>
      </c>
      <c r="AK7">
        <v>4155913310</v>
      </c>
      <c r="AM7">
        <v>15598</v>
      </c>
      <c r="AN7">
        <v>12801</v>
      </c>
      <c r="AO7" t="s">
        <v>135</v>
      </c>
      <c r="AP7" t="s">
        <v>154</v>
      </c>
      <c r="AQ7" t="s">
        <v>155</v>
      </c>
      <c r="AR7" t="s">
        <v>138</v>
      </c>
      <c r="AS7" t="s">
        <v>132</v>
      </c>
      <c r="AT7" t="s">
        <v>156</v>
      </c>
      <c r="AU7">
        <v>176</v>
      </c>
      <c r="AV7">
        <v>161</v>
      </c>
      <c r="AX7" t="s">
        <v>157</v>
      </c>
      <c r="AY7" t="s">
        <v>142</v>
      </c>
      <c r="AZ7">
        <v>6</v>
      </c>
      <c r="BA7" t="s">
        <v>158</v>
      </c>
      <c r="BB7" t="s">
        <v>142</v>
      </c>
      <c r="BC7" t="s">
        <v>143</v>
      </c>
      <c r="BD7" t="s">
        <v>144</v>
      </c>
      <c r="BE7" t="s">
        <v>145</v>
      </c>
      <c r="BF7">
        <v>149.92400000000001</v>
      </c>
      <c r="BG7" t="s">
        <v>146</v>
      </c>
      <c r="BH7">
        <v>547.22239999999999</v>
      </c>
      <c r="BI7">
        <v>1</v>
      </c>
      <c r="BJ7" t="s">
        <v>147</v>
      </c>
      <c r="BK7">
        <v>8.4091000000000005</v>
      </c>
      <c r="BL7" t="s">
        <v>148</v>
      </c>
      <c r="BM7" s="2">
        <v>15334</v>
      </c>
      <c r="BN7" s="3">
        <v>1289.5351000000001</v>
      </c>
      <c r="DH7" s="1">
        <v>46309</v>
      </c>
      <c r="DK7" t="s">
        <v>141</v>
      </c>
    </row>
    <row r="8" spans="1:115" x14ac:dyDescent="0.25">
      <c r="A8" t="s">
        <v>115</v>
      </c>
      <c r="B8">
        <v>2</v>
      </c>
      <c r="C8" t="s">
        <v>116</v>
      </c>
      <c r="F8" s="1">
        <v>46388</v>
      </c>
      <c r="G8" s="1">
        <v>46752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122</v>
      </c>
      <c r="P8" t="s">
        <v>123</v>
      </c>
      <c r="Q8" t="s">
        <v>124</v>
      </c>
      <c r="R8" t="s">
        <v>125</v>
      </c>
      <c r="Y8" t="s">
        <v>175</v>
      </c>
      <c r="Z8" t="s">
        <v>150</v>
      </c>
      <c r="AA8" t="s">
        <v>176</v>
      </c>
      <c r="AB8" t="s">
        <v>151</v>
      </c>
      <c r="AD8" t="s">
        <v>177</v>
      </c>
      <c r="AF8" t="s">
        <v>131</v>
      </c>
      <c r="AG8" t="s">
        <v>132</v>
      </c>
      <c r="AH8" t="s">
        <v>133</v>
      </c>
      <c r="AI8">
        <v>28</v>
      </c>
      <c r="AJ8" t="s">
        <v>178</v>
      </c>
      <c r="AK8">
        <v>4161164101</v>
      </c>
      <c r="AM8">
        <v>6650</v>
      </c>
      <c r="AN8">
        <v>2740</v>
      </c>
      <c r="AO8" t="s">
        <v>135</v>
      </c>
      <c r="AP8" t="s">
        <v>154</v>
      </c>
      <c r="AQ8" t="s">
        <v>155</v>
      </c>
      <c r="AR8" t="s">
        <v>138</v>
      </c>
      <c r="AS8" t="s">
        <v>132</v>
      </c>
      <c r="AT8" t="s">
        <v>156</v>
      </c>
      <c r="AU8">
        <v>79</v>
      </c>
      <c r="AV8">
        <v>68</v>
      </c>
      <c r="AX8" t="s">
        <v>140</v>
      </c>
      <c r="AY8" t="s">
        <v>142</v>
      </c>
      <c r="AZ8">
        <v>6</v>
      </c>
      <c r="BA8" t="s">
        <v>158</v>
      </c>
      <c r="BB8" t="s">
        <v>142</v>
      </c>
      <c r="BC8" t="s">
        <v>143</v>
      </c>
      <c r="BD8" t="s">
        <v>144</v>
      </c>
      <c r="BE8" t="s">
        <v>145</v>
      </c>
      <c r="BF8">
        <v>93.621300000000005</v>
      </c>
      <c r="BG8" t="s">
        <v>146</v>
      </c>
      <c r="BH8">
        <v>341.71780000000001</v>
      </c>
      <c r="BI8">
        <f>BH8*365/1200</f>
        <v>103.93916416666667</v>
      </c>
      <c r="BJ8" t="s">
        <v>147</v>
      </c>
      <c r="BK8">
        <v>8.4136000000000006</v>
      </c>
      <c r="BL8" t="s">
        <v>148</v>
      </c>
      <c r="BM8" s="2">
        <v>6537</v>
      </c>
      <c r="BN8">
        <v>550.67999999999995</v>
      </c>
      <c r="DH8" s="1">
        <v>46309</v>
      </c>
      <c r="DK8" t="s">
        <v>141</v>
      </c>
    </row>
    <row r="9" spans="1:115" x14ac:dyDescent="0.25">
      <c r="A9" t="s">
        <v>115</v>
      </c>
      <c r="B9">
        <v>2</v>
      </c>
      <c r="C9" t="s">
        <v>116</v>
      </c>
      <c r="F9" s="1">
        <v>46388</v>
      </c>
      <c r="G9" s="1">
        <v>46752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  <c r="P9" t="s">
        <v>123</v>
      </c>
      <c r="Q9" t="s">
        <v>124</v>
      </c>
      <c r="R9" t="s">
        <v>125</v>
      </c>
      <c r="Y9" t="s">
        <v>179</v>
      </c>
      <c r="Z9" t="s">
        <v>180</v>
      </c>
      <c r="AB9" t="s">
        <v>151</v>
      </c>
      <c r="AD9" t="s">
        <v>181</v>
      </c>
      <c r="AF9" t="s">
        <v>131</v>
      </c>
      <c r="AG9" t="s">
        <v>132</v>
      </c>
      <c r="AH9" t="s">
        <v>133</v>
      </c>
      <c r="AI9">
        <v>28</v>
      </c>
      <c r="AJ9" t="s">
        <v>182</v>
      </c>
      <c r="AK9">
        <v>4161405400</v>
      </c>
      <c r="AM9">
        <v>1</v>
      </c>
      <c r="AN9">
        <v>36508</v>
      </c>
      <c r="AO9" t="s">
        <v>183</v>
      </c>
      <c r="AP9" t="s">
        <v>154</v>
      </c>
      <c r="AQ9" t="s">
        <v>155</v>
      </c>
      <c r="AR9" t="s">
        <v>138</v>
      </c>
      <c r="AS9" t="s">
        <v>132</v>
      </c>
      <c r="AT9" t="s">
        <v>156</v>
      </c>
      <c r="AU9">
        <v>1</v>
      </c>
      <c r="AV9">
        <v>1</v>
      </c>
      <c r="AW9" t="s">
        <v>141</v>
      </c>
      <c r="AX9" t="s">
        <v>140</v>
      </c>
      <c r="AY9" t="s">
        <v>142</v>
      </c>
      <c r="AZ9">
        <v>25</v>
      </c>
      <c r="BA9" t="s">
        <v>8</v>
      </c>
      <c r="BB9" t="s">
        <v>142</v>
      </c>
      <c r="BC9" t="s">
        <v>143</v>
      </c>
      <c r="BD9" t="s">
        <v>144</v>
      </c>
      <c r="BE9" t="s">
        <v>145</v>
      </c>
      <c r="BF9">
        <v>271.01179999999999</v>
      </c>
      <c r="BG9" t="s">
        <v>146</v>
      </c>
      <c r="BH9">
        <v>989.19320000000005</v>
      </c>
      <c r="BI9">
        <v>1</v>
      </c>
      <c r="BJ9" t="s">
        <v>147</v>
      </c>
      <c r="BK9">
        <v>8.4069000000000003</v>
      </c>
      <c r="BL9" t="s">
        <v>148</v>
      </c>
      <c r="BM9" s="2">
        <v>35892</v>
      </c>
      <c r="BN9" s="3">
        <v>3017.4445999999998</v>
      </c>
      <c r="DH9" s="1">
        <v>46309</v>
      </c>
      <c r="DK9" t="s">
        <v>142</v>
      </c>
    </row>
    <row r="10" spans="1:115" x14ac:dyDescent="0.25">
      <c r="A10" t="s">
        <v>115</v>
      </c>
      <c r="B10">
        <v>2</v>
      </c>
      <c r="C10" t="s">
        <v>116</v>
      </c>
      <c r="F10" s="1">
        <v>46388</v>
      </c>
      <c r="G10" s="1">
        <v>46752</v>
      </c>
      <c r="I10" t="s">
        <v>117</v>
      </c>
      <c r="J10" t="s">
        <v>118</v>
      </c>
      <c r="K10" t="s">
        <v>119</v>
      </c>
      <c r="L10" t="s">
        <v>120</v>
      </c>
      <c r="M10" t="s">
        <v>121</v>
      </c>
      <c r="N10" t="s">
        <v>122</v>
      </c>
      <c r="P10" t="s">
        <v>123</v>
      </c>
      <c r="Q10" t="s">
        <v>124</v>
      </c>
      <c r="R10" t="s">
        <v>125</v>
      </c>
      <c r="Y10" t="s">
        <v>184</v>
      </c>
      <c r="Z10" t="s">
        <v>185</v>
      </c>
      <c r="AB10" t="s">
        <v>151</v>
      </c>
      <c r="AD10" t="s">
        <v>186</v>
      </c>
      <c r="AF10" t="s">
        <v>131</v>
      </c>
      <c r="AG10" t="s">
        <v>132</v>
      </c>
      <c r="AH10" t="s">
        <v>133</v>
      </c>
      <c r="AI10">
        <v>28</v>
      </c>
      <c r="AJ10" t="s">
        <v>187</v>
      </c>
      <c r="AK10">
        <v>4161533802</v>
      </c>
      <c r="AM10">
        <v>10142</v>
      </c>
      <c r="AN10">
        <v>9329</v>
      </c>
      <c r="AO10" t="s">
        <v>135</v>
      </c>
      <c r="AP10" t="s">
        <v>154</v>
      </c>
      <c r="AQ10" t="s">
        <v>155</v>
      </c>
      <c r="AR10" t="s">
        <v>138</v>
      </c>
      <c r="AS10" t="s">
        <v>132</v>
      </c>
      <c r="AT10" t="s">
        <v>156</v>
      </c>
      <c r="AU10">
        <v>100</v>
      </c>
      <c r="AV10">
        <v>104</v>
      </c>
      <c r="AX10" t="s">
        <v>140</v>
      </c>
      <c r="AY10" t="s">
        <v>142</v>
      </c>
      <c r="AZ10">
        <v>6</v>
      </c>
      <c r="BA10" t="s">
        <v>158</v>
      </c>
      <c r="BB10" t="s">
        <v>142</v>
      </c>
      <c r="BC10" t="s">
        <v>143</v>
      </c>
      <c r="BD10" t="s">
        <v>144</v>
      </c>
      <c r="BE10" t="s">
        <v>145</v>
      </c>
      <c r="BF10">
        <v>105.81059999999999</v>
      </c>
      <c r="BG10" t="s">
        <v>146</v>
      </c>
      <c r="BH10">
        <v>386.20850000000002</v>
      </c>
      <c r="BI10">
        <v>1</v>
      </c>
      <c r="BJ10" t="s">
        <v>147</v>
      </c>
      <c r="BK10">
        <v>8.41</v>
      </c>
      <c r="BL10" t="s">
        <v>148</v>
      </c>
      <c r="BM10" s="2">
        <v>9970</v>
      </c>
      <c r="BN10">
        <v>838.55240000000003</v>
      </c>
      <c r="DH10" s="1">
        <v>46309</v>
      </c>
      <c r="DK10" t="s">
        <v>141</v>
      </c>
    </row>
    <row r="11" spans="1:115" x14ac:dyDescent="0.25">
      <c r="A11" t="s">
        <v>115</v>
      </c>
      <c r="B11">
        <v>2</v>
      </c>
      <c r="C11" t="s">
        <v>116</v>
      </c>
      <c r="F11" s="1">
        <v>46388</v>
      </c>
      <c r="G11" s="1">
        <v>46752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  <c r="N11" t="s">
        <v>122</v>
      </c>
      <c r="P11" t="s">
        <v>123</v>
      </c>
      <c r="Q11" t="s">
        <v>124</v>
      </c>
      <c r="R11" t="s">
        <v>125</v>
      </c>
      <c r="Y11" t="s">
        <v>188</v>
      </c>
      <c r="Z11" t="s">
        <v>189</v>
      </c>
      <c r="AB11" t="s">
        <v>151</v>
      </c>
      <c r="AD11" t="s">
        <v>190</v>
      </c>
      <c r="AF11" t="s">
        <v>131</v>
      </c>
      <c r="AG11" t="s">
        <v>132</v>
      </c>
      <c r="AH11" t="s">
        <v>133</v>
      </c>
      <c r="AI11">
        <v>28</v>
      </c>
      <c r="AJ11" t="s">
        <v>191</v>
      </c>
      <c r="AK11">
        <v>4161545607</v>
      </c>
      <c r="AM11">
        <v>21416</v>
      </c>
      <c r="AN11">
        <v>18432</v>
      </c>
      <c r="AO11" t="s">
        <v>135</v>
      </c>
      <c r="AP11" t="s">
        <v>154</v>
      </c>
      <c r="AQ11" t="s">
        <v>155</v>
      </c>
      <c r="AR11" t="s">
        <v>138</v>
      </c>
      <c r="AS11" t="s">
        <v>132</v>
      </c>
      <c r="AT11" t="s">
        <v>156</v>
      </c>
      <c r="AU11">
        <v>216</v>
      </c>
      <c r="AV11">
        <v>221</v>
      </c>
      <c r="AX11" t="s">
        <v>140</v>
      </c>
      <c r="AY11" t="s">
        <v>142</v>
      </c>
      <c r="AZ11">
        <v>6</v>
      </c>
      <c r="BA11" t="s">
        <v>158</v>
      </c>
      <c r="BB11" t="s">
        <v>142</v>
      </c>
      <c r="BC11" t="s">
        <v>143</v>
      </c>
      <c r="BD11" t="s">
        <v>144</v>
      </c>
      <c r="BE11" t="s">
        <v>145</v>
      </c>
      <c r="BF11">
        <v>173.14150000000001</v>
      </c>
      <c r="BG11" t="s">
        <v>146</v>
      </c>
      <c r="BH11">
        <v>631.96659999999997</v>
      </c>
      <c r="BI11">
        <v>1</v>
      </c>
      <c r="BJ11" t="s">
        <v>147</v>
      </c>
      <c r="BK11">
        <v>8.4076000000000004</v>
      </c>
      <c r="BL11" t="s">
        <v>148</v>
      </c>
      <c r="BM11" s="2">
        <v>21054</v>
      </c>
      <c r="BN11" s="3">
        <v>1770.2058</v>
      </c>
      <c r="DH11" s="1">
        <v>46309</v>
      </c>
      <c r="DK11" t="s">
        <v>141</v>
      </c>
    </row>
    <row r="12" spans="1:115" x14ac:dyDescent="0.25">
      <c r="A12" t="s">
        <v>115</v>
      </c>
      <c r="B12">
        <v>2</v>
      </c>
      <c r="C12" t="s">
        <v>116</v>
      </c>
      <c r="F12" s="1">
        <v>46388</v>
      </c>
      <c r="G12" s="1">
        <v>46752</v>
      </c>
      <c r="I12" t="s">
        <v>117</v>
      </c>
      <c r="J12" t="s">
        <v>118</v>
      </c>
      <c r="K12" t="s">
        <v>119</v>
      </c>
      <c r="L12" t="s">
        <v>120</v>
      </c>
      <c r="M12" t="s">
        <v>121</v>
      </c>
      <c r="N12" t="s">
        <v>122</v>
      </c>
      <c r="P12" t="s">
        <v>123</v>
      </c>
      <c r="Q12" t="s">
        <v>124</v>
      </c>
      <c r="R12" t="s">
        <v>125</v>
      </c>
      <c r="Y12" t="s">
        <v>192</v>
      </c>
      <c r="Z12" t="s">
        <v>193</v>
      </c>
      <c r="AA12" t="s">
        <v>194</v>
      </c>
      <c r="AD12" t="s">
        <v>195</v>
      </c>
      <c r="AF12" t="s">
        <v>131</v>
      </c>
      <c r="AG12" t="s">
        <v>132</v>
      </c>
      <c r="AH12" t="s">
        <v>133</v>
      </c>
      <c r="AI12">
        <v>28</v>
      </c>
      <c r="AJ12" t="s">
        <v>196</v>
      </c>
      <c r="AK12">
        <v>4166087101</v>
      </c>
      <c r="AM12">
        <v>6668</v>
      </c>
      <c r="AN12">
        <v>20088</v>
      </c>
      <c r="AO12" t="s">
        <v>135</v>
      </c>
      <c r="AP12" t="s">
        <v>154</v>
      </c>
      <c r="AQ12" t="s">
        <v>155</v>
      </c>
      <c r="AR12" t="s">
        <v>138</v>
      </c>
      <c r="AS12" t="s">
        <v>132</v>
      </c>
      <c r="AT12" t="s">
        <v>156</v>
      </c>
      <c r="AU12">
        <v>716</v>
      </c>
      <c r="AV12">
        <v>69</v>
      </c>
      <c r="AX12" t="s">
        <v>140</v>
      </c>
      <c r="AY12" t="s">
        <v>141</v>
      </c>
      <c r="AZ12">
        <v>212</v>
      </c>
      <c r="BA12" t="s">
        <v>8</v>
      </c>
      <c r="BB12" t="s">
        <v>142</v>
      </c>
      <c r="BC12" t="s">
        <v>143</v>
      </c>
      <c r="BD12" t="s">
        <v>144</v>
      </c>
      <c r="BE12" t="s">
        <v>145</v>
      </c>
      <c r="BF12">
        <v>463.3612</v>
      </c>
      <c r="BG12" t="s">
        <v>146</v>
      </c>
      <c r="BH12" s="3">
        <v>1691.2684999999999</v>
      </c>
      <c r="BI12">
        <v>1</v>
      </c>
      <c r="BJ12" t="s">
        <v>147</v>
      </c>
      <c r="BK12">
        <v>8.4689999999999994</v>
      </c>
      <c r="BL12" t="s">
        <v>148</v>
      </c>
      <c r="BM12" s="2">
        <v>6555</v>
      </c>
      <c r="BN12">
        <v>555.18920000000003</v>
      </c>
      <c r="DH12" s="1">
        <v>46309</v>
      </c>
      <c r="DK12" t="s">
        <v>142</v>
      </c>
    </row>
    <row r="13" spans="1:115" x14ac:dyDescent="0.25">
      <c r="A13" t="s">
        <v>115</v>
      </c>
      <c r="B13">
        <v>2</v>
      </c>
      <c r="C13" t="s">
        <v>116</v>
      </c>
      <c r="F13" s="1">
        <v>46388</v>
      </c>
      <c r="G13" s="1">
        <v>46752</v>
      </c>
      <c r="I13" t="s">
        <v>117</v>
      </c>
      <c r="J13" t="s">
        <v>118</v>
      </c>
      <c r="K13" t="s">
        <v>119</v>
      </c>
      <c r="L13" t="s">
        <v>120</v>
      </c>
      <c r="M13" t="s">
        <v>121</v>
      </c>
      <c r="N13" t="s">
        <v>122</v>
      </c>
      <c r="P13" t="s">
        <v>123</v>
      </c>
      <c r="Q13" t="s">
        <v>124</v>
      </c>
      <c r="R13" t="s">
        <v>125</v>
      </c>
      <c r="Y13" t="s">
        <v>184</v>
      </c>
      <c r="Z13" t="s">
        <v>197</v>
      </c>
      <c r="AB13" t="s">
        <v>151</v>
      </c>
      <c r="AD13" t="s">
        <v>198</v>
      </c>
      <c r="AF13" t="s">
        <v>131</v>
      </c>
      <c r="AG13" t="s">
        <v>132</v>
      </c>
      <c r="AH13" t="s">
        <v>133</v>
      </c>
      <c r="AI13">
        <v>28</v>
      </c>
      <c r="AJ13" t="s">
        <v>199</v>
      </c>
      <c r="AK13">
        <v>4166336208</v>
      </c>
      <c r="AM13">
        <v>9226</v>
      </c>
      <c r="AN13">
        <v>7560</v>
      </c>
      <c r="AO13" t="s">
        <v>135</v>
      </c>
      <c r="AP13" t="s">
        <v>154</v>
      </c>
      <c r="AQ13" t="s">
        <v>155</v>
      </c>
      <c r="AR13" t="s">
        <v>138</v>
      </c>
      <c r="AS13" t="s">
        <v>132</v>
      </c>
      <c r="AT13" t="s">
        <v>156</v>
      </c>
      <c r="AU13">
        <v>70</v>
      </c>
      <c r="AV13">
        <v>95</v>
      </c>
      <c r="AX13" t="s">
        <v>140</v>
      </c>
      <c r="AY13" t="s">
        <v>142</v>
      </c>
      <c r="AZ13">
        <v>6</v>
      </c>
      <c r="BA13" t="s">
        <v>158</v>
      </c>
      <c r="BB13" t="s">
        <v>142</v>
      </c>
      <c r="BC13" t="s">
        <v>143</v>
      </c>
      <c r="BD13" t="s">
        <v>144</v>
      </c>
      <c r="BE13" t="s">
        <v>145</v>
      </c>
      <c r="BF13">
        <v>88.397400000000005</v>
      </c>
      <c r="BG13" t="s">
        <v>146</v>
      </c>
      <c r="BH13">
        <v>322.65039999999999</v>
      </c>
      <c r="BI13">
        <v>1</v>
      </c>
      <c r="BJ13" t="s">
        <v>147</v>
      </c>
      <c r="BK13">
        <v>8.4091000000000005</v>
      </c>
      <c r="BL13" t="s">
        <v>148</v>
      </c>
      <c r="BM13" s="2">
        <v>9070</v>
      </c>
      <c r="BN13">
        <v>762.73919999999998</v>
      </c>
      <c r="DH13" s="1">
        <v>46309</v>
      </c>
      <c r="DK13" t="s">
        <v>141</v>
      </c>
    </row>
    <row r="14" spans="1:115" x14ac:dyDescent="0.25">
      <c r="A14" t="s">
        <v>115</v>
      </c>
      <c r="B14">
        <v>2</v>
      </c>
      <c r="C14" t="s">
        <v>116</v>
      </c>
      <c r="F14" s="1">
        <v>46388</v>
      </c>
      <c r="G14" s="1">
        <v>46752</v>
      </c>
      <c r="I14" t="s">
        <v>117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  <c r="P14" t="s">
        <v>123</v>
      </c>
      <c r="Q14" t="s">
        <v>124</v>
      </c>
      <c r="R14" t="s">
        <v>125</v>
      </c>
      <c r="Y14" t="s">
        <v>200</v>
      </c>
      <c r="Z14" t="s">
        <v>201</v>
      </c>
      <c r="AA14" t="s">
        <v>202</v>
      </c>
      <c r="AB14" t="s">
        <v>151</v>
      </c>
      <c r="AD14" t="s">
        <v>203</v>
      </c>
      <c r="AF14" t="s">
        <v>131</v>
      </c>
      <c r="AG14" t="s">
        <v>132</v>
      </c>
      <c r="AH14" t="s">
        <v>133</v>
      </c>
      <c r="AI14">
        <v>28</v>
      </c>
      <c r="AJ14" t="s">
        <v>204</v>
      </c>
      <c r="AK14">
        <v>4166534605</v>
      </c>
      <c r="AM14">
        <v>17784</v>
      </c>
      <c r="AN14">
        <v>14427</v>
      </c>
      <c r="AO14" t="s">
        <v>135</v>
      </c>
      <c r="AP14" t="s">
        <v>154</v>
      </c>
      <c r="AQ14" t="s">
        <v>155</v>
      </c>
      <c r="AR14" t="s">
        <v>138</v>
      </c>
      <c r="AS14" t="s">
        <v>132</v>
      </c>
      <c r="AT14" t="s">
        <v>156</v>
      </c>
      <c r="AU14">
        <v>159</v>
      </c>
      <c r="AV14">
        <v>183</v>
      </c>
      <c r="AX14" t="s">
        <v>140</v>
      </c>
      <c r="AY14" t="s">
        <v>142</v>
      </c>
      <c r="AZ14">
        <v>6</v>
      </c>
      <c r="BA14" t="s">
        <v>158</v>
      </c>
      <c r="BB14" t="s">
        <v>142</v>
      </c>
      <c r="BC14" t="s">
        <v>143</v>
      </c>
      <c r="BD14" t="s">
        <v>144</v>
      </c>
      <c r="BE14" t="s">
        <v>145</v>
      </c>
      <c r="BF14">
        <v>140.0565</v>
      </c>
      <c r="BG14" t="s">
        <v>146</v>
      </c>
      <c r="BH14">
        <v>511.20620000000002</v>
      </c>
      <c r="BI14">
        <v>1</v>
      </c>
      <c r="BJ14" t="s">
        <v>147</v>
      </c>
      <c r="BK14">
        <v>8.4074000000000009</v>
      </c>
      <c r="BL14" t="s">
        <v>148</v>
      </c>
      <c r="BM14" s="2">
        <v>17484</v>
      </c>
      <c r="BN14" s="3">
        <v>1469.9549999999999</v>
      </c>
      <c r="DH14" s="1">
        <v>46309</v>
      </c>
      <c r="DK14" t="s">
        <v>141</v>
      </c>
    </row>
    <row r="15" spans="1:115" x14ac:dyDescent="0.25">
      <c r="A15" t="s">
        <v>115</v>
      </c>
      <c r="B15">
        <v>2</v>
      </c>
      <c r="C15" t="s">
        <v>116</v>
      </c>
      <c r="F15" s="1">
        <v>46388</v>
      </c>
      <c r="G15" s="1">
        <v>46752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P15" t="s">
        <v>123</v>
      </c>
      <c r="Q15" t="s">
        <v>124</v>
      </c>
      <c r="R15" t="s">
        <v>125</v>
      </c>
      <c r="Y15" t="s">
        <v>205</v>
      </c>
      <c r="Z15" t="s">
        <v>150</v>
      </c>
      <c r="AB15" t="s">
        <v>151</v>
      </c>
      <c r="AD15" t="s">
        <v>206</v>
      </c>
      <c r="AF15" t="s">
        <v>131</v>
      </c>
      <c r="AG15" t="s">
        <v>132</v>
      </c>
      <c r="AH15" t="s">
        <v>133</v>
      </c>
      <c r="AI15">
        <v>28</v>
      </c>
      <c r="AJ15" t="s">
        <v>207</v>
      </c>
      <c r="AK15">
        <v>4166990710</v>
      </c>
      <c r="AM15">
        <v>8953</v>
      </c>
      <c r="AN15">
        <v>7228</v>
      </c>
      <c r="AO15" t="s">
        <v>135</v>
      </c>
      <c r="AP15" t="s">
        <v>154</v>
      </c>
      <c r="AQ15" t="s">
        <v>155</v>
      </c>
      <c r="AR15" t="s">
        <v>138</v>
      </c>
      <c r="AS15" t="s">
        <v>132</v>
      </c>
      <c r="AT15" t="s">
        <v>156</v>
      </c>
      <c r="AU15">
        <v>122</v>
      </c>
      <c r="AV15">
        <v>92</v>
      </c>
      <c r="AX15" t="s">
        <v>157</v>
      </c>
      <c r="AY15" t="s">
        <v>142</v>
      </c>
      <c r="AZ15">
        <v>6</v>
      </c>
      <c r="BA15" t="s">
        <v>158</v>
      </c>
      <c r="BB15" t="s">
        <v>142</v>
      </c>
      <c r="BC15" t="s">
        <v>143</v>
      </c>
      <c r="BD15" t="s">
        <v>144</v>
      </c>
      <c r="BE15" t="s">
        <v>145</v>
      </c>
      <c r="BF15">
        <v>118.5802</v>
      </c>
      <c r="BG15" t="s">
        <v>146</v>
      </c>
      <c r="BH15">
        <v>432.81779999999998</v>
      </c>
      <c r="BI15">
        <v>1</v>
      </c>
      <c r="BJ15" t="s">
        <v>147</v>
      </c>
      <c r="BK15">
        <v>8.4128000000000007</v>
      </c>
      <c r="BL15" t="s">
        <v>148</v>
      </c>
      <c r="BM15" s="2">
        <v>8802</v>
      </c>
      <c r="BN15">
        <v>740.49199999999996</v>
      </c>
      <c r="DH15" s="1">
        <v>46309</v>
      </c>
      <c r="DK15" t="s">
        <v>141</v>
      </c>
    </row>
    <row r="16" spans="1:115" x14ac:dyDescent="0.25">
      <c r="A16" t="s">
        <v>115</v>
      </c>
      <c r="B16">
        <v>2</v>
      </c>
      <c r="C16" t="s">
        <v>116</v>
      </c>
      <c r="F16" s="1">
        <v>46388</v>
      </c>
      <c r="G16" s="1">
        <v>46752</v>
      </c>
      <c r="I16" t="s">
        <v>117</v>
      </c>
      <c r="J16" t="s">
        <v>118</v>
      </c>
      <c r="K16" t="s">
        <v>119</v>
      </c>
      <c r="L16" t="s">
        <v>120</v>
      </c>
      <c r="M16" t="s">
        <v>121</v>
      </c>
      <c r="N16" t="s">
        <v>122</v>
      </c>
      <c r="P16" t="s">
        <v>123</v>
      </c>
      <c r="Q16" t="s">
        <v>124</v>
      </c>
      <c r="R16" t="s">
        <v>125</v>
      </c>
      <c r="Y16" t="s">
        <v>201</v>
      </c>
      <c r="Z16" t="s">
        <v>208</v>
      </c>
      <c r="AD16" t="s">
        <v>209</v>
      </c>
      <c r="AF16" t="s">
        <v>131</v>
      </c>
      <c r="AG16" t="s">
        <v>132</v>
      </c>
      <c r="AH16" t="s">
        <v>133</v>
      </c>
      <c r="AI16">
        <v>28</v>
      </c>
      <c r="AJ16" t="s">
        <v>210</v>
      </c>
      <c r="AK16">
        <v>4168058800</v>
      </c>
      <c r="AM16">
        <v>18723</v>
      </c>
      <c r="AN16">
        <v>15324</v>
      </c>
      <c r="AO16" t="s">
        <v>135</v>
      </c>
      <c r="AP16" t="s">
        <v>154</v>
      </c>
      <c r="AQ16" t="s">
        <v>155</v>
      </c>
      <c r="AR16" t="s">
        <v>138</v>
      </c>
      <c r="AS16" t="s">
        <v>132</v>
      </c>
      <c r="AT16" t="s">
        <v>156</v>
      </c>
      <c r="AU16">
        <v>265</v>
      </c>
      <c r="AV16">
        <v>193</v>
      </c>
      <c r="AX16" t="s">
        <v>140</v>
      </c>
      <c r="AY16" t="s">
        <v>141</v>
      </c>
      <c r="AZ16">
        <v>212</v>
      </c>
      <c r="BA16" t="s">
        <v>8</v>
      </c>
      <c r="BB16" t="s">
        <v>142</v>
      </c>
      <c r="BC16" t="s">
        <v>143</v>
      </c>
      <c r="BD16" t="s">
        <v>144</v>
      </c>
      <c r="BE16" t="s">
        <v>145</v>
      </c>
      <c r="BF16">
        <v>201.5831</v>
      </c>
      <c r="BG16" t="s">
        <v>146</v>
      </c>
      <c r="BH16">
        <v>735.77819999999997</v>
      </c>
      <c r="BI16">
        <v>1</v>
      </c>
      <c r="BJ16" t="s">
        <v>147</v>
      </c>
      <c r="BK16">
        <v>8.4102999999999994</v>
      </c>
      <c r="BL16" t="s">
        <v>148</v>
      </c>
      <c r="BM16" s="2">
        <v>18407</v>
      </c>
      <c r="BN16" s="3">
        <v>1548.1012000000001</v>
      </c>
      <c r="DH16" s="1">
        <v>46309</v>
      </c>
      <c r="DK16" t="s">
        <v>142</v>
      </c>
    </row>
    <row r="17" spans="1:115" x14ac:dyDescent="0.25">
      <c r="A17" t="s">
        <v>115</v>
      </c>
      <c r="B17">
        <v>2</v>
      </c>
      <c r="C17" t="s">
        <v>116</v>
      </c>
      <c r="F17" s="1">
        <v>46388</v>
      </c>
      <c r="G17" s="1">
        <v>46752</v>
      </c>
      <c r="I17" t="s">
        <v>117</v>
      </c>
      <c r="J17" t="s">
        <v>118</v>
      </c>
      <c r="K17" t="s">
        <v>119</v>
      </c>
      <c r="L17" t="s">
        <v>120</v>
      </c>
      <c r="M17" t="s">
        <v>121</v>
      </c>
      <c r="N17" t="s">
        <v>122</v>
      </c>
      <c r="P17" t="s">
        <v>123</v>
      </c>
      <c r="Q17" t="s">
        <v>124</v>
      </c>
      <c r="R17" t="s">
        <v>125</v>
      </c>
      <c r="Y17" t="s">
        <v>211</v>
      </c>
      <c r="Z17" t="s">
        <v>184</v>
      </c>
      <c r="AB17" t="s">
        <v>212</v>
      </c>
      <c r="AD17" t="s">
        <v>213</v>
      </c>
      <c r="AF17" t="s">
        <v>131</v>
      </c>
      <c r="AG17" t="s">
        <v>132</v>
      </c>
      <c r="AH17" t="s">
        <v>133</v>
      </c>
      <c r="AI17">
        <v>28</v>
      </c>
      <c r="AJ17" t="s">
        <v>214</v>
      </c>
      <c r="AK17">
        <v>4168282704</v>
      </c>
      <c r="AM17">
        <v>8096</v>
      </c>
      <c r="AN17">
        <v>7501</v>
      </c>
      <c r="AO17" t="s">
        <v>135</v>
      </c>
      <c r="AP17" t="s">
        <v>154</v>
      </c>
      <c r="AQ17" t="s">
        <v>155</v>
      </c>
      <c r="AR17" t="s">
        <v>138</v>
      </c>
      <c r="AS17" t="s">
        <v>132</v>
      </c>
      <c r="AT17" t="s">
        <v>156</v>
      </c>
      <c r="AU17">
        <v>82</v>
      </c>
      <c r="AV17">
        <v>83</v>
      </c>
      <c r="AX17" t="s">
        <v>140</v>
      </c>
      <c r="AY17" t="s">
        <v>141</v>
      </c>
      <c r="AZ17">
        <v>212</v>
      </c>
      <c r="BA17" t="s">
        <v>8</v>
      </c>
      <c r="BB17" t="s">
        <v>142</v>
      </c>
      <c r="BC17" t="s">
        <v>143</v>
      </c>
      <c r="BD17" t="s">
        <v>144</v>
      </c>
      <c r="BE17" t="s">
        <v>145</v>
      </c>
      <c r="BF17">
        <v>95.362700000000004</v>
      </c>
      <c r="BG17" t="s">
        <v>146</v>
      </c>
      <c r="BH17">
        <v>348.73700000000002</v>
      </c>
      <c r="BI17">
        <v>1</v>
      </c>
      <c r="BJ17" t="s">
        <v>147</v>
      </c>
      <c r="BK17">
        <v>8.4113000000000007</v>
      </c>
      <c r="BL17" t="s">
        <v>148</v>
      </c>
      <c r="BM17" s="2">
        <v>7959</v>
      </c>
      <c r="BN17">
        <v>669.49379999999996</v>
      </c>
      <c r="DH17" s="1">
        <v>46309</v>
      </c>
      <c r="DK17" t="s">
        <v>142</v>
      </c>
    </row>
    <row r="18" spans="1:115" x14ac:dyDescent="0.25">
      <c r="A18" t="s">
        <v>115</v>
      </c>
      <c r="B18">
        <v>2</v>
      </c>
      <c r="C18" t="s">
        <v>116</v>
      </c>
      <c r="F18" s="1">
        <v>46388</v>
      </c>
      <c r="G18" s="1">
        <v>46752</v>
      </c>
      <c r="I18" t="s">
        <v>117</v>
      </c>
      <c r="J18" t="s">
        <v>118</v>
      </c>
      <c r="K18" t="s">
        <v>119</v>
      </c>
      <c r="L18" t="s">
        <v>120</v>
      </c>
      <c r="M18" t="s">
        <v>121</v>
      </c>
      <c r="N18" t="s">
        <v>122</v>
      </c>
      <c r="P18" t="s">
        <v>123</v>
      </c>
      <c r="Q18" t="s">
        <v>124</v>
      </c>
      <c r="R18" t="s">
        <v>125</v>
      </c>
      <c r="Y18" t="s">
        <v>215</v>
      </c>
      <c r="Z18" t="s">
        <v>216</v>
      </c>
      <c r="AA18" t="s">
        <v>194</v>
      </c>
      <c r="AD18" t="s">
        <v>217</v>
      </c>
      <c r="AF18" t="s">
        <v>131</v>
      </c>
      <c r="AG18" t="s">
        <v>132</v>
      </c>
      <c r="AH18" t="s">
        <v>133</v>
      </c>
      <c r="AI18">
        <v>28</v>
      </c>
      <c r="AJ18" t="s">
        <v>218</v>
      </c>
      <c r="AK18">
        <v>4168676804</v>
      </c>
      <c r="AM18">
        <v>16159</v>
      </c>
      <c r="AN18">
        <v>14133</v>
      </c>
      <c r="AO18" t="s">
        <v>135</v>
      </c>
      <c r="AP18" t="s">
        <v>154</v>
      </c>
      <c r="AQ18" t="s">
        <v>155</v>
      </c>
      <c r="AR18" t="s">
        <v>138</v>
      </c>
      <c r="AS18" t="s">
        <v>132</v>
      </c>
      <c r="AT18" t="s">
        <v>156</v>
      </c>
      <c r="AU18">
        <v>162</v>
      </c>
      <c r="AV18">
        <v>166</v>
      </c>
      <c r="AX18" t="s">
        <v>140</v>
      </c>
      <c r="AY18" t="s">
        <v>142</v>
      </c>
      <c r="AZ18">
        <v>6</v>
      </c>
      <c r="BA18" t="s">
        <v>158</v>
      </c>
      <c r="BB18" t="s">
        <v>142</v>
      </c>
      <c r="BC18" t="s">
        <v>143</v>
      </c>
      <c r="BD18" t="s">
        <v>144</v>
      </c>
      <c r="BE18" t="s">
        <v>145</v>
      </c>
      <c r="BF18">
        <v>141.7978</v>
      </c>
      <c r="BG18" t="s">
        <v>146</v>
      </c>
      <c r="BH18">
        <v>517.56200000000001</v>
      </c>
      <c r="BI18">
        <v>1</v>
      </c>
      <c r="BJ18" t="s">
        <v>147</v>
      </c>
      <c r="BK18">
        <v>8.4083000000000006</v>
      </c>
      <c r="BL18" t="s">
        <v>148</v>
      </c>
      <c r="BM18" s="2">
        <v>15886</v>
      </c>
      <c r="BN18" s="3">
        <v>1335.7818</v>
      </c>
      <c r="DH18" s="1">
        <v>46309</v>
      </c>
      <c r="DK18" t="s">
        <v>141</v>
      </c>
    </row>
    <row r="19" spans="1:115" x14ac:dyDescent="0.25">
      <c r="A19" t="s">
        <v>115</v>
      </c>
      <c r="B19">
        <v>2</v>
      </c>
      <c r="C19" t="s">
        <v>116</v>
      </c>
      <c r="F19" s="1">
        <v>46388</v>
      </c>
      <c r="G19" s="1">
        <v>46752</v>
      </c>
      <c r="I19" t="s">
        <v>117</v>
      </c>
      <c r="J19" t="s">
        <v>118</v>
      </c>
      <c r="K19" t="s">
        <v>119</v>
      </c>
      <c r="L19" t="s">
        <v>120</v>
      </c>
      <c r="M19" t="s">
        <v>121</v>
      </c>
      <c r="N19" t="s">
        <v>122</v>
      </c>
      <c r="P19" t="s">
        <v>123</v>
      </c>
      <c r="Q19" t="s">
        <v>124</v>
      </c>
      <c r="R19" t="s">
        <v>125</v>
      </c>
      <c r="Y19" t="s">
        <v>219</v>
      </c>
      <c r="Z19" t="s">
        <v>220</v>
      </c>
      <c r="AB19" t="s">
        <v>221</v>
      </c>
      <c r="AD19" t="s">
        <v>222</v>
      </c>
      <c r="AF19" t="s">
        <v>131</v>
      </c>
      <c r="AG19" t="s">
        <v>132</v>
      </c>
      <c r="AH19" t="s">
        <v>133</v>
      </c>
      <c r="AI19">
        <v>28</v>
      </c>
      <c r="AJ19" t="s">
        <v>223</v>
      </c>
      <c r="AK19">
        <v>46302408</v>
      </c>
      <c r="AM19">
        <v>1309</v>
      </c>
      <c r="AN19">
        <v>850</v>
      </c>
      <c r="AO19" t="s">
        <v>135</v>
      </c>
      <c r="AP19" t="s">
        <v>136</v>
      </c>
      <c r="AQ19" t="s">
        <v>137</v>
      </c>
      <c r="AR19" t="s">
        <v>138</v>
      </c>
      <c r="AS19" t="s">
        <v>132</v>
      </c>
      <c r="AT19" t="s">
        <v>139</v>
      </c>
      <c r="AU19">
        <v>1</v>
      </c>
      <c r="AV19">
        <v>14</v>
      </c>
      <c r="AX19" t="s">
        <v>140</v>
      </c>
      <c r="AY19" t="s">
        <v>142</v>
      </c>
      <c r="AZ19">
        <v>16</v>
      </c>
      <c r="BA19" t="s">
        <v>8</v>
      </c>
      <c r="BB19" t="s">
        <v>142</v>
      </c>
      <c r="BC19" t="s">
        <v>143</v>
      </c>
      <c r="BD19" t="s">
        <v>144</v>
      </c>
      <c r="BE19" t="s">
        <v>145</v>
      </c>
      <c r="BF19">
        <v>53.354999999999997</v>
      </c>
      <c r="BG19" t="s">
        <v>146</v>
      </c>
      <c r="BH19">
        <v>194.7457</v>
      </c>
      <c r="BI19">
        <v>1</v>
      </c>
      <c r="BJ19" t="s">
        <v>147</v>
      </c>
      <c r="BK19">
        <v>8.4644999999999992</v>
      </c>
      <c r="BL19" t="s">
        <v>148</v>
      </c>
      <c r="BM19" s="2">
        <v>1281</v>
      </c>
      <c r="BN19">
        <v>108.4585</v>
      </c>
      <c r="DH19" s="1">
        <v>46309</v>
      </c>
      <c r="DK19" t="s">
        <v>142</v>
      </c>
    </row>
    <row r="20" spans="1:115" x14ac:dyDescent="0.25">
      <c r="A20" t="s">
        <v>115</v>
      </c>
      <c r="B20">
        <v>2</v>
      </c>
      <c r="C20" t="s">
        <v>116</v>
      </c>
      <c r="F20" s="1">
        <v>46388</v>
      </c>
      <c r="G20" s="1">
        <v>46752</v>
      </c>
      <c r="I20" t="s">
        <v>117</v>
      </c>
      <c r="J20" t="s">
        <v>118</v>
      </c>
      <c r="K20" t="s">
        <v>119</v>
      </c>
      <c r="L20" t="s">
        <v>120</v>
      </c>
      <c r="M20" t="s">
        <v>121</v>
      </c>
      <c r="N20" t="s">
        <v>122</v>
      </c>
      <c r="P20" t="s">
        <v>123</v>
      </c>
      <c r="Q20" t="s">
        <v>124</v>
      </c>
      <c r="R20" t="s">
        <v>125</v>
      </c>
      <c r="Y20" t="s">
        <v>224</v>
      </c>
      <c r="Z20" t="s">
        <v>184</v>
      </c>
      <c r="AA20" t="s">
        <v>225</v>
      </c>
      <c r="AB20" t="s">
        <v>212</v>
      </c>
      <c r="AD20" t="s">
        <v>226</v>
      </c>
      <c r="AF20" t="s">
        <v>131</v>
      </c>
      <c r="AG20" t="s">
        <v>132</v>
      </c>
      <c r="AH20" t="s">
        <v>133</v>
      </c>
      <c r="AI20">
        <v>28</v>
      </c>
      <c r="AJ20" t="s">
        <v>227</v>
      </c>
      <c r="AK20">
        <v>9314454307</v>
      </c>
      <c r="AM20">
        <v>3336</v>
      </c>
      <c r="AN20">
        <v>3779</v>
      </c>
      <c r="AO20" t="s">
        <v>135</v>
      </c>
      <c r="AP20" t="s">
        <v>154</v>
      </c>
      <c r="AQ20" t="s">
        <v>155</v>
      </c>
      <c r="AR20" t="s">
        <v>138</v>
      </c>
      <c r="AS20" t="s">
        <v>132</v>
      </c>
      <c r="AT20" t="s">
        <v>156</v>
      </c>
      <c r="AU20">
        <v>48</v>
      </c>
      <c r="AV20">
        <v>34</v>
      </c>
      <c r="AX20" t="s">
        <v>140</v>
      </c>
      <c r="AY20" t="s">
        <v>142</v>
      </c>
      <c r="AZ20">
        <v>6</v>
      </c>
      <c r="BA20" t="s">
        <v>8</v>
      </c>
      <c r="BB20" t="s">
        <v>142</v>
      </c>
      <c r="BC20" t="s">
        <v>143</v>
      </c>
      <c r="BD20" t="s">
        <v>144</v>
      </c>
      <c r="BE20" t="s">
        <v>145</v>
      </c>
      <c r="BF20">
        <v>75.627700000000004</v>
      </c>
      <c r="BG20" t="s">
        <v>146</v>
      </c>
      <c r="BH20">
        <v>276.411</v>
      </c>
      <c r="BI20">
        <v>1</v>
      </c>
      <c r="BJ20" t="s">
        <v>147</v>
      </c>
      <c r="BK20">
        <v>8.4222000000000001</v>
      </c>
      <c r="BL20" t="s">
        <v>148</v>
      </c>
      <c r="BM20" s="2">
        <v>3279</v>
      </c>
      <c r="BN20">
        <v>276.22559999999999</v>
      </c>
      <c r="DH20" s="1">
        <v>46309</v>
      </c>
      <c r="DK20" t="s">
        <v>142</v>
      </c>
    </row>
    <row r="21" spans="1:115" x14ac:dyDescent="0.25">
      <c r="A21" t="s">
        <v>115</v>
      </c>
      <c r="B21">
        <v>2</v>
      </c>
      <c r="C21" t="s">
        <v>116</v>
      </c>
      <c r="F21" s="1">
        <v>46388</v>
      </c>
      <c r="G21" s="1">
        <v>46752</v>
      </c>
      <c r="I21" t="s">
        <v>117</v>
      </c>
      <c r="J21" t="s">
        <v>118</v>
      </c>
      <c r="K21" t="s">
        <v>119</v>
      </c>
      <c r="L21" t="s">
        <v>120</v>
      </c>
      <c r="M21" t="s">
        <v>121</v>
      </c>
      <c r="N21" t="s">
        <v>122</v>
      </c>
      <c r="P21" t="s">
        <v>123</v>
      </c>
      <c r="Q21" t="s">
        <v>124</v>
      </c>
      <c r="R21" t="s">
        <v>125</v>
      </c>
      <c r="Y21" t="s">
        <v>228</v>
      </c>
      <c r="AD21" t="s">
        <v>229</v>
      </c>
      <c r="AF21" t="s">
        <v>131</v>
      </c>
      <c r="AG21" t="s">
        <v>132</v>
      </c>
      <c r="AH21" t="s">
        <v>133</v>
      </c>
      <c r="AI21">
        <v>28</v>
      </c>
      <c r="AJ21" t="s">
        <v>230</v>
      </c>
      <c r="AK21">
        <v>9354618302</v>
      </c>
      <c r="AM21">
        <v>155424</v>
      </c>
      <c r="AN21">
        <v>148399</v>
      </c>
      <c r="AO21" t="s">
        <v>135</v>
      </c>
      <c r="AP21" t="s">
        <v>154</v>
      </c>
      <c r="AQ21" t="s">
        <v>155</v>
      </c>
      <c r="AR21" t="s">
        <v>138</v>
      </c>
      <c r="AS21" t="s">
        <v>132</v>
      </c>
      <c r="AT21" t="s">
        <v>231</v>
      </c>
      <c r="AU21" s="3">
        <v>1419</v>
      </c>
      <c r="AV21" s="3">
        <v>1419</v>
      </c>
      <c r="AX21" t="s">
        <v>140</v>
      </c>
      <c r="AY21" t="s">
        <v>142</v>
      </c>
      <c r="AZ21">
        <v>40</v>
      </c>
      <c r="BA21" t="s">
        <v>8</v>
      </c>
      <c r="BB21" t="s">
        <v>142</v>
      </c>
      <c r="BC21" t="s">
        <v>143</v>
      </c>
      <c r="BD21" t="s">
        <v>144</v>
      </c>
      <c r="BE21" t="s">
        <v>145</v>
      </c>
      <c r="BF21">
        <v>633.88419999999996</v>
      </c>
      <c r="BG21" t="s">
        <v>146</v>
      </c>
      <c r="BH21" s="3">
        <v>2313.6772000000001</v>
      </c>
      <c r="BI21">
        <v>1</v>
      </c>
      <c r="BJ21" t="s">
        <v>147</v>
      </c>
      <c r="BK21">
        <v>7.5617999999999999</v>
      </c>
      <c r="BL21" t="s">
        <v>148</v>
      </c>
      <c r="BM21" s="2">
        <v>152276</v>
      </c>
      <c r="BN21" s="3">
        <v>11514.806</v>
      </c>
      <c r="DH21" s="1">
        <v>46309</v>
      </c>
      <c r="DK2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Q-198023-J3F7P3_2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Macdougall-Mitchell</dc:creator>
  <cp:lastModifiedBy>Guy Macdougall-Mitchell</cp:lastModifiedBy>
  <dcterms:created xsi:type="dcterms:W3CDTF">2026-10-26T22:24:28Z</dcterms:created>
  <dcterms:modified xsi:type="dcterms:W3CDTF">2026-10-27T08:27:06Z</dcterms:modified>
</cp:coreProperties>
</file>
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ml.chartshapes+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30527"/>
  <x:workbookPr updateLinks="never" codeName="ThisWorkbook" hidePivotFieldList="1"/>
  <mc:AlternateContent xmlns:mc="http://schemas.openxmlformats.org/markup-compatibility/2006">
    <mc:Choice Requires="x15">
      <x15ac:absPath xmlns:x15ac="http://schemas.microsoft.com/office/spreadsheetml/2010/11/ac" url="C:\Users\Public\FixedPricingPortal\erm\ui\Analysis\AnalysisTemplate\"/>
    </mc:Choice>
  </mc:AlternateContent>
  <xr:revisionPtr revIDLastSave="0" documentId="13_ncr:1_{6417BD35-FD28-4C8B-9675-516E0BD0110A}" xr6:coauthVersionLast="47" xr6:coauthVersionMax="47" xr10:uidLastSave="{00000000-0000-0000-0000-000000000000}"/>
  <x:bookViews>
    <x:workbookView xWindow="-120" yWindow="-120" windowWidth="29040" windowHeight="15720" tabRatio="693" firstSheet="0" activeTab="3" xr2:uid="{00000000-000D-0000-FFFF-FFFF00000000}"/>
  </x:bookViews>
  <x:sheets>
    <x:sheet name="Summary Info" sheetId="5" r:id="rId1"/>
    <x:sheet name="Summary Calculations" sheetId="6" r:id="rId2"/>
    <x:sheet name="Analysis" sheetId="1" r:id="rId3"/>
    <x:sheet name="Keys" sheetId="3" r:id="rId4"/>
    <x:sheet name="Meter Type Data" sheetId="4" r:id="rId5"/>
    <x:sheet name="Market Data" sheetId="8" r:id="rId6"/>
    <x:sheet name="Specification" sheetId="9" r:id="rId7"/>
  </x:sheets>
  <x:externalReferences>
    <x:externalReference r:id="rId8"/>
  </x:externalReferences>
  <x:definedNames>
    <x:definedName name="_xlnm.Print_Area" localSheetId="2">Analysis!$A$1:$H$1048576</x:definedName>
    <x:definedName name="_xlnm.Print_Area" localSheetId="3">Keys!$A$1:$G$28</x:definedName>
    <x:definedName name="EndDate">#REF!</x:definedName>
    <x:definedName name="EndWeight">#REF!</x:definedName>
    <x:definedName name="StartDate">#REF!</x:definedName>
    <x:definedName name="StartWeight">#REF!</x:definedName>
    <x:definedName name="TEST">#REF!</x:definedName>
    <x:definedName name="WeightGoal">#REF!</x:definedName>
  </x:definedNames>
  <x:calcPr calcId="191028"/>
  <x:pivotCaches>
    <x:pivotCache cacheId="0" r:id="rId9"/>
  </x:pivotCaches>
  <x:fileRecoveryPr autoRecover="0"/>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Lst>
</x:workbook>
</file>

<file path=xl/calcChain.xml><?xml version="1.0" encoding="utf-8"?>
<x:calcChain xmlns:x="http://schemas.openxmlformats.org/spreadsheetml/2006/main">
  <x:c r="I1" i="5"/>
  <x:c r="J2" i="5"/>
  <x:c r="AD5" i="5"/>
  <x:c r="J7" i="5"/>
  <x:c r="AJ10" i="5"/>
  <x:c r="AC11" i="5"/>
  <x:c r="AJ11" i="5"/>
  <x:c r="AK11" i="5"/>
  <x:c r="AL11" i="5"/>
  <x:c r="AC12" i="5"/>
  <x:c r="AJ12" i="5"/>
  <x:c r="AK12" i="5"/>
  <x:c r="AL12" i="5"/>
  <x:c r="J13" i="5"/>
  <x:c r="AC13" i="5"/>
  <x:c r="AJ13" i="5"/>
  <x:c r="AK13" i="5"/>
  <x:c r="AL13" i="5"/>
  <x:c r="AC14" i="5"/>
  <x:c r="AJ14" i="5"/>
  <x:c r="AK14" i="5"/>
  <x:c r="AL14" i="5"/>
  <x:c r="AC15" i="5"/>
  <x:c r="AJ15" i="5"/>
  <x:c r="AK15" i="5"/>
  <x:c r="AL15" i="5"/>
  <x:c r="AC16" i="5"/>
  <x:c r="AJ16" i="5"/>
  <x:c r="AK16" i="5"/>
  <x:c r="AL16" i="5"/>
  <x:c r="AC17" i="5"/>
  <x:c r="AJ17" i="5"/>
  <x:c r="AK17" i="5"/>
  <x:c r="AL17" i="5"/>
  <x:c r="AC18" i="5"/>
  <x:c r="AJ18" i="5"/>
  <x:c r="AK18" i="5"/>
  <x:c r="AL18" i="5"/>
  <x:c r="J19" i="5"/>
  <x:c r="AC19" i="5"/>
  <x:c r="AJ19" i="5"/>
  <x:c r="AK19" i="5"/>
  <x:c r="AL19" i="5"/>
  <x:c r="AC20" i="5"/>
  <x:c r="AJ20" i="5"/>
  <x:c r="AK20" i="5"/>
  <x:c r="AL20" i="5"/>
  <x:c r="AC21" i="5"/>
  <x:c r="AJ21" i="5"/>
  <x:c r="AK21" i="5"/>
  <x:c r="AL21" i="5"/>
  <x:c r="AC22" i="5"/>
  <x:c r="AJ22" i="5"/>
  <x:c r="AK22" i="5"/>
  <x:c r="AL22" i="5"/>
  <x:c r="AC23" i="5"/>
  <x:c r="AJ23" i="5"/>
  <x:c r="AK23" i="5"/>
  <x:c r="AL23" i="5"/>
  <x:c r="AC24" i="5"/>
  <x:c r="AJ24" i="5"/>
  <x:c r="AK24" i="5"/>
  <x:c r="AL24" i="5"/>
  <x:c r="J25" i="5"/>
  <x:c r="AC25" i="5"/>
  <x:c r="AJ25" i="5"/>
  <x:c r="AK25" i="5"/>
  <x:c r="AL25" i="5"/>
  <x:c r="AC26" i="5"/>
  <x:c r="AJ26" i="5"/>
  <x:c r="AK26" i="5"/>
  <x:c r="AL26" i="5"/>
  <x:c r="AC27" i="5"/>
  <x:c r="AJ27" i="5"/>
  <x:c r="AK27" i="5"/>
  <x:c r="AL27" i="5"/>
  <x:c r="AC28" i="5"/>
  <x:c r="AJ28" i="5"/>
  <x:c r="AK28" i="5"/>
  <x:c r="AL28" i="5"/>
  <x:c r="AC29" i="5"/>
  <x:c r="AJ29" i="5"/>
  <x:c r="AK29" i="5"/>
  <x:c r="AL29" i="5"/>
  <x:c r="AC30" i="5"/>
  <x:c r="AJ30" i="5"/>
  <x:c r="AK30" i="5"/>
  <x:c r="AL30" i="5"/>
  <x:c r="J31" i="5"/>
  <x:c r="AC31" i="5"/>
  <x:c r="AJ31" i="5"/>
  <x:c r="AK31" i="5"/>
  <x:c r="AL31" i="5"/>
  <x:c r="AC32" i="5"/>
  <x:c r="AJ32" i="5"/>
  <x:c r="AK32" i="5"/>
  <x:c r="AL32" i="5"/>
  <x:c r="AC33" i="5"/>
  <x:c r="AJ33" i="5"/>
  <x:c r="AK33" i="5"/>
  <x:c r="AL33" i="5"/>
  <x:c r="AC34" i="5"/>
  <x:c r="AJ34" i="5"/>
  <x:c r="AK34" i="5"/>
  <x:c r="AL34" i="5"/>
  <x:c r="AC35" i="5"/>
  <x:c r="AJ35" i="5"/>
  <x:c r="AK35" i="5"/>
  <x:c r="AL35" i="5"/>
  <x:c r="AC36" i="5"/>
  <x:c r="AJ36" i="5"/>
  <x:c r="AK36" i="5"/>
  <x:c r="AL36" i="5"/>
  <x:c r="J37" i="5"/>
  <x:c r="AC37" i="5"/>
  <x:c r="AJ37" i="5"/>
  <x:c r="AK37" i="5"/>
  <x:c r="AL37" i="5"/>
  <x:c r="F1" i="6"/>
  <x:c r="F2" i="6"/>
  <x:c r="F3" i="6"/>
  <x:c r="U3" i="1"/>
  <x:c r="X3" i="1"/>
  <x:c r="AA3" i="1"/>
  <x:c r="AD3" i="1"/>
  <x:c r="AG3" i="1"/>
  <x:c r="AJ3" i="1"/>
  <x:c r="AM3" i="1"/>
  <x:c r="AP3" i="1"/>
  <x:c r="AS3" i="1"/>
  <x:c r="AV3" i="1"/>
  <x:c r="AY3" i="1"/>
  <x:c r="BB3" i="1"/>
  <x:c r="BE3" i="1"/>
  <x:c r="BH3" i="1"/>
  <x:c r="BK3" i="1"/>
  <x:c r="BN3" i="1"/>
  <x:c r="BQ3" i="1"/>
  <x:c r="BT3" i="1"/>
  <x:c r="BW3" i="1"/>
  <x:c r="BZ3" i="1"/>
  <x:c r="CC3" i="1"/>
  <x:c r="CF3" i="1"/>
  <x:c r="CI3" i="1"/>
  <x:c r="CL3" i="1"/>
  <x:c r="CO3" i="1"/>
  <x:c r="CR3" i="1"/>
  <x:c r="CU3" i="1"/>
  <x:c r="CX3" i="1"/>
  <x:c r="DA3" i="1"/>
  <x:c r="U5" i="1"/>
  <x:c r="X5" i="1"/>
  <x:c r="AA5" i="1"/>
  <x:c r="AD5" i="1"/>
  <x:c r="AG5" i="1"/>
  <x:c r="AJ5" i="1"/>
  <x:c r="AM5" i="1"/>
  <x:c r="AP5" i="1"/>
  <x:c r="AS5" i="1"/>
  <x:c r="AV5" i="1"/>
  <x:c r="AY5" i="1"/>
  <x:c r="BB5" i="1"/>
  <x:c r="BE5" i="1"/>
  <x:c r="BH5" i="1"/>
  <x:c r="BK5" i="1"/>
  <x:c r="BN5" i="1"/>
  <x:c r="BQ5" i="1"/>
  <x:c r="BT5" i="1"/>
  <x:c r="BW5" i="1"/>
  <x:c r="BZ5" i="1"/>
  <x:c r="CC5" i="1"/>
  <x:c r="CF5" i="1"/>
  <x:c r="CI5" i="1"/>
  <x:c r="CL5" i="1"/>
  <x:c r="CO5" i="1"/>
  <x:c r="CR5" i="1"/>
  <x:c r="CU5" i="1"/>
  <x:c r="CX5" i="1"/>
  <x:c r="DA5" i="1"/>
  <x:c r="DD5" i="1"/>
  <x:c r="DG5" i="1"/>
  <x:c r="DJ5" i="1"/>
  <x:c r="DM5" i="1"/>
  <x:c r="DP5" i="1"/>
  <x:c r="DS5" i="1"/>
  <x:c r="DV5" i="1"/>
  <x:c r="U6" i="1"/>
  <x:c r="X6" i="1"/>
  <x:c r="AA6" i="1"/>
  <x:c r="AD6" i="1"/>
  <x:c r="AG6" i="1"/>
  <x:c r="AJ6" i="1"/>
  <x:c r="AM6" i="1"/>
  <x:c r="AP6" i="1"/>
  <x:c r="AS6" i="1"/>
  <x:c r="AV6" i="1"/>
  <x:c r="AY6" i="1"/>
  <x:c r="BB6" i="1"/>
  <x:c r="BE6" i="1"/>
  <x:c r="BH6" i="1"/>
  <x:c r="BK6" i="1"/>
  <x:c r="BN6" i="1"/>
  <x:c r="BQ6" i="1"/>
  <x:c r="BT6" i="1"/>
  <x:c r="BW6" i="1"/>
  <x:c r="BZ6" i="1"/>
  <x:c r="CC6" i="1"/>
  <x:c r="CF6" i="1"/>
  <x:c r="CI6" i="1"/>
  <x:c r="CL6" i="1"/>
  <x:c r="CO6" i="1"/>
  <x:c r="CR6" i="1"/>
  <x:c r="CU6" i="1"/>
  <x:c r="CX6" i="1"/>
  <x:c r="DA6" i="1"/>
  <x:c r="DD6" i="1"/>
  <x:c r="DG6" i="1"/>
  <x:c r="DJ6" i="1"/>
  <x:c r="DM6" i="1"/>
  <x:c r="DP6" i="1"/>
  <x:c r="DS6" i="1"/>
  <x:c r="DV6" i="1"/>
  <x:c r="O7" i="1"/>
  <x:c r="P7" i="1"/>
  <x:c r="S7" i="1"/>
  <x:c r="V7" i="1"/>
  <x:c r="Y7" i="1"/>
  <x:c r="AB7" i="1"/>
  <x:c r="AE7" i="1"/>
  <x:c r="AH7" i="1"/>
  <x:c r="AK7" i="1"/>
  <x:c r="AN7" i="1"/>
  <x:c r="AQ7" i="1"/>
  <x:c r="AT7" i="1"/>
  <x:c r="AW7" i="1"/>
  <x:c r="AZ7" i="1"/>
  <x:c r="BC7" i="1"/>
  <x:c r="BF7" i="1"/>
  <x:c r="BI7" i="1"/>
  <x:c r="BL7" i="1"/>
  <x:c r="BO7" i="1"/>
  <x:c r="BR7" i="1"/>
  <x:c r="BU7" i="1"/>
  <x:c r="BX7" i="1"/>
  <x:c r="CA7" i="1"/>
  <x:c r="CD7" i="1"/>
  <x:c r="CG7" i="1"/>
  <x:c r="CJ7" i="1"/>
  <x:c r="CM7" i="1"/>
  <x:c r="CP7" i="1"/>
  <x:c r="CS7" i="1"/>
  <x:c r="CV7" i="1"/>
  <x:c r="CY7" i="1"/>
  <x:c r="DB7" i="1"/>
  <x:c r="DE7" i="1"/>
  <x:c r="DH7" i="1"/>
  <x:c r="DK7" i="1"/>
  <x:c r="DN7" i="1"/>
  <x:c r="DQ7" i="1"/>
  <x:c r="DT7" i="1"/>
  <x:c r="M10" i="1"/>
  <x:c r="R10" i="1"/>
  <x:c r="U10" i="1"/>
  <x:c r="X10" i="1"/>
  <x:c r="AA10" i="1"/>
  <x:c r="AD10" i="1"/>
  <x:c r="AG10" i="1"/>
  <x:c r="AJ10" i="1"/>
  <x:c r="AM10" i="1"/>
  <x:c r="AP10" i="1"/>
  <x:c r="AS10" i="1"/>
  <x:c r="AV10" i="1"/>
  <x:c r="AY10" i="1"/>
  <x:c r="BB10" i="1"/>
  <x:c r="BE10" i="1"/>
  <x:c r="BH10" i="1"/>
  <x:c r="BK10" i="1"/>
  <x:c r="BN10" i="1"/>
  <x:c r="BQ10" i="1"/>
  <x:c r="BT10" i="1"/>
  <x:c r="BW10" i="1"/>
  <x:c r="BZ10" i="1"/>
  <x:c r="CC10" i="1"/>
  <x:c r="CF10" i="1"/>
  <x:c r="CI10" i="1"/>
  <x:c r="CL10" i="1"/>
  <x:c r="CO10" i="1"/>
  <x:c r="CR10" i="1"/>
  <x:c r="CU10" i="1"/>
  <x:c r="CX10" i="1"/>
  <x:c r="DA10" i="1"/>
  <x:c r="DD10" i="1"/>
  <x:c r="DG10" i="1"/>
  <x:c r="DJ10" i="1"/>
  <x:c r="DM10" i="1"/>
  <x:c r="DP10" i="1"/>
  <x:c r="DS10" i="1"/>
  <x:c r="DV10" i="1"/>
  <x:c r="M11" i="1"/>
  <x:c r="R11" i="1"/>
  <x:c r="U11" i="1"/>
  <x:c r="X11" i="1"/>
  <x:c r="AA11" i="1"/>
  <x:c r="AD11" i="1"/>
  <x:c r="AG11" i="1"/>
  <x:c r="AJ11" i="1"/>
  <x:c r="AM11" i="1"/>
  <x:c r="AP11" i="1"/>
  <x:c r="AS11" i="1"/>
  <x:c r="AV11" i="1"/>
  <x:c r="AY11" i="1"/>
  <x:c r="BB11" i="1"/>
  <x:c r="BE11" i="1"/>
  <x:c r="BH11" i="1"/>
  <x:c r="BK11" i="1"/>
  <x:c r="BN11" i="1"/>
  <x:c r="BQ11" i="1"/>
  <x:c r="BT11" i="1"/>
  <x:c r="BW11" i="1"/>
  <x:c r="BZ11" i="1"/>
  <x:c r="CC11" i="1"/>
  <x:c r="CF11" i="1"/>
  <x:c r="CI11" i="1"/>
  <x:c r="CL11" i="1"/>
  <x:c r="CO11" i="1"/>
  <x:c r="CR11" i="1"/>
  <x:c r="CU11" i="1"/>
  <x:c r="CX11" i="1"/>
  <x:c r="DA11" i="1"/>
  <x:c r="DD11" i="1"/>
  <x:c r="DG11" i="1"/>
  <x:c r="DJ11" i="1"/>
  <x:c r="DM11" i="1"/>
  <x:c r="DP11" i="1"/>
  <x:c r="DS11" i="1"/>
  <x:c r="DV11" i="1"/>
  <x:c r="M12" i="1"/>
  <x:c r="R12" i="1"/>
  <x:c r="U12" i="1"/>
  <x:c r="X12" i="1"/>
  <x:c r="AA12" i="1"/>
  <x:c r="AD12" i="1"/>
  <x:c r="AG12" i="1"/>
  <x:c r="AJ12" i="1"/>
  <x:c r="AM12" i="1"/>
  <x:c r="AP12" i="1"/>
  <x:c r="AS12" i="1"/>
  <x:c r="AV12" i="1"/>
  <x:c r="AY12" i="1"/>
  <x:c r="BB12" i="1"/>
  <x:c r="BE12" i="1"/>
  <x:c r="BH12" i="1"/>
  <x:c r="BK12" i="1"/>
  <x:c r="BN12" i="1"/>
  <x:c r="BQ12" i="1"/>
  <x:c r="BT12" i="1"/>
  <x:c r="BW12" i="1"/>
  <x:c r="BZ12" i="1"/>
  <x:c r="CC12" i="1"/>
  <x:c r="CF12" i="1"/>
  <x:c r="CI12" i="1"/>
  <x:c r="CL12" i="1"/>
  <x:c r="CO12" i="1"/>
  <x:c r="CR12" i="1"/>
  <x:c r="CU12" i="1"/>
  <x:c r="CX12" i="1"/>
  <x:c r="DA12" i="1"/>
  <x:c r="DD12" i="1"/>
  <x:c r="DG12" i="1"/>
  <x:c r="DJ12" i="1"/>
  <x:c r="DM12" i="1"/>
  <x:c r="DP12" i="1"/>
  <x:c r="DS12" i="1"/>
  <x:c r="DV12" i="1"/>
  <x:c r="M13" i="1"/>
  <x:c r="R13" i="1"/>
  <x:c r="U13" i="1"/>
  <x:c r="X13" i="1"/>
  <x:c r="AA13" i="1"/>
  <x:c r="AD13" i="1"/>
  <x:c r="AG13" i="1"/>
  <x:c r="AJ13" i="1"/>
  <x:c r="AM13" i="1"/>
  <x:c r="AP13" i="1"/>
  <x:c r="AS13" i="1"/>
  <x:c r="AV13" i="1"/>
  <x:c r="AY13" i="1"/>
  <x:c r="BB13" i="1"/>
  <x:c r="BE13" i="1"/>
  <x:c r="BH13" i="1"/>
  <x:c r="BK13" i="1"/>
  <x:c r="BN13" i="1"/>
  <x:c r="BQ13" i="1"/>
  <x:c r="BT13" i="1"/>
  <x:c r="BW13" i="1"/>
  <x:c r="BZ13" i="1"/>
  <x:c r="CC13" i="1"/>
  <x:c r="CF13" i="1"/>
  <x:c r="CI13" i="1"/>
  <x:c r="CL13" i="1"/>
  <x:c r="CO13" i="1"/>
  <x:c r="CR13" i="1"/>
  <x:c r="CU13" i="1"/>
  <x:c r="CX13" i="1"/>
  <x:c r="DA13" i="1"/>
  <x:c r="DD13" i="1"/>
  <x:c r="DG13" i="1"/>
  <x:c r="DJ13" i="1"/>
  <x:c r="DM13" i="1"/>
  <x:c r="DP13" i="1"/>
  <x:c r="DS13" i="1"/>
  <x:c r="DV13" i="1"/>
  <x:c r="M14" i="1"/>
  <x:c r="R14" i="1"/>
  <x:c r="U14" i="1"/>
  <x:c r="X14" i="1"/>
  <x:c r="AA14" i="1"/>
  <x:c r="AD14" i="1"/>
  <x:c r="AG14" i="1"/>
  <x:c r="AJ14" i="1"/>
  <x:c r="AM14" i="1"/>
  <x:c r="AP14" i="1"/>
  <x:c r="AS14" i="1"/>
  <x:c r="AV14" i="1"/>
  <x:c r="AY14" i="1"/>
  <x:c r="BB14" i="1"/>
  <x:c r="BE14" i="1"/>
  <x:c r="BH14" i="1"/>
  <x:c r="BK14" i="1"/>
  <x:c r="BN14" i="1"/>
  <x:c r="BQ14" i="1"/>
  <x:c r="BT14" i="1"/>
  <x:c r="BW14" i="1"/>
  <x:c r="BZ14" i="1"/>
  <x:c r="CC14" i="1"/>
  <x:c r="CF14" i="1"/>
  <x:c r="CI14" i="1"/>
  <x:c r="CL14" i="1"/>
  <x:c r="CO14" i="1"/>
  <x:c r="CR14" i="1"/>
  <x:c r="CU14" i="1"/>
  <x:c r="M15" i="1"/>
  <x:c r="R15" i="1"/>
  <x:c r="U15" i="1"/>
  <x:c r="X15" i="1"/>
  <x:c r="AA15" i="1"/>
  <x:c r="AD15" i="1"/>
  <x:c r="AG15" i="1"/>
  <x:c r="AJ15" i="1"/>
  <x:c r="AM15" i="1"/>
  <x:c r="AP15" i="1"/>
  <x:c r="AS15" i="1"/>
  <x:c r="AV15" i="1"/>
  <x:c r="AY15" i="1"/>
  <x:c r="BB15" i="1"/>
  <x:c r="BE15" i="1"/>
  <x:c r="BH15" i="1"/>
  <x:c r="BK15" i="1"/>
  <x:c r="BN15" i="1"/>
  <x:c r="BQ15" i="1"/>
  <x:c r="BT15" i="1"/>
  <x:c r="BW15" i="1"/>
  <x:c r="BZ15" i="1"/>
  <x:c r="CC15" i="1"/>
  <x:c r="CF15" i="1"/>
  <x:c r="CI15" i="1"/>
  <x:c r="CL15" i="1"/>
  <x:c r="CO15" i="1"/>
  <x:c r="CR15" i="1"/>
  <x:c r="CU15" i="1"/>
  <x:c r="M16" i="1"/>
  <x:c r="R16" i="1"/>
  <x:c r="U16" i="1"/>
  <x:c r="X16" i="1"/>
  <x:c r="AA16" i="1"/>
  <x:c r="AD16" i="1"/>
  <x:c r="AG16" i="1"/>
  <x:c r="AJ16" i="1"/>
  <x:c r="AM16" i="1"/>
  <x:c r="AP16" i="1"/>
  <x:c r="AS16" i="1"/>
  <x:c r="AV16" i="1"/>
  <x:c r="AY16" i="1"/>
  <x:c r="BB16" i="1"/>
  <x:c r="BE16" i="1"/>
  <x:c r="BH16" i="1"/>
  <x:c r="BK16" i="1"/>
  <x:c r="BN16" i="1"/>
  <x:c r="BQ16" i="1"/>
  <x:c r="BT16" i="1"/>
  <x:c r="BW16" i="1"/>
  <x:c r="BZ16" i="1"/>
  <x:c r="CC16" i="1"/>
  <x:c r="CF16" i="1"/>
  <x:c r="CI16" i="1"/>
  <x:c r="CL16" i="1"/>
  <x:c r="CO16" i="1"/>
  <x:c r="CR16" i="1"/>
  <x:c r="CU16" i="1"/>
  <x:c r="M17" i="1"/>
  <x:c r="R17" i="1"/>
  <x:c r="U17" i="1"/>
  <x:c r="X17" i="1"/>
  <x:c r="AA17" i="1"/>
  <x:c r="AD17" i="1"/>
  <x:c r="AG17" i="1"/>
  <x:c r="AJ17" i="1"/>
  <x:c r="AM17" i="1"/>
  <x:c r="AP17" i="1"/>
  <x:c r="AS17" i="1"/>
  <x:c r="AV17" i="1"/>
  <x:c r="AY17" i="1"/>
  <x:c r="BB17" i="1"/>
  <x:c r="BE17" i="1"/>
  <x:c r="BH17" i="1"/>
  <x:c r="BK17" i="1"/>
  <x:c r="BN17" i="1"/>
  <x:c r="BQ17" i="1"/>
  <x:c r="BT17" i="1"/>
  <x:c r="BW17" i="1"/>
  <x:c r="BZ17" i="1"/>
  <x:c r="CC17" i="1"/>
  <x:c r="CF17" i="1"/>
  <x:c r="CI17" i="1"/>
  <x:c r="CL17" i="1"/>
  <x:c r="CO17" i="1"/>
  <x:c r="CR17" i="1"/>
  <x:c r="CU17" i="1"/>
  <x:c r="M18" i="1"/>
  <x:c r="R18" i="1"/>
  <x:c r="U18" i="1"/>
  <x:c r="X18" i="1"/>
  <x:c r="AA18" i="1"/>
  <x:c r="AD18" i="1"/>
  <x:c r="AG18" i="1"/>
  <x:c r="AJ18" i="1"/>
  <x:c r="AM18" i="1"/>
  <x:c r="AP18" i="1"/>
  <x:c r="AS18" i="1"/>
  <x:c r="AV18" i="1"/>
  <x:c r="AY18" i="1"/>
  <x:c r="BB18" i="1"/>
  <x:c r="BE18" i="1"/>
  <x:c r="BH18" i="1"/>
  <x:c r="BK18" i="1"/>
  <x:c r="BN18" i="1"/>
  <x:c r="BQ18" i="1"/>
  <x:c r="BT18" i="1"/>
  <x:c r="BW18" i="1"/>
  <x:c r="BZ18" i="1"/>
  <x:c r="CC18" i="1"/>
  <x:c r="CF18" i="1"/>
  <x:c r="CI18" i="1"/>
  <x:c r="CL18" i="1"/>
  <x:c r="CO18" i="1"/>
  <x:c r="CR18" i="1"/>
  <x:c r="CU18" i="1"/>
  <x:c r="M19" i="1"/>
  <x:c r="R19" i="1"/>
  <x:c r="U19" i="1"/>
  <x:c r="X19" i="1"/>
  <x:c r="AA19" i="1"/>
  <x:c r="AD19" i="1"/>
  <x:c r="AG19" i="1"/>
  <x:c r="AJ19" i="1"/>
  <x:c r="AM19" i="1"/>
  <x:c r="AP19" i="1"/>
  <x:c r="AS19" i="1"/>
  <x:c r="AV19" i="1"/>
  <x:c r="AY19" i="1"/>
  <x:c r="BB19" i="1"/>
  <x:c r="BE19" i="1"/>
  <x:c r="BH19" i="1"/>
  <x:c r="BK19" i="1"/>
  <x:c r="BN19" i="1"/>
  <x:c r="BQ19" i="1"/>
  <x:c r="BT19" i="1"/>
  <x:c r="BW19" i="1"/>
  <x:c r="BZ19" i="1"/>
  <x:c r="CC19" i="1"/>
  <x:c r="CF19" i="1"/>
  <x:c r="CI19" i="1"/>
  <x:c r="CL19" i="1"/>
  <x:c r="CO19" i="1"/>
  <x:c r="CR19" i="1"/>
  <x:c r="CU19" i="1"/>
  <x:c r="M20" i="1"/>
  <x:c r="R20" i="1"/>
  <x:c r="U20" i="1"/>
  <x:c r="X20" i="1"/>
  <x:c r="AA20" i="1"/>
  <x:c r="AD20" i="1"/>
  <x:c r="AG20" i="1"/>
  <x:c r="AJ20" i="1"/>
  <x:c r="AM20" i="1"/>
  <x:c r="AP20" i="1"/>
  <x:c r="AS20" i="1"/>
  <x:c r="AV20" i="1"/>
  <x:c r="AY20" i="1"/>
  <x:c r="BB20" i="1"/>
  <x:c r="BE20" i="1"/>
  <x:c r="BH20" i="1"/>
  <x:c r="BK20" i="1"/>
  <x:c r="BN20" i="1"/>
  <x:c r="BQ20" i="1"/>
  <x:c r="BT20" i="1"/>
  <x:c r="BW20" i="1"/>
  <x:c r="BZ20" i="1"/>
  <x:c r="CC20" i="1"/>
  <x:c r="CF20" i="1"/>
  <x:c r="CI20" i="1"/>
  <x:c r="CL20" i="1"/>
  <x:c r="CO20" i="1"/>
  <x:c r="CR20" i="1"/>
  <x:c r="CU20" i="1"/>
  <x:c r="M21" i="1"/>
  <x:c r="R21" i="1"/>
  <x:c r="U21" i="1"/>
  <x:c r="X21" i="1"/>
  <x:c r="AA21" i="1"/>
  <x:c r="AD21" i="1"/>
  <x:c r="AG21" i="1"/>
  <x:c r="AJ21" i="1"/>
  <x:c r="AM21" i="1"/>
  <x:c r="AP21" i="1"/>
  <x:c r="AS21" i="1"/>
  <x:c r="AV21" i="1"/>
  <x:c r="AY21" i="1"/>
  <x:c r="BB21" i="1"/>
  <x:c r="BE21" i="1"/>
  <x:c r="BH21" i="1"/>
  <x:c r="BK21" i="1"/>
  <x:c r="BN21" i="1"/>
  <x:c r="BQ21" i="1"/>
  <x:c r="BT21" i="1"/>
  <x:c r="BW21" i="1"/>
  <x:c r="BZ21" i="1"/>
  <x:c r="CC21" i="1"/>
  <x:c r="CF21" i="1"/>
  <x:c r="CI21" i="1"/>
  <x:c r="CL21" i="1"/>
  <x:c r="CO21" i="1"/>
  <x:c r="CR21" i="1"/>
  <x:c r="CU21" i="1"/>
  <x:c r="M22" i="1"/>
  <x:c r="R22" i="1"/>
  <x:c r="U22" i="1"/>
  <x:c r="X22" i="1"/>
  <x:c r="AA22" i="1"/>
  <x:c r="AD22" i="1"/>
  <x:c r="AG22" i="1"/>
  <x:c r="AJ22" i="1"/>
  <x:c r="AM22" i="1"/>
  <x:c r="AP22" i="1"/>
  <x:c r="AS22" i="1"/>
  <x:c r="AV22" i="1"/>
  <x:c r="AY22" i="1"/>
  <x:c r="BB22" i="1"/>
  <x:c r="BE22" i="1"/>
  <x:c r="BH22" i="1"/>
  <x:c r="BK22" i="1"/>
  <x:c r="BN22" i="1"/>
  <x:c r="BQ22" i="1"/>
  <x:c r="BT22" i="1"/>
  <x:c r="BW22" i="1"/>
  <x:c r="BZ22" i="1"/>
  <x:c r="CC22" i="1"/>
  <x:c r="CF22" i="1"/>
  <x:c r="CI22" i="1"/>
  <x:c r="CL22" i="1"/>
  <x:c r="CO22" i="1"/>
  <x:c r="CR22" i="1"/>
  <x:c r="CU22" i="1"/>
  <x:c r="M23" i="1"/>
  <x:c r="R23" i="1"/>
  <x:c r="U23" i="1"/>
  <x:c r="X23" i="1"/>
  <x:c r="AA23" i="1"/>
  <x:c r="AD23" i="1"/>
  <x:c r="AG23" i="1"/>
  <x:c r="AJ23" i="1"/>
  <x:c r="AM23" i="1"/>
  <x:c r="AP23" i="1"/>
  <x:c r="AS23" i="1"/>
  <x:c r="AV23" i="1"/>
  <x:c r="AY23" i="1"/>
  <x:c r="BB23" i="1"/>
  <x:c r="BE23" i="1"/>
  <x:c r="BH23" i="1"/>
  <x:c r="BK23" i="1"/>
  <x:c r="BN23" i="1"/>
  <x:c r="BQ23" i="1"/>
  <x:c r="BT23" i="1"/>
  <x:c r="BW23" i="1"/>
  <x:c r="BZ23" i="1"/>
  <x:c r="CC23" i="1"/>
  <x:c r="CF23" i="1"/>
  <x:c r="CI23" i="1"/>
  <x:c r="CL23" i="1"/>
  <x:c r="CO23" i="1"/>
  <x:c r="CR23" i="1"/>
  <x:c r="CU23" i="1"/>
  <x:c r="M24" i="1"/>
  <x:c r="R24" i="1"/>
  <x:c r="U24" i="1"/>
  <x:c r="X24" i="1"/>
  <x:c r="AA24" i="1"/>
  <x:c r="AD24" i="1"/>
  <x:c r="AG24" i="1"/>
  <x:c r="AJ24" i="1"/>
  <x:c r="AM24" i="1"/>
  <x:c r="AP24" i="1"/>
  <x:c r="AS24" i="1"/>
  <x:c r="AV24" i="1"/>
  <x:c r="AY24" i="1"/>
  <x:c r="BB24" i="1"/>
  <x:c r="BE24" i="1"/>
  <x:c r="BH24" i="1"/>
  <x:c r="BK24" i="1"/>
  <x:c r="BN24" i="1"/>
  <x:c r="BQ24" i="1"/>
  <x:c r="BT24" i="1"/>
  <x:c r="BW24" i="1"/>
  <x:c r="BZ24" i="1"/>
  <x:c r="CC24" i="1"/>
  <x:c r="CF24" i="1"/>
  <x:c r="CI24" i="1"/>
  <x:c r="CL24" i="1"/>
  <x:c r="CO24" i="1"/>
  <x:c r="CR24" i="1"/>
  <x:c r="CU24" i="1"/>
  <x:c r="M25" i="1"/>
  <x:c r="R25" i="1"/>
  <x:c r="U25" i="1"/>
  <x:c r="X25" i="1"/>
  <x:c r="AA25" i="1"/>
  <x:c r="AD25" i="1"/>
  <x:c r="AG25" i="1"/>
  <x:c r="AJ25" i="1"/>
  <x:c r="AM25" i="1"/>
  <x:c r="AP25" i="1"/>
  <x:c r="AS25" i="1"/>
  <x:c r="AV25" i="1"/>
  <x:c r="AY25" i="1"/>
  <x:c r="BB25" i="1"/>
  <x:c r="BE25" i="1"/>
  <x:c r="BH25" i="1"/>
  <x:c r="BK25" i="1"/>
  <x:c r="BN25" i="1"/>
  <x:c r="BQ25" i="1"/>
  <x:c r="BT25" i="1"/>
  <x:c r="BW25" i="1"/>
  <x:c r="BZ25" i="1"/>
  <x:c r="CC25" i="1"/>
  <x:c r="CF25" i="1"/>
  <x:c r="CI25" i="1"/>
  <x:c r="CL25" i="1"/>
  <x:c r="CO25" i="1"/>
  <x:c r="CR25" i="1"/>
  <x:c r="CU25" i="1"/>
  <x:c r="M26" i="1"/>
  <x:c r="R26" i="1"/>
  <x:c r="U26" i="1"/>
  <x:c r="X26" i="1"/>
  <x:c r="AA26" i="1"/>
  <x:c r="AD26" i="1"/>
  <x:c r="AG26" i="1"/>
  <x:c r="AJ26" i="1"/>
  <x:c r="AM26" i="1"/>
  <x:c r="AP26" i="1"/>
  <x:c r="AS26" i="1"/>
  <x:c r="AV26" i="1"/>
  <x:c r="AY26" i="1"/>
  <x:c r="BB26" i="1"/>
  <x:c r="BE26" i="1"/>
  <x:c r="BH26" i="1"/>
  <x:c r="BK26" i="1"/>
  <x:c r="BN26" i="1"/>
  <x:c r="BQ26" i="1"/>
  <x:c r="BT26" i="1"/>
  <x:c r="BW26" i="1"/>
  <x:c r="BZ26" i="1"/>
  <x:c r="CC26" i="1"/>
  <x:c r="CF26" i="1"/>
  <x:c r="CI26" i="1"/>
  <x:c r="CL26" i="1"/>
  <x:c r="CO26" i="1"/>
  <x:c r="CR26" i="1"/>
  <x:c r="CU26" i="1"/>
  <x:c r="M27" i="1"/>
  <x:c r="R27" i="1"/>
  <x:c r="U27" i="1"/>
  <x:c r="X27" i="1"/>
  <x:c r="AA27" i="1"/>
  <x:c r="AD27" i="1"/>
  <x:c r="AG27" i="1"/>
  <x:c r="AJ27" i="1"/>
  <x:c r="AM27" i="1"/>
  <x:c r="AP27" i="1"/>
  <x:c r="AS27" i="1"/>
  <x:c r="AV27" i="1"/>
  <x:c r="AY27" i="1"/>
  <x:c r="BB27" i="1"/>
  <x:c r="BE27" i="1"/>
  <x:c r="BH27" i="1"/>
  <x:c r="BK27" i="1"/>
  <x:c r="BN27" i="1"/>
  <x:c r="BQ27" i="1"/>
  <x:c r="BT27" i="1"/>
  <x:c r="BW27" i="1"/>
  <x:c r="BZ27" i="1"/>
  <x:c r="CC27" i="1"/>
  <x:c r="CF27" i="1"/>
  <x:c r="CI27" i="1"/>
  <x:c r="CL27" i="1"/>
  <x:c r="CO27" i="1"/>
  <x:c r="CR27" i="1"/>
  <x:c r="CU27" i="1"/>
  <x:c r="M28" i="1"/>
  <x:c r="R28" i="1"/>
  <x:c r="U28" i="1"/>
  <x:c r="X28" i="1"/>
  <x:c r="AA28" i="1"/>
  <x:c r="AD28" i="1"/>
  <x:c r="AG28" i="1"/>
  <x:c r="AJ28" i="1"/>
  <x:c r="AM28" i="1"/>
  <x:c r="AP28" i="1"/>
  <x:c r="AS28" i="1"/>
  <x:c r="AV28" i="1"/>
  <x:c r="AY28" i="1"/>
  <x:c r="BB28" i="1"/>
  <x:c r="BE28" i="1"/>
  <x:c r="BH28" i="1"/>
  <x:c r="BK28" i="1"/>
  <x:c r="BN28" i="1"/>
  <x:c r="BQ28" i="1"/>
  <x:c r="BT28" i="1"/>
  <x:c r="BW28" i="1"/>
  <x:c r="BZ28" i="1"/>
  <x:c r="CC28" i="1"/>
  <x:c r="CF28" i="1"/>
  <x:c r="CI28" i="1"/>
  <x:c r="CL28" i="1"/>
  <x:c r="CO28" i="1"/>
  <x:c r="CR28" i="1"/>
  <x:c r="CU28" i="1"/>
  <x:c r="M29" i="1"/>
  <x:c r="R29" i="1"/>
  <x:c r="U29" i="1"/>
  <x:c r="X29" i="1"/>
  <x:c r="AA29" i="1"/>
  <x:c r="AD29" i="1"/>
  <x:c r="AG29" i="1"/>
  <x:c r="AJ29" i="1"/>
  <x:c r="AM29" i="1"/>
  <x:c r="AP29" i="1"/>
  <x:c r="AS29" i="1"/>
  <x:c r="AV29" i="1"/>
  <x:c r="AY29" i="1"/>
  <x:c r="BB29" i="1"/>
  <x:c r="BE29" i="1"/>
  <x:c r="BH29" i="1"/>
  <x:c r="BK29" i="1"/>
  <x:c r="BN29" i="1"/>
  <x:c r="BQ29" i="1"/>
  <x:c r="BT29" i="1"/>
  <x:c r="BW29" i="1"/>
  <x:c r="BZ29" i="1"/>
  <x:c r="CC29" i="1"/>
  <x:c r="CF29" i="1"/>
  <x:c r="CI29" i="1"/>
  <x:c r="CL29" i="1"/>
  <x:c r="CO29" i="1"/>
  <x:c r="CR29" i="1"/>
  <x:c r="CU29" i="1"/>
  <x:c r="M30" i="1"/>
  <x:c r="R30" i="1"/>
  <x:c r="U30" i="1"/>
  <x:c r="X30" i="1"/>
  <x:c r="AA30" i="1"/>
  <x:c r="AD30" i="1"/>
  <x:c r="AG30" i="1"/>
  <x:c r="AJ30" i="1"/>
  <x:c r="AM30" i="1"/>
  <x:c r="AP30" i="1"/>
  <x:c r="AS30" i="1"/>
  <x:c r="AV30" i="1"/>
  <x:c r="AY30" i="1"/>
  <x:c r="BB30" i="1"/>
  <x:c r="BE30" i="1"/>
  <x:c r="BH30" i="1"/>
  <x:c r="BK30" i="1"/>
  <x:c r="BN30" i="1"/>
  <x:c r="BQ30" i="1"/>
  <x:c r="BT30" i="1"/>
  <x:c r="BW30" i="1"/>
  <x:c r="BZ30" i="1"/>
  <x:c r="CC30" i="1"/>
  <x:c r="CF30" i="1"/>
  <x:c r="CI30" i="1"/>
  <x:c r="CL30" i="1"/>
  <x:c r="CO30" i="1"/>
  <x:c r="CR30" i="1"/>
  <x:c r="CU30" i="1"/>
  <x:c r="M31" i="1"/>
  <x:c r="R31" i="1"/>
  <x:c r="U31" i="1"/>
  <x:c r="X31" i="1"/>
  <x:c r="AA31" i="1"/>
  <x:c r="AD31" i="1"/>
  <x:c r="AG31" i="1"/>
  <x:c r="AJ31" i="1"/>
  <x:c r="AM31" i="1"/>
  <x:c r="AP31" i="1"/>
  <x:c r="AS31" i="1"/>
  <x:c r="AV31" i="1"/>
  <x:c r="AY31" i="1"/>
  <x:c r="BB31" i="1"/>
  <x:c r="BE31" i="1"/>
  <x:c r="BH31" i="1"/>
  <x:c r="BK31" i="1"/>
  <x:c r="BN31" i="1"/>
  <x:c r="BQ31" i="1"/>
  <x:c r="BT31" i="1"/>
  <x:c r="BW31" i="1"/>
  <x:c r="BZ31" i="1"/>
  <x:c r="CC31" i="1"/>
  <x:c r="CF31" i="1"/>
  <x:c r="CI31" i="1"/>
  <x:c r="CL31" i="1"/>
  <x:c r="CO31" i="1"/>
  <x:c r="CR31" i="1"/>
  <x:c r="CU31" i="1"/>
  <x:c r="M32" i="1"/>
  <x:c r="R32" i="1"/>
  <x:c r="U32" i="1"/>
  <x:c r="X32" i="1"/>
  <x:c r="AA32" i="1"/>
  <x:c r="AD32" i="1"/>
  <x:c r="AG32" i="1"/>
  <x:c r="AJ32" i="1"/>
  <x:c r="AM32" i="1"/>
  <x:c r="AP32" i="1"/>
  <x:c r="AS32" i="1"/>
  <x:c r="AV32" i="1"/>
  <x:c r="AY32" i="1"/>
  <x:c r="BB32" i="1"/>
  <x:c r="BE32" i="1"/>
  <x:c r="BH32" i="1"/>
  <x:c r="BK32" i="1"/>
  <x:c r="BN32" i="1"/>
  <x:c r="BQ32" i="1"/>
  <x:c r="BT32" i="1"/>
  <x:c r="BW32" i="1"/>
  <x:c r="BZ32" i="1"/>
  <x:c r="CC32" i="1"/>
  <x:c r="CF32" i="1"/>
  <x:c r="CI32" i="1"/>
  <x:c r="CL32" i="1"/>
  <x:c r="CO32" i="1"/>
  <x:c r="CR32" i="1"/>
  <x:c r="CU32" i="1"/>
  <x:c r="M33" i="1"/>
  <x:c r="N33" i="1"/>
  <x:c r="R33" i="1"/>
  <x:c r="U33" i="1"/>
  <x:c r="X33" i="1"/>
  <x:c r="AA33" i="1"/>
  <x:c r="AD33" i="1"/>
  <x:c r="AG33" i="1"/>
  <x:c r="AJ33" i="1"/>
  <x:c r="AM33" i="1"/>
  <x:c r="AP33" i="1"/>
  <x:c r="AS33" i="1"/>
  <x:c r="AV33" i="1"/>
  <x:c r="AY33" i="1"/>
  <x:c r="BB33" i="1"/>
  <x:c r="BE33" i="1"/>
  <x:c r="BH33" i="1"/>
  <x:c r="BK33" i="1"/>
  <x:c r="BN33" i="1"/>
  <x:c r="BQ33" i="1"/>
  <x:c r="BT33" i="1"/>
  <x:c r="BW33" i="1"/>
  <x:c r="BZ33" i="1"/>
  <x:c r="CC33" i="1"/>
  <x:c r="CF33" i="1"/>
  <x:c r="CI33" i="1"/>
  <x:c r="CL33" i="1"/>
  <x:c r="CO33" i="1"/>
  <x:c r="CR33" i="1"/>
  <x:c r="CU33" i="1"/>
  <x:c r="M34" i="1"/>
  <x:c r="N34" i="1"/>
  <x:c r="R34" i="1"/>
  <x:c r="U34" i="1"/>
  <x:c r="X34" i="1"/>
  <x:c r="AA34" i="1"/>
  <x:c r="AD34" i="1"/>
  <x:c r="AG34" i="1"/>
  <x:c r="AJ34" i="1"/>
  <x:c r="AM34" i="1"/>
  <x:c r="AP34" i="1"/>
  <x:c r="AS34" i="1"/>
  <x:c r="AV34" i="1"/>
  <x:c r="AY34" i="1"/>
  <x:c r="BB34" i="1"/>
  <x:c r="BE34" i="1"/>
  <x:c r="BH34" i="1"/>
  <x:c r="BK34" i="1"/>
  <x:c r="BN34" i="1"/>
  <x:c r="BQ34" i="1"/>
  <x:c r="BT34" i="1"/>
  <x:c r="BW34" i="1"/>
  <x:c r="BZ34" i="1"/>
  <x:c r="CC34" i="1"/>
  <x:c r="CF34" i="1"/>
  <x:c r="CI34" i="1"/>
  <x:c r="CL34" i="1"/>
  <x:c r="CO34" i="1"/>
  <x:c r="CR34" i="1"/>
  <x:c r="CU34" i="1"/>
  <x:c r="M35" i="1"/>
  <x:c r="N35" i="1"/>
  <x:c r="R35" i="1"/>
  <x:c r="U35" i="1"/>
  <x:c r="X35" i="1"/>
  <x:c r="AA35" i="1"/>
  <x:c r="AD35" i="1"/>
  <x:c r="AG35" i="1"/>
  <x:c r="AJ35" i="1"/>
  <x:c r="AM35" i="1"/>
  <x:c r="AP35" i="1"/>
  <x:c r="AS35" i="1"/>
  <x:c r="AV35" i="1"/>
  <x:c r="AY35" i="1"/>
  <x:c r="BB35" i="1"/>
  <x:c r="BE35" i="1"/>
  <x:c r="BH35" i="1"/>
  <x:c r="BK35" i="1"/>
  <x:c r="BN35" i="1"/>
  <x:c r="BQ35" i="1"/>
  <x:c r="BT35" i="1"/>
  <x:c r="BW35" i="1"/>
  <x:c r="BZ35" i="1"/>
  <x:c r="CC35" i="1"/>
  <x:c r="CF35" i="1"/>
  <x:c r="CI35" i="1"/>
  <x:c r="CL35" i="1"/>
  <x:c r="CO35" i="1"/>
  <x:c r="CR35" i="1"/>
  <x:c r="CU35" i="1"/>
  <x:c r="M36" i="1"/>
  <x:c r="N36" i="1"/>
  <x:c r="R36" i="1"/>
  <x:c r="U36" i="1"/>
  <x:c r="X36" i="1"/>
  <x:c r="AA36" i="1"/>
  <x:c r="AD36" i="1"/>
  <x:c r="AG36" i="1"/>
  <x:c r="AJ36" i="1"/>
  <x:c r="AM36" i="1"/>
  <x:c r="AP36" i="1"/>
  <x:c r="AS36" i="1"/>
  <x:c r="AV36" i="1"/>
  <x:c r="AY36" i="1"/>
  <x:c r="BB36" i="1"/>
  <x:c r="BE36" i="1"/>
  <x:c r="BH36" i="1"/>
  <x:c r="BK36" i="1"/>
  <x:c r="BN36" i="1"/>
  <x:c r="BQ36" i="1"/>
  <x:c r="BT36" i="1"/>
  <x:c r="BW36" i="1"/>
  <x:c r="BZ36" i="1"/>
  <x:c r="CC36" i="1"/>
  <x:c r="CF36" i="1"/>
  <x:c r="CI36" i="1"/>
  <x:c r="CL36" i="1"/>
  <x:c r="CO36" i="1"/>
  <x:c r="CR36" i="1"/>
  <x:c r="CU36" i="1"/>
  <x:c r="M37" i="1"/>
  <x:c r="N37" i="1"/>
  <x:c r="R37" i="1"/>
  <x:c r="U37" i="1"/>
  <x:c r="X37" i="1"/>
  <x:c r="AA37" i="1"/>
  <x:c r="AD37" i="1"/>
  <x:c r="AG37" i="1"/>
  <x:c r="AJ37" i="1"/>
  <x:c r="AM37" i="1"/>
  <x:c r="AP37" i="1"/>
  <x:c r="AS37" i="1"/>
  <x:c r="AV37" i="1"/>
  <x:c r="AY37" i="1"/>
  <x:c r="BB37" i="1"/>
  <x:c r="BE37" i="1"/>
  <x:c r="BH37" i="1"/>
  <x:c r="BK37" i="1"/>
  <x:c r="BN37" i="1"/>
  <x:c r="BQ37" i="1"/>
  <x:c r="BT37" i="1"/>
  <x:c r="BW37" i="1"/>
  <x:c r="BZ37" i="1"/>
  <x:c r="CC37" i="1"/>
  <x:c r="CF37" i="1"/>
  <x:c r="CI37" i="1"/>
  <x:c r="CL37" i="1"/>
  <x:c r="CO37" i="1"/>
  <x:c r="CR37" i="1"/>
  <x:c r="CU37" i="1"/>
  <x:c r="M38" i="1"/>
  <x:c r="N38" i="1"/>
  <x:c r="R38" i="1"/>
  <x:c r="U38" i="1"/>
  <x:c r="X38" i="1"/>
  <x:c r="AA38" i="1"/>
  <x:c r="AD38" i="1"/>
  <x:c r="AG38" i="1"/>
  <x:c r="AJ38" i="1"/>
  <x:c r="AM38" i="1"/>
  <x:c r="AP38" i="1"/>
  <x:c r="AS38" i="1"/>
  <x:c r="AV38" i="1"/>
  <x:c r="AY38" i="1"/>
  <x:c r="BB38" i="1"/>
  <x:c r="BE38" i="1"/>
  <x:c r="BH38" i="1"/>
  <x:c r="BK38" i="1"/>
  <x:c r="BN38" i="1"/>
  <x:c r="BQ38" i="1"/>
  <x:c r="BT38" i="1"/>
  <x:c r="BW38" i="1"/>
  <x:c r="BZ38" i="1"/>
  <x:c r="CC38" i="1"/>
  <x:c r="CF38" i="1"/>
  <x:c r="CI38" i="1"/>
  <x:c r="CL38" i="1"/>
  <x:c r="CO38" i="1"/>
  <x:c r="CR38" i="1"/>
  <x:c r="CU38" i="1"/>
  <x:c r="M39" i="1"/>
  <x:c r="N39" i="1"/>
  <x:c r="R39" i="1"/>
  <x:c r="U39" i="1"/>
  <x:c r="X39" i="1"/>
  <x:c r="AA39" i="1"/>
  <x:c r="AD39" i="1"/>
  <x:c r="AG39" i="1"/>
  <x:c r="AJ39" i="1"/>
  <x:c r="AM39" i="1"/>
  <x:c r="AP39" i="1"/>
  <x:c r="AS39" i="1"/>
  <x:c r="AV39" i="1"/>
  <x:c r="AY39" i="1"/>
  <x:c r="BB39" i="1"/>
  <x:c r="BE39" i="1"/>
  <x:c r="BH39" i="1"/>
  <x:c r="BK39" i="1"/>
  <x:c r="BN39" i="1"/>
  <x:c r="BQ39" i="1"/>
  <x:c r="BT39" i="1"/>
  <x:c r="BW39" i="1"/>
  <x:c r="BZ39" i="1"/>
  <x:c r="CC39" i="1"/>
  <x:c r="CF39" i="1"/>
  <x:c r="CI39" i="1"/>
  <x:c r="CL39" i="1"/>
  <x:c r="CO39" i="1"/>
  <x:c r="CR39" i="1"/>
  <x:c r="CU39" i="1"/>
  <x:c r="M40" i="1"/>
  <x:c r="N40" i="1"/>
  <x:c r="R40" i="1"/>
  <x:c r="U40" i="1"/>
  <x:c r="X40" i="1"/>
  <x:c r="AA40" i="1"/>
  <x:c r="AD40" i="1"/>
  <x:c r="AG40" i="1"/>
  <x:c r="AJ40" i="1"/>
  <x:c r="AM40" i="1"/>
  <x:c r="AP40" i="1"/>
  <x:c r="AS40" i="1"/>
  <x:c r="AV40" i="1"/>
  <x:c r="AY40" i="1"/>
  <x:c r="BB40" i="1"/>
  <x:c r="BE40" i="1"/>
  <x:c r="BH40" i="1"/>
  <x:c r="BK40" i="1"/>
  <x:c r="BN40" i="1"/>
  <x:c r="BQ40" i="1"/>
  <x:c r="BT40" i="1"/>
  <x:c r="BW40" i="1"/>
  <x:c r="BZ40" i="1"/>
  <x:c r="CC40" i="1"/>
  <x:c r="CF40" i="1"/>
  <x:c r="CI40" i="1"/>
  <x:c r="CL40" i="1"/>
  <x:c r="CO40" i="1"/>
  <x:c r="CR40" i="1"/>
  <x:c r="CU40" i="1"/>
  <x:c r="M41" i="1"/>
  <x:c r="N41" i="1"/>
  <x:c r="R41" i="1"/>
  <x:c r="U41" i="1"/>
  <x:c r="X41" i="1"/>
  <x:c r="AA41" i="1"/>
  <x:c r="AD41" i="1"/>
  <x:c r="AG41" i="1"/>
  <x:c r="AJ41" i="1"/>
  <x:c r="AM41" i="1"/>
  <x:c r="AP41" i="1"/>
  <x:c r="AS41" i="1"/>
  <x:c r="AV41" i="1"/>
  <x:c r="AY41" i="1"/>
  <x:c r="BB41" i="1"/>
  <x:c r="BE41" i="1"/>
  <x:c r="BH41" i="1"/>
  <x:c r="BK41" i="1"/>
  <x:c r="BN41" i="1"/>
  <x:c r="BQ41" i="1"/>
  <x:c r="BT41" i="1"/>
  <x:c r="BW41" i="1"/>
  <x:c r="BZ41" i="1"/>
  <x:c r="CC41" i="1"/>
  <x:c r="CF41" i="1"/>
  <x:c r="CI41" i="1"/>
  <x:c r="CL41" i="1"/>
  <x:c r="CO41" i="1"/>
  <x:c r="CR41" i="1"/>
  <x:c r="CU41" i="1"/>
  <x:c r="M42" i="1"/>
  <x:c r="N42" i="1"/>
  <x:c r="R42" i="1"/>
  <x:c r="U42" i="1"/>
  <x:c r="X42" i="1"/>
  <x:c r="AA42" i="1"/>
  <x:c r="AD42" i="1"/>
  <x:c r="AG42" i="1"/>
  <x:c r="AJ42" i="1"/>
  <x:c r="AM42" i="1"/>
  <x:c r="AP42" i="1"/>
  <x:c r="AS42" i="1"/>
  <x:c r="AV42" i="1"/>
  <x:c r="AY42" i="1"/>
  <x:c r="BB42" i="1"/>
  <x:c r="BE42" i="1"/>
  <x:c r="BH42" i="1"/>
  <x:c r="BK42" i="1"/>
  <x:c r="BN42" i="1"/>
  <x:c r="BQ42" i="1"/>
  <x:c r="BT42" i="1"/>
  <x:c r="BW42" i="1"/>
  <x:c r="BZ42" i="1"/>
  <x:c r="CC42" i="1"/>
  <x:c r="CF42" i="1"/>
  <x:c r="CI42" i="1"/>
  <x:c r="CL42" i="1"/>
  <x:c r="CO42" i="1"/>
  <x:c r="CR42" i="1"/>
  <x:c r="CU42" i="1"/>
  <x:c r="M43" i="1"/>
  <x:c r="N43" i="1"/>
  <x:c r="R43" i="1"/>
  <x:c r="U43" i="1"/>
  <x:c r="X43" i="1"/>
  <x:c r="AA43" i="1"/>
  <x:c r="AD43" i="1"/>
  <x:c r="AG43" i="1"/>
  <x:c r="AJ43" i="1"/>
  <x:c r="AM43" i="1"/>
  <x:c r="AP43" i="1"/>
  <x:c r="AS43" i="1"/>
  <x:c r="AV43" i="1"/>
  <x:c r="AY43" i="1"/>
  <x:c r="BB43" i="1"/>
  <x:c r="BE43" i="1"/>
  <x:c r="BH43" i="1"/>
  <x:c r="BK43" i="1"/>
  <x:c r="BN43" i="1"/>
  <x:c r="BQ43" i="1"/>
  <x:c r="BT43" i="1"/>
  <x:c r="BW43" i="1"/>
  <x:c r="BZ43" i="1"/>
  <x:c r="CC43" i="1"/>
  <x:c r="CF43" i="1"/>
  <x:c r="CI43" i="1"/>
  <x:c r="CL43" i="1"/>
  <x:c r="CO43" i="1"/>
  <x:c r="CR43" i="1"/>
  <x:c r="CU43" i="1"/>
  <x:c r="M44" i="1"/>
  <x:c r="N44" i="1"/>
  <x:c r="R44" i="1"/>
  <x:c r="U44" i="1"/>
  <x:c r="X44" i="1"/>
  <x:c r="AA44" i="1"/>
  <x:c r="AD44" i="1"/>
  <x:c r="AG44" i="1"/>
  <x:c r="AJ44" i="1"/>
  <x:c r="AM44" i="1"/>
  <x:c r="AP44" i="1"/>
  <x:c r="AS44" i="1"/>
  <x:c r="AV44" i="1"/>
  <x:c r="AY44" i="1"/>
  <x:c r="BB44" i="1"/>
  <x:c r="BE44" i="1"/>
  <x:c r="BH44" i="1"/>
  <x:c r="BK44" i="1"/>
  <x:c r="BN44" i="1"/>
  <x:c r="BQ44" i="1"/>
  <x:c r="BT44" i="1"/>
  <x:c r="BW44" i="1"/>
  <x:c r="BZ44" i="1"/>
  <x:c r="CC44" i="1"/>
  <x:c r="CF44" i="1"/>
  <x:c r="CI44" i="1"/>
  <x:c r="CL44" i="1"/>
  <x:c r="CO44" i="1"/>
  <x:c r="CR44" i="1"/>
  <x:c r="CU44" i="1"/>
  <x:c r="M45" i="1"/>
  <x:c r="N45" i="1"/>
  <x:c r="R45" i="1"/>
  <x:c r="U45" i="1"/>
  <x:c r="X45" i="1"/>
  <x:c r="AA45" i="1"/>
  <x:c r="AD45" i="1"/>
  <x:c r="AG45" i="1"/>
  <x:c r="AJ45" i="1"/>
  <x:c r="AM45" i="1"/>
  <x:c r="AP45" i="1"/>
  <x:c r="AS45" i="1"/>
  <x:c r="AV45" i="1"/>
  <x:c r="AY45" i="1"/>
  <x:c r="BB45" i="1"/>
  <x:c r="BE45" i="1"/>
  <x:c r="BH45" i="1"/>
  <x:c r="BK45" i="1"/>
  <x:c r="BN45" i="1"/>
  <x:c r="BQ45" i="1"/>
  <x:c r="BT45" i="1"/>
  <x:c r="BW45" i="1"/>
  <x:c r="BZ45" i="1"/>
  <x:c r="CC45" i="1"/>
  <x:c r="CF45" i="1"/>
  <x:c r="CI45" i="1"/>
  <x:c r="CL45" i="1"/>
  <x:c r="CO45" i="1"/>
  <x:c r="CR45" i="1"/>
  <x:c r="CU45" i="1"/>
  <x:c r="M46" i="1"/>
  <x:c r="N46" i="1"/>
  <x:c r="R46" i="1"/>
  <x:c r="U46" i="1"/>
  <x:c r="X46" i="1"/>
  <x:c r="AA46" i="1"/>
  <x:c r="AD46" i="1"/>
  <x:c r="AG46" i="1"/>
  <x:c r="AJ46" i="1"/>
  <x:c r="AM46" i="1"/>
  <x:c r="AP46" i="1"/>
  <x:c r="AS46" i="1"/>
  <x:c r="AV46" i="1"/>
  <x:c r="AY46" i="1"/>
  <x:c r="BB46" i="1"/>
  <x:c r="BE46" i="1"/>
  <x:c r="BH46" i="1"/>
  <x:c r="BK46" i="1"/>
  <x:c r="BN46" i="1"/>
  <x:c r="BQ46" i="1"/>
  <x:c r="BT46" i="1"/>
  <x:c r="BW46" i="1"/>
  <x:c r="BZ46" i="1"/>
  <x:c r="CC46" i="1"/>
  <x:c r="CF46" i="1"/>
  <x:c r="CI46" i="1"/>
  <x:c r="CL46" i="1"/>
  <x:c r="CO46" i="1"/>
  <x:c r="CR46" i="1"/>
  <x:c r="CU46" i="1"/>
  <x:c r="M47" i="1"/>
  <x:c r="N47" i="1"/>
  <x:c r="R47" i="1"/>
  <x:c r="U47" i="1"/>
  <x:c r="X47" i="1"/>
  <x:c r="AA47" i="1"/>
  <x:c r="AD47" i="1"/>
  <x:c r="AG47" i="1"/>
  <x:c r="AJ47" i="1"/>
  <x:c r="AM47" i="1"/>
  <x:c r="AP47" i="1"/>
  <x:c r="AS47" i="1"/>
  <x:c r="AV47" i="1"/>
  <x:c r="AY47" i="1"/>
  <x:c r="BB47" i="1"/>
  <x:c r="BE47" i="1"/>
  <x:c r="BH47" i="1"/>
  <x:c r="BK47" i="1"/>
  <x:c r="BN47" i="1"/>
  <x:c r="BQ47" i="1"/>
  <x:c r="BT47" i="1"/>
  <x:c r="BW47" i="1"/>
  <x:c r="BZ47" i="1"/>
  <x:c r="CC47" i="1"/>
  <x:c r="CF47" i="1"/>
  <x:c r="CI47" i="1"/>
  <x:c r="CL47" i="1"/>
  <x:c r="CO47" i="1"/>
  <x:c r="CR47" i="1"/>
  <x:c r="CU47" i="1"/>
  <x:c r="M48" i="1"/>
  <x:c r="N48" i="1"/>
  <x:c r="R48" i="1"/>
  <x:c r="U48" i="1"/>
  <x:c r="X48" i="1"/>
  <x:c r="AA48" i="1"/>
  <x:c r="AD48" i="1"/>
  <x:c r="AG48" i="1"/>
  <x:c r="AJ48" i="1"/>
  <x:c r="AM48" i="1"/>
  <x:c r="AP48" i="1"/>
  <x:c r="AS48" i="1"/>
  <x:c r="AV48" i="1"/>
  <x:c r="AY48" i="1"/>
  <x:c r="BB48" i="1"/>
  <x:c r="BE48" i="1"/>
  <x:c r="BH48" i="1"/>
  <x:c r="BK48" i="1"/>
  <x:c r="BN48" i="1"/>
  <x:c r="BQ48" i="1"/>
  <x:c r="BT48" i="1"/>
  <x:c r="BW48" i="1"/>
  <x:c r="BZ48" i="1"/>
  <x:c r="CC48" i="1"/>
  <x:c r="CF48" i="1"/>
  <x:c r="CI48" i="1"/>
  <x:c r="CL48" i="1"/>
  <x:c r="CO48" i="1"/>
  <x:c r="CR48" i="1"/>
  <x:c r="CU48" i="1"/>
  <x:c r="M49" i="1"/>
  <x:c r="N49" i="1"/>
  <x:c r="R49" i="1"/>
  <x:c r="U49" i="1"/>
  <x:c r="X49" i="1"/>
  <x:c r="AA49" i="1"/>
  <x:c r="AD49" i="1"/>
  <x:c r="AG49" i="1"/>
  <x:c r="AJ49" i="1"/>
  <x:c r="AM49" i="1"/>
  <x:c r="AP49" i="1"/>
  <x:c r="AS49" i="1"/>
  <x:c r="AV49" i="1"/>
  <x:c r="AY49" i="1"/>
  <x:c r="BB49" i="1"/>
  <x:c r="BE49" i="1"/>
  <x:c r="BH49" i="1"/>
  <x:c r="BK49" i="1"/>
  <x:c r="BN49" i="1"/>
  <x:c r="BQ49" i="1"/>
  <x:c r="BT49" i="1"/>
  <x:c r="BW49" i="1"/>
  <x:c r="BZ49" i="1"/>
  <x:c r="CC49" i="1"/>
  <x:c r="CF49" i="1"/>
  <x:c r="CI49" i="1"/>
  <x:c r="CL49" i="1"/>
  <x:c r="CO49" i="1"/>
  <x:c r="CR49" i="1"/>
  <x:c r="CU49" i="1"/>
  <x:c r="M50" i="1"/>
  <x:c r="N50" i="1"/>
  <x:c r="R50" i="1"/>
  <x:c r="U50" i="1"/>
  <x:c r="X50" i="1"/>
  <x:c r="AA50" i="1"/>
  <x:c r="AD50" i="1"/>
  <x:c r="AG50" i="1"/>
  <x:c r="AJ50" i="1"/>
  <x:c r="AM50" i="1"/>
  <x:c r="AP50" i="1"/>
  <x:c r="AS50" i="1"/>
  <x:c r="AV50" i="1"/>
  <x:c r="AY50" i="1"/>
  <x:c r="BB50" i="1"/>
  <x:c r="BE50" i="1"/>
  <x:c r="BH50" i="1"/>
  <x:c r="BK50" i="1"/>
  <x:c r="BN50" i="1"/>
  <x:c r="BQ50" i="1"/>
  <x:c r="BT50" i="1"/>
  <x:c r="BW50" i="1"/>
  <x:c r="BZ50" i="1"/>
  <x:c r="CC50" i="1"/>
  <x:c r="CF50" i="1"/>
  <x:c r="CI50" i="1"/>
  <x:c r="CL50" i="1"/>
  <x:c r="CO50" i="1"/>
  <x:c r="CR50" i="1"/>
  <x:c r="CU50" i="1"/>
  <x:c r="M51" i="1"/>
  <x:c r="N51" i="1"/>
  <x:c r="R51" i="1"/>
  <x:c r="U51" i="1"/>
  <x:c r="X51" i="1"/>
  <x:c r="AA51" i="1"/>
  <x:c r="AD51" i="1"/>
  <x:c r="AG51" i="1"/>
  <x:c r="AJ51" i="1"/>
  <x:c r="AM51" i="1"/>
  <x:c r="AP51" i="1"/>
  <x:c r="AS51" i="1"/>
  <x:c r="AV51" i="1"/>
  <x:c r="AY51" i="1"/>
  <x:c r="BB51" i="1"/>
  <x:c r="BE51" i="1"/>
  <x:c r="BH51" i="1"/>
  <x:c r="BK51" i="1"/>
  <x:c r="BN51" i="1"/>
  <x:c r="BQ51" i="1"/>
  <x:c r="BT51" i="1"/>
  <x:c r="BW51" i="1"/>
  <x:c r="BZ51" i="1"/>
  <x:c r="CC51" i="1"/>
  <x:c r="CF51" i="1"/>
  <x:c r="CI51" i="1"/>
  <x:c r="CL51" i="1"/>
  <x:c r="CO51" i="1"/>
  <x:c r="CR51" i="1"/>
  <x:c r="CU51" i="1"/>
  <x:c r="M52" i="1"/>
  <x:c r="N52" i="1"/>
  <x:c r="R52" i="1"/>
  <x:c r="U52" i="1"/>
  <x:c r="X52" i="1"/>
  <x:c r="AA52" i="1"/>
  <x:c r="AD52" i="1"/>
  <x:c r="AG52" i="1"/>
  <x:c r="AJ52" i="1"/>
  <x:c r="AM52" i="1"/>
  <x:c r="AP52" i="1"/>
  <x:c r="AS52" i="1"/>
  <x:c r="AV52" i="1"/>
  <x:c r="AY52" i="1"/>
  <x:c r="BB52" i="1"/>
  <x:c r="BE52" i="1"/>
  <x:c r="BH52" i="1"/>
  <x:c r="BK52" i="1"/>
  <x:c r="BN52" i="1"/>
  <x:c r="BQ52" i="1"/>
  <x:c r="BT52" i="1"/>
  <x:c r="BW52" i="1"/>
  <x:c r="BZ52" i="1"/>
  <x:c r="CC52" i="1"/>
  <x:c r="CF52" i="1"/>
  <x:c r="CI52" i="1"/>
  <x:c r="CL52" i="1"/>
  <x:c r="CO52" i="1"/>
  <x:c r="CR52" i="1"/>
  <x:c r="CU52" i="1"/>
  <x:c r="M53" i="1"/>
  <x:c r="N53" i="1"/>
  <x:c r="R53" i="1"/>
  <x:c r="U53" i="1"/>
  <x:c r="X53" i="1"/>
  <x:c r="AA53" i="1"/>
  <x:c r="AD53" i="1"/>
  <x:c r="AG53" i="1"/>
  <x:c r="AJ53" i="1"/>
  <x:c r="AM53" i="1"/>
  <x:c r="AP53" i="1"/>
  <x:c r="AS53" i="1"/>
  <x:c r="AV53" i="1"/>
  <x:c r="AY53" i="1"/>
  <x:c r="BB53" i="1"/>
  <x:c r="BE53" i="1"/>
  <x:c r="BH53" i="1"/>
  <x:c r="BK53" i="1"/>
  <x:c r="BN53" i="1"/>
  <x:c r="BQ53" i="1"/>
  <x:c r="BT53" i="1"/>
  <x:c r="BW53" i="1"/>
  <x:c r="BZ53" i="1"/>
  <x:c r="CC53" i="1"/>
  <x:c r="CF53" i="1"/>
  <x:c r="CI53" i="1"/>
  <x:c r="CL53" i="1"/>
  <x:c r="CO53" i="1"/>
  <x:c r="CR53" i="1"/>
  <x:c r="CU53" i="1"/>
  <x:c r="M54" i="1"/>
  <x:c r="N54" i="1"/>
  <x:c r="R54" i="1"/>
  <x:c r="U54" i="1"/>
  <x:c r="X54" i="1"/>
  <x:c r="AA54" i="1"/>
  <x:c r="AD54" i="1"/>
  <x:c r="AG54" i="1"/>
  <x:c r="AJ54" i="1"/>
  <x:c r="AM54" i="1"/>
  <x:c r="AP54" i="1"/>
  <x:c r="AS54" i="1"/>
  <x:c r="AV54" i="1"/>
  <x:c r="AY54" i="1"/>
  <x:c r="BB54" i="1"/>
  <x:c r="BE54" i="1"/>
  <x:c r="BH54" i="1"/>
  <x:c r="BK54" i="1"/>
  <x:c r="BN54" i="1"/>
  <x:c r="BQ54" i="1"/>
  <x:c r="BT54" i="1"/>
  <x:c r="BW54" i="1"/>
  <x:c r="BZ54" i="1"/>
  <x:c r="CC54" i="1"/>
  <x:c r="CF54" i="1"/>
  <x:c r="CI54" i="1"/>
  <x:c r="CL54" i="1"/>
  <x:c r="CO54" i="1"/>
  <x:c r="CR54" i="1"/>
  <x:c r="CU54" i="1"/>
  <x:c r="M55" i="1"/>
  <x:c r="N55" i="1"/>
  <x:c r="R55" i="1"/>
  <x:c r="U55" i="1"/>
  <x:c r="X55" i="1"/>
  <x:c r="AA55" i="1"/>
  <x:c r="AD55" i="1"/>
  <x:c r="AG55" i="1"/>
  <x:c r="AJ55" i="1"/>
  <x:c r="AM55" i="1"/>
  <x:c r="AP55" i="1"/>
  <x:c r="AS55" i="1"/>
  <x:c r="AV55" i="1"/>
  <x:c r="AY55" i="1"/>
  <x:c r="BB55" i="1"/>
  <x:c r="BE55" i="1"/>
  <x:c r="BH55" i="1"/>
  <x:c r="BK55" i="1"/>
  <x:c r="BN55" i="1"/>
  <x:c r="BQ55" i="1"/>
  <x:c r="BT55" i="1"/>
  <x:c r="BW55" i="1"/>
  <x:c r="BZ55" i="1"/>
  <x:c r="CC55" i="1"/>
  <x:c r="CF55" i="1"/>
  <x:c r="CI55" i="1"/>
  <x:c r="CL55" i="1"/>
  <x:c r="CO55" i="1"/>
  <x:c r="CR55" i="1"/>
  <x:c r="CU55" i="1"/>
  <x:c r="M56" i="1"/>
  <x:c r="N56" i="1"/>
  <x:c r="R56" i="1"/>
  <x:c r="U56" i="1"/>
  <x:c r="X56" i="1"/>
  <x:c r="AA56" i="1"/>
  <x:c r="AD56" i="1"/>
  <x:c r="AG56" i="1"/>
  <x:c r="AJ56" i="1"/>
  <x:c r="AM56" i="1"/>
  <x:c r="AP56" i="1"/>
  <x:c r="AS56" i="1"/>
  <x:c r="AV56" i="1"/>
  <x:c r="AY56" i="1"/>
  <x:c r="BB56" i="1"/>
  <x:c r="BE56" i="1"/>
  <x:c r="BH56" i="1"/>
  <x:c r="BK56" i="1"/>
  <x:c r="BN56" i="1"/>
  <x:c r="BQ56" i="1"/>
  <x:c r="BT56" i="1"/>
  <x:c r="BW56" i="1"/>
  <x:c r="BZ56" i="1"/>
  <x:c r="CC56" i="1"/>
  <x:c r="CF56" i="1"/>
  <x:c r="CI56" i="1"/>
  <x:c r="CL56" i="1"/>
  <x:c r="CO56" i="1"/>
  <x:c r="CR56" i="1"/>
  <x:c r="CU56" i="1"/>
  <x:c r="M57" i="1"/>
  <x:c r="N57" i="1"/>
  <x:c r="R57" i="1"/>
  <x:c r="U57" i="1"/>
  <x:c r="X57" i="1"/>
  <x:c r="AA57" i="1"/>
  <x:c r="AD57" i="1"/>
  <x:c r="AG57" i="1"/>
  <x:c r="AJ57" i="1"/>
  <x:c r="AM57" i="1"/>
  <x:c r="AP57" i="1"/>
  <x:c r="AS57" i="1"/>
  <x:c r="AV57" i="1"/>
  <x:c r="AY57" i="1"/>
  <x:c r="BB57" i="1"/>
  <x:c r="BE57" i="1"/>
  <x:c r="BH57" i="1"/>
  <x:c r="BK57" i="1"/>
  <x:c r="BN57" i="1"/>
  <x:c r="BQ57" i="1"/>
  <x:c r="BT57" i="1"/>
  <x:c r="BW57" i="1"/>
  <x:c r="BZ57" i="1"/>
  <x:c r="CC57" i="1"/>
  <x:c r="CF57" i="1"/>
  <x:c r="CI57" i="1"/>
  <x:c r="CL57" i="1"/>
  <x:c r="CO57" i="1"/>
  <x:c r="CR57" i="1"/>
  <x:c r="CU57" i="1"/>
  <x:c r="M58" i="1"/>
  <x:c r="N58" i="1"/>
  <x:c r="R58" i="1"/>
  <x:c r="U58" i="1"/>
  <x:c r="X58" i="1"/>
  <x:c r="AA58" i="1"/>
  <x:c r="AD58" i="1"/>
  <x:c r="AG58" i="1"/>
  <x:c r="AJ58" i="1"/>
  <x:c r="AM58" i="1"/>
  <x:c r="AP58" i="1"/>
  <x:c r="AS58" i="1"/>
  <x:c r="AV58" i="1"/>
  <x:c r="AY58" i="1"/>
  <x:c r="BB58" i="1"/>
  <x:c r="BE58" i="1"/>
  <x:c r="BH58" i="1"/>
  <x:c r="BK58" i="1"/>
  <x:c r="BN58" i="1"/>
  <x:c r="BQ58" i="1"/>
  <x:c r="BT58" i="1"/>
  <x:c r="BW58" i="1"/>
  <x:c r="BZ58" i="1"/>
  <x:c r="CC58" i="1"/>
  <x:c r="CF58" i="1"/>
  <x:c r="CI58" i="1"/>
  <x:c r="CL58" i="1"/>
  <x:c r="CO58" i="1"/>
  <x:c r="CR58" i="1"/>
  <x:c r="CU58" i="1"/>
  <x:c r="M59" i="1"/>
  <x:c r="N59" i="1"/>
  <x:c r="R59" i="1"/>
  <x:c r="U59" i="1"/>
  <x:c r="X59" i="1"/>
  <x:c r="AA59" i="1"/>
  <x:c r="AD59" i="1"/>
  <x:c r="AG59" i="1"/>
  <x:c r="AJ59" i="1"/>
  <x:c r="AM59" i="1"/>
  <x:c r="AP59" i="1"/>
  <x:c r="AS59" i="1"/>
  <x:c r="AV59" i="1"/>
  <x:c r="AY59" i="1"/>
  <x:c r="BB59" i="1"/>
  <x:c r="BE59" i="1"/>
  <x:c r="BH59" i="1"/>
  <x:c r="BK59" i="1"/>
  <x:c r="BN59" i="1"/>
  <x:c r="BQ59" i="1"/>
  <x:c r="BT59" i="1"/>
  <x:c r="BW59" i="1"/>
  <x:c r="BZ59" i="1"/>
  <x:c r="CC59" i="1"/>
  <x:c r="CF59" i="1"/>
  <x:c r="CI59" i="1"/>
  <x:c r="CL59" i="1"/>
  <x:c r="CO59" i="1"/>
  <x:c r="CR59" i="1"/>
  <x:c r="CU59" i="1"/>
  <x:c r="M60" i="1"/>
  <x:c r="N60" i="1"/>
  <x:c r="R60" i="1"/>
  <x:c r="U60" i="1"/>
  <x:c r="X60" i="1"/>
  <x:c r="AA60" i="1"/>
  <x:c r="AD60" i="1"/>
  <x:c r="AG60" i="1"/>
  <x:c r="AJ60" i="1"/>
  <x:c r="AM60" i="1"/>
  <x:c r="AP60" i="1"/>
  <x:c r="AS60" i="1"/>
  <x:c r="AV60" i="1"/>
  <x:c r="AY60" i="1"/>
  <x:c r="BB60" i="1"/>
  <x:c r="BE60" i="1"/>
  <x:c r="BH60" i="1"/>
  <x:c r="BK60" i="1"/>
  <x:c r="BN60" i="1"/>
  <x:c r="BQ60" i="1"/>
  <x:c r="BT60" i="1"/>
  <x:c r="BW60" i="1"/>
  <x:c r="BZ60" i="1"/>
  <x:c r="CC60" i="1"/>
  <x:c r="CF60" i="1"/>
  <x:c r="CI60" i="1"/>
  <x:c r="CL60" i="1"/>
  <x:c r="CO60" i="1"/>
  <x:c r="CR60" i="1"/>
  <x:c r="CU60" i="1"/>
  <x:c r="M61" i="1"/>
  <x:c r="N61" i="1"/>
  <x:c r="R61" i="1"/>
  <x:c r="U61" i="1"/>
  <x:c r="X61" i="1"/>
  <x:c r="AA61" i="1"/>
  <x:c r="AD61" i="1"/>
  <x:c r="AG61" i="1"/>
  <x:c r="AJ61" i="1"/>
  <x:c r="AM61" i="1"/>
  <x:c r="AP61" i="1"/>
  <x:c r="AS61" i="1"/>
  <x:c r="AV61" i="1"/>
  <x:c r="AY61" i="1"/>
  <x:c r="BB61" i="1"/>
  <x:c r="BE61" i="1"/>
  <x:c r="BH61" i="1"/>
  <x:c r="BK61" i="1"/>
  <x:c r="BN61" i="1"/>
  <x:c r="BQ61" i="1"/>
  <x:c r="BT61" i="1"/>
  <x:c r="BW61" i="1"/>
  <x:c r="BZ61" i="1"/>
  <x:c r="CC61" i="1"/>
  <x:c r="CF61" i="1"/>
  <x:c r="CI61" i="1"/>
  <x:c r="CL61" i="1"/>
  <x:c r="CO61" i="1"/>
  <x:c r="CR61" i="1"/>
  <x:c r="CU61" i="1"/>
  <x:c r="M62" i="1"/>
  <x:c r="N62" i="1"/>
  <x:c r="R62" i="1"/>
  <x:c r="U62" i="1"/>
  <x:c r="X62" i="1"/>
  <x:c r="AA62" i="1"/>
  <x:c r="AD62" i="1"/>
  <x:c r="AG62" i="1"/>
  <x:c r="AJ62" i="1"/>
  <x:c r="AM62" i="1"/>
  <x:c r="AP62" i="1"/>
  <x:c r="AS62" i="1"/>
  <x:c r="AV62" i="1"/>
  <x:c r="AY62" i="1"/>
  <x:c r="BB62" i="1"/>
  <x:c r="BE62" i="1"/>
  <x:c r="BH62" i="1"/>
  <x:c r="BK62" i="1"/>
  <x:c r="BN62" i="1"/>
  <x:c r="BQ62" i="1"/>
  <x:c r="BT62" i="1"/>
  <x:c r="BW62" i="1"/>
  <x:c r="BZ62" i="1"/>
  <x:c r="CC62" i="1"/>
  <x:c r="CF62" i="1"/>
  <x:c r="CI62" i="1"/>
  <x:c r="CL62" i="1"/>
  <x:c r="CO62" i="1"/>
  <x:c r="CR62" i="1"/>
  <x:c r="CU62" i="1"/>
  <x:c r="M63" i="1"/>
  <x:c r="N63" i="1"/>
  <x:c r="R63" i="1"/>
  <x:c r="U63" i="1"/>
  <x:c r="X63" i="1"/>
  <x:c r="AA63" i="1"/>
  <x:c r="AD63" i="1"/>
  <x:c r="AG63" i="1"/>
  <x:c r="AJ63" i="1"/>
  <x:c r="AM63" i="1"/>
  <x:c r="AP63" i="1"/>
  <x:c r="AS63" i="1"/>
  <x:c r="AV63" i="1"/>
  <x:c r="AY63" i="1"/>
  <x:c r="BB63" i="1"/>
  <x:c r="BE63" i="1"/>
  <x:c r="BH63" i="1"/>
  <x:c r="BK63" i="1"/>
  <x:c r="BN63" i="1"/>
  <x:c r="BQ63" i="1"/>
  <x:c r="BT63" i="1"/>
  <x:c r="BW63" i="1"/>
  <x:c r="BZ63" i="1"/>
  <x:c r="CC63" i="1"/>
  <x:c r="CF63" i="1"/>
  <x:c r="CI63" i="1"/>
  <x:c r="CL63" i="1"/>
  <x:c r="CO63" i="1"/>
  <x:c r="CR63" i="1"/>
  <x:c r="CU63" i="1"/>
  <x:c r="M64" i="1"/>
  <x:c r="N64" i="1"/>
  <x:c r="R64" i="1"/>
  <x:c r="U64" i="1"/>
  <x:c r="X64" i="1"/>
  <x:c r="AA64" i="1"/>
  <x:c r="AD64" i="1"/>
  <x:c r="AG64" i="1"/>
  <x:c r="AJ64" i="1"/>
  <x:c r="AM64" i="1"/>
  <x:c r="AP64" i="1"/>
  <x:c r="AS64" i="1"/>
  <x:c r="AV64" i="1"/>
  <x:c r="AY64" i="1"/>
  <x:c r="BB64" i="1"/>
  <x:c r="BE64" i="1"/>
  <x:c r="BH64" i="1"/>
  <x:c r="BK64" i="1"/>
  <x:c r="BN64" i="1"/>
  <x:c r="BQ64" i="1"/>
  <x:c r="BT64" i="1"/>
  <x:c r="BW64" i="1"/>
  <x:c r="BZ64" i="1"/>
  <x:c r="CC64" i="1"/>
  <x:c r="CF64" i="1"/>
  <x:c r="CI64" i="1"/>
  <x:c r="CL64" i="1"/>
  <x:c r="CO64" i="1"/>
  <x:c r="CR64" i="1"/>
  <x:c r="CU64" i="1"/>
  <x:c r="M65" i="1"/>
  <x:c r="N65" i="1"/>
  <x:c r="R65" i="1"/>
  <x:c r="U65" i="1"/>
  <x:c r="X65" i="1"/>
  <x:c r="AA65" i="1"/>
  <x:c r="AD65" i="1"/>
  <x:c r="AG65" i="1"/>
  <x:c r="AJ65" i="1"/>
  <x:c r="AM65" i="1"/>
  <x:c r="AP65" i="1"/>
  <x:c r="AS65" i="1"/>
  <x:c r="AV65" i="1"/>
  <x:c r="AY65" i="1"/>
  <x:c r="BB65" i="1"/>
  <x:c r="BE65" i="1"/>
  <x:c r="BH65" i="1"/>
  <x:c r="BK65" i="1"/>
  <x:c r="BN65" i="1"/>
  <x:c r="BQ65" i="1"/>
  <x:c r="BT65" i="1"/>
  <x:c r="BW65" i="1"/>
  <x:c r="BZ65" i="1"/>
  <x:c r="CC65" i="1"/>
  <x:c r="CF65" i="1"/>
  <x:c r="CI65" i="1"/>
  <x:c r="CL65" i="1"/>
  <x:c r="CO65" i="1"/>
  <x:c r="CR65" i="1"/>
  <x:c r="CU65" i="1"/>
  <x:c r="M66" i="1"/>
  <x:c r="N66" i="1"/>
  <x:c r="R66" i="1"/>
  <x:c r="U66" i="1"/>
  <x:c r="X66" i="1"/>
  <x:c r="AA66" i="1"/>
  <x:c r="AD66" i="1"/>
  <x:c r="AG66" i="1"/>
  <x:c r="AJ66" i="1"/>
  <x:c r="AM66" i="1"/>
  <x:c r="AP66" i="1"/>
  <x:c r="AS66" i="1"/>
  <x:c r="AV66" i="1"/>
  <x:c r="AY66" i="1"/>
  <x:c r="BB66" i="1"/>
  <x:c r="BE66" i="1"/>
  <x:c r="BH66" i="1"/>
  <x:c r="BK66" i="1"/>
  <x:c r="BN66" i="1"/>
  <x:c r="BQ66" i="1"/>
  <x:c r="BT66" i="1"/>
  <x:c r="BW66" i="1"/>
  <x:c r="BZ66" i="1"/>
  <x:c r="CC66" i="1"/>
  <x:c r="CF66" i="1"/>
  <x:c r="CI66" i="1"/>
  <x:c r="CL66" i="1"/>
  <x:c r="CO66" i="1"/>
  <x:c r="CR66" i="1"/>
  <x:c r="CU66" i="1"/>
  <x:c r="M67" i="1"/>
  <x:c r="N67" i="1"/>
  <x:c r="R67" i="1"/>
  <x:c r="U67" i="1"/>
  <x:c r="X67" i="1"/>
  <x:c r="AA67" i="1"/>
  <x:c r="AD67" i="1"/>
  <x:c r="AG67" i="1"/>
  <x:c r="AJ67" i="1"/>
  <x:c r="AM67" i="1"/>
  <x:c r="AP67" i="1"/>
  <x:c r="AS67" i="1"/>
  <x:c r="AV67" i="1"/>
  <x:c r="AY67" i="1"/>
  <x:c r="BB67" i="1"/>
  <x:c r="BE67" i="1"/>
  <x:c r="BH67" i="1"/>
  <x:c r="BK67" i="1"/>
  <x:c r="BN67" i="1"/>
  <x:c r="BQ67" i="1"/>
  <x:c r="BT67" i="1"/>
  <x:c r="BW67" i="1"/>
  <x:c r="BZ67" i="1"/>
  <x:c r="CC67" i="1"/>
  <x:c r="CF67" i="1"/>
  <x:c r="CI67" i="1"/>
  <x:c r="CL67" i="1"/>
  <x:c r="CO67" i="1"/>
  <x:c r="CR67" i="1"/>
  <x:c r="CU67" i="1"/>
  <x:c r="M68" i="1"/>
  <x:c r="N68" i="1"/>
  <x:c r="R68" i="1"/>
  <x:c r="U68" i="1"/>
  <x:c r="X68" i="1"/>
  <x:c r="AA68" i="1"/>
  <x:c r="AD68" i="1"/>
  <x:c r="AG68" i="1"/>
  <x:c r="AJ68" i="1"/>
  <x:c r="AM68" i="1"/>
  <x:c r="AP68" i="1"/>
  <x:c r="AS68" i="1"/>
  <x:c r="AV68" i="1"/>
  <x:c r="AY68" i="1"/>
  <x:c r="BB68" i="1"/>
  <x:c r="BE68" i="1"/>
  <x:c r="BH68" i="1"/>
  <x:c r="BK68" i="1"/>
  <x:c r="BN68" i="1"/>
  <x:c r="BQ68" i="1"/>
  <x:c r="BT68" i="1"/>
  <x:c r="BW68" i="1"/>
  <x:c r="BZ68" i="1"/>
  <x:c r="CC68" i="1"/>
  <x:c r="CF68" i="1"/>
  <x:c r="CI68" i="1"/>
  <x:c r="CL68" i="1"/>
  <x:c r="CO68" i="1"/>
  <x:c r="CR68" i="1"/>
  <x:c r="CU68" i="1"/>
  <x:c r="M69" i="1"/>
  <x:c r="N69" i="1"/>
  <x:c r="R69" i="1"/>
  <x:c r="U69" i="1"/>
  <x:c r="X69" i="1"/>
  <x:c r="AA69" i="1"/>
  <x:c r="AD69" i="1"/>
  <x:c r="AG69" i="1"/>
  <x:c r="AJ69" i="1"/>
  <x:c r="AM69" i="1"/>
  <x:c r="AP69" i="1"/>
  <x:c r="AS69" i="1"/>
  <x:c r="AV69" i="1"/>
  <x:c r="AY69" i="1"/>
  <x:c r="BB69" i="1"/>
  <x:c r="BE69" i="1"/>
  <x:c r="BH69" i="1"/>
  <x:c r="BK69" i="1"/>
  <x:c r="BN69" i="1"/>
  <x:c r="BQ69" i="1"/>
  <x:c r="BT69" i="1"/>
  <x:c r="BW69" i="1"/>
  <x:c r="BZ69" i="1"/>
  <x:c r="CC69" i="1"/>
  <x:c r="CF69" i="1"/>
  <x:c r="CI69" i="1"/>
  <x:c r="CL69" i="1"/>
  <x:c r="CO69" i="1"/>
  <x:c r="CR69" i="1"/>
  <x:c r="CU69" i="1"/>
  <x:c r="M70" i="1"/>
  <x:c r="N70" i="1"/>
  <x:c r="R70" i="1"/>
  <x:c r="U70" i="1"/>
  <x:c r="X70" i="1"/>
  <x:c r="AA70" i="1"/>
  <x:c r="AD70" i="1"/>
  <x:c r="AG70" i="1"/>
  <x:c r="AJ70" i="1"/>
  <x:c r="AM70" i="1"/>
  <x:c r="AP70" i="1"/>
  <x:c r="AS70" i="1"/>
  <x:c r="AV70" i="1"/>
  <x:c r="AY70" i="1"/>
  <x:c r="BB70" i="1"/>
  <x:c r="BE70" i="1"/>
  <x:c r="BH70" i="1"/>
  <x:c r="BK70" i="1"/>
  <x:c r="BN70" i="1"/>
  <x:c r="BQ70" i="1"/>
  <x:c r="BT70" i="1"/>
  <x:c r="BW70" i="1"/>
  <x:c r="BZ70" i="1"/>
  <x:c r="CC70" i="1"/>
  <x:c r="CF70" i="1"/>
  <x:c r="CI70" i="1"/>
  <x:c r="CL70" i="1"/>
  <x:c r="CO70" i="1"/>
  <x:c r="CR70" i="1"/>
  <x:c r="CU70" i="1"/>
  <x:c r="M71" i="1"/>
  <x:c r="N71" i="1"/>
  <x:c r="R71" i="1"/>
  <x:c r="U71" i="1"/>
  <x:c r="X71" i="1"/>
  <x:c r="AA71" i="1"/>
  <x:c r="AD71" i="1"/>
  <x:c r="AG71" i="1"/>
  <x:c r="AJ71" i="1"/>
  <x:c r="AM71" i="1"/>
  <x:c r="AP71" i="1"/>
  <x:c r="AS71" i="1"/>
  <x:c r="AV71" i="1"/>
  <x:c r="AY71" i="1"/>
  <x:c r="BB71" i="1"/>
  <x:c r="BE71" i="1"/>
  <x:c r="BH71" i="1"/>
  <x:c r="BK71" i="1"/>
  <x:c r="BN71" i="1"/>
  <x:c r="BQ71" i="1"/>
  <x:c r="BT71" i="1"/>
  <x:c r="BW71" i="1"/>
  <x:c r="BZ71" i="1"/>
  <x:c r="CC71" i="1"/>
  <x:c r="CF71" i="1"/>
  <x:c r="CI71" i="1"/>
  <x:c r="CL71" i="1"/>
  <x:c r="CO71" i="1"/>
  <x:c r="CR71" i="1"/>
  <x:c r="CU71" i="1"/>
  <x:c r="M72" i="1"/>
  <x:c r="N72" i="1"/>
  <x:c r="R72" i="1"/>
  <x:c r="U72" i="1"/>
  <x:c r="X72" i="1"/>
  <x:c r="AA72" i="1"/>
  <x:c r="AD72" i="1"/>
  <x:c r="AG72" i="1"/>
  <x:c r="AJ72" i="1"/>
  <x:c r="AM72" i="1"/>
  <x:c r="AP72" i="1"/>
  <x:c r="AS72" i="1"/>
  <x:c r="AV72" i="1"/>
  <x:c r="AY72" i="1"/>
  <x:c r="BB72" i="1"/>
  <x:c r="BE72" i="1"/>
  <x:c r="BH72" i="1"/>
  <x:c r="BK72" i="1"/>
  <x:c r="BN72" i="1"/>
  <x:c r="BQ72" i="1"/>
  <x:c r="BT72" i="1"/>
  <x:c r="BW72" i="1"/>
  <x:c r="BZ72" i="1"/>
  <x:c r="CC72" i="1"/>
  <x:c r="CF72" i="1"/>
  <x:c r="CI72" i="1"/>
  <x:c r="CL72" i="1"/>
  <x:c r="CO72" i="1"/>
  <x:c r="CR72" i="1"/>
  <x:c r="CU72" i="1"/>
  <x:c r="M73" i="1"/>
  <x:c r="N73" i="1"/>
  <x:c r="R73" i="1"/>
  <x:c r="U73" i="1"/>
  <x:c r="X73" i="1"/>
  <x:c r="AA73" i="1"/>
  <x:c r="AD73" i="1"/>
  <x:c r="AG73" i="1"/>
  <x:c r="AJ73" i="1"/>
  <x:c r="AM73" i="1"/>
  <x:c r="AP73" i="1"/>
  <x:c r="AS73" i="1"/>
  <x:c r="AV73" i="1"/>
  <x:c r="AY73" i="1"/>
  <x:c r="BB73" i="1"/>
  <x:c r="BE73" i="1"/>
  <x:c r="BH73" i="1"/>
  <x:c r="BK73" i="1"/>
  <x:c r="BN73" i="1"/>
  <x:c r="BQ73" i="1"/>
  <x:c r="BT73" i="1"/>
  <x:c r="BW73" i="1"/>
  <x:c r="BZ73" i="1"/>
  <x:c r="CC73" i="1"/>
  <x:c r="CF73" i="1"/>
  <x:c r="CI73" i="1"/>
  <x:c r="CL73" i="1"/>
  <x:c r="CO73" i="1"/>
  <x:c r="CR73" i="1"/>
  <x:c r="CU73" i="1"/>
  <x:c r="M74" i="1"/>
  <x:c r="N74" i="1"/>
  <x:c r="R74" i="1"/>
  <x:c r="U74" i="1"/>
  <x:c r="X74" i="1"/>
  <x:c r="AA74" i="1"/>
  <x:c r="AD74" i="1"/>
  <x:c r="AG74" i="1"/>
  <x:c r="AJ74" i="1"/>
  <x:c r="AM74" i="1"/>
  <x:c r="AP74" i="1"/>
  <x:c r="AS74" i="1"/>
  <x:c r="AV74" i="1"/>
  <x:c r="AY74" i="1"/>
  <x:c r="BB74" i="1"/>
  <x:c r="BE74" i="1"/>
  <x:c r="BH74" i="1"/>
  <x:c r="BK74" i="1"/>
  <x:c r="BN74" i="1"/>
  <x:c r="BQ74" i="1"/>
  <x:c r="BT74" i="1"/>
  <x:c r="BW74" i="1"/>
  <x:c r="BZ74" i="1"/>
  <x:c r="CC74" i="1"/>
  <x:c r="CF74" i="1"/>
  <x:c r="CI74" i="1"/>
  <x:c r="CL74" i="1"/>
  <x:c r="CO74" i="1"/>
  <x:c r="CR74" i="1"/>
  <x:c r="CU74" i="1"/>
  <x:c r="M75" i="1"/>
  <x:c r="N75" i="1"/>
  <x:c r="R75" i="1"/>
  <x:c r="U75" i="1"/>
  <x:c r="X75" i="1"/>
  <x:c r="AA75" i="1"/>
  <x:c r="AD75" i="1"/>
  <x:c r="AG75" i="1"/>
  <x:c r="AJ75" i="1"/>
  <x:c r="AM75" i="1"/>
  <x:c r="AP75" i="1"/>
  <x:c r="AS75" i="1"/>
  <x:c r="AV75" i="1"/>
  <x:c r="AY75" i="1"/>
  <x:c r="BB75" i="1"/>
  <x:c r="BE75" i="1"/>
  <x:c r="BH75" i="1"/>
  <x:c r="BK75" i="1"/>
  <x:c r="BN75" i="1"/>
  <x:c r="BQ75" i="1"/>
  <x:c r="BT75" i="1"/>
  <x:c r="BW75" i="1"/>
  <x:c r="BZ75" i="1"/>
  <x:c r="CC75" i="1"/>
  <x:c r="CF75" i="1"/>
  <x:c r="CI75" i="1"/>
  <x:c r="CL75" i="1"/>
  <x:c r="CO75" i="1"/>
  <x:c r="CR75" i="1"/>
  <x:c r="CU75" i="1"/>
  <x:c r="M76" i="1"/>
  <x:c r="N76" i="1"/>
  <x:c r="R76" i="1"/>
  <x:c r="U76" i="1"/>
  <x:c r="X76" i="1"/>
  <x:c r="AA76" i="1"/>
  <x:c r="AD76" i="1"/>
  <x:c r="AG76" i="1"/>
  <x:c r="AJ76" i="1"/>
  <x:c r="AM76" i="1"/>
  <x:c r="AP76" i="1"/>
  <x:c r="AS76" i="1"/>
  <x:c r="AV76" i="1"/>
  <x:c r="AY76" i="1"/>
  <x:c r="BB76" i="1"/>
  <x:c r="BE76" i="1"/>
  <x:c r="BH76" i="1"/>
  <x:c r="BK76" i="1"/>
  <x:c r="BN76" i="1"/>
  <x:c r="BQ76" i="1"/>
  <x:c r="BT76" i="1"/>
  <x:c r="BW76" i="1"/>
  <x:c r="BZ76" i="1"/>
  <x:c r="CC76" i="1"/>
  <x:c r="CF76" i="1"/>
  <x:c r="CI76" i="1"/>
  <x:c r="CL76" i="1"/>
  <x:c r="CO76" i="1"/>
  <x:c r="CR76" i="1"/>
  <x:c r="CU76" i="1"/>
  <x:c r="M77" i="1"/>
  <x:c r="N77" i="1"/>
  <x:c r="R77" i="1"/>
  <x:c r="U77" i="1"/>
  <x:c r="X77" i="1"/>
  <x:c r="AA77" i="1"/>
  <x:c r="AD77" i="1"/>
  <x:c r="AG77" i="1"/>
  <x:c r="AJ77" i="1"/>
  <x:c r="AM77" i="1"/>
  <x:c r="AP77" i="1"/>
  <x:c r="AS77" i="1"/>
  <x:c r="AV77" i="1"/>
  <x:c r="AY77" i="1"/>
  <x:c r="BB77" i="1"/>
  <x:c r="BE77" i="1"/>
  <x:c r="BH77" i="1"/>
  <x:c r="BK77" i="1"/>
  <x:c r="BN77" i="1"/>
  <x:c r="BQ77" i="1"/>
  <x:c r="BT77" i="1"/>
  <x:c r="BW77" i="1"/>
  <x:c r="BZ77" i="1"/>
  <x:c r="CC77" i="1"/>
  <x:c r="CF77" i="1"/>
  <x:c r="CI77" i="1"/>
  <x:c r="CL77" i="1"/>
  <x:c r="CO77" i="1"/>
  <x:c r="CR77" i="1"/>
  <x:c r="CU77" i="1"/>
  <x:c r="M78" i="1"/>
  <x:c r="N78" i="1"/>
  <x:c r="R78" i="1"/>
  <x:c r="U78" i="1"/>
  <x:c r="X78" i="1"/>
  <x:c r="AA78" i="1"/>
  <x:c r="AD78" i="1"/>
  <x:c r="AG78" i="1"/>
  <x:c r="AJ78" i="1"/>
  <x:c r="AM78" i="1"/>
  <x:c r="AP78" i="1"/>
  <x:c r="AS78" i="1"/>
  <x:c r="AV78" i="1"/>
  <x:c r="AY78" i="1"/>
  <x:c r="BB78" i="1"/>
  <x:c r="BE78" i="1"/>
  <x:c r="BH78" i="1"/>
  <x:c r="BK78" i="1"/>
  <x:c r="BN78" i="1"/>
  <x:c r="BQ78" i="1"/>
  <x:c r="BT78" i="1"/>
  <x:c r="BW78" i="1"/>
  <x:c r="BZ78" i="1"/>
  <x:c r="CC78" i="1"/>
  <x:c r="CF78" i="1"/>
  <x:c r="CI78" i="1"/>
  <x:c r="CL78" i="1"/>
  <x:c r="CO78" i="1"/>
  <x:c r="CR78" i="1"/>
  <x:c r="CU78" i="1"/>
  <x:c r="M79" i="1"/>
  <x:c r="N79" i="1"/>
  <x:c r="R79" i="1"/>
  <x:c r="U79" i="1"/>
  <x:c r="X79" i="1"/>
  <x:c r="AA79" i="1"/>
  <x:c r="AD79" i="1"/>
  <x:c r="AG79" i="1"/>
  <x:c r="AJ79" i="1"/>
  <x:c r="AM79" i="1"/>
  <x:c r="AP79" i="1"/>
  <x:c r="AS79" i="1"/>
  <x:c r="AV79" i="1"/>
  <x:c r="AY79" i="1"/>
  <x:c r="BB79" i="1"/>
  <x:c r="BE79" i="1"/>
  <x:c r="BH79" i="1"/>
  <x:c r="BK79" i="1"/>
  <x:c r="BN79" i="1"/>
  <x:c r="BQ79" i="1"/>
  <x:c r="BT79" i="1"/>
  <x:c r="BW79" i="1"/>
  <x:c r="BZ79" i="1"/>
  <x:c r="CC79" i="1"/>
  <x:c r="CF79" i="1"/>
  <x:c r="CI79" i="1"/>
  <x:c r="CL79" i="1"/>
  <x:c r="CO79" i="1"/>
  <x:c r="CR79" i="1"/>
  <x:c r="CU79" i="1"/>
  <x:c r="M80" i="1"/>
  <x:c r="N80" i="1"/>
  <x:c r="R80" i="1"/>
  <x:c r="U80" i="1"/>
  <x:c r="X80" i="1"/>
  <x:c r="AA80" i="1"/>
  <x:c r="AD80" i="1"/>
  <x:c r="AG80" i="1"/>
  <x:c r="AJ80" i="1"/>
  <x:c r="AM80" i="1"/>
  <x:c r="AP80" i="1"/>
  <x:c r="AS80" i="1"/>
  <x:c r="AV80" i="1"/>
  <x:c r="AY80" i="1"/>
  <x:c r="BB80" i="1"/>
  <x:c r="BE80" i="1"/>
  <x:c r="BH80" i="1"/>
  <x:c r="BK80" i="1"/>
  <x:c r="BN80" i="1"/>
  <x:c r="BQ80" i="1"/>
  <x:c r="BT80" i="1"/>
  <x:c r="BW80" i="1"/>
  <x:c r="BZ80" i="1"/>
  <x:c r="CC80" i="1"/>
  <x:c r="CF80" i="1"/>
  <x:c r="CI80" i="1"/>
  <x:c r="CL80" i="1"/>
  <x:c r="CO80" i="1"/>
  <x:c r="CR80" i="1"/>
  <x:c r="CU80" i="1"/>
  <x:c r="M81" i="1"/>
  <x:c r="N81" i="1"/>
  <x:c r="R81" i="1"/>
  <x:c r="U81" i="1"/>
  <x:c r="X81" i="1"/>
  <x:c r="AA81" i="1"/>
  <x:c r="AD81" i="1"/>
  <x:c r="AG81" i="1"/>
  <x:c r="AJ81" i="1"/>
  <x:c r="AM81" i="1"/>
  <x:c r="AP81" i="1"/>
  <x:c r="AS81" i="1"/>
  <x:c r="AV81" i="1"/>
  <x:c r="AY81" i="1"/>
  <x:c r="BB81" i="1"/>
  <x:c r="BE81" i="1"/>
  <x:c r="BH81" i="1"/>
  <x:c r="BK81" i="1"/>
  <x:c r="BN81" i="1"/>
  <x:c r="BQ81" i="1"/>
  <x:c r="BT81" i="1"/>
  <x:c r="BW81" i="1"/>
  <x:c r="BZ81" i="1"/>
  <x:c r="CC81" i="1"/>
  <x:c r="CF81" i="1"/>
  <x:c r="CI81" i="1"/>
  <x:c r="CL81" i="1"/>
  <x:c r="CO81" i="1"/>
  <x:c r="CR81" i="1"/>
  <x:c r="CU81" i="1"/>
  <x:c r="M82" i="1"/>
  <x:c r="N82" i="1"/>
  <x:c r="R82" i="1"/>
  <x:c r="U82" i="1"/>
  <x:c r="X82" i="1"/>
  <x:c r="AA82" i="1"/>
  <x:c r="AD82" i="1"/>
  <x:c r="AG82" i="1"/>
  <x:c r="AJ82" i="1"/>
  <x:c r="AM82" i="1"/>
  <x:c r="AP82" i="1"/>
  <x:c r="AS82" i="1"/>
  <x:c r="AV82" i="1"/>
  <x:c r="AY82" i="1"/>
  <x:c r="BB82" i="1"/>
  <x:c r="BE82" i="1"/>
  <x:c r="BH82" i="1"/>
  <x:c r="BK82" i="1"/>
  <x:c r="BN82" i="1"/>
  <x:c r="BQ82" i="1"/>
  <x:c r="BT82" i="1"/>
  <x:c r="BW82" i="1"/>
  <x:c r="BZ82" i="1"/>
  <x:c r="CC82" i="1"/>
  <x:c r="CF82" i="1"/>
  <x:c r="CI82" i="1"/>
  <x:c r="CL82" i="1"/>
  <x:c r="CO82" i="1"/>
  <x:c r="CR82" i="1"/>
  <x:c r="CU82" i="1"/>
  <x:c r="M83" i="1"/>
  <x:c r="N83" i="1"/>
  <x:c r="R83" i="1"/>
  <x:c r="U83" i="1"/>
  <x:c r="X83" i="1"/>
  <x:c r="AA83" i="1"/>
  <x:c r="AD83" i="1"/>
  <x:c r="AG83" i="1"/>
  <x:c r="AJ83" i="1"/>
  <x:c r="AM83" i="1"/>
  <x:c r="AP83" i="1"/>
  <x:c r="AS83" i="1"/>
  <x:c r="AV83" i="1"/>
  <x:c r="AY83" i="1"/>
  <x:c r="BB83" i="1"/>
  <x:c r="BE83" i="1"/>
  <x:c r="BH83" i="1"/>
  <x:c r="BK83" i="1"/>
  <x:c r="BN83" i="1"/>
  <x:c r="BQ83" i="1"/>
  <x:c r="BT83" i="1"/>
  <x:c r="BW83" i="1"/>
  <x:c r="BZ83" i="1"/>
  <x:c r="CC83" i="1"/>
  <x:c r="CF83" i="1"/>
  <x:c r="CI83" i="1"/>
  <x:c r="CL83" i="1"/>
  <x:c r="CO83" i="1"/>
  <x:c r="CR83" i="1"/>
  <x:c r="CU83" i="1"/>
  <x:c r="M84" i="1"/>
  <x:c r="N84" i="1"/>
  <x:c r="R84" i="1"/>
  <x:c r="U84" i="1"/>
  <x:c r="X84" i="1"/>
  <x:c r="AA84" i="1"/>
  <x:c r="AD84" i="1"/>
  <x:c r="AG84" i="1"/>
  <x:c r="AJ84" i="1"/>
  <x:c r="AM84" i="1"/>
  <x:c r="AP84" i="1"/>
  <x:c r="AS84" i="1"/>
  <x:c r="AV84" i="1"/>
  <x:c r="AY84" i="1"/>
  <x:c r="BB84" i="1"/>
  <x:c r="BE84" i="1"/>
  <x:c r="BH84" i="1"/>
  <x:c r="BK84" i="1"/>
  <x:c r="BN84" i="1"/>
  <x:c r="BQ84" i="1"/>
  <x:c r="BT84" i="1"/>
  <x:c r="BW84" i="1"/>
  <x:c r="BZ84" i="1"/>
  <x:c r="CC84" i="1"/>
  <x:c r="CF84" i="1"/>
  <x:c r="CI84" i="1"/>
  <x:c r="CL84" i="1"/>
  <x:c r="CO84" i="1"/>
  <x:c r="CR84" i="1"/>
  <x:c r="CU84" i="1"/>
  <x:c r="M85" i="1"/>
  <x:c r="N85" i="1"/>
  <x:c r="R85" i="1"/>
  <x:c r="U85" i="1"/>
  <x:c r="X85" i="1"/>
  <x:c r="AA85" i="1"/>
  <x:c r="AD85" i="1"/>
  <x:c r="AG85" i="1"/>
  <x:c r="AJ85" i="1"/>
  <x:c r="AM85" i="1"/>
  <x:c r="AP85" i="1"/>
  <x:c r="AS85" i="1"/>
  <x:c r="AV85" i="1"/>
  <x:c r="AY85" i="1"/>
  <x:c r="BB85" i="1"/>
  <x:c r="BE85" i="1"/>
  <x:c r="BH85" i="1"/>
  <x:c r="BK85" i="1"/>
  <x:c r="BN85" i="1"/>
  <x:c r="BQ85" i="1"/>
  <x:c r="BT85" i="1"/>
  <x:c r="BW85" i="1"/>
  <x:c r="BZ85" i="1"/>
  <x:c r="CC85" i="1"/>
  <x:c r="CF85" i="1"/>
  <x:c r="CI85" i="1"/>
  <x:c r="CL85" i="1"/>
  <x:c r="CO85" i="1"/>
  <x:c r="CR85" i="1"/>
  <x:c r="CU85" i="1"/>
  <x:c r="M86" i="1"/>
  <x:c r="N86" i="1"/>
  <x:c r="R86" i="1"/>
  <x:c r="U86" i="1"/>
  <x:c r="X86" i="1"/>
  <x:c r="AA86" i="1"/>
  <x:c r="AD86" i="1"/>
  <x:c r="AG86" i="1"/>
  <x:c r="AJ86" i="1"/>
  <x:c r="AM86" i="1"/>
  <x:c r="AP86" i="1"/>
  <x:c r="AS86" i="1"/>
  <x:c r="AV86" i="1"/>
  <x:c r="AY86" i="1"/>
  <x:c r="BB86" i="1"/>
  <x:c r="BE86" i="1"/>
  <x:c r="BH86" i="1"/>
  <x:c r="BK86" i="1"/>
  <x:c r="BN86" i="1"/>
  <x:c r="BQ86" i="1"/>
  <x:c r="BT86" i="1"/>
  <x:c r="BW86" i="1"/>
  <x:c r="BZ86" i="1"/>
  <x:c r="CC86" i="1"/>
  <x:c r="CF86" i="1"/>
  <x:c r="CI86" i="1"/>
  <x:c r="CL86" i="1"/>
  <x:c r="CO86" i="1"/>
  <x:c r="CR86" i="1"/>
  <x:c r="CU86" i="1"/>
  <x:c r="M87" i="1"/>
  <x:c r="N87" i="1"/>
  <x:c r="R87" i="1"/>
  <x:c r="U87" i="1"/>
  <x:c r="X87" i="1"/>
  <x:c r="AA87" i="1"/>
  <x:c r="AD87" i="1"/>
  <x:c r="AG87" i="1"/>
  <x:c r="AJ87" i="1"/>
  <x:c r="AM87" i="1"/>
  <x:c r="AP87" i="1"/>
  <x:c r="AS87" i="1"/>
  <x:c r="AV87" i="1"/>
  <x:c r="AY87" i="1"/>
  <x:c r="BB87" i="1"/>
  <x:c r="BE87" i="1"/>
  <x:c r="BH87" i="1"/>
  <x:c r="BK87" i="1"/>
  <x:c r="BN87" i="1"/>
  <x:c r="BQ87" i="1"/>
  <x:c r="BT87" i="1"/>
  <x:c r="BW87" i="1"/>
  <x:c r="BZ87" i="1"/>
  <x:c r="CC87" i="1"/>
  <x:c r="CF87" i="1"/>
  <x:c r="CI87" i="1"/>
  <x:c r="CL87" i="1"/>
  <x:c r="CO87" i="1"/>
  <x:c r="CR87" i="1"/>
  <x:c r="CU87" i="1"/>
  <x:c r="M88" i="1"/>
  <x:c r="N88" i="1"/>
  <x:c r="R88" i="1"/>
  <x:c r="U88" i="1"/>
  <x:c r="X88" i="1"/>
  <x:c r="AA88" i="1"/>
  <x:c r="AD88" i="1"/>
  <x:c r="AG88" i="1"/>
  <x:c r="AJ88" i="1"/>
  <x:c r="AM88" i="1"/>
  <x:c r="AP88" i="1"/>
  <x:c r="AS88" i="1"/>
  <x:c r="AV88" i="1"/>
  <x:c r="AY88" i="1"/>
  <x:c r="BB88" i="1"/>
  <x:c r="BE88" i="1"/>
  <x:c r="BH88" i="1"/>
  <x:c r="BK88" i="1"/>
  <x:c r="BN88" i="1"/>
  <x:c r="BQ88" i="1"/>
  <x:c r="BT88" i="1"/>
  <x:c r="BW88" i="1"/>
  <x:c r="BZ88" i="1"/>
  <x:c r="CC88" i="1"/>
  <x:c r="CF88" i="1"/>
  <x:c r="CI88" i="1"/>
  <x:c r="CL88" i="1"/>
  <x:c r="CO88" i="1"/>
  <x:c r="CR88" i="1"/>
  <x:c r="CU88" i="1"/>
  <x:c r="M89" i="1"/>
  <x:c r="N89" i="1"/>
  <x:c r="R89" i="1"/>
  <x:c r="U89" i="1"/>
  <x:c r="X89" i="1"/>
  <x:c r="AA89" i="1"/>
  <x:c r="AD89" i="1"/>
  <x:c r="AG89" i="1"/>
  <x:c r="AJ89" i="1"/>
  <x:c r="AM89" i="1"/>
  <x:c r="AP89" i="1"/>
  <x:c r="AS89" i="1"/>
  <x:c r="AV89" i="1"/>
  <x:c r="AY89" i="1"/>
  <x:c r="BB89" i="1"/>
  <x:c r="BE89" i="1"/>
  <x:c r="BH89" i="1"/>
  <x:c r="BK89" i="1"/>
  <x:c r="BN89" i="1"/>
  <x:c r="BQ89" i="1"/>
  <x:c r="BT89" i="1"/>
  <x:c r="BW89" i="1"/>
  <x:c r="BZ89" i="1"/>
  <x:c r="CC89" i="1"/>
  <x:c r="CF89" i="1"/>
  <x:c r="CI89" i="1"/>
  <x:c r="CL89" i="1"/>
  <x:c r="CO89" i="1"/>
  <x:c r="CR89" i="1"/>
  <x:c r="CU89" i="1"/>
  <x:c r="M90" i="1"/>
  <x:c r="N90" i="1"/>
  <x:c r="R90" i="1"/>
  <x:c r="U90" i="1"/>
  <x:c r="X90" i="1"/>
  <x:c r="AA90" i="1"/>
  <x:c r="AD90" i="1"/>
  <x:c r="AG90" i="1"/>
  <x:c r="AJ90" i="1"/>
  <x:c r="AM90" i="1"/>
  <x:c r="AP90" i="1"/>
  <x:c r="AS90" i="1"/>
  <x:c r="AV90" i="1"/>
  <x:c r="AY90" i="1"/>
  <x:c r="BB90" i="1"/>
  <x:c r="BE90" i="1"/>
  <x:c r="BH90" i="1"/>
  <x:c r="BK90" i="1"/>
  <x:c r="BN90" i="1"/>
  <x:c r="BQ90" i="1"/>
  <x:c r="BT90" i="1"/>
  <x:c r="BW90" i="1"/>
  <x:c r="BZ90" i="1"/>
  <x:c r="CC90" i="1"/>
  <x:c r="CF90" i="1"/>
  <x:c r="CI90" i="1"/>
  <x:c r="CL90" i="1"/>
  <x:c r="CO90" i="1"/>
  <x:c r="CR90" i="1"/>
  <x:c r="CU90" i="1"/>
  <x:c r="M91" i="1"/>
  <x:c r="N91" i="1"/>
  <x:c r="R91" i="1"/>
  <x:c r="U91" i="1"/>
  <x:c r="X91" i="1"/>
  <x:c r="AA91" i="1"/>
  <x:c r="AD91" i="1"/>
  <x:c r="AG91" i="1"/>
  <x:c r="AJ91" i="1"/>
  <x:c r="AM91" i="1"/>
  <x:c r="AP91" i="1"/>
  <x:c r="AS91" i="1"/>
  <x:c r="AV91" i="1"/>
  <x:c r="AY91" i="1"/>
  <x:c r="BB91" i="1"/>
  <x:c r="BE91" i="1"/>
  <x:c r="BH91" i="1"/>
  <x:c r="BK91" i="1"/>
  <x:c r="BN91" i="1"/>
  <x:c r="BQ91" i="1"/>
  <x:c r="BT91" i="1"/>
  <x:c r="BW91" i="1"/>
  <x:c r="BZ91" i="1"/>
  <x:c r="CC91" i="1"/>
  <x:c r="CF91" i="1"/>
  <x:c r="CI91" i="1"/>
  <x:c r="CL91" i="1"/>
  <x:c r="CO91" i="1"/>
  <x:c r="CR91" i="1"/>
  <x:c r="CU91" i="1"/>
  <x:c r="M92" i="1"/>
  <x:c r="N92" i="1"/>
  <x:c r="R92" i="1"/>
  <x:c r="U92" i="1"/>
  <x:c r="X92" i="1"/>
  <x:c r="AA92" i="1"/>
  <x:c r="AD92" i="1"/>
  <x:c r="AG92" i="1"/>
  <x:c r="AJ92" i="1"/>
  <x:c r="AM92" i="1"/>
  <x:c r="AP92" i="1"/>
  <x:c r="AS92" i="1"/>
  <x:c r="AV92" i="1"/>
  <x:c r="AY92" i="1"/>
  <x:c r="BB92" i="1"/>
  <x:c r="BE92" i="1"/>
  <x:c r="BH92" i="1"/>
  <x:c r="BK92" i="1"/>
  <x:c r="BN92" i="1"/>
  <x:c r="BQ92" i="1"/>
  <x:c r="BT92" i="1"/>
  <x:c r="BW92" i="1"/>
  <x:c r="BZ92" i="1"/>
  <x:c r="CC92" i="1"/>
  <x:c r="CF92" i="1"/>
  <x:c r="CI92" i="1"/>
  <x:c r="CL92" i="1"/>
  <x:c r="CO92" i="1"/>
  <x:c r="CR92" i="1"/>
  <x:c r="CU92" i="1"/>
  <x:c r="M93" i="1"/>
  <x:c r="N93" i="1"/>
  <x:c r="R93" i="1"/>
  <x:c r="U93" i="1"/>
  <x:c r="X93" i="1"/>
  <x:c r="AA93" i="1"/>
  <x:c r="AD93" i="1"/>
  <x:c r="AG93" i="1"/>
  <x:c r="AJ93" i="1"/>
  <x:c r="AM93" i="1"/>
  <x:c r="AP93" i="1"/>
  <x:c r="AS93" i="1"/>
  <x:c r="AV93" i="1"/>
  <x:c r="AY93" i="1"/>
  <x:c r="BB93" i="1"/>
  <x:c r="BE93" i="1"/>
  <x:c r="BH93" i="1"/>
  <x:c r="BK93" i="1"/>
  <x:c r="BN93" i="1"/>
  <x:c r="BQ93" i="1"/>
  <x:c r="BT93" i="1"/>
  <x:c r="BW93" i="1"/>
  <x:c r="BZ93" i="1"/>
  <x:c r="CC93" i="1"/>
  <x:c r="CF93" i="1"/>
  <x:c r="CI93" i="1"/>
  <x:c r="CL93" i="1"/>
  <x:c r="CO93" i="1"/>
  <x:c r="CR93" i="1"/>
  <x:c r="CU93" i="1"/>
  <x:c r="M94" i="1"/>
  <x:c r="N94" i="1"/>
  <x:c r="R94" i="1"/>
  <x:c r="U94" i="1"/>
  <x:c r="X94" i="1"/>
  <x:c r="AA94" i="1"/>
  <x:c r="AD94" i="1"/>
  <x:c r="AG94" i="1"/>
  <x:c r="AJ94" i="1"/>
  <x:c r="AM94" i="1"/>
  <x:c r="AP94" i="1"/>
  <x:c r="AS94" i="1"/>
  <x:c r="AV94" i="1"/>
  <x:c r="AY94" i="1"/>
  <x:c r="BB94" i="1"/>
  <x:c r="BE94" i="1"/>
  <x:c r="BH94" i="1"/>
  <x:c r="BK94" i="1"/>
  <x:c r="BN94" i="1"/>
  <x:c r="BQ94" i="1"/>
  <x:c r="BT94" i="1"/>
  <x:c r="BW94" i="1"/>
  <x:c r="BZ94" i="1"/>
  <x:c r="CC94" i="1"/>
  <x:c r="CF94" i="1"/>
  <x:c r="CI94" i="1"/>
  <x:c r="CL94" i="1"/>
  <x:c r="CO94" i="1"/>
  <x:c r="CR94" i="1"/>
  <x:c r="CU94" i="1"/>
  <x:c r="M95" i="1"/>
  <x:c r="N95" i="1"/>
  <x:c r="R95" i="1"/>
  <x:c r="U95" i="1"/>
  <x:c r="X95" i="1"/>
  <x:c r="AA95" i="1"/>
  <x:c r="AD95" i="1"/>
  <x:c r="AG95" i="1"/>
  <x:c r="AJ95" i="1"/>
  <x:c r="AM95" i="1"/>
  <x:c r="AP95" i="1"/>
  <x:c r="AS95" i="1"/>
  <x:c r="AV95" i="1"/>
  <x:c r="AY95" i="1"/>
  <x:c r="BB95" i="1"/>
  <x:c r="BE95" i="1"/>
  <x:c r="BH95" i="1"/>
  <x:c r="BK95" i="1"/>
  <x:c r="BN95" i="1"/>
  <x:c r="BQ95" i="1"/>
  <x:c r="BT95" i="1"/>
  <x:c r="BW95" i="1"/>
  <x:c r="BZ95" i="1"/>
  <x:c r="CC95" i="1"/>
  <x:c r="CF95" i="1"/>
  <x:c r="CI95" i="1"/>
  <x:c r="CL95" i="1"/>
  <x:c r="CO95" i="1"/>
  <x:c r="CR95" i="1"/>
  <x:c r="CU95" i="1"/>
  <x:c r="M96" i="1"/>
  <x:c r="N96" i="1"/>
  <x:c r="R96" i="1"/>
  <x:c r="U96" i="1"/>
  <x:c r="X96" i="1"/>
  <x:c r="AA96" i="1"/>
  <x:c r="AD96" i="1"/>
  <x:c r="AG96" i="1"/>
  <x:c r="AJ96" i="1"/>
  <x:c r="AM96" i="1"/>
  <x:c r="AP96" i="1"/>
  <x:c r="AS96" i="1"/>
  <x:c r="AV96" i="1"/>
  <x:c r="AY96" i="1"/>
  <x:c r="BB96" i="1"/>
  <x:c r="BE96" i="1"/>
  <x:c r="BH96" i="1"/>
  <x:c r="BK96" i="1"/>
  <x:c r="BN96" i="1"/>
  <x:c r="BQ96" i="1"/>
  <x:c r="BT96" i="1"/>
  <x:c r="BW96" i="1"/>
  <x:c r="BZ96" i="1"/>
  <x:c r="CC96" i="1"/>
  <x:c r="CF96" i="1"/>
  <x:c r="CI96" i="1"/>
  <x:c r="CL96" i="1"/>
  <x:c r="CO96" i="1"/>
  <x:c r="CR96" i="1"/>
  <x:c r="CU96" i="1"/>
  <x:c r="M97" i="1"/>
  <x:c r="N97" i="1"/>
  <x:c r="R97" i="1"/>
  <x:c r="U97" i="1"/>
  <x:c r="X97" i="1"/>
  <x:c r="AA97" i="1"/>
  <x:c r="AD97" i="1"/>
  <x:c r="AG97" i="1"/>
  <x:c r="AJ97" i="1"/>
  <x:c r="AM97" i="1"/>
  <x:c r="AP97" i="1"/>
  <x:c r="AS97" i="1"/>
  <x:c r="AV97" i="1"/>
  <x:c r="AY97" i="1"/>
  <x:c r="BB97" i="1"/>
  <x:c r="BE97" i="1"/>
  <x:c r="BH97" i="1"/>
  <x:c r="BK97" i="1"/>
  <x:c r="BN97" i="1"/>
  <x:c r="BQ97" i="1"/>
  <x:c r="BT97" i="1"/>
  <x:c r="BW97" i="1"/>
  <x:c r="BZ97" i="1"/>
  <x:c r="CC97" i="1"/>
  <x:c r="CF97" i="1"/>
  <x:c r="CI97" i="1"/>
  <x:c r="CL97" i="1"/>
  <x:c r="CO97" i="1"/>
  <x:c r="CR97" i="1"/>
  <x:c r="CU97" i="1"/>
  <x:c r="M98" i="1"/>
  <x:c r="N98" i="1"/>
  <x:c r="R98" i="1"/>
  <x:c r="U98" i="1"/>
  <x:c r="X98" i="1"/>
  <x:c r="AA98" i="1"/>
  <x:c r="AD98" i="1"/>
  <x:c r="AG98" i="1"/>
  <x:c r="AJ98" i="1"/>
  <x:c r="AM98" i="1"/>
  <x:c r="AP98" i="1"/>
  <x:c r="AS98" i="1"/>
  <x:c r="AV98" i="1"/>
  <x:c r="AY98" i="1"/>
  <x:c r="BB98" i="1"/>
  <x:c r="BE98" i="1"/>
  <x:c r="BH98" i="1"/>
  <x:c r="BK98" i="1"/>
  <x:c r="BN98" i="1"/>
  <x:c r="BQ98" i="1"/>
  <x:c r="BT98" i="1"/>
  <x:c r="BW98" i="1"/>
  <x:c r="BZ98" i="1"/>
  <x:c r="CC98" i="1"/>
  <x:c r="CF98" i="1"/>
  <x:c r="CI98" i="1"/>
  <x:c r="CL98" i="1"/>
  <x:c r="CO98" i="1"/>
  <x:c r="CR98" i="1"/>
  <x:c r="CU98" i="1"/>
  <x:c r="M99" i="1"/>
  <x:c r="N99" i="1"/>
  <x:c r="R99" i="1"/>
  <x:c r="U99" i="1"/>
  <x:c r="X99" i="1"/>
  <x:c r="AA99" i="1"/>
  <x:c r="AD99" i="1"/>
  <x:c r="AG99" i="1"/>
  <x:c r="AJ99" i="1"/>
  <x:c r="AM99" i="1"/>
  <x:c r="AP99" i="1"/>
  <x:c r="AS99" i="1"/>
  <x:c r="AV99" i="1"/>
  <x:c r="AY99" i="1"/>
  <x:c r="BB99" i="1"/>
  <x:c r="BE99" i="1"/>
  <x:c r="BH99" i="1"/>
  <x:c r="BK99" i="1"/>
  <x:c r="BN99" i="1"/>
  <x:c r="BQ99" i="1"/>
  <x:c r="BT99" i="1"/>
  <x:c r="BW99" i="1"/>
  <x:c r="BZ99" i="1"/>
  <x:c r="CC99" i="1"/>
  <x:c r="CF99" i="1"/>
  <x:c r="CI99" i="1"/>
  <x:c r="CL99" i="1"/>
  <x:c r="CO99" i="1"/>
  <x:c r="CR99" i="1"/>
  <x:c r="CU99" i="1"/>
  <x:c r="M100" i="1"/>
  <x:c r="N100" i="1"/>
  <x:c r="R100" i="1"/>
  <x:c r="U100" i="1"/>
  <x:c r="X100" i="1"/>
  <x:c r="AA100" i="1"/>
  <x:c r="AD100" i="1"/>
  <x:c r="AG100" i="1"/>
  <x:c r="AJ100" i="1"/>
  <x:c r="AM100" i="1"/>
  <x:c r="AP100" i="1"/>
  <x:c r="AS100" i="1"/>
  <x:c r="AV100" i="1"/>
  <x:c r="AY100" i="1"/>
  <x:c r="BB100" i="1"/>
  <x:c r="BE100" i="1"/>
  <x:c r="BH100" i="1"/>
  <x:c r="BK100" i="1"/>
  <x:c r="BN100" i="1"/>
  <x:c r="BQ100" i="1"/>
  <x:c r="BT100" i="1"/>
  <x:c r="BW100" i="1"/>
  <x:c r="BZ100" i="1"/>
  <x:c r="CC100" i="1"/>
  <x:c r="CF100" i="1"/>
  <x:c r="CI100" i="1"/>
  <x:c r="CL100" i="1"/>
  <x:c r="CO100" i="1"/>
  <x:c r="CR100" i="1"/>
  <x:c r="CU100" i="1"/>
  <x:c r="M101" i="1"/>
  <x:c r="N101" i="1"/>
  <x:c r="R101" i="1"/>
  <x:c r="U101" i="1"/>
  <x:c r="X101" i="1"/>
  <x:c r="AA101" i="1"/>
  <x:c r="AD101" i="1"/>
  <x:c r="AG101" i="1"/>
  <x:c r="AJ101" i="1"/>
  <x:c r="AM101" i="1"/>
  <x:c r="AP101" i="1"/>
  <x:c r="AS101" i="1"/>
  <x:c r="AV101" i="1"/>
  <x:c r="AY101" i="1"/>
  <x:c r="BB101" i="1"/>
  <x:c r="BE101" i="1"/>
  <x:c r="BH101" i="1"/>
  <x:c r="BK101" i="1"/>
  <x:c r="BN101" i="1"/>
  <x:c r="BQ101" i="1"/>
  <x:c r="BT101" i="1"/>
  <x:c r="BW101" i="1"/>
  <x:c r="BZ101" i="1"/>
  <x:c r="CC101" i="1"/>
  <x:c r="CF101" i="1"/>
  <x:c r="CI101" i="1"/>
  <x:c r="CL101" i="1"/>
  <x:c r="CO101" i="1"/>
  <x:c r="CR101" i="1"/>
  <x:c r="CU101" i="1"/>
  <x:c r="M102" i="1"/>
  <x:c r="N102" i="1"/>
  <x:c r="R102" i="1"/>
  <x:c r="U102" i="1"/>
  <x:c r="X102" i="1"/>
  <x:c r="AA102" i="1"/>
  <x:c r="AD102" i="1"/>
  <x:c r="AG102" i="1"/>
  <x:c r="AJ102" i="1"/>
  <x:c r="AM102" i="1"/>
  <x:c r="AP102" i="1"/>
  <x:c r="AS102" i="1"/>
  <x:c r="AV102" i="1"/>
  <x:c r="AY102" i="1"/>
  <x:c r="BB102" i="1"/>
  <x:c r="BE102" i="1"/>
  <x:c r="BH102" i="1"/>
  <x:c r="BK102" i="1"/>
  <x:c r="BN102" i="1"/>
  <x:c r="BQ102" i="1"/>
  <x:c r="BT102" i="1"/>
  <x:c r="BW102" i="1"/>
  <x:c r="BZ102" i="1"/>
  <x:c r="CC102" i="1"/>
  <x:c r="CF102" i="1"/>
  <x:c r="CI102" i="1"/>
  <x:c r="CL102" i="1"/>
  <x:c r="CO102" i="1"/>
  <x:c r="CR102" i="1"/>
  <x:c r="CU102" i="1"/>
  <x:c r="M103" i="1"/>
  <x:c r="N103" i="1"/>
  <x:c r="R103" i="1"/>
  <x:c r="U103" i="1"/>
  <x:c r="X103" i="1"/>
  <x:c r="AA103" i="1"/>
  <x:c r="AD103" i="1"/>
  <x:c r="AG103" i="1"/>
  <x:c r="AJ103" i="1"/>
  <x:c r="AM103" i="1"/>
  <x:c r="AP103" i="1"/>
  <x:c r="AS103" i="1"/>
  <x:c r="AV103" i="1"/>
  <x:c r="AY103" i="1"/>
  <x:c r="BB103" i="1"/>
  <x:c r="BE103" i="1"/>
  <x:c r="BH103" i="1"/>
  <x:c r="BK103" i="1"/>
  <x:c r="BN103" i="1"/>
  <x:c r="BQ103" i="1"/>
  <x:c r="BT103" i="1"/>
  <x:c r="BW103" i="1"/>
  <x:c r="BZ103" i="1"/>
  <x:c r="CC103" i="1"/>
  <x:c r="CF103" i="1"/>
  <x:c r="CI103" i="1"/>
  <x:c r="CL103" i="1"/>
  <x:c r="CO103" i="1"/>
  <x:c r="CR103" i="1"/>
  <x:c r="CU103" i="1"/>
  <x:c r="M104" i="1"/>
  <x:c r="N104" i="1"/>
  <x:c r="R104" i="1"/>
  <x:c r="U104" i="1"/>
  <x:c r="X104" i="1"/>
  <x:c r="AA104" i="1"/>
  <x:c r="AD104" i="1"/>
  <x:c r="AG104" i="1"/>
  <x:c r="AJ104" i="1"/>
  <x:c r="AM104" i="1"/>
  <x:c r="AP104" i="1"/>
  <x:c r="AS104" i="1"/>
  <x:c r="AV104" i="1"/>
  <x:c r="AY104" i="1"/>
  <x:c r="BB104" i="1"/>
  <x:c r="BE104" i="1"/>
  <x:c r="BH104" i="1"/>
  <x:c r="BK104" i="1"/>
  <x:c r="BN104" i="1"/>
  <x:c r="BQ104" i="1"/>
  <x:c r="BT104" i="1"/>
  <x:c r="BW104" i="1"/>
  <x:c r="BZ104" i="1"/>
  <x:c r="CC104" i="1"/>
  <x:c r="CF104" i="1"/>
  <x:c r="CI104" i="1"/>
  <x:c r="CL104" i="1"/>
  <x:c r="CO104" i="1"/>
  <x:c r="CR104" i="1"/>
  <x:c r="CU104" i="1"/>
  <x:c r="M105" i="1"/>
  <x:c r="N105" i="1"/>
  <x:c r="R105" i="1"/>
  <x:c r="U105" i="1"/>
  <x:c r="X105" i="1"/>
  <x:c r="AA105" i="1"/>
  <x:c r="AD105" i="1"/>
  <x:c r="AG105" i="1"/>
  <x:c r="AJ105" i="1"/>
  <x:c r="AM105" i="1"/>
  <x:c r="AP105" i="1"/>
  <x:c r="AS105" i="1"/>
  <x:c r="AV105" i="1"/>
  <x:c r="AY105" i="1"/>
  <x:c r="BB105" i="1"/>
  <x:c r="BE105" i="1"/>
  <x:c r="BH105" i="1"/>
  <x:c r="BK105" i="1"/>
  <x:c r="BN105" i="1"/>
  <x:c r="BQ105" i="1"/>
  <x:c r="BT105" i="1"/>
  <x:c r="BW105" i="1"/>
  <x:c r="BZ105" i="1"/>
  <x:c r="CC105" i="1"/>
  <x:c r="CF105" i="1"/>
  <x:c r="CI105" i="1"/>
  <x:c r="CL105" i="1"/>
  <x:c r="CO105" i="1"/>
  <x:c r="CR105" i="1"/>
  <x:c r="CU105" i="1"/>
  <x:c r="M106" i="1"/>
  <x:c r="N106" i="1"/>
  <x:c r="R106" i="1"/>
  <x:c r="U106" i="1"/>
  <x:c r="X106" i="1"/>
  <x:c r="AA106" i="1"/>
  <x:c r="AD106" i="1"/>
  <x:c r="AG106" i="1"/>
  <x:c r="AJ106" i="1"/>
  <x:c r="AM106" i="1"/>
  <x:c r="AP106" i="1"/>
  <x:c r="AS106" i="1"/>
  <x:c r="AV106" i="1"/>
  <x:c r="AY106" i="1"/>
  <x:c r="BB106" i="1"/>
  <x:c r="BE106" i="1"/>
  <x:c r="BH106" i="1"/>
  <x:c r="BK106" i="1"/>
  <x:c r="BN106" i="1"/>
  <x:c r="BQ106" i="1"/>
  <x:c r="BT106" i="1"/>
  <x:c r="BW106" i="1"/>
  <x:c r="BZ106" i="1"/>
  <x:c r="CC106" i="1"/>
  <x:c r="CF106" i="1"/>
  <x:c r="CI106" i="1"/>
  <x:c r="CL106" i="1"/>
  <x:c r="CO106" i="1"/>
  <x:c r="CR106" i="1"/>
  <x:c r="CU106" i="1"/>
  <x:c r="M107" i="1"/>
  <x:c r="N107" i="1"/>
  <x:c r="R107" i="1"/>
  <x:c r="U107" i="1"/>
  <x:c r="X107" i="1"/>
  <x:c r="AA107" i="1"/>
  <x:c r="AD107" i="1"/>
  <x:c r="AG107" i="1"/>
  <x:c r="AJ107" i="1"/>
  <x:c r="AM107" i="1"/>
  <x:c r="AP107" i="1"/>
  <x:c r="AS107" i="1"/>
  <x:c r="AV107" i="1"/>
  <x:c r="AY107" i="1"/>
  <x:c r="BB107" i="1"/>
  <x:c r="BE107" i="1"/>
  <x:c r="BH107" i="1"/>
  <x:c r="BK107" i="1"/>
  <x:c r="BN107" i="1"/>
  <x:c r="BQ107" i="1"/>
  <x:c r="BT107" i="1"/>
  <x:c r="BW107" i="1"/>
  <x:c r="BZ107" i="1"/>
  <x:c r="CC107" i="1"/>
  <x:c r="CF107" i="1"/>
  <x:c r="CI107" i="1"/>
  <x:c r="CL107" i="1"/>
  <x:c r="CO107" i="1"/>
  <x:c r="CR107" i="1"/>
  <x:c r="CU107" i="1"/>
  <x:c r="M108" i="1"/>
  <x:c r="N108" i="1"/>
  <x:c r="R108" i="1"/>
  <x:c r="U108" i="1"/>
  <x:c r="X108" i="1"/>
  <x:c r="AA108" i="1"/>
  <x:c r="AD108" i="1"/>
  <x:c r="AG108" i="1"/>
  <x:c r="AJ108" i="1"/>
  <x:c r="AM108" i="1"/>
  <x:c r="AP108" i="1"/>
  <x:c r="AS108" i="1"/>
  <x:c r="AV108" i="1"/>
  <x:c r="AY108" i="1"/>
  <x:c r="BB108" i="1"/>
  <x:c r="BE108" i="1"/>
  <x:c r="BH108" i="1"/>
  <x:c r="BK108" i="1"/>
  <x:c r="BN108" i="1"/>
  <x:c r="BQ108" i="1"/>
  <x:c r="BT108" i="1"/>
  <x:c r="BW108" i="1"/>
  <x:c r="BZ108" i="1"/>
  <x:c r="CC108" i="1"/>
  <x:c r="CF108" i="1"/>
  <x:c r="CI108" i="1"/>
  <x:c r="CL108" i="1"/>
  <x:c r="CO108" i="1"/>
  <x:c r="CR108" i="1"/>
  <x:c r="CU108" i="1"/>
  <x:c r="M109" i="1"/>
  <x:c r="N109" i="1"/>
  <x:c r="R109" i="1"/>
  <x:c r="U109" i="1"/>
  <x:c r="X109" i="1"/>
  <x:c r="AA109" i="1"/>
  <x:c r="AD109" i="1"/>
  <x:c r="AG109" i="1"/>
  <x:c r="AJ109" i="1"/>
  <x:c r="AM109" i="1"/>
  <x:c r="AP109" i="1"/>
  <x:c r="AS109" i="1"/>
  <x:c r="AV109" i="1"/>
  <x:c r="AY109" i="1"/>
  <x:c r="BB109" i="1"/>
  <x:c r="BE109" i="1"/>
  <x:c r="BH109" i="1"/>
  <x:c r="BK109" i="1"/>
  <x:c r="BN109" i="1"/>
  <x:c r="BQ109" i="1"/>
  <x:c r="BT109" i="1"/>
  <x:c r="BW109" i="1"/>
  <x:c r="BZ109" i="1"/>
  <x:c r="CC109" i="1"/>
  <x:c r="CF109" i="1"/>
  <x:c r="CI109" i="1"/>
  <x:c r="CL109" i="1"/>
  <x:c r="CO109" i="1"/>
  <x:c r="CR109" i="1"/>
  <x:c r="CU109" i="1"/>
  <x:c r="M110" i="1"/>
  <x:c r="N110" i="1"/>
  <x:c r="R110" i="1"/>
  <x:c r="U110" i="1"/>
  <x:c r="X110" i="1"/>
  <x:c r="AA110" i="1"/>
  <x:c r="AD110" i="1"/>
  <x:c r="AG110" i="1"/>
  <x:c r="AJ110" i="1"/>
  <x:c r="AM110" i="1"/>
  <x:c r="AP110" i="1"/>
  <x:c r="AS110" i="1"/>
  <x:c r="AV110" i="1"/>
  <x:c r="AY110" i="1"/>
  <x:c r="BB110" i="1"/>
  <x:c r="BE110" i="1"/>
  <x:c r="BH110" i="1"/>
  <x:c r="BK110" i="1"/>
  <x:c r="BN110" i="1"/>
  <x:c r="BQ110" i="1"/>
  <x:c r="BT110" i="1"/>
  <x:c r="BW110" i="1"/>
  <x:c r="BZ110" i="1"/>
  <x:c r="CC110" i="1"/>
  <x:c r="CF110" i="1"/>
  <x:c r="CI110" i="1"/>
  <x:c r="CL110" i="1"/>
  <x:c r="CO110" i="1"/>
  <x:c r="CR110" i="1"/>
  <x:c r="CU110" i="1"/>
  <x:c r="M111" i="1"/>
  <x:c r="N111" i="1"/>
  <x:c r="R111" i="1"/>
  <x:c r="U111" i="1"/>
  <x:c r="X111" i="1"/>
  <x:c r="AA111" i="1"/>
  <x:c r="AD111" i="1"/>
  <x:c r="AG111" i="1"/>
  <x:c r="AJ111" i="1"/>
  <x:c r="AM111" i="1"/>
  <x:c r="AP111" i="1"/>
  <x:c r="AS111" i="1"/>
  <x:c r="AV111" i="1"/>
  <x:c r="AY111" i="1"/>
  <x:c r="BB111" i="1"/>
  <x:c r="BE111" i="1"/>
  <x:c r="BH111" i="1"/>
  <x:c r="BK111" i="1"/>
  <x:c r="BN111" i="1"/>
  <x:c r="BQ111" i="1"/>
  <x:c r="BT111" i="1"/>
  <x:c r="BW111" i="1"/>
  <x:c r="BZ111" i="1"/>
  <x:c r="CC111" i="1"/>
  <x:c r="CF111" i="1"/>
  <x:c r="CI111" i="1"/>
  <x:c r="CL111" i="1"/>
  <x:c r="CO111" i="1"/>
  <x:c r="CR111" i="1"/>
  <x:c r="CU111" i="1"/>
  <x:c r="M112" i="1"/>
  <x:c r="N112" i="1"/>
  <x:c r="R112" i="1"/>
  <x:c r="U112" i="1"/>
  <x:c r="X112" i="1"/>
  <x:c r="AA112" i="1"/>
  <x:c r="AD112" i="1"/>
  <x:c r="AG112" i="1"/>
  <x:c r="AJ112" i="1"/>
  <x:c r="AM112" i="1"/>
  <x:c r="AP112" i="1"/>
  <x:c r="AS112" i="1"/>
  <x:c r="AV112" i="1"/>
  <x:c r="AY112" i="1"/>
  <x:c r="BB112" i="1"/>
  <x:c r="BE112" i="1"/>
  <x:c r="BH112" i="1"/>
  <x:c r="BK112" i="1"/>
  <x:c r="BN112" i="1"/>
  <x:c r="BQ112" i="1"/>
  <x:c r="BT112" i="1"/>
  <x:c r="BW112" i="1"/>
  <x:c r="BZ112" i="1"/>
  <x:c r="CC112" i="1"/>
  <x:c r="CF112" i="1"/>
  <x:c r="CI112" i="1"/>
  <x:c r="CL112" i="1"/>
  <x:c r="CO112" i="1"/>
  <x:c r="CR112" i="1"/>
  <x:c r="CU112" i="1"/>
  <x:c r="M113" i="1"/>
  <x:c r="N113" i="1"/>
  <x:c r="R113" i="1"/>
  <x:c r="U113" i="1"/>
  <x:c r="X113" i="1"/>
  <x:c r="AA113" i="1"/>
  <x:c r="AD113" i="1"/>
  <x:c r="AG113" i="1"/>
  <x:c r="AJ113" i="1"/>
  <x:c r="AM113" i="1"/>
  <x:c r="AP113" i="1"/>
  <x:c r="AS113" i="1"/>
  <x:c r="AV113" i="1"/>
  <x:c r="AY113" i="1"/>
  <x:c r="BB113" i="1"/>
  <x:c r="BE113" i="1"/>
  <x:c r="BH113" i="1"/>
  <x:c r="BK113" i="1"/>
  <x:c r="BN113" i="1"/>
  <x:c r="BQ113" i="1"/>
  <x:c r="BT113" i="1"/>
  <x:c r="BW113" i="1"/>
  <x:c r="BZ113" i="1"/>
  <x:c r="CC113" i="1"/>
  <x:c r="CF113" i="1"/>
  <x:c r="CI113" i="1"/>
  <x:c r="CL113" i="1"/>
  <x:c r="CO113" i="1"/>
  <x:c r="CR113" i="1"/>
  <x:c r="CU113" i="1"/>
  <x:c r="M114" i="1"/>
  <x:c r="N114" i="1"/>
  <x:c r="R114" i="1"/>
  <x:c r="U114" i="1"/>
  <x:c r="X114" i="1"/>
  <x:c r="AA114" i="1"/>
  <x:c r="AD114" i="1"/>
  <x:c r="AG114" i="1"/>
  <x:c r="AJ114" i="1"/>
  <x:c r="AM114" i="1"/>
  <x:c r="AP114" i="1"/>
  <x:c r="AS114" i="1"/>
  <x:c r="AV114" i="1"/>
  <x:c r="AY114" i="1"/>
  <x:c r="BB114" i="1"/>
  <x:c r="BE114" i="1"/>
  <x:c r="BH114" i="1"/>
  <x:c r="BK114" i="1"/>
  <x:c r="BN114" i="1"/>
  <x:c r="BQ114" i="1"/>
  <x:c r="BT114" i="1"/>
  <x:c r="BW114" i="1"/>
  <x:c r="BZ114" i="1"/>
  <x:c r="CC114" i="1"/>
  <x:c r="CF114" i="1"/>
  <x:c r="CI114" i="1"/>
  <x:c r="CL114" i="1"/>
  <x:c r="CO114" i="1"/>
  <x:c r="CR114" i="1"/>
  <x:c r="CU114" i="1"/>
  <x:c r="M115" i="1"/>
  <x:c r="N115" i="1"/>
  <x:c r="R115" i="1"/>
  <x:c r="U115" i="1"/>
  <x:c r="X115" i="1"/>
  <x:c r="AA115" i="1"/>
  <x:c r="AD115" i="1"/>
  <x:c r="AG115" i="1"/>
  <x:c r="AJ115" i="1"/>
  <x:c r="AM115" i="1"/>
  <x:c r="AP115" i="1"/>
  <x:c r="AS115" i="1"/>
  <x:c r="AV115" i="1"/>
  <x:c r="AY115" i="1"/>
  <x:c r="BB115" i="1"/>
  <x:c r="BE115" i="1"/>
  <x:c r="BH115" i="1"/>
  <x:c r="BK115" i="1"/>
  <x:c r="BN115" i="1"/>
  <x:c r="BQ115" i="1"/>
  <x:c r="BT115" i="1"/>
  <x:c r="BW115" i="1"/>
  <x:c r="BZ115" i="1"/>
  <x:c r="CC115" i="1"/>
  <x:c r="CF115" i="1"/>
  <x:c r="CI115" i="1"/>
  <x:c r="CL115" i="1"/>
  <x:c r="CO115" i="1"/>
  <x:c r="CR115" i="1"/>
  <x:c r="CU115" i="1"/>
  <x:c r="M116" i="1"/>
  <x:c r="N116" i="1"/>
  <x:c r="R116" i="1"/>
  <x:c r="U116" i="1"/>
  <x:c r="X116" i="1"/>
  <x:c r="AA116" i="1"/>
  <x:c r="AD116" i="1"/>
  <x:c r="AG116" i="1"/>
  <x:c r="AJ116" i="1"/>
  <x:c r="AM116" i="1"/>
  <x:c r="AP116" i="1"/>
  <x:c r="AS116" i="1"/>
  <x:c r="AV116" i="1"/>
  <x:c r="AY116" i="1"/>
  <x:c r="BB116" i="1"/>
  <x:c r="BE116" i="1"/>
  <x:c r="BH116" i="1"/>
  <x:c r="BK116" i="1"/>
  <x:c r="BN116" i="1"/>
  <x:c r="BQ116" i="1"/>
  <x:c r="BT116" i="1"/>
  <x:c r="BW116" i="1"/>
  <x:c r="BZ116" i="1"/>
  <x:c r="CC116" i="1"/>
  <x:c r="CF116" i="1"/>
  <x:c r="CI116" i="1"/>
  <x:c r="CL116" i="1"/>
  <x:c r="CO116" i="1"/>
  <x:c r="CR116" i="1"/>
  <x:c r="CU116" i="1"/>
  <x:c r="M117" i="1"/>
  <x:c r="N117" i="1"/>
  <x:c r="R117" i="1"/>
  <x:c r="U117" i="1"/>
  <x:c r="X117" i="1"/>
  <x:c r="AA117" i="1"/>
  <x:c r="AD117" i="1"/>
  <x:c r="AG117" i="1"/>
  <x:c r="AJ117" i="1"/>
  <x:c r="AM117" i="1"/>
  <x:c r="AP117" i="1"/>
  <x:c r="AS117" i="1"/>
  <x:c r="AV117" i="1"/>
  <x:c r="AY117" i="1"/>
  <x:c r="BB117" i="1"/>
  <x:c r="BE117" i="1"/>
  <x:c r="BH117" i="1"/>
  <x:c r="BK117" i="1"/>
  <x:c r="BN117" i="1"/>
  <x:c r="BQ117" i="1"/>
  <x:c r="BT117" i="1"/>
  <x:c r="BW117" i="1"/>
  <x:c r="BZ117" i="1"/>
  <x:c r="CC117" i="1"/>
  <x:c r="CF117" i="1"/>
  <x:c r="CI117" i="1"/>
  <x:c r="CL117" i="1"/>
  <x:c r="CO117" i="1"/>
  <x:c r="CR117" i="1"/>
  <x:c r="CU117" i="1"/>
  <x:c r="M118" i="1"/>
  <x:c r="N118" i="1"/>
  <x:c r="R118" i="1"/>
  <x:c r="U118" i="1"/>
  <x:c r="X118" i="1"/>
  <x:c r="AA118" i="1"/>
  <x:c r="AD118" i="1"/>
  <x:c r="AG118" i="1"/>
  <x:c r="AJ118" i="1"/>
  <x:c r="AM118" i="1"/>
  <x:c r="AP118" i="1"/>
  <x:c r="AS118" i="1"/>
  <x:c r="AV118" i="1"/>
  <x:c r="AY118" i="1"/>
  <x:c r="BB118" i="1"/>
  <x:c r="BE118" i="1"/>
  <x:c r="BH118" i="1"/>
  <x:c r="BK118" i="1"/>
  <x:c r="BN118" i="1"/>
  <x:c r="BQ118" i="1"/>
  <x:c r="BT118" i="1"/>
  <x:c r="BW118" i="1"/>
  <x:c r="BZ118" i="1"/>
  <x:c r="CC118" i="1"/>
  <x:c r="CF118" i="1"/>
  <x:c r="CI118" i="1"/>
  <x:c r="CL118" i="1"/>
  <x:c r="CO118" i="1"/>
  <x:c r="CR118" i="1"/>
  <x:c r="CU118" i="1"/>
  <x:c r="M119" i="1"/>
  <x:c r="N119" i="1"/>
  <x:c r="R119" i="1"/>
  <x:c r="U119" i="1"/>
  <x:c r="X119" i="1"/>
  <x:c r="AA119" i="1"/>
  <x:c r="AD119" i="1"/>
  <x:c r="AG119" i="1"/>
  <x:c r="AJ119" i="1"/>
  <x:c r="AM119" i="1"/>
  <x:c r="AP119" i="1"/>
  <x:c r="AS119" i="1"/>
  <x:c r="AV119" i="1"/>
  <x:c r="AY119" i="1"/>
  <x:c r="BB119" i="1"/>
  <x:c r="BE119" i="1"/>
  <x:c r="BH119" i="1"/>
  <x:c r="BK119" i="1"/>
  <x:c r="BN119" i="1"/>
  <x:c r="BQ119" i="1"/>
  <x:c r="BT119" i="1"/>
  <x:c r="BW119" i="1"/>
  <x:c r="BZ119" i="1"/>
  <x:c r="CC119" i="1"/>
  <x:c r="CF119" i="1"/>
  <x:c r="CI119" i="1"/>
  <x:c r="CL119" i="1"/>
  <x:c r="CO119" i="1"/>
  <x:c r="CR119" i="1"/>
  <x:c r="CU119" i="1"/>
  <x:c r="M120" i="1"/>
  <x:c r="N120" i="1"/>
  <x:c r="R120" i="1"/>
  <x:c r="U120" i="1"/>
  <x:c r="X120" i="1"/>
  <x:c r="AA120" i="1"/>
  <x:c r="AD120" i="1"/>
  <x:c r="AG120" i="1"/>
  <x:c r="AJ120" i="1"/>
  <x:c r="AM120" i="1"/>
  <x:c r="AP120" i="1"/>
  <x:c r="AS120" i="1"/>
  <x:c r="AV120" i="1"/>
  <x:c r="AY120" i="1"/>
  <x:c r="BB120" i="1"/>
  <x:c r="BE120" i="1"/>
  <x:c r="BH120" i="1"/>
  <x:c r="BK120" i="1"/>
  <x:c r="BN120" i="1"/>
  <x:c r="BQ120" i="1"/>
  <x:c r="BT120" i="1"/>
  <x:c r="BW120" i="1"/>
  <x:c r="BZ120" i="1"/>
  <x:c r="CC120" i="1"/>
  <x:c r="CF120" i="1"/>
  <x:c r="CI120" i="1"/>
  <x:c r="CL120" i="1"/>
  <x:c r="CO120" i="1"/>
  <x:c r="CR120" i="1"/>
  <x:c r="CU120" i="1"/>
  <x:c r="M121" i="1"/>
  <x:c r="N121" i="1"/>
  <x:c r="R121" i="1"/>
  <x:c r="U121" i="1"/>
  <x:c r="X121" i="1"/>
  <x:c r="AA121" i="1"/>
  <x:c r="AD121" i="1"/>
  <x:c r="AG121" i="1"/>
  <x:c r="AJ121" i="1"/>
  <x:c r="AM121" i="1"/>
  <x:c r="AP121" i="1"/>
  <x:c r="AS121" i="1"/>
  <x:c r="AV121" i="1"/>
  <x:c r="AY121" i="1"/>
  <x:c r="BB121" i="1"/>
  <x:c r="BE121" i="1"/>
  <x:c r="BH121" i="1"/>
  <x:c r="BK121" i="1"/>
  <x:c r="BN121" i="1"/>
  <x:c r="BQ121" i="1"/>
  <x:c r="BT121" i="1"/>
  <x:c r="BW121" i="1"/>
  <x:c r="BZ121" i="1"/>
  <x:c r="CC121" i="1"/>
  <x:c r="CF121" i="1"/>
  <x:c r="CI121" i="1"/>
  <x:c r="CL121" i="1"/>
  <x:c r="CO121" i="1"/>
  <x:c r="CR121" i="1"/>
  <x:c r="CU121" i="1"/>
  <x:c r="M122" i="1"/>
  <x:c r="N122" i="1"/>
  <x:c r="R122" i="1"/>
  <x:c r="U122" i="1"/>
  <x:c r="X122" i="1"/>
  <x:c r="AA122" i="1"/>
  <x:c r="AD122" i="1"/>
  <x:c r="AG122" i="1"/>
  <x:c r="AJ122" i="1"/>
  <x:c r="AM122" i="1"/>
  <x:c r="AP122" i="1"/>
  <x:c r="AS122" i="1"/>
  <x:c r="AV122" i="1"/>
  <x:c r="AY122" i="1"/>
  <x:c r="BB122" i="1"/>
  <x:c r="BE122" i="1"/>
  <x:c r="BH122" i="1"/>
  <x:c r="BK122" i="1"/>
  <x:c r="BN122" i="1"/>
  <x:c r="BQ122" i="1"/>
  <x:c r="BT122" i="1"/>
  <x:c r="BW122" i="1"/>
  <x:c r="BZ122" i="1"/>
  <x:c r="CC122" i="1"/>
  <x:c r="CF122" i="1"/>
  <x:c r="CI122" i="1"/>
  <x:c r="CL122" i="1"/>
  <x:c r="CO122" i="1"/>
  <x:c r="CR122" i="1"/>
  <x:c r="CU122" i="1"/>
  <x:c r="M123" i="1"/>
  <x:c r="N123" i="1"/>
  <x:c r="R123" i="1"/>
  <x:c r="U123" i="1"/>
  <x:c r="X123" i="1"/>
  <x:c r="AA123" i="1"/>
  <x:c r="AD123" i="1"/>
  <x:c r="AG123" i="1"/>
  <x:c r="AJ123" i="1"/>
  <x:c r="AM123" i="1"/>
  <x:c r="AP123" i="1"/>
  <x:c r="AS123" i="1"/>
  <x:c r="AV123" i="1"/>
  <x:c r="AY123" i="1"/>
  <x:c r="BB123" i="1"/>
  <x:c r="BE123" i="1"/>
  <x:c r="BH123" i="1"/>
  <x:c r="BK123" i="1"/>
  <x:c r="BN123" i="1"/>
  <x:c r="BQ123" i="1"/>
  <x:c r="BT123" i="1"/>
  <x:c r="BW123" i="1"/>
  <x:c r="BZ123" i="1"/>
  <x:c r="CC123" i="1"/>
  <x:c r="CF123" i="1"/>
  <x:c r="CI123" i="1"/>
  <x:c r="CL123" i="1"/>
  <x:c r="CO123" i="1"/>
  <x:c r="CR123" i="1"/>
  <x:c r="CU123" i="1"/>
  <x:c r="M124" i="1"/>
  <x:c r="N124" i="1"/>
  <x:c r="R124" i="1"/>
  <x:c r="U124" i="1"/>
  <x:c r="X124" i="1"/>
  <x:c r="AA124" i="1"/>
  <x:c r="AD124" i="1"/>
  <x:c r="AG124" i="1"/>
  <x:c r="AJ124" i="1"/>
  <x:c r="AM124" i="1"/>
  <x:c r="AP124" i="1"/>
  <x:c r="AS124" i="1"/>
  <x:c r="AV124" i="1"/>
  <x:c r="AY124" i="1"/>
  <x:c r="BB124" i="1"/>
  <x:c r="BE124" i="1"/>
  <x:c r="BH124" i="1"/>
  <x:c r="BK124" i="1"/>
  <x:c r="BN124" i="1"/>
  <x:c r="BQ124" i="1"/>
  <x:c r="BT124" i="1"/>
  <x:c r="BW124" i="1"/>
  <x:c r="BZ124" i="1"/>
  <x:c r="CC124" i="1"/>
  <x:c r="CF124" i="1"/>
  <x:c r="CI124" i="1"/>
  <x:c r="CL124" i="1"/>
  <x:c r="CO124" i="1"/>
  <x:c r="CR124" i="1"/>
  <x:c r="CU124" i="1"/>
  <x:c r="M125" i="1"/>
  <x:c r="N125" i="1"/>
  <x:c r="R125" i="1"/>
  <x:c r="U125" i="1"/>
  <x:c r="X125" i="1"/>
  <x:c r="AA125" i="1"/>
  <x:c r="AD125" i="1"/>
  <x:c r="AG125" i="1"/>
  <x:c r="AJ125" i="1"/>
  <x:c r="AM125" i="1"/>
  <x:c r="AP125" i="1"/>
  <x:c r="AS125" i="1"/>
  <x:c r="AV125" i="1"/>
  <x:c r="AY125" i="1"/>
  <x:c r="BB125" i="1"/>
  <x:c r="BE125" i="1"/>
  <x:c r="BH125" i="1"/>
  <x:c r="BK125" i="1"/>
  <x:c r="BN125" i="1"/>
  <x:c r="BQ125" i="1"/>
  <x:c r="BT125" i="1"/>
  <x:c r="BW125" i="1"/>
  <x:c r="BZ125" i="1"/>
  <x:c r="CC125" i="1"/>
  <x:c r="CF125" i="1"/>
  <x:c r="CI125" i="1"/>
  <x:c r="CL125" i="1"/>
  <x:c r="CO125" i="1"/>
  <x:c r="CR125" i="1"/>
  <x:c r="CU125" i="1"/>
  <x:c r="M126" i="1"/>
  <x:c r="N126" i="1"/>
  <x:c r="R126" i="1"/>
  <x:c r="U126" i="1"/>
  <x:c r="X126" i="1"/>
  <x:c r="AA126" i="1"/>
  <x:c r="AD126" i="1"/>
  <x:c r="AG126" i="1"/>
  <x:c r="AJ126" i="1"/>
  <x:c r="AM126" i="1"/>
  <x:c r="AP126" i="1"/>
  <x:c r="AS126" i="1"/>
  <x:c r="AV126" i="1"/>
  <x:c r="AY126" i="1"/>
  <x:c r="BB126" i="1"/>
  <x:c r="BE126" i="1"/>
  <x:c r="BH126" i="1"/>
  <x:c r="BK126" i="1"/>
  <x:c r="BN126" i="1"/>
  <x:c r="BQ126" i="1"/>
  <x:c r="BT126" i="1"/>
  <x:c r="BW126" i="1"/>
  <x:c r="BZ126" i="1"/>
  <x:c r="CC126" i="1"/>
  <x:c r="CF126" i="1"/>
  <x:c r="CI126" i="1"/>
  <x:c r="CL126" i="1"/>
  <x:c r="CO126" i="1"/>
  <x:c r="CR126" i="1"/>
  <x:c r="CU126" i="1"/>
  <x:c r="M127" i="1"/>
  <x:c r="N127" i="1"/>
  <x:c r="R127" i="1"/>
  <x:c r="U127" i="1"/>
  <x:c r="X127" i="1"/>
  <x:c r="AA127" i="1"/>
  <x:c r="AD127" i="1"/>
  <x:c r="AG127" i="1"/>
  <x:c r="AJ127" i="1"/>
  <x:c r="AM127" i="1"/>
  <x:c r="AP127" i="1"/>
  <x:c r="AS127" i="1"/>
  <x:c r="AV127" i="1"/>
  <x:c r="AY127" i="1"/>
  <x:c r="BB127" i="1"/>
  <x:c r="BE127" i="1"/>
  <x:c r="BH127" i="1"/>
  <x:c r="BK127" i="1"/>
  <x:c r="BN127" i="1"/>
  <x:c r="BQ127" i="1"/>
  <x:c r="BT127" i="1"/>
  <x:c r="BW127" i="1"/>
  <x:c r="BZ127" i="1"/>
  <x:c r="CC127" i="1"/>
  <x:c r="CF127" i="1"/>
  <x:c r="CI127" i="1"/>
  <x:c r="CL127" i="1"/>
  <x:c r="CO127" i="1"/>
  <x:c r="CR127" i="1"/>
  <x:c r="CU127" i="1"/>
  <x:c r="M128" i="1"/>
  <x:c r="N128" i="1"/>
  <x:c r="R128" i="1"/>
  <x:c r="U128" i="1"/>
  <x:c r="X128" i="1"/>
  <x:c r="AA128" i="1"/>
  <x:c r="AD128" i="1"/>
  <x:c r="AG128" i="1"/>
  <x:c r="AJ128" i="1"/>
  <x:c r="AM128" i="1"/>
  <x:c r="AP128" i="1"/>
  <x:c r="AS128" i="1"/>
  <x:c r="AV128" i="1"/>
  <x:c r="AY128" i="1"/>
  <x:c r="BB128" i="1"/>
  <x:c r="BE128" i="1"/>
  <x:c r="BH128" i="1"/>
  <x:c r="BK128" i="1"/>
  <x:c r="BN128" i="1"/>
  <x:c r="BQ128" i="1"/>
  <x:c r="BT128" i="1"/>
  <x:c r="BW128" i="1"/>
  <x:c r="BZ128" i="1"/>
  <x:c r="CC128" i="1"/>
  <x:c r="CF128" i="1"/>
  <x:c r="CI128" i="1"/>
  <x:c r="CL128" i="1"/>
  <x:c r="CO128" i="1"/>
  <x:c r="CR128" i="1"/>
  <x:c r="CU128" i="1"/>
  <x:c r="M129" i="1"/>
  <x:c r="N129" i="1"/>
  <x:c r="R129" i="1"/>
  <x:c r="U129" i="1"/>
  <x:c r="X129" i="1"/>
  <x:c r="AA129" i="1"/>
  <x:c r="AD129" i="1"/>
  <x:c r="AG129" i="1"/>
  <x:c r="AJ129" i="1"/>
  <x:c r="AM129" i="1"/>
  <x:c r="AP129" i="1"/>
  <x:c r="AS129" i="1"/>
  <x:c r="AV129" i="1"/>
  <x:c r="AY129" i="1"/>
  <x:c r="BB129" i="1"/>
  <x:c r="BE129" i="1"/>
  <x:c r="BH129" i="1"/>
  <x:c r="BK129" i="1"/>
  <x:c r="BN129" i="1"/>
  <x:c r="BQ129" i="1"/>
  <x:c r="BT129" i="1"/>
  <x:c r="BW129" i="1"/>
  <x:c r="BZ129" i="1"/>
  <x:c r="CC129" i="1"/>
  <x:c r="CF129" i="1"/>
  <x:c r="CI129" i="1"/>
  <x:c r="CL129" i="1"/>
  <x:c r="CO129" i="1"/>
  <x:c r="CR129" i="1"/>
  <x:c r="CU129" i="1"/>
  <x:c r="M130" i="1"/>
  <x:c r="N130" i="1"/>
  <x:c r="R130" i="1"/>
  <x:c r="U130" i="1"/>
  <x:c r="X130" i="1"/>
  <x:c r="AA130" i="1"/>
  <x:c r="AD130" i="1"/>
  <x:c r="AG130" i="1"/>
  <x:c r="AJ130" i="1"/>
  <x:c r="AM130" i="1"/>
  <x:c r="AP130" i="1"/>
  <x:c r="AS130" i="1"/>
  <x:c r="AV130" i="1"/>
  <x:c r="AY130" i="1"/>
  <x:c r="BB130" i="1"/>
  <x:c r="BE130" i="1"/>
  <x:c r="BH130" i="1"/>
  <x:c r="BK130" i="1"/>
  <x:c r="BN130" i="1"/>
  <x:c r="BQ130" i="1"/>
  <x:c r="BT130" i="1"/>
  <x:c r="BW130" i="1"/>
  <x:c r="BZ130" i="1"/>
  <x:c r="CC130" i="1"/>
  <x:c r="CF130" i="1"/>
  <x:c r="CI130" i="1"/>
  <x:c r="CL130" i="1"/>
  <x:c r="CO130" i="1"/>
  <x:c r="CR130" i="1"/>
  <x:c r="CU130" i="1"/>
  <x:c r="M131" i="1"/>
  <x:c r="N131" i="1"/>
  <x:c r="R131" i="1"/>
  <x:c r="U131" i="1"/>
  <x:c r="X131" i="1"/>
  <x:c r="AA131" i="1"/>
  <x:c r="AD131" i="1"/>
  <x:c r="AG131" i="1"/>
  <x:c r="AJ131" i="1"/>
  <x:c r="AM131" i="1"/>
  <x:c r="AP131" i="1"/>
  <x:c r="AS131" i="1"/>
  <x:c r="AV131" i="1"/>
  <x:c r="AY131" i="1"/>
  <x:c r="BB131" i="1"/>
  <x:c r="BE131" i="1"/>
  <x:c r="BH131" i="1"/>
  <x:c r="BK131" i="1"/>
  <x:c r="BN131" i="1"/>
  <x:c r="BQ131" i="1"/>
  <x:c r="BT131" i="1"/>
  <x:c r="BW131" i="1"/>
  <x:c r="BZ131" i="1"/>
  <x:c r="CC131" i="1"/>
  <x:c r="CF131" i="1"/>
  <x:c r="CI131" i="1"/>
  <x:c r="CL131" i="1"/>
  <x:c r="CO131" i="1"/>
  <x:c r="CR131" i="1"/>
  <x:c r="CU131" i="1"/>
  <x:c r="M132" i="1"/>
  <x:c r="N132" i="1"/>
  <x:c r="R132" i="1"/>
  <x:c r="U132" i="1"/>
  <x:c r="X132" i="1"/>
  <x:c r="AA132" i="1"/>
  <x:c r="AD132" i="1"/>
  <x:c r="AG132" i="1"/>
  <x:c r="AJ132" i="1"/>
  <x:c r="AM132" i="1"/>
  <x:c r="AP132" i="1"/>
  <x:c r="AS132" i="1"/>
  <x:c r="AV132" i="1"/>
  <x:c r="AY132" i="1"/>
  <x:c r="BB132" i="1"/>
  <x:c r="BE132" i="1"/>
  <x:c r="BH132" i="1"/>
  <x:c r="BK132" i="1"/>
  <x:c r="BN132" i="1"/>
  <x:c r="BQ132" i="1"/>
  <x:c r="BT132" i="1"/>
  <x:c r="BW132" i="1"/>
  <x:c r="BZ132" i="1"/>
  <x:c r="CC132" i="1"/>
  <x:c r="CF132" i="1"/>
  <x:c r="CI132" i="1"/>
  <x:c r="CL132" i="1"/>
  <x:c r="CO132" i="1"/>
  <x:c r="CR132" i="1"/>
  <x:c r="CU132" i="1"/>
  <x:c r="M133" i="1"/>
  <x:c r="N133" i="1"/>
  <x:c r="R133" i="1"/>
  <x:c r="U133" i="1"/>
  <x:c r="X133" i="1"/>
  <x:c r="AA133" i="1"/>
  <x:c r="AD133" i="1"/>
  <x:c r="AG133" i="1"/>
  <x:c r="AJ133" i="1"/>
  <x:c r="AM133" i="1"/>
  <x:c r="AP133" i="1"/>
  <x:c r="AS133" i="1"/>
  <x:c r="AV133" i="1"/>
  <x:c r="AY133" i="1"/>
  <x:c r="BB133" i="1"/>
  <x:c r="BE133" i="1"/>
  <x:c r="BH133" i="1"/>
  <x:c r="BK133" i="1"/>
  <x:c r="BN133" i="1"/>
  <x:c r="BQ133" i="1"/>
  <x:c r="BT133" i="1"/>
  <x:c r="BW133" i="1"/>
  <x:c r="BZ133" i="1"/>
  <x:c r="CC133" i="1"/>
  <x:c r="CF133" i="1"/>
  <x:c r="CI133" i="1"/>
  <x:c r="CL133" i="1"/>
  <x:c r="CO133" i="1"/>
  <x:c r="CR133" i="1"/>
  <x:c r="CU133" i="1"/>
  <x:c r="M134" i="1"/>
  <x:c r="N134" i="1"/>
  <x:c r="R134" i="1"/>
  <x:c r="U134" i="1"/>
  <x:c r="X134" i="1"/>
  <x:c r="AA134" i="1"/>
  <x:c r="AD134" i="1"/>
  <x:c r="AG134" i="1"/>
  <x:c r="AJ134" i="1"/>
  <x:c r="AM134" i="1"/>
  <x:c r="AP134" i="1"/>
  <x:c r="AS134" i="1"/>
  <x:c r="AV134" i="1"/>
  <x:c r="AY134" i="1"/>
  <x:c r="BB134" i="1"/>
  <x:c r="BE134" i="1"/>
  <x:c r="BH134" i="1"/>
  <x:c r="BK134" i="1"/>
  <x:c r="BN134" i="1"/>
  <x:c r="BQ134" i="1"/>
  <x:c r="BT134" i="1"/>
  <x:c r="BW134" i="1"/>
  <x:c r="BZ134" i="1"/>
  <x:c r="CC134" i="1"/>
  <x:c r="CF134" i="1"/>
  <x:c r="CI134" i="1"/>
  <x:c r="CL134" i="1"/>
  <x:c r="CO134" i="1"/>
  <x:c r="CR134" i="1"/>
  <x:c r="CU134" i="1"/>
  <x:c r="M135" i="1"/>
  <x:c r="N135" i="1"/>
  <x:c r="R135" i="1"/>
  <x:c r="U135" i="1"/>
  <x:c r="X135" i="1"/>
  <x:c r="AA135" i="1"/>
  <x:c r="AD135" i="1"/>
  <x:c r="AG135" i="1"/>
  <x:c r="AJ135" i="1"/>
  <x:c r="AM135" i="1"/>
  <x:c r="AP135" i="1"/>
  <x:c r="AS135" i="1"/>
  <x:c r="AV135" i="1"/>
  <x:c r="AY135" i="1"/>
  <x:c r="BB135" i="1"/>
  <x:c r="BE135" i="1"/>
  <x:c r="BH135" i="1"/>
  <x:c r="BK135" i="1"/>
  <x:c r="BN135" i="1"/>
  <x:c r="BQ135" i="1"/>
  <x:c r="BT135" i="1"/>
  <x:c r="BW135" i="1"/>
  <x:c r="BZ135" i="1"/>
  <x:c r="CC135" i="1"/>
  <x:c r="CF135" i="1"/>
  <x:c r="CI135" i="1"/>
  <x:c r="CL135" i="1"/>
  <x:c r="CO135" i="1"/>
  <x:c r="CR135" i="1"/>
  <x:c r="CU135" i="1"/>
  <x:c r="M136" i="1"/>
  <x:c r="N136" i="1"/>
  <x:c r="R136" i="1"/>
  <x:c r="U136" i="1"/>
  <x:c r="X136" i="1"/>
  <x:c r="AA136" i="1"/>
  <x:c r="AD136" i="1"/>
  <x:c r="AG136" i="1"/>
  <x:c r="AJ136" i="1"/>
  <x:c r="AM136" i="1"/>
  <x:c r="AP136" i="1"/>
  <x:c r="AS136" i="1"/>
  <x:c r="AV136" i="1"/>
  <x:c r="AY136" i="1"/>
  <x:c r="BB136" i="1"/>
  <x:c r="BE136" i="1"/>
  <x:c r="BH136" i="1"/>
  <x:c r="BK136" i="1"/>
  <x:c r="BN136" i="1"/>
  <x:c r="BQ136" i="1"/>
  <x:c r="BT136" i="1"/>
  <x:c r="BW136" i="1"/>
  <x:c r="BZ136" i="1"/>
  <x:c r="CC136" i="1"/>
  <x:c r="CF136" i="1"/>
  <x:c r="CI136" i="1"/>
  <x:c r="CL136" i="1"/>
  <x:c r="CO136" i="1"/>
  <x:c r="CR136" i="1"/>
  <x:c r="CU136" i="1"/>
  <x:c r="M137" i="1"/>
  <x:c r="N137" i="1"/>
  <x:c r="R137" i="1"/>
  <x:c r="U137" i="1"/>
  <x:c r="X137" i="1"/>
  <x:c r="AA137" i="1"/>
  <x:c r="AD137" i="1"/>
  <x:c r="AG137" i="1"/>
  <x:c r="AJ137" i="1"/>
  <x:c r="AM137" i="1"/>
  <x:c r="AP137" i="1"/>
  <x:c r="AS137" i="1"/>
  <x:c r="AV137" i="1"/>
  <x:c r="AY137" i="1"/>
  <x:c r="BB137" i="1"/>
  <x:c r="BE137" i="1"/>
  <x:c r="BH137" i="1"/>
  <x:c r="BK137" i="1"/>
  <x:c r="BN137" i="1"/>
  <x:c r="BQ137" i="1"/>
  <x:c r="BT137" i="1"/>
  <x:c r="BW137" i="1"/>
  <x:c r="BZ137" i="1"/>
  <x:c r="CC137" i="1"/>
  <x:c r="CF137" i="1"/>
  <x:c r="CI137" i="1"/>
  <x:c r="CL137" i="1"/>
  <x:c r="CO137" i="1"/>
  <x:c r="CR137" i="1"/>
  <x:c r="CU137" i="1"/>
  <x:c r="M138" i="1"/>
  <x:c r="N138" i="1"/>
  <x:c r="R138" i="1"/>
  <x:c r="U138" i="1"/>
  <x:c r="X138" i="1"/>
  <x:c r="AA138" i="1"/>
  <x:c r="AD138" i="1"/>
  <x:c r="AG138" i="1"/>
  <x:c r="AJ138" i="1"/>
  <x:c r="AM138" i="1"/>
  <x:c r="AP138" i="1"/>
  <x:c r="AS138" i="1"/>
  <x:c r="AV138" i="1"/>
  <x:c r="AY138" i="1"/>
  <x:c r="BB138" i="1"/>
  <x:c r="BE138" i="1"/>
  <x:c r="BH138" i="1"/>
  <x:c r="BK138" i="1"/>
  <x:c r="BN138" i="1"/>
  <x:c r="BQ138" i="1"/>
  <x:c r="BT138" i="1"/>
  <x:c r="BW138" i="1"/>
  <x:c r="BZ138" i="1"/>
  <x:c r="CC138" i="1"/>
  <x:c r="CF138" i="1"/>
  <x:c r="CI138" i="1"/>
  <x:c r="CL138" i="1"/>
  <x:c r="CO138" i="1"/>
  <x:c r="CR138" i="1"/>
  <x:c r="CU138" i="1"/>
  <x:c r="M139" i="1"/>
  <x:c r="N139" i="1"/>
  <x:c r="R139" i="1"/>
  <x:c r="U139" i="1"/>
  <x:c r="X139" i="1"/>
  <x:c r="AA139" i="1"/>
  <x:c r="AD139" i="1"/>
  <x:c r="AG139" i="1"/>
  <x:c r="AJ139" i="1"/>
  <x:c r="AM139" i="1"/>
  <x:c r="AP139" i="1"/>
  <x:c r="AS139" i="1"/>
  <x:c r="AV139" i="1"/>
  <x:c r="AY139" i="1"/>
  <x:c r="BB139" i="1"/>
  <x:c r="BE139" i="1"/>
  <x:c r="BH139" i="1"/>
  <x:c r="BK139" i="1"/>
  <x:c r="BN139" i="1"/>
  <x:c r="BQ139" i="1"/>
  <x:c r="BT139" i="1"/>
  <x:c r="BW139" i="1"/>
  <x:c r="BZ139" i="1"/>
  <x:c r="CC139" i="1"/>
  <x:c r="CF139" i="1"/>
  <x:c r="CI139" i="1"/>
  <x:c r="CL139" i="1"/>
  <x:c r="CO139" i="1"/>
  <x:c r="CR139" i="1"/>
  <x:c r="CU139" i="1"/>
  <x:c r="M140" i="1"/>
  <x:c r="N140" i="1"/>
  <x:c r="R140" i="1"/>
  <x:c r="U140" i="1"/>
  <x:c r="X140" i="1"/>
  <x:c r="AA140" i="1"/>
  <x:c r="AD140" i="1"/>
  <x:c r="AG140" i="1"/>
  <x:c r="AJ140" i="1"/>
  <x:c r="AM140" i="1"/>
  <x:c r="AP140" i="1"/>
  <x:c r="AS140" i="1"/>
  <x:c r="AV140" i="1"/>
  <x:c r="AY140" i="1"/>
  <x:c r="BB140" i="1"/>
  <x:c r="BE140" i="1"/>
  <x:c r="BH140" i="1"/>
  <x:c r="BK140" i="1"/>
  <x:c r="BN140" i="1"/>
  <x:c r="BQ140" i="1"/>
  <x:c r="BT140" i="1"/>
  <x:c r="BW140" i="1"/>
  <x:c r="BZ140" i="1"/>
  <x:c r="CC140" i="1"/>
  <x:c r="CF140" i="1"/>
  <x:c r="CI140" i="1"/>
  <x:c r="CL140" i="1"/>
  <x:c r="CO140" i="1"/>
  <x:c r="CR140" i="1"/>
  <x:c r="CU140" i="1"/>
  <x:c r="M141" i="1"/>
  <x:c r="N141" i="1"/>
  <x:c r="R141" i="1"/>
  <x:c r="U141" i="1"/>
  <x:c r="X141" i="1"/>
  <x:c r="AA141" i="1"/>
  <x:c r="AD141" i="1"/>
  <x:c r="AG141" i="1"/>
  <x:c r="AJ141" i="1"/>
  <x:c r="AM141" i="1"/>
  <x:c r="AP141" i="1"/>
  <x:c r="AS141" i="1"/>
  <x:c r="AV141" i="1"/>
  <x:c r="AY141" i="1"/>
  <x:c r="BB141" i="1"/>
  <x:c r="BE141" i="1"/>
  <x:c r="BH141" i="1"/>
  <x:c r="BK141" i="1"/>
  <x:c r="BN141" i="1"/>
  <x:c r="BQ141" i="1"/>
  <x:c r="BT141" i="1"/>
  <x:c r="BW141" i="1"/>
  <x:c r="BZ141" i="1"/>
  <x:c r="CC141" i="1"/>
  <x:c r="CF141" i="1"/>
  <x:c r="CI141" i="1"/>
  <x:c r="CL141" i="1"/>
  <x:c r="CO141" i="1"/>
  <x:c r="CR141" i="1"/>
  <x:c r="CU141" i="1"/>
  <x:c r="M142" i="1"/>
  <x:c r="N142" i="1"/>
  <x:c r="R142" i="1"/>
  <x:c r="U142" i="1"/>
  <x:c r="X142" i="1"/>
  <x:c r="AA142" i="1"/>
  <x:c r="AD142" i="1"/>
  <x:c r="AG142" i="1"/>
  <x:c r="AJ142" i="1"/>
  <x:c r="AM142" i="1"/>
  <x:c r="AP142" i="1"/>
  <x:c r="AS142" i="1"/>
  <x:c r="AV142" i="1"/>
  <x:c r="AY142" i="1"/>
  <x:c r="BB142" i="1"/>
  <x:c r="BE142" i="1"/>
  <x:c r="BH142" i="1"/>
  <x:c r="BK142" i="1"/>
  <x:c r="BN142" i="1"/>
  <x:c r="BQ142" i="1"/>
  <x:c r="BT142" i="1"/>
  <x:c r="BW142" i="1"/>
  <x:c r="BZ142" i="1"/>
  <x:c r="CC142" i="1"/>
  <x:c r="CF142" i="1"/>
  <x:c r="CI142" i="1"/>
  <x:c r="CL142" i="1"/>
  <x:c r="CO142" i="1"/>
  <x:c r="CR142" i="1"/>
  <x:c r="CU142" i="1"/>
  <x:c r="M143" i="1"/>
  <x:c r="N143" i="1"/>
  <x:c r="R143" i="1"/>
  <x:c r="U143" i="1"/>
  <x:c r="X143" i="1"/>
  <x:c r="AA143" i="1"/>
  <x:c r="AD143" i="1"/>
  <x:c r="AG143" i="1"/>
  <x:c r="AJ143" i="1"/>
  <x:c r="AM143" i="1"/>
  <x:c r="AP143" i="1"/>
  <x:c r="AS143" i="1"/>
  <x:c r="AV143" i="1"/>
  <x:c r="AY143" i="1"/>
  <x:c r="BB143" i="1"/>
  <x:c r="BE143" i="1"/>
  <x:c r="BH143" i="1"/>
  <x:c r="BK143" i="1"/>
  <x:c r="BN143" i="1"/>
  <x:c r="BQ143" i="1"/>
  <x:c r="BT143" i="1"/>
  <x:c r="BW143" i="1"/>
  <x:c r="BZ143" i="1"/>
  <x:c r="CC143" i="1"/>
  <x:c r="CF143" i="1"/>
  <x:c r="CI143" i="1"/>
  <x:c r="CL143" i="1"/>
  <x:c r="CO143" i="1"/>
  <x:c r="CR143" i="1"/>
  <x:c r="CU143" i="1"/>
  <x:c r="M144" i="1"/>
  <x:c r="N144" i="1"/>
  <x:c r="R144" i="1"/>
  <x:c r="U144" i="1"/>
  <x:c r="X144" i="1"/>
  <x:c r="AA144" i="1"/>
  <x:c r="AD144" i="1"/>
  <x:c r="AG144" i="1"/>
  <x:c r="AJ144" i="1"/>
  <x:c r="AM144" i="1"/>
  <x:c r="AP144" i="1"/>
  <x:c r="AS144" i="1"/>
  <x:c r="AV144" i="1"/>
  <x:c r="AY144" i="1"/>
  <x:c r="BB144" i="1"/>
  <x:c r="BE144" i="1"/>
  <x:c r="BH144" i="1"/>
  <x:c r="BK144" i="1"/>
  <x:c r="BN144" i="1"/>
  <x:c r="BQ144" i="1"/>
  <x:c r="BT144" i="1"/>
  <x:c r="BW144" i="1"/>
  <x:c r="BZ144" i="1"/>
  <x:c r="CC144" i="1"/>
  <x:c r="CF144" i="1"/>
  <x:c r="CI144" i="1"/>
  <x:c r="CL144" i="1"/>
  <x:c r="CO144" i="1"/>
  <x:c r="CR144" i="1"/>
  <x:c r="CU144" i="1"/>
  <x:c r="M145" i="1"/>
  <x:c r="N145" i="1"/>
  <x:c r="R145" i="1"/>
  <x:c r="U145" i="1"/>
  <x:c r="X145" i="1"/>
  <x:c r="AA145" i="1"/>
  <x:c r="AD145" i="1"/>
  <x:c r="AG145" i="1"/>
  <x:c r="AJ145" i="1"/>
  <x:c r="AM145" i="1"/>
  <x:c r="AP145" i="1"/>
  <x:c r="AS145" i="1"/>
  <x:c r="AV145" i="1"/>
  <x:c r="AY145" i="1"/>
  <x:c r="BB145" i="1"/>
  <x:c r="BE145" i="1"/>
  <x:c r="BH145" i="1"/>
  <x:c r="BK145" i="1"/>
  <x:c r="BN145" i="1"/>
  <x:c r="BQ145" i="1"/>
  <x:c r="BT145" i="1"/>
  <x:c r="BW145" i="1"/>
  <x:c r="BZ145" i="1"/>
  <x:c r="CC145" i="1"/>
  <x:c r="CF145" i="1"/>
  <x:c r="CI145" i="1"/>
  <x:c r="CL145" i="1"/>
  <x:c r="CO145" i="1"/>
  <x:c r="CR145" i="1"/>
  <x:c r="CU145" i="1"/>
  <x:c r="M146" i="1"/>
  <x:c r="N146" i="1"/>
  <x:c r="R146" i="1"/>
  <x:c r="U146" i="1"/>
  <x:c r="X146" i="1"/>
  <x:c r="AA146" i="1"/>
  <x:c r="AD146" i="1"/>
  <x:c r="AG146" i="1"/>
  <x:c r="AJ146" i="1"/>
  <x:c r="AM146" i="1"/>
  <x:c r="AP146" i="1"/>
  <x:c r="AS146" i="1"/>
  <x:c r="AV146" i="1"/>
  <x:c r="AY146" i="1"/>
  <x:c r="BB146" i="1"/>
  <x:c r="BE146" i="1"/>
  <x:c r="BH146" i="1"/>
  <x:c r="BK146" i="1"/>
  <x:c r="BN146" i="1"/>
  <x:c r="BQ146" i="1"/>
  <x:c r="BT146" i="1"/>
  <x:c r="BW146" i="1"/>
  <x:c r="BZ146" i="1"/>
  <x:c r="CC146" i="1"/>
  <x:c r="CF146" i="1"/>
  <x:c r="CI146" i="1"/>
  <x:c r="CL146" i="1"/>
  <x:c r="CO146" i="1"/>
  <x:c r="CR146" i="1"/>
  <x:c r="CU146" i="1"/>
  <x:c r="M147" i="1"/>
  <x:c r="N147" i="1"/>
  <x:c r="R147" i="1"/>
  <x:c r="U147" i="1"/>
  <x:c r="X147" i="1"/>
  <x:c r="AA147" i="1"/>
  <x:c r="AD147" i="1"/>
  <x:c r="AG147" i="1"/>
  <x:c r="AJ147" i="1"/>
  <x:c r="AM147" i="1"/>
  <x:c r="AP147" i="1"/>
  <x:c r="AS147" i="1"/>
  <x:c r="AV147" i="1"/>
  <x:c r="AY147" i="1"/>
  <x:c r="BB147" i="1"/>
  <x:c r="BE147" i="1"/>
  <x:c r="BH147" i="1"/>
  <x:c r="BK147" i="1"/>
  <x:c r="BN147" i="1"/>
  <x:c r="BQ147" i="1"/>
  <x:c r="BT147" i="1"/>
  <x:c r="BW147" i="1"/>
  <x:c r="BZ147" i="1"/>
  <x:c r="CC147" i="1"/>
  <x:c r="CF147" i="1"/>
  <x:c r="CI147" i="1"/>
  <x:c r="CL147" i="1"/>
  <x:c r="CO147" i="1"/>
  <x:c r="CR147" i="1"/>
  <x:c r="CU147" i="1"/>
  <x:c r="M148" i="1"/>
  <x:c r="N148" i="1"/>
  <x:c r="R148" i="1"/>
  <x:c r="U148" i="1"/>
  <x:c r="X148" i="1"/>
  <x:c r="AA148" i="1"/>
  <x:c r="AD148" i="1"/>
  <x:c r="AG148" i="1"/>
  <x:c r="AJ148" i="1"/>
  <x:c r="AM148" i="1"/>
  <x:c r="AP148" i="1"/>
  <x:c r="AS148" i="1"/>
  <x:c r="AV148" i="1"/>
  <x:c r="AY148" i="1"/>
  <x:c r="BB148" i="1"/>
  <x:c r="BE148" i="1"/>
  <x:c r="BH148" i="1"/>
  <x:c r="BK148" i="1"/>
  <x:c r="BN148" i="1"/>
  <x:c r="BQ148" i="1"/>
  <x:c r="BT148" i="1"/>
  <x:c r="BW148" i="1"/>
  <x:c r="BZ148" i="1"/>
  <x:c r="CC148" i="1"/>
  <x:c r="CF148" i="1"/>
  <x:c r="CI148" i="1"/>
  <x:c r="CL148" i="1"/>
  <x:c r="CO148" i="1"/>
  <x:c r="CR148" i="1"/>
  <x:c r="CU148" i="1"/>
  <x:c r="M149" i="1"/>
  <x:c r="N149" i="1"/>
  <x:c r="R149" i="1"/>
  <x:c r="U149" i="1"/>
  <x:c r="X149" i="1"/>
  <x:c r="AA149" i="1"/>
  <x:c r="AD149" i="1"/>
  <x:c r="AG149" i="1"/>
  <x:c r="AJ149" i="1"/>
  <x:c r="AM149" i="1"/>
  <x:c r="AP149" i="1"/>
  <x:c r="AS149" i="1"/>
  <x:c r="AV149" i="1"/>
  <x:c r="AY149" i="1"/>
  <x:c r="BB149" i="1"/>
  <x:c r="BE149" i="1"/>
  <x:c r="BH149" i="1"/>
  <x:c r="BK149" i="1"/>
  <x:c r="BN149" i="1"/>
  <x:c r="BQ149" i="1"/>
  <x:c r="BT149" i="1"/>
  <x:c r="BW149" i="1"/>
  <x:c r="BZ149" i="1"/>
  <x:c r="CC149" i="1"/>
  <x:c r="CF149" i="1"/>
  <x:c r="CI149" i="1"/>
  <x:c r="CL149" i="1"/>
  <x:c r="CO149" i="1"/>
  <x:c r="CR149" i="1"/>
  <x:c r="CU149" i="1"/>
  <x:c r="M150" i="1"/>
  <x:c r="N150" i="1"/>
  <x:c r="R150" i="1"/>
  <x:c r="U150" i="1"/>
  <x:c r="X150" i="1"/>
  <x:c r="AA150" i="1"/>
  <x:c r="AD150" i="1"/>
  <x:c r="AG150" i="1"/>
  <x:c r="AJ150" i="1"/>
  <x:c r="AM150" i="1"/>
  <x:c r="AP150" i="1"/>
  <x:c r="AS150" i="1"/>
  <x:c r="AV150" i="1"/>
  <x:c r="AY150" i="1"/>
  <x:c r="BB150" i="1"/>
  <x:c r="BE150" i="1"/>
  <x:c r="BH150" i="1"/>
  <x:c r="BK150" i="1"/>
  <x:c r="BN150" i="1"/>
  <x:c r="BQ150" i="1"/>
  <x:c r="BT150" i="1"/>
  <x:c r="BW150" i="1"/>
  <x:c r="BZ150" i="1"/>
  <x:c r="CC150" i="1"/>
  <x:c r="CF150" i="1"/>
  <x:c r="CI150" i="1"/>
  <x:c r="CL150" i="1"/>
  <x:c r="CO150" i="1"/>
  <x:c r="CR150" i="1"/>
  <x:c r="CU150" i="1"/>
  <x:c r="M151" i="1"/>
  <x:c r="N151" i="1"/>
  <x:c r="R151" i="1"/>
  <x:c r="U151" i="1"/>
  <x:c r="X151" i="1"/>
  <x:c r="AA151" i="1"/>
  <x:c r="AD151" i="1"/>
  <x:c r="AG151" i="1"/>
  <x:c r="AJ151" i="1"/>
  <x:c r="AM151" i="1"/>
  <x:c r="AP151" i="1"/>
  <x:c r="AS151" i="1"/>
  <x:c r="AV151" i="1"/>
  <x:c r="AY151" i="1"/>
  <x:c r="BB151" i="1"/>
  <x:c r="BE151" i="1"/>
  <x:c r="BH151" i="1"/>
  <x:c r="BK151" i="1"/>
  <x:c r="BN151" i="1"/>
  <x:c r="BQ151" i="1"/>
  <x:c r="BT151" i="1"/>
  <x:c r="BW151" i="1"/>
  <x:c r="BZ151" i="1"/>
  <x:c r="CC151" i="1"/>
  <x:c r="CF151" i="1"/>
  <x:c r="CI151" i="1"/>
  <x:c r="CL151" i="1"/>
  <x:c r="CO151" i="1"/>
  <x:c r="CR151" i="1"/>
  <x:c r="CU151" i="1"/>
  <x:c r="M152" i="1"/>
  <x:c r="N152" i="1"/>
  <x:c r="R152" i="1"/>
  <x:c r="U152" i="1"/>
  <x:c r="X152" i="1"/>
  <x:c r="AA152" i="1"/>
  <x:c r="AD152" i="1"/>
  <x:c r="AG152" i="1"/>
  <x:c r="AJ152" i="1"/>
  <x:c r="AM152" i="1"/>
  <x:c r="AP152" i="1"/>
  <x:c r="AS152" i="1"/>
  <x:c r="AV152" i="1"/>
  <x:c r="AY152" i="1"/>
  <x:c r="BB152" i="1"/>
  <x:c r="BE152" i="1"/>
  <x:c r="BH152" i="1"/>
  <x:c r="BK152" i="1"/>
  <x:c r="BN152" i="1"/>
  <x:c r="BQ152" i="1"/>
  <x:c r="BT152" i="1"/>
  <x:c r="BW152" i="1"/>
  <x:c r="BZ152" i="1"/>
  <x:c r="CC152" i="1"/>
  <x:c r="CF152" i="1"/>
  <x:c r="CI152" i="1"/>
  <x:c r="CL152" i="1"/>
  <x:c r="CO152" i="1"/>
  <x:c r="CR152" i="1"/>
  <x:c r="CU152" i="1"/>
  <x:c r="M153" i="1"/>
  <x:c r="N153" i="1"/>
  <x:c r="R153" i="1"/>
  <x:c r="U153" i="1"/>
  <x:c r="X153" i="1"/>
  <x:c r="AA153" i="1"/>
  <x:c r="AD153" i="1"/>
  <x:c r="AG153" i="1"/>
  <x:c r="AJ153" i="1"/>
  <x:c r="AM153" i="1"/>
  <x:c r="AP153" i="1"/>
  <x:c r="AS153" i="1"/>
  <x:c r="AV153" i="1"/>
  <x:c r="AY153" i="1"/>
  <x:c r="BB153" i="1"/>
  <x:c r="BE153" i="1"/>
  <x:c r="BH153" i="1"/>
  <x:c r="BK153" i="1"/>
  <x:c r="BN153" i="1"/>
  <x:c r="BQ153" i="1"/>
  <x:c r="BT153" i="1"/>
  <x:c r="BW153" i="1"/>
  <x:c r="BZ153" i="1"/>
  <x:c r="CC153" i="1"/>
  <x:c r="CF153" i="1"/>
  <x:c r="CI153" i="1"/>
  <x:c r="CL153" i="1"/>
  <x:c r="CO153" i="1"/>
  <x:c r="CR153" i="1"/>
  <x:c r="CU153" i="1"/>
  <x:c r="M154" i="1"/>
  <x:c r="N154" i="1"/>
  <x:c r="R154" i="1"/>
  <x:c r="U154" i="1"/>
  <x:c r="X154" i="1"/>
  <x:c r="AA154" i="1"/>
  <x:c r="AD154" i="1"/>
  <x:c r="AG154" i="1"/>
  <x:c r="AJ154" i="1"/>
  <x:c r="AM154" i="1"/>
  <x:c r="AP154" i="1"/>
  <x:c r="AS154" i="1"/>
  <x:c r="AV154" i="1"/>
  <x:c r="AY154" i="1"/>
  <x:c r="BB154" i="1"/>
  <x:c r="BE154" i="1"/>
  <x:c r="BH154" i="1"/>
  <x:c r="BK154" i="1"/>
  <x:c r="BN154" i="1"/>
  <x:c r="BQ154" i="1"/>
  <x:c r="BT154" i="1"/>
  <x:c r="BW154" i="1"/>
  <x:c r="BZ154" i="1"/>
  <x:c r="CC154" i="1"/>
  <x:c r="CF154" i="1"/>
  <x:c r="CI154" i="1"/>
  <x:c r="CL154" i="1"/>
  <x:c r="CO154" i="1"/>
  <x:c r="CR154" i="1"/>
  <x:c r="CU154" i="1"/>
  <x:c r="M155" i="1"/>
  <x:c r="N155" i="1"/>
  <x:c r="R155" i="1"/>
  <x:c r="U155" i="1"/>
  <x:c r="X155" i="1"/>
  <x:c r="AA155" i="1"/>
  <x:c r="AD155" i="1"/>
  <x:c r="AG155" i="1"/>
  <x:c r="AJ155" i="1"/>
  <x:c r="AM155" i="1"/>
  <x:c r="AP155" i="1"/>
  <x:c r="AS155" i="1"/>
  <x:c r="AV155" i="1"/>
  <x:c r="AY155" i="1"/>
  <x:c r="BB155" i="1"/>
  <x:c r="BE155" i="1"/>
  <x:c r="BH155" i="1"/>
  <x:c r="BK155" i="1"/>
  <x:c r="BN155" i="1"/>
  <x:c r="BQ155" i="1"/>
  <x:c r="BT155" i="1"/>
  <x:c r="BW155" i="1"/>
  <x:c r="BZ155" i="1"/>
  <x:c r="CC155" i="1"/>
  <x:c r="CF155" i="1"/>
  <x:c r="CI155" i="1"/>
  <x:c r="CL155" i="1"/>
  <x:c r="CO155" i="1"/>
  <x:c r="CR155" i="1"/>
  <x:c r="CU155" i="1"/>
  <x:c r="M156" i="1"/>
  <x:c r="N156" i="1"/>
  <x:c r="R156" i="1"/>
  <x:c r="U156" i="1"/>
  <x:c r="X156" i="1"/>
  <x:c r="AA156" i="1"/>
  <x:c r="AD156" i="1"/>
  <x:c r="AG156" i="1"/>
  <x:c r="AJ156" i="1"/>
  <x:c r="AM156" i="1"/>
  <x:c r="AP156" i="1"/>
  <x:c r="AS156" i="1"/>
  <x:c r="AV156" i="1"/>
  <x:c r="AY156" i="1"/>
  <x:c r="BB156" i="1"/>
  <x:c r="BE156" i="1"/>
  <x:c r="BH156" i="1"/>
  <x:c r="BK156" i="1"/>
  <x:c r="BN156" i="1"/>
  <x:c r="BQ156" i="1"/>
  <x:c r="BT156" i="1"/>
  <x:c r="BW156" i="1"/>
  <x:c r="BZ156" i="1"/>
  <x:c r="CC156" i="1"/>
  <x:c r="CF156" i="1"/>
  <x:c r="CI156" i="1"/>
  <x:c r="CL156" i="1"/>
  <x:c r="CO156" i="1"/>
  <x:c r="CR156" i="1"/>
  <x:c r="CU156" i="1"/>
  <x:c r="M157" i="1"/>
  <x:c r="N157" i="1"/>
  <x:c r="R157" i="1"/>
  <x:c r="U157" i="1"/>
  <x:c r="X157" i="1"/>
  <x:c r="AA157" i="1"/>
  <x:c r="AD157" i="1"/>
  <x:c r="AG157" i="1"/>
  <x:c r="AJ157" i="1"/>
  <x:c r="AM157" i="1"/>
  <x:c r="AP157" i="1"/>
  <x:c r="AS157" i="1"/>
  <x:c r="AV157" i="1"/>
  <x:c r="AY157" i="1"/>
  <x:c r="BB157" i="1"/>
  <x:c r="BE157" i="1"/>
  <x:c r="BH157" i="1"/>
  <x:c r="BK157" i="1"/>
  <x:c r="BN157" i="1"/>
  <x:c r="BQ157" i="1"/>
  <x:c r="BT157" i="1"/>
  <x:c r="BW157" i="1"/>
  <x:c r="BZ157" i="1"/>
  <x:c r="CC157" i="1"/>
  <x:c r="CF157" i="1"/>
  <x:c r="CI157" i="1"/>
  <x:c r="CL157" i="1"/>
  <x:c r="CO157" i="1"/>
  <x:c r="CR157" i="1"/>
  <x:c r="CU157" i="1"/>
  <x:c r="M158" i="1"/>
  <x:c r="N158" i="1"/>
  <x:c r="R158" i="1"/>
  <x:c r="U158" i="1"/>
  <x:c r="X158" i="1"/>
  <x:c r="AA158" i="1"/>
  <x:c r="AD158" i="1"/>
  <x:c r="AG158" i="1"/>
  <x:c r="AJ158" i="1"/>
  <x:c r="AM158" i="1"/>
  <x:c r="AP158" i="1"/>
  <x:c r="AS158" i="1"/>
  <x:c r="AV158" i="1"/>
  <x:c r="AY158" i="1"/>
  <x:c r="BB158" i="1"/>
  <x:c r="BE158" i="1"/>
  <x:c r="BH158" i="1"/>
  <x:c r="BK158" i="1"/>
  <x:c r="BN158" i="1"/>
  <x:c r="BQ158" i="1"/>
  <x:c r="BT158" i="1"/>
  <x:c r="BW158" i="1"/>
  <x:c r="BZ158" i="1"/>
  <x:c r="CC158" i="1"/>
  <x:c r="CF158" i="1"/>
  <x:c r="CI158" i="1"/>
  <x:c r="CL158" i="1"/>
  <x:c r="CO158" i="1"/>
  <x:c r="CR158" i="1"/>
  <x:c r="CU158" i="1"/>
  <x:c r="M159" i="1"/>
  <x:c r="N159" i="1"/>
  <x:c r="R159" i="1"/>
  <x:c r="U159" i="1"/>
  <x:c r="X159" i="1"/>
  <x:c r="AA159" i="1"/>
  <x:c r="AD159" i="1"/>
  <x:c r="AG159" i="1"/>
  <x:c r="AJ159" i="1"/>
  <x:c r="AM159" i="1"/>
  <x:c r="AP159" i="1"/>
  <x:c r="AS159" i="1"/>
  <x:c r="AV159" i="1"/>
  <x:c r="AY159" i="1"/>
  <x:c r="BB159" i="1"/>
  <x:c r="BE159" i="1"/>
  <x:c r="BH159" i="1"/>
  <x:c r="BK159" i="1"/>
  <x:c r="BN159" i="1"/>
  <x:c r="BQ159" i="1"/>
  <x:c r="BT159" i="1"/>
  <x:c r="BW159" i="1"/>
  <x:c r="BZ159" i="1"/>
  <x:c r="CC159" i="1"/>
  <x:c r="CF159" i="1"/>
  <x:c r="CI159" i="1"/>
  <x:c r="CL159" i="1"/>
  <x:c r="CO159" i="1"/>
  <x:c r="CR159" i="1"/>
  <x:c r="CU159" i="1"/>
  <x:c r="M160" i="1"/>
  <x:c r="N160" i="1"/>
  <x:c r="R160" i="1"/>
  <x:c r="U160" i="1"/>
  <x:c r="X160" i="1"/>
  <x:c r="AA160" i="1"/>
  <x:c r="AD160" i="1"/>
  <x:c r="AG160" i="1"/>
  <x:c r="AJ160" i="1"/>
  <x:c r="AM160" i="1"/>
  <x:c r="AP160" i="1"/>
  <x:c r="AS160" i="1"/>
  <x:c r="AV160" i="1"/>
  <x:c r="AY160" i="1"/>
  <x:c r="BB160" i="1"/>
  <x:c r="BE160" i="1"/>
  <x:c r="BH160" i="1"/>
  <x:c r="BK160" i="1"/>
  <x:c r="BN160" i="1"/>
  <x:c r="BQ160" i="1"/>
  <x:c r="BT160" i="1"/>
  <x:c r="BW160" i="1"/>
  <x:c r="BZ160" i="1"/>
  <x:c r="CC160" i="1"/>
  <x:c r="CF160" i="1"/>
  <x:c r="CI160" i="1"/>
  <x:c r="CL160" i="1"/>
  <x:c r="CO160" i="1"/>
  <x:c r="CR160" i="1"/>
  <x:c r="CU160" i="1"/>
  <x:c r="M161" i="1"/>
  <x:c r="N161" i="1"/>
  <x:c r="R161" i="1"/>
  <x:c r="U161" i="1"/>
  <x:c r="X161" i="1"/>
  <x:c r="AA161" i="1"/>
  <x:c r="AD161" i="1"/>
  <x:c r="AG161" i="1"/>
  <x:c r="AJ161" i="1"/>
  <x:c r="AM161" i="1"/>
  <x:c r="AP161" i="1"/>
  <x:c r="AS161" i="1"/>
  <x:c r="AV161" i="1"/>
  <x:c r="AY161" i="1"/>
  <x:c r="BB161" i="1"/>
  <x:c r="BE161" i="1"/>
  <x:c r="BH161" i="1"/>
  <x:c r="BK161" i="1"/>
  <x:c r="BN161" i="1"/>
  <x:c r="BQ161" i="1"/>
  <x:c r="BT161" i="1"/>
  <x:c r="BW161" i="1"/>
  <x:c r="BZ161" i="1"/>
  <x:c r="CC161" i="1"/>
  <x:c r="CF161" i="1"/>
  <x:c r="CI161" i="1"/>
  <x:c r="CL161" i="1"/>
  <x:c r="CO161" i="1"/>
  <x:c r="CR161" i="1"/>
  <x:c r="CU161" i="1"/>
  <x:c r="M162" i="1"/>
  <x:c r="N162" i="1"/>
  <x:c r="R162" i="1"/>
  <x:c r="U162" i="1"/>
  <x:c r="X162" i="1"/>
  <x:c r="AA162" i="1"/>
  <x:c r="AD162" i="1"/>
  <x:c r="AG162" i="1"/>
  <x:c r="AJ162" i="1"/>
  <x:c r="AM162" i="1"/>
  <x:c r="AP162" i="1"/>
  <x:c r="AS162" i="1"/>
  <x:c r="AV162" i="1"/>
  <x:c r="AY162" i="1"/>
  <x:c r="BB162" i="1"/>
  <x:c r="BE162" i="1"/>
  <x:c r="BH162" i="1"/>
  <x:c r="BK162" i="1"/>
  <x:c r="BN162" i="1"/>
  <x:c r="BQ162" i="1"/>
  <x:c r="BT162" i="1"/>
  <x:c r="BW162" i="1"/>
  <x:c r="BZ162" i="1"/>
  <x:c r="CC162" i="1"/>
  <x:c r="CF162" i="1"/>
  <x:c r="CI162" i="1"/>
  <x:c r="CL162" i="1"/>
  <x:c r="CO162" i="1"/>
  <x:c r="CR162" i="1"/>
  <x:c r="CU162" i="1"/>
  <x:c r="M163" i="1"/>
  <x:c r="N163" i="1"/>
  <x:c r="R163" i="1"/>
  <x:c r="U163" i="1"/>
  <x:c r="X163" i="1"/>
  <x:c r="AA163" i="1"/>
  <x:c r="AD163" i="1"/>
  <x:c r="AG163" i="1"/>
  <x:c r="AJ163" i="1"/>
  <x:c r="AM163" i="1"/>
  <x:c r="AP163" i="1"/>
  <x:c r="AS163" i="1"/>
  <x:c r="AV163" i="1"/>
  <x:c r="AY163" i="1"/>
  <x:c r="BB163" i="1"/>
  <x:c r="BE163" i="1"/>
  <x:c r="BH163" i="1"/>
  <x:c r="BK163" i="1"/>
  <x:c r="BN163" i="1"/>
  <x:c r="BQ163" i="1"/>
  <x:c r="BT163" i="1"/>
  <x:c r="BW163" i="1"/>
  <x:c r="BZ163" i="1"/>
  <x:c r="CC163" i="1"/>
  <x:c r="CF163" i="1"/>
  <x:c r="CI163" i="1"/>
  <x:c r="CL163" i="1"/>
  <x:c r="CO163" i="1"/>
  <x:c r="CR163" i="1"/>
  <x:c r="CU163" i="1"/>
  <x:c r="M164" i="1"/>
  <x:c r="N164" i="1"/>
  <x:c r="R164" i="1"/>
  <x:c r="U164" i="1"/>
  <x:c r="X164" i="1"/>
  <x:c r="AA164" i="1"/>
  <x:c r="AD164" i="1"/>
  <x:c r="AG164" i="1"/>
  <x:c r="AJ164" i="1"/>
  <x:c r="AM164" i="1"/>
  <x:c r="AP164" i="1"/>
  <x:c r="AS164" i="1"/>
  <x:c r="AV164" i="1"/>
  <x:c r="AY164" i="1"/>
  <x:c r="BB164" i="1"/>
  <x:c r="BE164" i="1"/>
  <x:c r="BH164" i="1"/>
  <x:c r="BK164" i="1"/>
  <x:c r="BN164" i="1"/>
  <x:c r="BQ164" i="1"/>
  <x:c r="BT164" i="1"/>
  <x:c r="BW164" i="1"/>
  <x:c r="BZ164" i="1"/>
  <x:c r="CC164" i="1"/>
  <x:c r="CF164" i="1"/>
  <x:c r="CI164" i="1"/>
  <x:c r="CL164" i="1"/>
  <x:c r="CO164" i="1"/>
  <x:c r="CR164" i="1"/>
  <x:c r="CU164" i="1"/>
  <x:c r="M165" i="1"/>
  <x:c r="N165" i="1"/>
  <x:c r="R165" i="1"/>
  <x:c r="U165" i="1"/>
  <x:c r="X165" i="1"/>
  <x:c r="AA165" i="1"/>
  <x:c r="AD165" i="1"/>
  <x:c r="AG165" i="1"/>
  <x:c r="AJ165" i="1"/>
  <x:c r="AM165" i="1"/>
  <x:c r="AP165" i="1"/>
  <x:c r="AS165" i="1"/>
  <x:c r="AV165" i="1"/>
  <x:c r="AY165" i="1"/>
  <x:c r="BB165" i="1"/>
  <x:c r="BE165" i="1"/>
  <x:c r="BH165" i="1"/>
  <x:c r="BK165" i="1"/>
  <x:c r="BN165" i="1"/>
  <x:c r="BQ165" i="1"/>
  <x:c r="BT165" i="1"/>
  <x:c r="BW165" i="1"/>
  <x:c r="BZ165" i="1"/>
  <x:c r="CC165" i="1"/>
  <x:c r="CF165" i="1"/>
  <x:c r="CI165" i="1"/>
  <x:c r="CL165" i="1"/>
  <x:c r="CO165" i="1"/>
  <x:c r="CR165" i="1"/>
  <x:c r="CU165" i="1"/>
  <x:c r="M166" i="1"/>
  <x:c r="N166" i="1"/>
  <x:c r="R166" i="1"/>
  <x:c r="U166" i="1"/>
  <x:c r="X166" i="1"/>
  <x:c r="AA166" i="1"/>
  <x:c r="AD166" i="1"/>
  <x:c r="AG166" i="1"/>
  <x:c r="AJ166" i="1"/>
  <x:c r="AM166" i="1"/>
  <x:c r="AP166" i="1"/>
  <x:c r="AS166" i="1"/>
  <x:c r="AV166" i="1"/>
  <x:c r="AY166" i="1"/>
  <x:c r="BB166" i="1"/>
  <x:c r="BE166" i="1"/>
  <x:c r="BH166" i="1"/>
  <x:c r="BK166" i="1"/>
  <x:c r="BN166" i="1"/>
  <x:c r="BQ166" i="1"/>
  <x:c r="BT166" i="1"/>
  <x:c r="BW166" i="1"/>
  <x:c r="BZ166" i="1"/>
  <x:c r="CC166" i="1"/>
  <x:c r="CF166" i="1"/>
  <x:c r="CI166" i="1"/>
  <x:c r="CL166" i="1"/>
  <x:c r="CO166" i="1"/>
  <x:c r="CR166" i="1"/>
  <x:c r="CU166" i="1"/>
  <x:c r="M167" i="1"/>
  <x:c r="N167" i="1"/>
  <x:c r="R167" i="1"/>
  <x:c r="U167" i="1"/>
  <x:c r="X167" i="1"/>
  <x:c r="AA167" i="1"/>
  <x:c r="AD167" i="1"/>
  <x:c r="AG167" i="1"/>
  <x:c r="AJ167" i="1"/>
  <x:c r="AM167" i="1"/>
  <x:c r="AP167" i="1"/>
  <x:c r="AS167" i="1"/>
  <x:c r="AV167" i="1"/>
  <x:c r="AY167" i="1"/>
  <x:c r="BB167" i="1"/>
  <x:c r="BE167" i="1"/>
  <x:c r="BH167" i="1"/>
  <x:c r="BK167" i="1"/>
  <x:c r="BN167" i="1"/>
  <x:c r="BQ167" i="1"/>
  <x:c r="BT167" i="1"/>
  <x:c r="BW167" i="1"/>
  <x:c r="BZ167" i="1"/>
  <x:c r="CC167" i="1"/>
  <x:c r="CF167" i="1"/>
  <x:c r="CI167" i="1"/>
  <x:c r="CL167" i="1"/>
  <x:c r="CO167" i="1"/>
  <x:c r="CR167" i="1"/>
  <x:c r="CU167" i="1"/>
  <x:c r="M168" i="1"/>
  <x:c r="N168" i="1"/>
  <x:c r="R168" i="1"/>
  <x:c r="U168" i="1"/>
  <x:c r="X168" i="1"/>
  <x:c r="AA168" i="1"/>
  <x:c r="AD168" i="1"/>
  <x:c r="AG168" i="1"/>
  <x:c r="AJ168" i="1"/>
  <x:c r="AM168" i="1"/>
  <x:c r="AP168" i="1"/>
  <x:c r="AS168" i="1"/>
  <x:c r="AV168" i="1"/>
  <x:c r="AY168" i="1"/>
  <x:c r="BB168" i="1"/>
  <x:c r="BE168" i="1"/>
  <x:c r="BH168" i="1"/>
  <x:c r="BK168" i="1"/>
  <x:c r="BN168" i="1"/>
  <x:c r="BQ168" i="1"/>
  <x:c r="BT168" i="1"/>
  <x:c r="BW168" i="1"/>
  <x:c r="BZ168" i="1"/>
  <x:c r="CC168" i="1"/>
  <x:c r="CF168" i="1"/>
  <x:c r="CI168" i="1"/>
  <x:c r="CL168" i="1"/>
  <x:c r="CO168" i="1"/>
  <x:c r="CR168" i="1"/>
  <x:c r="CU168" i="1"/>
  <x:c r="M169" i="1"/>
  <x:c r="N169" i="1"/>
  <x:c r="R169" i="1"/>
  <x:c r="U169" i="1"/>
  <x:c r="X169" i="1"/>
  <x:c r="AA169" i="1"/>
  <x:c r="AD169" i="1"/>
  <x:c r="AG169" i="1"/>
  <x:c r="AJ169" i="1"/>
  <x:c r="AM169" i="1"/>
  <x:c r="AP169" i="1"/>
  <x:c r="AS169" i="1"/>
  <x:c r="AV169" i="1"/>
  <x:c r="AY169" i="1"/>
  <x:c r="BB169" i="1"/>
  <x:c r="BE169" i="1"/>
  <x:c r="BH169" i="1"/>
  <x:c r="BK169" i="1"/>
  <x:c r="BN169" i="1"/>
  <x:c r="BQ169" i="1"/>
  <x:c r="BT169" i="1"/>
  <x:c r="BW169" i="1"/>
  <x:c r="BZ169" i="1"/>
  <x:c r="CC169" i="1"/>
  <x:c r="CF169" i="1"/>
  <x:c r="CI169" i="1"/>
  <x:c r="CL169" i="1"/>
  <x:c r="CO169" i="1"/>
  <x:c r="CR169" i="1"/>
  <x:c r="CU169" i="1"/>
  <x:c r="M170" i="1"/>
  <x:c r="N170" i="1"/>
  <x:c r="R170" i="1"/>
  <x:c r="U170" i="1"/>
  <x:c r="X170" i="1"/>
  <x:c r="AA170" i="1"/>
  <x:c r="AD170" i="1"/>
  <x:c r="AG170" i="1"/>
  <x:c r="AJ170" i="1"/>
  <x:c r="AM170" i="1"/>
  <x:c r="AP170" i="1"/>
  <x:c r="AS170" i="1"/>
  <x:c r="AV170" i="1"/>
  <x:c r="AY170" i="1"/>
  <x:c r="BB170" i="1"/>
  <x:c r="BE170" i="1"/>
  <x:c r="BH170" i="1"/>
  <x:c r="BK170" i="1"/>
  <x:c r="BN170" i="1"/>
  <x:c r="BQ170" i="1"/>
  <x:c r="BT170" i="1"/>
  <x:c r="BW170" i="1"/>
  <x:c r="BZ170" i="1"/>
  <x:c r="CC170" i="1"/>
  <x:c r="CF170" i="1"/>
  <x:c r="CI170" i="1"/>
  <x:c r="CL170" i="1"/>
  <x:c r="CO170" i="1"/>
  <x:c r="CR170" i="1"/>
  <x:c r="CU170" i="1"/>
  <x:c r="M171" i="1"/>
  <x:c r="N171" i="1"/>
  <x:c r="R171" i="1"/>
  <x:c r="U171" i="1"/>
  <x:c r="X171" i="1"/>
  <x:c r="AA171" i="1"/>
  <x:c r="AD171" i="1"/>
  <x:c r="AG171" i="1"/>
  <x:c r="AJ171" i="1"/>
  <x:c r="AM171" i="1"/>
  <x:c r="AP171" i="1"/>
  <x:c r="AS171" i="1"/>
  <x:c r="AV171" i="1"/>
  <x:c r="AY171" i="1"/>
  <x:c r="BB171" i="1"/>
  <x:c r="BE171" i="1"/>
  <x:c r="BH171" i="1"/>
  <x:c r="BK171" i="1"/>
  <x:c r="BN171" i="1"/>
  <x:c r="BQ171" i="1"/>
  <x:c r="BT171" i="1"/>
  <x:c r="BW171" i="1"/>
  <x:c r="BZ171" i="1"/>
  <x:c r="CC171" i="1"/>
  <x:c r="CF171" i="1"/>
  <x:c r="CI171" i="1"/>
  <x:c r="CL171" i="1"/>
  <x:c r="CO171" i="1"/>
  <x:c r="CR171" i="1"/>
  <x:c r="CU171" i="1"/>
  <x:c r="M172" i="1"/>
  <x:c r="N172" i="1"/>
  <x:c r="R172" i="1"/>
  <x:c r="U172" i="1"/>
  <x:c r="X172" i="1"/>
  <x:c r="AA172" i="1"/>
  <x:c r="AD172" i="1"/>
  <x:c r="AG172" i="1"/>
  <x:c r="AJ172" i="1"/>
  <x:c r="AM172" i="1"/>
  <x:c r="AP172" i="1"/>
  <x:c r="AS172" i="1"/>
  <x:c r="AV172" i="1"/>
  <x:c r="AY172" i="1"/>
  <x:c r="BB172" i="1"/>
  <x:c r="BE172" i="1"/>
  <x:c r="BH172" i="1"/>
  <x:c r="BK172" i="1"/>
  <x:c r="BN172" i="1"/>
  <x:c r="BQ172" i="1"/>
  <x:c r="BT172" i="1"/>
  <x:c r="BW172" i="1"/>
  <x:c r="BZ172" i="1"/>
  <x:c r="CC172" i="1"/>
  <x:c r="CF172" i="1"/>
  <x:c r="CI172" i="1"/>
  <x:c r="CL172" i="1"/>
  <x:c r="CO172" i="1"/>
  <x:c r="CR172" i="1"/>
  <x:c r="CU172" i="1"/>
  <x:c r="M173" i="1"/>
  <x:c r="N173" i="1"/>
  <x:c r="R173" i="1"/>
  <x:c r="U173" i="1"/>
  <x:c r="X173" i="1"/>
  <x:c r="AA173" i="1"/>
  <x:c r="AD173" i="1"/>
  <x:c r="AG173" i="1"/>
  <x:c r="AJ173" i="1"/>
  <x:c r="AM173" i="1"/>
  <x:c r="AP173" i="1"/>
  <x:c r="AS173" i="1"/>
  <x:c r="AV173" i="1"/>
  <x:c r="AY173" i="1"/>
  <x:c r="BB173" i="1"/>
  <x:c r="BE173" i="1"/>
  <x:c r="BH173" i="1"/>
  <x:c r="BK173" i="1"/>
  <x:c r="BN173" i="1"/>
  <x:c r="BQ173" i="1"/>
  <x:c r="BT173" i="1"/>
  <x:c r="BW173" i="1"/>
  <x:c r="BZ173" i="1"/>
  <x:c r="CC173" i="1"/>
  <x:c r="CF173" i="1"/>
  <x:c r="CI173" i="1"/>
  <x:c r="CL173" i="1"/>
  <x:c r="CO173" i="1"/>
  <x:c r="CR173" i="1"/>
  <x:c r="CU173" i="1"/>
  <x:c r="M174" i="1"/>
  <x:c r="N174" i="1"/>
  <x:c r="R174" i="1"/>
  <x:c r="U174" i="1"/>
  <x:c r="X174" i="1"/>
  <x:c r="AA174" i="1"/>
  <x:c r="AD174" i="1"/>
  <x:c r="AG174" i="1"/>
  <x:c r="AJ174" i="1"/>
  <x:c r="AM174" i="1"/>
  <x:c r="AP174" i="1"/>
  <x:c r="AS174" i="1"/>
  <x:c r="AV174" i="1"/>
  <x:c r="AY174" i="1"/>
  <x:c r="BB174" i="1"/>
  <x:c r="BE174" i="1"/>
  <x:c r="BH174" i="1"/>
  <x:c r="BK174" i="1"/>
  <x:c r="BN174" i="1"/>
  <x:c r="BQ174" i="1"/>
  <x:c r="BT174" i="1"/>
  <x:c r="BW174" i="1"/>
  <x:c r="BZ174" i="1"/>
  <x:c r="CC174" i="1"/>
  <x:c r="CF174" i="1"/>
  <x:c r="CI174" i="1"/>
  <x:c r="CL174" i="1"/>
  <x:c r="CO174" i="1"/>
  <x:c r="CR174" i="1"/>
  <x:c r="CU174" i="1"/>
  <x:c r="M175" i="1"/>
  <x:c r="N175" i="1"/>
  <x:c r="R175" i="1"/>
  <x:c r="U175" i="1"/>
  <x:c r="X175" i="1"/>
  <x:c r="AA175" i="1"/>
  <x:c r="AD175" i="1"/>
  <x:c r="AG175" i="1"/>
  <x:c r="AJ175" i="1"/>
  <x:c r="AM175" i="1"/>
  <x:c r="AP175" i="1"/>
  <x:c r="AS175" i="1"/>
  <x:c r="AV175" i="1"/>
  <x:c r="AY175" i="1"/>
  <x:c r="BB175" i="1"/>
  <x:c r="BE175" i="1"/>
  <x:c r="BH175" i="1"/>
  <x:c r="BK175" i="1"/>
  <x:c r="BN175" i="1"/>
  <x:c r="BQ175" i="1"/>
  <x:c r="BT175" i="1"/>
  <x:c r="BW175" i="1"/>
  <x:c r="BZ175" i="1"/>
  <x:c r="CC175" i="1"/>
  <x:c r="CF175" i="1"/>
  <x:c r="CI175" i="1"/>
  <x:c r="CL175" i="1"/>
  <x:c r="CO175" i="1"/>
  <x:c r="CR175" i="1"/>
  <x:c r="CU175" i="1"/>
  <x:c r="M176" i="1"/>
  <x:c r="N176" i="1"/>
  <x:c r="R176" i="1"/>
  <x:c r="U176" i="1"/>
  <x:c r="X176" i="1"/>
  <x:c r="AA176" i="1"/>
  <x:c r="AD176" i="1"/>
  <x:c r="AG176" i="1"/>
  <x:c r="AJ176" i="1"/>
  <x:c r="AM176" i="1"/>
  <x:c r="AP176" i="1"/>
  <x:c r="AS176" i="1"/>
  <x:c r="AV176" i="1"/>
  <x:c r="AY176" i="1"/>
  <x:c r="BB176" i="1"/>
  <x:c r="BE176" i="1"/>
  <x:c r="BH176" i="1"/>
  <x:c r="BK176" i="1"/>
  <x:c r="BN176" i="1"/>
  <x:c r="BQ176" i="1"/>
  <x:c r="BT176" i="1"/>
  <x:c r="BW176" i="1"/>
  <x:c r="BZ176" i="1"/>
  <x:c r="CC176" i="1"/>
  <x:c r="CF176" i="1"/>
  <x:c r="CI176" i="1"/>
  <x:c r="CL176" i="1"/>
  <x:c r="CO176" i="1"/>
  <x:c r="CR176" i="1"/>
  <x:c r="CU176" i="1"/>
  <x:c r="M177" i="1"/>
  <x:c r="N177" i="1"/>
  <x:c r="R177" i="1"/>
  <x:c r="U177" i="1"/>
  <x:c r="X177" i="1"/>
  <x:c r="AA177" i="1"/>
  <x:c r="AD177" i="1"/>
  <x:c r="AG177" i="1"/>
  <x:c r="AJ177" i="1"/>
  <x:c r="AM177" i="1"/>
  <x:c r="AP177" i="1"/>
  <x:c r="AS177" i="1"/>
  <x:c r="AV177" i="1"/>
  <x:c r="AY177" i="1"/>
  <x:c r="BB177" i="1"/>
  <x:c r="BE177" i="1"/>
  <x:c r="BH177" i="1"/>
  <x:c r="BK177" i="1"/>
  <x:c r="BN177" i="1"/>
  <x:c r="BQ177" i="1"/>
  <x:c r="BT177" i="1"/>
  <x:c r="BW177" i="1"/>
  <x:c r="BZ177" i="1"/>
  <x:c r="CC177" i="1"/>
  <x:c r="CF177" i="1"/>
  <x:c r="CI177" i="1"/>
  <x:c r="CL177" i="1"/>
  <x:c r="CO177" i="1"/>
  <x:c r="CR177" i="1"/>
  <x:c r="CU177" i="1"/>
  <x:c r="M178" i="1"/>
  <x:c r="N178" i="1"/>
  <x:c r="R178" i="1"/>
  <x:c r="U178" i="1"/>
  <x:c r="X178" i="1"/>
  <x:c r="AA178" i="1"/>
  <x:c r="AD178" i="1"/>
  <x:c r="AG178" i="1"/>
  <x:c r="AJ178" i="1"/>
  <x:c r="AM178" i="1"/>
  <x:c r="AP178" i="1"/>
  <x:c r="AS178" i="1"/>
  <x:c r="AV178" i="1"/>
  <x:c r="AY178" i="1"/>
  <x:c r="BB178" i="1"/>
  <x:c r="BE178" i="1"/>
  <x:c r="BH178" i="1"/>
  <x:c r="BK178" i="1"/>
  <x:c r="BN178" i="1"/>
  <x:c r="BQ178" i="1"/>
  <x:c r="BT178" i="1"/>
  <x:c r="BW178" i="1"/>
  <x:c r="BZ178" i="1"/>
  <x:c r="CC178" i="1"/>
  <x:c r="CF178" i="1"/>
  <x:c r="CI178" i="1"/>
  <x:c r="CL178" i="1"/>
  <x:c r="CO178" i="1"/>
  <x:c r="CR178" i="1"/>
  <x:c r="CU178" i="1"/>
  <x:c r="M179" i="1"/>
  <x:c r="N179" i="1"/>
  <x:c r="R179" i="1"/>
  <x:c r="U179" i="1"/>
  <x:c r="X179" i="1"/>
  <x:c r="AA179" i="1"/>
  <x:c r="AD179" i="1"/>
  <x:c r="AG179" i="1"/>
  <x:c r="AJ179" i="1"/>
  <x:c r="AM179" i="1"/>
  <x:c r="AP179" i="1"/>
  <x:c r="AS179" i="1"/>
  <x:c r="AV179" i="1"/>
  <x:c r="AY179" i="1"/>
  <x:c r="BB179" i="1"/>
  <x:c r="BE179" i="1"/>
  <x:c r="BH179" i="1"/>
  <x:c r="BK179" i="1"/>
  <x:c r="BN179" i="1"/>
  <x:c r="BQ179" i="1"/>
  <x:c r="BT179" i="1"/>
  <x:c r="BW179" i="1"/>
  <x:c r="BZ179" i="1"/>
  <x:c r="CC179" i="1"/>
  <x:c r="CF179" i="1"/>
  <x:c r="CI179" i="1"/>
  <x:c r="CL179" i="1"/>
  <x:c r="CO179" i="1"/>
  <x:c r="CR179" i="1"/>
  <x:c r="CU179" i="1"/>
  <x:c r="M180" i="1"/>
  <x:c r="N180" i="1"/>
  <x:c r="R180" i="1"/>
  <x:c r="U180" i="1"/>
  <x:c r="X180" i="1"/>
  <x:c r="AA180" i="1"/>
  <x:c r="AD180" i="1"/>
  <x:c r="AG180" i="1"/>
  <x:c r="AJ180" i="1"/>
  <x:c r="AM180" i="1"/>
  <x:c r="AP180" i="1"/>
  <x:c r="AS180" i="1"/>
  <x:c r="AV180" i="1"/>
  <x:c r="AY180" i="1"/>
  <x:c r="BB180" i="1"/>
  <x:c r="BE180" i="1"/>
  <x:c r="BH180" i="1"/>
  <x:c r="BK180" i="1"/>
  <x:c r="BN180" i="1"/>
  <x:c r="BQ180" i="1"/>
  <x:c r="BT180" i="1"/>
  <x:c r="BW180" i="1"/>
  <x:c r="BZ180" i="1"/>
  <x:c r="CC180" i="1"/>
  <x:c r="CF180" i="1"/>
  <x:c r="CI180" i="1"/>
  <x:c r="CL180" i="1"/>
  <x:c r="CO180" i="1"/>
  <x:c r="CR180" i="1"/>
  <x:c r="CU180" i="1"/>
  <x:c r="M181" i="1"/>
  <x:c r="N181" i="1"/>
  <x:c r="R181" i="1"/>
  <x:c r="U181" i="1"/>
  <x:c r="X181" i="1"/>
  <x:c r="AA181" i="1"/>
  <x:c r="AD181" i="1"/>
  <x:c r="AG181" i="1"/>
  <x:c r="AJ181" i="1"/>
  <x:c r="AM181" i="1"/>
  <x:c r="AP181" i="1"/>
  <x:c r="AS181" i="1"/>
  <x:c r="AV181" i="1"/>
  <x:c r="AY181" i="1"/>
  <x:c r="BB181" i="1"/>
  <x:c r="BE181" i="1"/>
  <x:c r="BH181" i="1"/>
  <x:c r="BK181" i="1"/>
  <x:c r="BN181" i="1"/>
  <x:c r="BQ181" i="1"/>
  <x:c r="BT181" i="1"/>
  <x:c r="BW181" i="1"/>
  <x:c r="BZ181" i="1"/>
  <x:c r="CC181" i="1"/>
  <x:c r="CF181" i="1"/>
  <x:c r="CI181" i="1"/>
  <x:c r="CL181" i="1"/>
  <x:c r="CO181" i="1"/>
  <x:c r="CR181" i="1"/>
  <x:c r="CU181" i="1"/>
  <x:c r="M182" i="1"/>
  <x:c r="N182" i="1"/>
  <x:c r="R182" i="1"/>
  <x:c r="U182" i="1"/>
  <x:c r="X182" i="1"/>
  <x:c r="AA182" i="1"/>
  <x:c r="AD182" i="1"/>
  <x:c r="AG182" i="1"/>
  <x:c r="AJ182" i="1"/>
  <x:c r="AM182" i="1"/>
  <x:c r="AP182" i="1"/>
  <x:c r="AS182" i="1"/>
  <x:c r="AV182" i="1"/>
  <x:c r="AY182" i="1"/>
  <x:c r="BB182" i="1"/>
  <x:c r="BE182" i="1"/>
  <x:c r="BH182" i="1"/>
  <x:c r="BK182" i="1"/>
  <x:c r="BN182" i="1"/>
  <x:c r="BQ182" i="1"/>
  <x:c r="BT182" i="1"/>
  <x:c r="BW182" i="1"/>
  <x:c r="BZ182" i="1"/>
  <x:c r="CC182" i="1"/>
  <x:c r="CF182" i="1"/>
  <x:c r="CI182" i="1"/>
  <x:c r="CL182" i="1"/>
  <x:c r="CO182" i="1"/>
  <x:c r="CR182" i="1"/>
  <x:c r="CU182" i="1"/>
  <x:c r="M183" i="1"/>
  <x:c r="N183" i="1"/>
  <x:c r="R183" i="1"/>
  <x:c r="U183" i="1"/>
  <x:c r="X183" i="1"/>
  <x:c r="AA183" i="1"/>
  <x:c r="AD183" i="1"/>
  <x:c r="AG183" i="1"/>
  <x:c r="AJ183" i="1"/>
  <x:c r="AM183" i="1"/>
  <x:c r="AP183" i="1"/>
  <x:c r="AS183" i="1"/>
  <x:c r="AV183" i="1"/>
  <x:c r="AY183" i="1"/>
  <x:c r="BB183" i="1"/>
  <x:c r="BE183" i="1"/>
  <x:c r="BH183" i="1"/>
  <x:c r="BK183" i="1"/>
  <x:c r="BN183" i="1"/>
  <x:c r="BQ183" i="1"/>
  <x:c r="BT183" i="1"/>
  <x:c r="BW183" i="1"/>
  <x:c r="BZ183" i="1"/>
  <x:c r="CC183" i="1"/>
  <x:c r="CF183" i="1"/>
  <x:c r="CI183" i="1"/>
  <x:c r="CL183" i="1"/>
  <x:c r="CO183" i="1"/>
  <x:c r="CR183" i="1"/>
  <x:c r="CU183" i="1"/>
  <x:c r="M184" i="1"/>
  <x:c r="N184" i="1"/>
  <x:c r="R184" i="1"/>
  <x:c r="U184" i="1"/>
  <x:c r="X184" i="1"/>
  <x:c r="AA184" i="1"/>
  <x:c r="AD184" i="1"/>
  <x:c r="AG184" i="1"/>
  <x:c r="AJ184" i="1"/>
  <x:c r="AM184" i="1"/>
  <x:c r="AP184" i="1"/>
  <x:c r="AS184" i="1"/>
  <x:c r="AV184" i="1"/>
  <x:c r="AY184" i="1"/>
  <x:c r="BB184" i="1"/>
  <x:c r="BE184" i="1"/>
  <x:c r="BH184" i="1"/>
  <x:c r="BK184" i="1"/>
  <x:c r="BN184" i="1"/>
  <x:c r="BQ184" i="1"/>
  <x:c r="BT184" i="1"/>
  <x:c r="BW184" i="1"/>
  <x:c r="BZ184" i="1"/>
  <x:c r="CC184" i="1"/>
  <x:c r="CF184" i="1"/>
  <x:c r="CI184" i="1"/>
  <x:c r="CL184" i="1"/>
  <x:c r="CO184" i="1"/>
  <x:c r="CR184" i="1"/>
  <x:c r="CU184" i="1"/>
  <x:c r="M185" i="1"/>
  <x:c r="N185" i="1"/>
  <x:c r="R185" i="1"/>
  <x:c r="U185" i="1"/>
  <x:c r="X185" i="1"/>
  <x:c r="AA185" i="1"/>
  <x:c r="AD185" i="1"/>
  <x:c r="AG185" i="1"/>
  <x:c r="AJ185" i="1"/>
  <x:c r="AM185" i="1"/>
  <x:c r="AP185" i="1"/>
  <x:c r="AS185" i="1"/>
  <x:c r="AV185" i="1"/>
  <x:c r="AY185" i="1"/>
  <x:c r="BB185" i="1"/>
  <x:c r="BE185" i="1"/>
  <x:c r="BH185" i="1"/>
  <x:c r="BK185" i="1"/>
  <x:c r="BN185" i="1"/>
  <x:c r="BQ185" i="1"/>
  <x:c r="BT185" i="1"/>
  <x:c r="BW185" i="1"/>
  <x:c r="BZ185" i="1"/>
  <x:c r="CC185" i="1"/>
  <x:c r="CF185" i="1"/>
  <x:c r="CI185" i="1"/>
  <x:c r="CL185" i="1"/>
  <x:c r="CO185" i="1"/>
  <x:c r="CR185" i="1"/>
  <x:c r="CU185" i="1"/>
  <x:c r="M186" i="1"/>
  <x:c r="N186" i="1"/>
  <x:c r="R186" i="1"/>
  <x:c r="U186" i="1"/>
  <x:c r="X186" i="1"/>
  <x:c r="AA186" i="1"/>
  <x:c r="AD186" i="1"/>
  <x:c r="AG186" i="1"/>
  <x:c r="AJ186" i="1"/>
  <x:c r="AM186" i="1"/>
  <x:c r="AP186" i="1"/>
  <x:c r="AS186" i="1"/>
  <x:c r="AV186" i="1"/>
  <x:c r="AY186" i="1"/>
  <x:c r="BB186" i="1"/>
  <x:c r="BE186" i="1"/>
  <x:c r="BH186" i="1"/>
  <x:c r="BK186" i="1"/>
  <x:c r="BN186" i="1"/>
  <x:c r="BQ186" i="1"/>
  <x:c r="BT186" i="1"/>
  <x:c r="BW186" i="1"/>
  <x:c r="BZ186" i="1"/>
  <x:c r="CC186" i="1"/>
  <x:c r="CF186" i="1"/>
  <x:c r="CI186" i="1"/>
  <x:c r="CL186" i="1"/>
  <x:c r="CO186" i="1"/>
  <x:c r="CR186" i="1"/>
  <x:c r="CU186" i="1"/>
  <x:c r="M187" i="1"/>
  <x:c r="N187" i="1"/>
  <x:c r="R187" i="1"/>
  <x:c r="U187" i="1"/>
  <x:c r="X187" i="1"/>
  <x:c r="AA187" i="1"/>
  <x:c r="AD187" i="1"/>
  <x:c r="AG187" i="1"/>
  <x:c r="AJ187" i="1"/>
  <x:c r="AM187" i="1"/>
  <x:c r="AP187" i="1"/>
  <x:c r="AS187" i="1"/>
  <x:c r="AV187" i="1"/>
  <x:c r="AY187" i="1"/>
  <x:c r="BB187" i="1"/>
  <x:c r="BE187" i="1"/>
  <x:c r="BH187" i="1"/>
  <x:c r="BK187" i="1"/>
  <x:c r="BN187" i="1"/>
  <x:c r="BQ187" i="1"/>
  <x:c r="BT187" i="1"/>
  <x:c r="BW187" i="1"/>
  <x:c r="BZ187" i="1"/>
  <x:c r="CC187" i="1"/>
  <x:c r="CF187" i="1"/>
  <x:c r="CI187" i="1"/>
  <x:c r="CL187" i="1"/>
  <x:c r="CO187" i="1"/>
  <x:c r="CR187" i="1"/>
  <x:c r="CU187" i="1"/>
  <x:c r="M188" i="1"/>
  <x:c r="N188" i="1"/>
  <x:c r="R188" i="1"/>
  <x:c r="U188" i="1"/>
  <x:c r="X188" i="1"/>
  <x:c r="AA188" i="1"/>
  <x:c r="AD188" i="1"/>
  <x:c r="AG188" i="1"/>
  <x:c r="AJ188" i="1"/>
  <x:c r="AM188" i="1"/>
  <x:c r="AP188" i="1"/>
  <x:c r="AS188" i="1"/>
  <x:c r="AV188" i="1"/>
  <x:c r="AY188" i="1"/>
  <x:c r="BB188" i="1"/>
  <x:c r="BE188" i="1"/>
  <x:c r="BH188" i="1"/>
  <x:c r="BK188" i="1"/>
  <x:c r="BN188" i="1"/>
  <x:c r="BQ188" i="1"/>
  <x:c r="BT188" i="1"/>
  <x:c r="BW188" i="1"/>
  <x:c r="BZ188" i="1"/>
  <x:c r="CC188" i="1"/>
  <x:c r="CF188" i="1"/>
  <x:c r="CI188" i="1"/>
  <x:c r="CL188" i="1"/>
  <x:c r="CO188" i="1"/>
  <x:c r="CR188" i="1"/>
  <x:c r="CU188" i="1"/>
  <x:c r="M189" i="1"/>
  <x:c r="N189" i="1"/>
  <x:c r="R189" i="1"/>
  <x:c r="U189" i="1"/>
  <x:c r="X189" i="1"/>
  <x:c r="AA189" i="1"/>
  <x:c r="AD189" i="1"/>
  <x:c r="AG189" i="1"/>
  <x:c r="AJ189" i="1"/>
  <x:c r="AM189" i="1"/>
  <x:c r="AP189" i="1"/>
  <x:c r="AS189" i="1"/>
  <x:c r="AV189" i="1"/>
  <x:c r="AY189" i="1"/>
  <x:c r="BB189" i="1"/>
  <x:c r="BE189" i="1"/>
  <x:c r="BH189" i="1"/>
  <x:c r="BK189" i="1"/>
  <x:c r="BN189" i="1"/>
  <x:c r="BQ189" i="1"/>
  <x:c r="BT189" i="1"/>
  <x:c r="BW189" i="1"/>
  <x:c r="BZ189" i="1"/>
  <x:c r="CC189" i="1"/>
  <x:c r="CF189" i="1"/>
  <x:c r="CI189" i="1"/>
  <x:c r="CL189" i="1"/>
  <x:c r="CO189" i="1"/>
  <x:c r="CR189" i="1"/>
  <x:c r="CU189" i="1"/>
  <x:c r="M190" i="1"/>
  <x:c r="N190" i="1"/>
  <x:c r="R190" i="1"/>
  <x:c r="U190" i="1"/>
  <x:c r="X190" i="1"/>
  <x:c r="AA190" i="1"/>
  <x:c r="AD190" i="1"/>
  <x:c r="AG190" i="1"/>
  <x:c r="AJ190" i="1"/>
  <x:c r="AM190" i="1"/>
  <x:c r="AP190" i="1"/>
  <x:c r="AS190" i="1"/>
  <x:c r="AV190" i="1"/>
  <x:c r="AY190" i="1"/>
  <x:c r="BB190" i="1"/>
  <x:c r="BE190" i="1"/>
  <x:c r="BH190" i="1"/>
  <x:c r="BK190" i="1"/>
  <x:c r="BN190" i="1"/>
  <x:c r="BQ190" i="1"/>
  <x:c r="BT190" i="1"/>
  <x:c r="BW190" i="1"/>
  <x:c r="BZ190" i="1"/>
  <x:c r="CC190" i="1"/>
  <x:c r="CF190" i="1"/>
  <x:c r="CI190" i="1"/>
  <x:c r="CL190" i="1"/>
  <x:c r="CO190" i="1"/>
  <x:c r="CR190" i="1"/>
  <x:c r="CU190" i="1"/>
  <x:c r="M191" i="1"/>
  <x:c r="N191" i="1"/>
  <x:c r="R191" i="1"/>
  <x:c r="U191" i="1"/>
  <x:c r="X191" i="1"/>
  <x:c r="AA191" i="1"/>
  <x:c r="AD191" i="1"/>
  <x:c r="AG191" i="1"/>
  <x:c r="AJ191" i="1"/>
  <x:c r="AM191" i="1"/>
  <x:c r="AP191" i="1"/>
  <x:c r="AS191" i="1"/>
  <x:c r="AV191" i="1"/>
  <x:c r="AY191" i="1"/>
  <x:c r="BB191" i="1"/>
  <x:c r="BE191" i="1"/>
  <x:c r="BH191" i="1"/>
  <x:c r="BK191" i="1"/>
  <x:c r="BN191" i="1"/>
  <x:c r="BQ191" i="1"/>
  <x:c r="BT191" i="1"/>
  <x:c r="BW191" i="1"/>
  <x:c r="BZ191" i="1"/>
  <x:c r="CC191" i="1"/>
  <x:c r="CF191" i="1"/>
  <x:c r="CI191" i="1"/>
  <x:c r="CL191" i="1"/>
  <x:c r="CO191" i="1"/>
  <x:c r="CR191" i="1"/>
  <x:c r="CU191" i="1"/>
  <x:c r="M192" i="1"/>
  <x:c r="N192" i="1"/>
  <x:c r="R192" i="1"/>
  <x:c r="U192" i="1"/>
  <x:c r="X192" i="1"/>
  <x:c r="AA192" i="1"/>
  <x:c r="AD192" i="1"/>
  <x:c r="AG192" i="1"/>
  <x:c r="AJ192" i="1"/>
  <x:c r="AM192" i="1"/>
  <x:c r="AP192" i="1"/>
  <x:c r="AS192" i="1"/>
  <x:c r="AV192" i="1"/>
  <x:c r="AY192" i="1"/>
  <x:c r="BB192" i="1"/>
  <x:c r="BE192" i="1"/>
  <x:c r="BH192" i="1"/>
  <x:c r="BK192" i="1"/>
  <x:c r="BN192" i="1"/>
  <x:c r="BQ192" i="1"/>
  <x:c r="BT192" i="1"/>
  <x:c r="BW192" i="1"/>
  <x:c r="BZ192" i="1"/>
  <x:c r="CC192" i="1"/>
  <x:c r="CF192" i="1"/>
  <x:c r="CI192" i="1"/>
  <x:c r="CL192" i="1"/>
  <x:c r="CO192" i="1"/>
  <x:c r="CR192" i="1"/>
  <x:c r="CU192" i="1"/>
  <x:c r="M193" i="1"/>
  <x:c r="N193" i="1"/>
  <x:c r="R193" i="1"/>
  <x:c r="U193" i="1"/>
  <x:c r="X193" i="1"/>
  <x:c r="AA193" i="1"/>
  <x:c r="AD193" i="1"/>
  <x:c r="AG193" i="1"/>
  <x:c r="AJ193" i="1"/>
  <x:c r="AM193" i="1"/>
  <x:c r="AP193" i="1"/>
  <x:c r="AS193" i="1"/>
  <x:c r="AV193" i="1"/>
  <x:c r="AY193" i="1"/>
  <x:c r="BB193" i="1"/>
  <x:c r="BE193" i="1"/>
  <x:c r="BH193" i="1"/>
  <x:c r="BK193" i="1"/>
  <x:c r="BN193" i="1"/>
  <x:c r="BQ193" i="1"/>
  <x:c r="BT193" i="1"/>
  <x:c r="BW193" i="1"/>
  <x:c r="BZ193" i="1"/>
  <x:c r="CC193" i="1"/>
  <x:c r="CF193" i="1"/>
  <x:c r="CI193" i="1"/>
  <x:c r="CL193" i="1"/>
  <x:c r="CO193" i="1"/>
  <x:c r="CR193" i="1"/>
  <x:c r="CU193" i="1"/>
  <x:c r="M194" i="1"/>
  <x:c r="N194" i="1"/>
  <x:c r="R194" i="1"/>
  <x:c r="U194" i="1"/>
  <x:c r="X194" i="1"/>
  <x:c r="AA194" i="1"/>
  <x:c r="AD194" i="1"/>
  <x:c r="AG194" i="1"/>
  <x:c r="AJ194" i="1"/>
  <x:c r="AM194" i="1"/>
  <x:c r="AP194" i="1"/>
  <x:c r="AS194" i="1"/>
  <x:c r="AV194" i="1"/>
  <x:c r="AY194" i="1"/>
  <x:c r="BB194" i="1"/>
  <x:c r="BE194" i="1"/>
  <x:c r="BH194" i="1"/>
  <x:c r="BK194" i="1"/>
  <x:c r="BN194" i="1"/>
  <x:c r="BQ194" i="1"/>
  <x:c r="BT194" i="1"/>
  <x:c r="BW194" i="1"/>
  <x:c r="BZ194" i="1"/>
  <x:c r="CC194" i="1"/>
  <x:c r="CF194" i="1"/>
  <x:c r="CI194" i="1"/>
  <x:c r="CL194" i="1"/>
  <x:c r="CO194" i="1"/>
  <x:c r="CR194" i="1"/>
  <x:c r="CU194" i="1"/>
  <x:c r="M195" i="1"/>
  <x:c r="N195" i="1"/>
  <x:c r="R195" i="1"/>
  <x:c r="U195" i="1"/>
  <x:c r="X195" i="1"/>
  <x:c r="AA195" i="1"/>
  <x:c r="AD195" i="1"/>
  <x:c r="AG195" i="1"/>
  <x:c r="AJ195" i="1"/>
  <x:c r="AM195" i="1"/>
  <x:c r="AP195" i="1"/>
  <x:c r="AS195" i="1"/>
  <x:c r="AV195" i="1"/>
  <x:c r="AY195" i="1"/>
  <x:c r="BB195" i="1"/>
  <x:c r="BE195" i="1"/>
  <x:c r="BH195" i="1"/>
  <x:c r="BK195" i="1"/>
  <x:c r="BN195" i="1"/>
  <x:c r="BQ195" i="1"/>
  <x:c r="BT195" i="1"/>
  <x:c r="BW195" i="1"/>
  <x:c r="BZ195" i="1"/>
  <x:c r="CC195" i="1"/>
  <x:c r="CF195" i="1"/>
  <x:c r="CI195" i="1"/>
  <x:c r="CL195" i="1"/>
  <x:c r="CO195" i="1"/>
  <x:c r="CR195" i="1"/>
  <x:c r="CU195" i="1"/>
  <x:c r="M196" i="1"/>
  <x:c r="N196" i="1"/>
  <x:c r="R196" i="1"/>
  <x:c r="U196" i="1"/>
  <x:c r="X196" i="1"/>
  <x:c r="AA196" i="1"/>
  <x:c r="AD196" i="1"/>
  <x:c r="AG196" i="1"/>
  <x:c r="AJ196" i="1"/>
  <x:c r="AM196" i="1"/>
  <x:c r="AP196" i="1"/>
  <x:c r="AS196" i="1"/>
  <x:c r="AV196" i="1"/>
  <x:c r="AY196" i="1"/>
  <x:c r="BB196" i="1"/>
  <x:c r="BE196" i="1"/>
  <x:c r="BH196" i="1"/>
  <x:c r="BK196" i="1"/>
  <x:c r="BN196" i="1"/>
  <x:c r="BQ196" i="1"/>
  <x:c r="BT196" i="1"/>
  <x:c r="BW196" i="1"/>
  <x:c r="BZ196" i="1"/>
  <x:c r="CC196" i="1"/>
  <x:c r="CF196" i="1"/>
  <x:c r="CI196" i="1"/>
  <x:c r="CL196" i="1"/>
  <x:c r="CO196" i="1"/>
  <x:c r="CR196" i="1"/>
  <x:c r="CU196" i="1"/>
  <x:c r="M197" i="1"/>
  <x:c r="N197" i="1"/>
  <x:c r="R197" i="1"/>
  <x:c r="U197" i="1"/>
  <x:c r="X197" i="1"/>
  <x:c r="AA197" i="1"/>
  <x:c r="AD197" i="1"/>
  <x:c r="AG197" i="1"/>
  <x:c r="AJ197" i="1"/>
  <x:c r="AM197" i="1"/>
  <x:c r="AP197" i="1"/>
  <x:c r="AS197" i="1"/>
  <x:c r="AV197" i="1"/>
  <x:c r="AY197" i="1"/>
  <x:c r="BB197" i="1"/>
  <x:c r="BE197" i="1"/>
  <x:c r="BH197" i="1"/>
  <x:c r="BK197" i="1"/>
  <x:c r="BN197" i="1"/>
  <x:c r="BQ197" i="1"/>
  <x:c r="BT197" i="1"/>
  <x:c r="BW197" i="1"/>
  <x:c r="BZ197" i="1"/>
  <x:c r="CC197" i="1"/>
  <x:c r="CF197" i="1"/>
  <x:c r="CI197" i="1"/>
  <x:c r="CL197" i="1"/>
  <x:c r="CO197" i="1"/>
  <x:c r="CR197" i="1"/>
  <x:c r="CU197" i="1"/>
  <x:c r="M198" i="1"/>
  <x:c r="N198" i="1"/>
  <x:c r="R198" i="1"/>
  <x:c r="U198" i="1"/>
  <x:c r="X198" i="1"/>
  <x:c r="AA198" i="1"/>
  <x:c r="AD198" i="1"/>
  <x:c r="AG198" i="1"/>
  <x:c r="AJ198" i="1"/>
  <x:c r="AM198" i="1"/>
  <x:c r="AP198" i="1"/>
  <x:c r="AS198" i="1"/>
  <x:c r="AV198" i="1"/>
  <x:c r="AY198" i="1"/>
  <x:c r="BB198" i="1"/>
  <x:c r="BE198" i="1"/>
  <x:c r="BH198" i="1"/>
  <x:c r="BK198" i="1"/>
  <x:c r="BN198" i="1"/>
  <x:c r="BQ198" i="1"/>
  <x:c r="BT198" i="1"/>
  <x:c r="BW198" i="1"/>
  <x:c r="BZ198" i="1"/>
  <x:c r="CC198" i="1"/>
  <x:c r="CF198" i="1"/>
  <x:c r="CI198" i="1"/>
  <x:c r="CL198" i="1"/>
  <x:c r="CO198" i="1"/>
  <x:c r="CR198" i="1"/>
  <x:c r="CU198" i="1"/>
  <x:c r="M199" i="1"/>
  <x:c r="N199" i="1"/>
  <x:c r="R199" i="1"/>
  <x:c r="U199" i="1"/>
  <x:c r="X199" i="1"/>
  <x:c r="AA199" i="1"/>
  <x:c r="AD199" i="1"/>
  <x:c r="AG199" i="1"/>
  <x:c r="AJ199" i="1"/>
  <x:c r="AM199" i="1"/>
  <x:c r="AP199" i="1"/>
  <x:c r="AS199" i="1"/>
  <x:c r="AV199" i="1"/>
  <x:c r="AY199" i="1"/>
  <x:c r="BB199" i="1"/>
  <x:c r="BE199" i="1"/>
  <x:c r="BH199" i="1"/>
  <x:c r="BK199" i="1"/>
  <x:c r="BN199" i="1"/>
  <x:c r="BQ199" i="1"/>
  <x:c r="BT199" i="1"/>
  <x:c r="BW199" i="1"/>
  <x:c r="BZ199" i="1"/>
  <x:c r="CC199" i="1"/>
  <x:c r="CF199" i="1"/>
  <x:c r="CI199" i="1"/>
  <x:c r="CL199" i="1"/>
  <x:c r="CO199" i="1"/>
  <x:c r="CR199" i="1"/>
  <x:c r="CU199" i="1"/>
  <x:c r="M200" i="1"/>
  <x:c r="N200" i="1"/>
  <x:c r="R200" i="1"/>
  <x:c r="U200" i="1"/>
  <x:c r="X200" i="1"/>
  <x:c r="AA200" i="1"/>
  <x:c r="AD200" i="1"/>
  <x:c r="AG200" i="1"/>
  <x:c r="AJ200" i="1"/>
  <x:c r="AM200" i="1"/>
  <x:c r="AP200" i="1"/>
  <x:c r="AS200" i="1"/>
  <x:c r="AV200" i="1"/>
  <x:c r="AY200" i="1"/>
  <x:c r="BB200" i="1"/>
  <x:c r="BE200" i="1"/>
  <x:c r="BH200" i="1"/>
  <x:c r="BK200" i="1"/>
  <x:c r="BN200" i="1"/>
  <x:c r="BQ200" i="1"/>
  <x:c r="BT200" i="1"/>
  <x:c r="BW200" i="1"/>
  <x:c r="BZ200" i="1"/>
  <x:c r="CC200" i="1"/>
  <x:c r="CF200" i="1"/>
  <x:c r="CI200" i="1"/>
  <x:c r="CL200" i="1"/>
  <x:c r="CO200" i="1"/>
  <x:c r="CR200" i="1"/>
  <x:c r="CU200" i="1"/>
  <x:c r="M201" i="1"/>
  <x:c r="N201" i="1"/>
  <x:c r="R201" i="1"/>
  <x:c r="U201" i="1"/>
  <x:c r="X201" i="1"/>
  <x:c r="AA201" i="1"/>
  <x:c r="AD201" i="1"/>
  <x:c r="AG201" i="1"/>
  <x:c r="AJ201" i="1"/>
  <x:c r="AM201" i="1"/>
  <x:c r="AP201" i="1"/>
  <x:c r="AS201" i="1"/>
  <x:c r="AV201" i="1"/>
  <x:c r="AY201" i="1"/>
  <x:c r="BB201" i="1"/>
  <x:c r="BE201" i="1"/>
  <x:c r="BH201" i="1"/>
  <x:c r="BK201" i="1"/>
  <x:c r="BN201" i="1"/>
  <x:c r="BQ201" i="1"/>
  <x:c r="BT201" i="1"/>
  <x:c r="BW201" i="1"/>
  <x:c r="BZ201" i="1"/>
  <x:c r="CC201" i="1"/>
  <x:c r="CF201" i="1"/>
  <x:c r="CI201" i="1"/>
  <x:c r="CL201" i="1"/>
  <x:c r="CO201" i="1"/>
  <x:c r="CR201" i="1"/>
  <x:c r="CU201" i="1"/>
  <x:c r="M202" i="1"/>
  <x:c r="N202" i="1"/>
  <x:c r="R202" i="1"/>
  <x:c r="U202" i="1"/>
  <x:c r="X202" i="1"/>
  <x:c r="AA202" i="1"/>
  <x:c r="AD202" i="1"/>
  <x:c r="AG202" i="1"/>
  <x:c r="AJ202" i="1"/>
  <x:c r="AM202" i="1"/>
  <x:c r="AP202" i="1"/>
  <x:c r="AS202" i="1"/>
  <x:c r="AV202" i="1"/>
  <x:c r="AY202" i="1"/>
  <x:c r="BB202" i="1"/>
  <x:c r="BE202" i="1"/>
  <x:c r="BH202" i="1"/>
  <x:c r="BK202" i="1"/>
  <x:c r="BN202" i="1"/>
  <x:c r="BQ202" i="1"/>
  <x:c r="BT202" i="1"/>
  <x:c r="BW202" i="1"/>
  <x:c r="BZ202" i="1"/>
  <x:c r="CC202" i="1"/>
  <x:c r="CF202" i="1"/>
  <x:c r="CI202" i="1"/>
  <x:c r="CL202" i="1"/>
  <x:c r="CO202" i="1"/>
  <x:c r="CR202" i="1"/>
  <x:c r="CU202" i="1"/>
  <x:c r="M203" i="1"/>
  <x:c r="N203" i="1"/>
  <x:c r="R203" i="1"/>
  <x:c r="U203" i="1"/>
  <x:c r="X203" i="1"/>
  <x:c r="AA203" i="1"/>
  <x:c r="AD203" i="1"/>
  <x:c r="AG203" i="1"/>
  <x:c r="AJ203" i="1"/>
  <x:c r="AM203" i="1"/>
  <x:c r="AP203" i="1"/>
  <x:c r="AS203" i="1"/>
  <x:c r="AV203" i="1"/>
  <x:c r="AY203" i="1"/>
  <x:c r="BB203" i="1"/>
  <x:c r="BE203" i="1"/>
  <x:c r="BH203" i="1"/>
  <x:c r="BK203" i="1"/>
  <x:c r="BN203" i="1"/>
  <x:c r="BQ203" i="1"/>
  <x:c r="BT203" i="1"/>
  <x:c r="BW203" i="1"/>
  <x:c r="BZ203" i="1"/>
  <x:c r="CC203" i="1"/>
  <x:c r="CF203" i="1"/>
  <x:c r="CI203" i="1"/>
  <x:c r="CL203" i="1"/>
  <x:c r="CO203" i="1"/>
  <x:c r="CR203" i="1"/>
  <x:c r="CU203" i="1"/>
  <x:c r="M204" i="1"/>
  <x:c r="N204" i="1"/>
  <x:c r="R204" i="1"/>
  <x:c r="U204" i="1"/>
  <x:c r="X204" i="1"/>
  <x:c r="AA204" i="1"/>
  <x:c r="AD204" i="1"/>
  <x:c r="AG204" i="1"/>
  <x:c r="AJ204" i="1"/>
  <x:c r="AM204" i="1"/>
  <x:c r="AP204" i="1"/>
  <x:c r="AS204" i="1"/>
  <x:c r="AV204" i="1"/>
  <x:c r="AY204" i="1"/>
  <x:c r="BB204" i="1"/>
  <x:c r="BE204" i="1"/>
  <x:c r="BH204" i="1"/>
  <x:c r="BK204" i="1"/>
  <x:c r="BN204" i="1"/>
  <x:c r="BQ204" i="1"/>
  <x:c r="BT204" i="1"/>
  <x:c r="BW204" i="1"/>
  <x:c r="BZ204" i="1"/>
  <x:c r="CC204" i="1"/>
  <x:c r="CF204" i="1"/>
  <x:c r="CI204" i="1"/>
  <x:c r="CL204" i="1"/>
  <x:c r="CO204" i="1"/>
  <x:c r="CR204" i="1"/>
  <x:c r="CU204" i="1"/>
  <x:c r="M205" i="1"/>
  <x:c r="N205" i="1"/>
  <x:c r="R205" i="1"/>
  <x:c r="U205" i="1"/>
  <x:c r="X205" i="1"/>
  <x:c r="AA205" i="1"/>
  <x:c r="AD205" i="1"/>
  <x:c r="AG205" i="1"/>
  <x:c r="AJ205" i="1"/>
  <x:c r="AM205" i="1"/>
  <x:c r="AP205" i="1"/>
  <x:c r="AS205" i="1"/>
  <x:c r="AV205" i="1"/>
  <x:c r="AY205" i="1"/>
  <x:c r="BB205" i="1"/>
  <x:c r="BE205" i="1"/>
  <x:c r="BH205" i="1"/>
  <x:c r="BK205" i="1"/>
  <x:c r="BN205" i="1"/>
  <x:c r="BQ205" i="1"/>
  <x:c r="BT205" i="1"/>
  <x:c r="BW205" i="1"/>
  <x:c r="BZ205" i="1"/>
  <x:c r="CC205" i="1"/>
  <x:c r="CF205" i="1"/>
  <x:c r="CI205" i="1"/>
  <x:c r="CL205" i="1"/>
  <x:c r="CO205" i="1"/>
  <x:c r="CR205" i="1"/>
  <x:c r="CU205" i="1"/>
  <x:c r="M206" i="1"/>
  <x:c r="N206" i="1"/>
  <x:c r="R206" i="1"/>
  <x:c r="U206" i="1"/>
  <x:c r="X206" i="1"/>
  <x:c r="AA206" i="1"/>
  <x:c r="AD206" i="1"/>
  <x:c r="AG206" i="1"/>
  <x:c r="AJ206" i="1"/>
  <x:c r="AM206" i="1"/>
  <x:c r="AP206" i="1"/>
  <x:c r="AS206" i="1"/>
  <x:c r="AV206" i="1"/>
  <x:c r="AY206" i="1"/>
  <x:c r="BB206" i="1"/>
  <x:c r="BE206" i="1"/>
  <x:c r="BH206" i="1"/>
  <x:c r="BK206" i="1"/>
  <x:c r="BN206" i="1"/>
  <x:c r="BQ206" i="1"/>
  <x:c r="BT206" i="1"/>
  <x:c r="BW206" i="1"/>
  <x:c r="BZ206" i="1"/>
  <x:c r="CC206" i="1"/>
  <x:c r="CF206" i="1"/>
  <x:c r="CI206" i="1"/>
  <x:c r="CL206" i="1"/>
  <x:c r="CO206" i="1"/>
  <x:c r="CR206" i="1"/>
  <x:c r="CU206" i="1"/>
  <x:c r="M207" i="1"/>
  <x:c r="N207" i="1"/>
  <x:c r="R207" i="1"/>
  <x:c r="U207" i="1"/>
  <x:c r="X207" i="1"/>
  <x:c r="AA207" i="1"/>
  <x:c r="AD207" i="1"/>
  <x:c r="AG207" i="1"/>
  <x:c r="AJ207" i="1"/>
  <x:c r="AM207" i="1"/>
  <x:c r="AP207" i="1"/>
  <x:c r="AS207" i="1"/>
  <x:c r="AV207" i="1"/>
  <x:c r="AY207" i="1"/>
  <x:c r="BB207" i="1"/>
  <x:c r="BE207" i="1"/>
  <x:c r="BH207" i="1"/>
  <x:c r="BK207" i="1"/>
  <x:c r="BN207" i="1"/>
  <x:c r="BQ207" i="1"/>
  <x:c r="BT207" i="1"/>
  <x:c r="BW207" i="1"/>
  <x:c r="BZ207" i="1"/>
  <x:c r="CC207" i="1"/>
  <x:c r="CF207" i="1"/>
  <x:c r="CI207" i="1"/>
  <x:c r="CL207" i="1"/>
  <x:c r="CO207" i="1"/>
  <x:c r="CR207" i="1"/>
  <x:c r="CU207" i="1"/>
  <x:c r="M208" i="1"/>
  <x:c r="N208" i="1"/>
  <x:c r="R208" i="1"/>
  <x:c r="U208" i="1"/>
  <x:c r="X208" i="1"/>
  <x:c r="AA208" i="1"/>
  <x:c r="AD208" i="1"/>
  <x:c r="AG208" i="1"/>
  <x:c r="AJ208" i="1"/>
  <x:c r="AM208" i="1"/>
  <x:c r="AP208" i="1"/>
  <x:c r="AS208" i="1"/>
  <x:c r="AV208" i="1"/>
  <x:c r="AY208" i="1"/>
  <x:c r="BB208" i="1"/>
  <x:c r="BE208" i="1"/>
  <x:c r="BH208" i="1"/>
  <x:c r="BK208" i="1"/>
  <x:c r="BN208" i="1"/>
  <x:c r="BQ208" i="1"/>
  <x:c r="BT208" i="1"/>
  <x:c r="BW208" i="1"/>
  <x:c r="BZ208" i="1"/>
  <x:c r="CC208" i="1"/>
  <x:c r="CF208" i="1"/>
  <x:c r="CI208" i="1"/>
  <x:c r="CL208" i="1"/>
  <x:c r="CO208" i="1"/>
  <x:c r="CR208" i="1"/>
  <x:c r="CU208" i="1"/>
  <x:c r="M209" i="1"/>
  <x:c r="N209" i="1"/>
  <x:c r="R209" i="1"/>
  <x:c r="U209" i="1"/>
  <x:c r="X209" i="1"/>
  <x:c r="AA209" i="1"/>
  <x:c r="AD209" i="1"/>
  <x:c r="AG209" i="1"/>
  <x:c r="AJ209" i="1"/>
  <x:c r="AM209" i="1"/>
  <x:c r="AP209" i="1"/>
  <x:c r="AS209" i="1"/>
  <x:c r="AV209" i="1"/>
  <x:c r="AY209" i="1"/>
  <x:c r="BB209" i="1"/>
  <x:c r="BE209" i="1"/>
  <x:c r="BH209" i="1"/>
  <x:c r="BK209" i="1"/>
  <x:c r="BN209" i="1"/>
  <x:c r="BQ209" i="1"/>
  <x:c r="BT209" i="1"/>
  <x:c r="BW209" i="1"/>
  <x:c r="BZ209" i="1"/>
  <x:c r="CC209" i="1"/>
  <x:c r="CF209" i="1"/>
  <x:c r="CI209" i="1"/>
  <x:c r="CL209" i="1"/>
  <x:c r="CO209" i="1"/>
  <x:c r="CR209" i="1"/>
  <x:c r="CU209" i="1"/>
  <x:c r="M210" i="1"/>
  <x:c r="N210" i="1"/>
  <x:c r="R210" i="1"/>
  <x:c r="U210" i="1"/>
  <x:c r="X210" i="1"/>
  <x:c r="AA210" i="1"/>
  <x:c r="AD210" i="1"/>
  <x:c r="AG210" i="1"/>
  <x:c r="AJ210" i="1"/>
  <x:c r="AM210" i="1"/>
  <x:c r="AP210" i="1"/>
  <x:c r="AS210" i="1"/>
  <x:c r="AV210" i="1"/>
  <x:c r="AY210" i="1"/>
  <x:c r="BB210" i="1"/>
  <x:c r="BE210" i="1"/>
  <x:c r="BH210" i="1"/>
  <x:c r="BK210" i="1"/>
  <x:c r="BN210" i="1"/>
  <x:c r="BQ210" i="1"/>
  <x:c r="BT210" i="1"/>
  <x:c r="BW210" i="1"/>
  <x:c r="BZ210" i="1"/>
  <x:c r="CC210" i="1"/>
  <x:c r="CF210" i="1"/>
  <x:c r="CI210" i="1"/>
  <x:c r="CL210" i="1"/>
  <x:c r="CO210" i="1"/>
  <x:c r="CR210" i="1"/>
  <x:c r="CU210" i="1"/>
  <x:c r="M211" i="1"/>
  <x:c r="N211" i="1"/>
  <x:c r="R211" i="1"/>
  <x:c r="U211" i="1"/>
  <x:c r="X211" i="1"/>
  <x:c r="AA211" i="1"/>
  <x:c r="AD211" i="1"/>
  <x:c r="AG211" i="1"/>
  <x:c r="AJ211" i="1"/>
  <x:c r="AM211" i="1"/>
  <x:c r="AP211" i="1"/>
  <x:c r="AS211" i="1"/>
  <x:c r="AV211" i="1"/>
  <x:c r="AY211" i="1"/>
  <x:c r="BB211" i="1"/>
  <x:c r="BE211" i="1"/>
  <x:c r="BH211" i="1"/>
  <x:c r="BK211" i="1"/>
  <x:c r="BN211" i="1"/>
  <x:c r="BQ211" i="1"/>
  <x:c r="BT211" i="1"/>
  <x:c r="BW211" i="1"/>
  <x:c r="BZ211" i="1"/>
  <x:c r="CC211" i="1"/>
  <x:c r="CF211" i="1"/>
  <x:c r="CI211" i="1"/>
  <x:c r="CL211" i="1"/>
  <x:c r="CO211" i="1"/>
  <x:c r="CR211" i="1"/>
  <x:c r="CU211" i="1"/>
  <x:c r="M212" i="1"/>
  <x:c r="N212" i="1"/>
  <x:c r="R212" i="1"/>
  <x:c r="U212" i="1"/>
  <x:c r="X212" i="1"/>
  <x:c r="AA212" i="1"/>
  <x:c r="AD212" i="1"/>
  <x:c r="AG212" i="1"/>
  <x:c r="AJ212" i="1"/>
  <x:c r="AM212" i="1"/>
  <x:c r="AP212" i="1"/>
  <x:c r="AS212" i="1"/>
  <x:c r="AV212" i="1"/>
  <x:c r="AY212" i="1"/>
  <x:c r="BB212" i="1"/>
  <x:c r="BE212" i="1"/>
  <x:c r="BH212" i="1"/>
  <x:c r="BK212" i="1"/>
  <x:c r="BN212" i="1"/>
  <x:c r="BQ212" i="1"/>
  <x:c r="BT212" i="1"/>
  <x:c r="BW212" i="1"/>
  <x:c r="BZ212" i="1"/>
  <x:c r="CC212" i="1"/>
  <x:c r="CF212" i="1"/>
  <x:c r="CI212" i="1"/>
  <x:c r="CL212" i="1"/>
  <x:c r="CO212" i="1"/>
  <x:c r="CR212" i="1"/>
  <x:c r="CU212" i="1"/>
  <x:c r="M213" i="1"/>
  <x:c r="N213" i="1"/>
  <x:c r="R213" i="1"/>
  <x:c r="U213" i="1"/>
  <x:c r="X213" i="1"/>
  <x:c r="AA213" i="1"/>
  <x:c r="AD213" i="1"/>
  <x:c r="AG213" i="1"/>
  <x:c r="AJ213" i="1"/>
  <x:c r="AM213" i="1"/>
  <x:c r="AP213" i="1"/>
  <x:c r="AS213" i="1"/>
  <x:c r="AV213" i="1"/>
  <x:c r="AY213" i="1"/>
  <x:c r="BB213" i="1"/>
  <x:c r="BE213" i="1"/>
  <x:c r="BH213" i="1"/>
  <x:c r="BK213" i="1"/>
  <x:c r="BN213" i="1"/>
  <x:c r="BQ213" i="1"/>
  <x:c r="BT213" i="1"/>
  <x:c r="BW213" i="1"/>
  <x:c r="BZ213" i="1"/>
  <x:c r="CC213" i="1"/>
  <x:c r="CF213" i="1"/>
  <x:c r="CI213" i="1"/>
  <x:c r="CL213" i="1"/>
  <x:c r="CO213" i="1"/>
  <x:c r="CR213" i="1"/>
  <x:c r="CU213" i="1"/>
  <x:c r="M214" i="1"/>
  <x:c r="N214" i="1"/>
  <x:c r="R214" i="1"/>
  <x:c r="U214" i="1"/>
  <x:c r="X214" i="1"/>
  <x:c r="AA214" i="1"/>
  <x:c r="AD214" i="1"/>
  <x:c r="AG214" i="1"/>
  <x:c r="AJ214" i="1"/>
  <x:c r="AM214" i="1"/>
  <x:c r="AP214" i="1"/>
  <x:c r="AS214" i="1"/>
  <x:c r="AV214" i="1"/>
  <x:c r="AY214" i="1"/>
  <x:c r="BB214" i="1"/>
  <x:c r="BE214" i="1"/>
  <x:c r="BH214" i="1"/>
  <x:c r="BK214" i="1"/>
  <x:c r="BN214" i="1"/>
  <x:c r="BQ214" i="1"/>
  <x:c r="BT214" i="1"/>
  <x:c r="BW214" i="1"/>
  <x:c r="BZ214" i="1"/>
  <x:c r="CC214" i="1"/>
  <x:c r="CF214" i="1"/>
  <x:c r="CI214" i="1"/>
  <x:c r="CL214" i="1"/>
  <x:c r="CO214" i="1"/>
  <x:c r="CR214" i="1"/>
  <x:c r="CU214" i="1"/>
  <x:c r="M215" i="1"/>
  <x:c r="N215" i="1"/>
  <x:c r="R215" i="1"/>
  <x:c r="U215" i="1"/>
  <x:c r="X215" i="1"/>
  <x:c r="AA215" i="1"/>
  <x:c r="AD215" i="1"/>
  <x:c r="AG215" i="1"/>
  <x:c r="AJ215" i="1"/>
  <x:c r="AM215" i="1"/>
  <x:c r="AP215" i="1"/>
  <x:c r="AS215" i="1"/>
  <x:c r="AV215" i="1"/>
  <x:c r="AY215" i="1"/>
  <x:c r="BB215" i="1"/>
  <x:c r="BE215" i="1"/>
  <x:c r="BH215" i="1"/>
  <x:c r="BK215" i="1"/>
  <x:c r="BN215" i="1"/>
  <x:c r="BQ215" i="1"/>
  <x:c r="BT215" i="1"/>
  <x:c r="BW215" i="1"/>
  <x:c r="BZ215" i="1"/>
  <x:c r="CC215" i="1"/>
  <x:c r="CF215" i="1"/>
  <x:c r="CI215" i="1"/>
  <x:c r="CL215" i="1"/>
  <x:c r="CO215" i="1"/>
  <x:c r="CR215" i="1"/>
  <x:c r="CU215" i="1"/>
  <x:c r="M216" i="1"/>
  <x:c r="N216" i="1"/>
  <x:c r="R216" i="1"/>
  <x:c r="U216" i="1"/>
  <x:c r="X216" i="1"/>
  <x:c r="AA216" i="1"/>
  <x:c r="AD216" i="1"/>
  <x:c r="AG216" i="1"/>
  <x:c r="AJ216" i="1"/>
  <x:c r="AM216" i="1"/>
  <x:c r="AP216" i="1"/>
  <x:c r="AS216" i="1"/>
  <x:c r="AV216" i="1"/>
  <x:c r="AY216" i="1"/>
  <x:c r="BB216" i="1"/>
  <x:c r="BE216" i="1"/>
  <x:c r="BH216" i="1"/>
  <x:c r="BK216" i="1"/>
  <x:c r="BN216" i="1"/>
  <x:c r="BQ216" i="1"/>
  <x:c r="BT216" i="1"/>
  <x:c r="BW216" i="1"/>
  <x:c r="BZ216" i="1"/>
  <x:c r="CC216" i="1"/>
  <x:c r="CF216" i="1"/>
  <x:c r="CI216" i="1"/>
  <x:c r="CL216" i="1"/>
  <x:c r="CO216" i="1"/>
  <x:c r="CR216" i="1"/>
  <x:c r="CU216" i="1"/>
  <x:c r="M217" i="1"/>
  <x:c r="N217" i="1"/>
  <x:c r="R217" i="1"/>
  <x:c r="U217" i="1"/>
  <x:c r="X217" i="1"/>
  <x:c r="AA217" i="1"/>
  <x:c r="AD217" i="1"/>
  <x:c r="AG217" i="1"/>
  <x:c r="AJ217" i="1"/>
  <x:c r="AM217" i="1"/>
  <x:c r="AP217" i="1"/>
  <x:c r="AS217" i="1"/>
  <x:c r="AV217" i="1"/>
  <x:c r="AY217" i="1"/>
  <x:c r="BB217" i="1"/>
  <x:c r="BE217" i="1"/>
  <x:c r="BH217" i="1"/>
  <x:c r="BK217" i="1"/>
  <x:c r="BN217" i="1"/>
  <x:c r="BQ217" i="1"/>
  <x:c r="BT217" i="1"/>
  <x:c r="BW217" i="1"/>
  <x:c r="BZ217" i="1"/>
  <x:c r="CC217" i="1"/>
  <x:c r="CF217" i="1"/>
  <x:c r="CI217" i="1"/>
  <x:c r="CL217" i="1"/>
  <x:c r="CO217" i="1"/>
  <x:c r="CR217" i="1"/>
  <x:c r="CU217" i="1"/>
  <x:c r="M218" i="1"/>
  <x:c r="N218" i="1"/>
  <x:c r="R218" i="1"/>
  <x:c r="U218" i="1"/>
  <x:c r="X218" i="1"/>
  <x:c r="AA218" i="1"/>
  <x:c r="AD218" i="1"/>
  <x:c r="AG218" i="1"/>
  <x:c r="AJ218" i="1"/>
  <x:c r="AM218" i="1"/>
  <x:c r="AP218" i="1"/>
  <x:c r="AS218" i="1"/>
  <x:c r="AV218" i="1"/>
  <x:c r="AY218" i="1"/>
  <x:c r="BB218" i="1"/>
  <x:c r="BE218" i="1"/>
  <x:c r="BH218" i="1"/>
  <x:c r="BK218" i="1"/>
  <x:c r="BN218" i="1"/>
  <x:c r="BQ218" i="1"/>
  <x:c r="BT218" i="1"/>
  <x:c r="BW218" i="1"/>
  <x:c r="BZ218" i="1"/>
  <x:c r="CC218" i="1"/>
  <x:c r="CF218" i="1"/>
  <x:c r="CI218" i="1"/>
  <x:c r="CL218" i="1"/>
  <x:c r="CO218" i="1"/>
  <x:c r="CR218" i="1"/>
  <x:c r="CU218" i="1"/>
  <x:c r="M219" i="1"/>
  <x:c r="N219" i="1"/>
  <x:c r="R219" i="1"/>
  <x:c r="U219" i="1"/>
  <x:c r="X219" i="1"/>
  <x:c r="AA219" i="1"/>
  <x:c r="AD219" i="1"/>
  <x:c r="AG219" i="1"/>
  <x:c r="AJ219" i="1"/>
  <x:c r="AM219" i="1"/>
  <x:c r="AP219" i="1"/>
  <x:c r="AS219" i="1"/>
  <x:c r="AV219" i="1"/>
  <x:c r="AY219" i="1"/>
  <x:c r="BB219" i="1"/>
  <x:c r="BE219" i="1"/>
  <x:c r="BH219" i="1"/>
  <x:c r="BK219" i="1"/>
  <x:c r="BN219" i="1"/>
  <x:c r="BQ219" i="1"/>
  <x:c r="BT219" i="1"/>
  <x:c r="BW219" i="1"/>
  <x:c r="BZ219" i="1"/>
  <x:c r="CC219" i="1"/>
  <x:c r="CF219" i="1"/>
  <x:c r="CI219" i="1"/>
  <x:c r="CL219" i="1"/>
  <x:c r="CO219" i="1"/>
  <x:c r="CR219" i="1"/>
  <x:c r="CU219" i="1"/>
  <x:c r="M220" i="1"/>
  <x:c r="N220" i="1"/>
  <x:c r="R220" i="1"/>
  <x:c r="U220" i="1"/>
  <x:c r="X220" i="1"/>
  <x:c r="AA220" i="1"/>
  <x:c r="AD220" i="1"/>
  <x:c r="AG220" i="1"/>
  <x:c r="AJ220" i="1"/>
  <x:c r="AM220" i="1"/>
  <x:c r="AP220" i="1"/>
  <x:c r="AS220" i="1"/>
  <x:c r="AV220" i="1"/>
  <x:c r="AY220" i="1"/>
  <x:c r="BB220" i="1"/>
  <x:c r="BE220" i="1"/>
  <x:c r="BH220" i="1"/>
  <x:c r="BK220" i="1"/>
  <x:c r="BN220" i="1"/>
  <x:c r="BQ220" i="1"/>
  <x:c r="BT220" i="1"/>
  <x:c r="BW220" i="1"/>
  <x:c r="BZ220" i="1"/>
  <x:c r="CC220" i="1"/>
  <x:c r="CF220" i="1"/>
  <x:c r="CI220" i="1"/>
  <x:c r="CL220" i="1"/>
  <x:c r="CO220" i="1"/>
  <x:c r="CR220" i="1"/>
  <x:c r="CU220" i="1"/>
  <x:c r="M221" i="1"/>
  <x:c r="N221" i="1"/>
  <x:c r="R221" i="1"/>
  <x:c r="U221" i="1"/>
  <x:c r="X221" i="1"/>
  <x:c r="AA221" i="1"/>
  <x:c r="AD221" i="1"/>
  <x:c r="AG221" i="1"/>
  <x:c r="AJ221" i="1"/>
  <x:c r="AM221" i="1"/>
  <x:c r="AP221" i="1"/>
  <x:c r="AS221" i="1"/>
  <x:c r="AV221" i="1"/>
  <x:c r="AY221" i="1"/>
  <x:c r="BB221" i="1"/>
  <x:c r="BE221" i="1"/>
  <x:c r="BH221" i="1"/>
  <x:c r="BK221" i="1"/>
  <x:c r="BN221" i="1"/>
  <x:c r="BQ221" i="1"/>
  <x:c r="BT221" i="1"/>
  <x:c r="BW221" i="1"/>
  <x:c r="BZ221" i="1"/>
  <x:c r="CC221" i="1"/>
  <x:c r="CF221" i="1"/>
  <x:c r="CI221" i="1"/>
  <x:c r="CL221" i="1"/>
  <x:c r="CO221" i="1"/>
  <x:c r="CR221" i="1"/>
  <x:c r="CU221" i="1"/>
  <x:c r="M222" i="1"/>
  <x:c r="N222" i="1"/>
  <x:c r="R222" i="1"/>
  <x:c r="U222" i="1"/>
  <x:c r="X222" i="1"/>
  <x:c r="AA222" i="1"/>
  <x:c r="AD222" i="1"/>
  <x:c r="AG222" i="1"/>
  <x:c r="AJ222" i="1"/>
  <x:c r="AM222" i="1"/>
  <x:c r="AP222" i="1"/>
  <x:c r="AS222" i="1"/>
  <x:c r="AV222" i="1"/>
  <x:c r="AY222" i="1"/>
  <x:c r="BB222" i="1"/>
  <x:c r="BE222" i="1"/>
  <x:c r="BH222" i="1"/>
  <x:c r="BK222" i="1"/>
  <x:c r="BN222" i="1"/>
  <x:c r="BQ222" i="1"/>
  <x:c r="BT222" i="1"/>
  <x:c r="BW222" i="1"/>
  <x:c r="BZ222" i="1"/>
  <x:c r="CC222" i="1"/>
  <x:c r="CF222" i="1"/>
  <x:c r="CI222" i="1"/>
  <x:c r="CL222" i="1"/>
  <x:c r="CO222" i="1"/>
  <x:c r="CR222" i="1"/>
  <x:c r="CU222" i="1"/>
  <x:c r="M223" i="1"/>
  <x:c r="N223" i="1"/>
  <x:c r="R223" i="1"/>
  <x:c r="U223" i="1"/>
  <x:c r="X223" i="1"/>
  <x:c r="AA223" i="1"/>
  <x:c r="AD223" i="1"/>
  <x:c r="AG223" i="1"/>
  <x:c r="AJ223" i="1"/>
  <x:c r="AM223" i="1"/>
  <x:c r="AP223" i="1"/>
  <x:c r="AS223" i="1"/>
  <x:c r="AV223" i="1"/>
  <x:c r="AY223" i="1"/>
  <x:c r="BB223" i="1"/>
  <x:c r="BE223" i="1"/>
  <x:c r="BH223" i="1"/>
  <x:c r="BK223" i="1"/>
  <x:c r="BN223" i="1"/>
  <x:c r="BQ223" i="1"/>
  <x:c r="BT223" i="1"/>
  <x:c r="BW223" i="1"/>
  <x:c r="BZ223" i="1"/>
  <x:c r="CC223" i="1"/>
  <x:c r="CF223" i="1"/>
  <x:c r="CI223" i="1"/>
  <x:c r="CL223" i="1"/>
  <x:c r="CO223" i="1"/>
  <x:c r="CR223" i="1"/>
  <x:c r="CU223" i="1"/>
  <x:c r="M224" i="1"/>
  <x:c r="N224" i="1"/>
  <x:c r="R224" i="1"/>
  <x:c r="U224" i="1"/>
  <x:c r="X224" i="1"/>
  <x:c r="AA224" i="1"/>
  <x:c r="AD224" i="1"/>
  <x:c r="AG224" i="1"/>
  <x:c r="AJ224" i="1"/>
  <x:c r="AM224" i="1"/>
  <x:c r="AP224" i="1"/>
  <x:c r="AS224" i="1"/>
  <x:c r="AV224" i="1"/>
  <x:c r="AY224" i="1"/>
  <x:c r="BB224" i="1"/>
  <x:c r="BE224" i="1"/>
  <x:c r="BH224" i="1"/>
  <x:c r="BK224" i="1"/>
  <x:c r="BN224" i="1"/>
  <x:c r="BQ224" i="1"/>
  <x:c r="BT224" i="1"/>
  <x:c r="BW224" i="1"/>
  <x:c r="BZ224" i="1"/>
  <x:c r="CC224" i="1"/>
  <x:c r="CF224" i="1"/>
  <x:c r="CI224" i="1"/>
  <x:c r="CL224" i="1"/>
  <x:c r="CO224" i="1"/>
  <x:c r="CR224" i="1"/>
  <x:c r="CU224" i="1"/>
  <x:c r="M225" i="1"/>
  <x:c r="N225" i="1"/>
  <x:c r="R225" i="1"/>
  <x:c r="U225" i="1"/>
  <x:c r="X225" i="1"/>
  <x:c r="AA225" i="1"/>
  <x:c r="AD225" i="1"/>
  <x:c r="AG225" i="1"/>
  <x:c r="AJ225" i="1"/>
  <x:c r="AM225" i="1"/>
  <x:c r="AP225" i="1"/>
  <x:c r="AS225" i="1"/>
  <x:c r="AV225" i="1"/>
  <x:c r="AY225" i="1"/>
  <x:c r="BB225" i="1"/>
  <x:c r="BE225" i="1"/>
  <x:c r="BH225" i="1"/>
  <x:c r="BK225" i="1"/>
  <x:c r="BN225" i="1"/>
  <x:c r="BQ225" i="1"/>
  <x:c r="BT225" i="1"/>
  <x:c r="BW225" i="1"/>
  <x:c r="BZ225" i="1"/>
  <x:c r="CC225" i="1"/>
  <x:c r="CF225" i="1"/>
  <x:c r="CI225" i="1"/>
  <x:c r="CL225" i="1"/>
  <x:c r="CO225" i="1"/>
  <x:c r="CR225" i="1"/>
  <x:c r="CU225" i="1"/>
  <x:c r="M226" i="1"/>
  <x:c r="N226" i="1"/>
  <x:c r="R226" i="1"/>
  <x:c r="U226" i="1"/>
  <x:c r="X226" i="1"/>
  <x:c r="AA226" i="1"/>
  <x:c r="AD226" i="1"/>
  <x:c r="AG226" i="1"/>
  <x:c r="AJ226" i="1"/>
  <x:c r="AM226" i="1"/>
  <x:c r="AP226" i="1"/>
  <x:c r="AS226" i="1"/>
  <x:c r="AV226" i="1"/>
  <x:c r="AY226" i="1"/>
  <x:c r="BB226" i="1"/>
  <x:c r="BE226" i="1"/>
  <x:c r="BH226" i="1"/>
  <x:c r="BK226" i="1"/>
  <x:c r="BN226" i="1"/>
  <x:c r="BQ226" i="1"/>
  <x:c r="BT226" i="1"/>
  <x:c r="BW226" i="1"/>
  <x:c r="BZ226" i="1"/>
  <x:c r="CC226" i="1"/>
  <x:c r="CF226" i="1"/>
  <x:c r="CI226" i="1"/>
  <x:c r="CL226" i="1"/>
  <x:c r="CO226" i="1"/>
  <x:c r="CR226" i="1"/>
  <x:c r="CU226" i="1"/>
  <x:c r="M227" i="1"/>
  <x:c r="N227" i="1"/>
  <x:c r="R227" i="1"/>
  <x:c r="U227" i="1"/>
  <x:c r="X227" i="1"/>
  <x:c r="AA227" i="1"/>
  <x:c r="AD227" i="1"/>
  <x:c r="AG227" i="1"/>
  <x:c r="AJ227" i="1"/>
  <x:c r="AM227" i="1"/>
  <x:c r="AP227" i="1"/>
  <x:c r="AS227" i="1"/>
  <x:c r="AV227" i="1"/>
  <x:c r="AY227" i="1"/>
  <x:c r="BB227" i="1"/>
  <x:c r="BE227" i="1"/>
  <x:c r="BH227" i="1"/>
  <x:c r="BK227" i="1"/>
  <x:c r="BN227" i="1"/>
  <x:c r="BQ227" i="1"/>
  <x:c r="BT227" i="1"/>
  <x:c r="BW227" i="1"/>
  <x:c r="BZ227" i="1"/>
  <x:c r="CC227" i="1"/>
  <x:c r="CF227" i="1"/>
  <x:c r="CI227" i="1"/>
  <x:c r="CL227" i="1"/>
  <x:c r="CO227" i="1"/>
  <x:c r="CR227" i="1"/>
  <x:c r="CU227" i="1"/>
  <x:c r="M228" i="1"/>
  <x:c r="N228" i="1"/>
  <x:c r="R228" i="1"/>
  <x:c r="U228" i="1"/>
  <x:c r="X228" i="1"/>
  <x:c r="AA228" i="1"/>
  <x:c r="AD228" i="1"/>
  <x:c r="AG228" i="1"/>
  <x:c r="AJ228" i="1"/>
  <x:c r="AM228" i="1"/>
  <x:c r="AP228" i="1"/>
  <x:c r="AS228" i="1"/>
  <x:c r="AV228" i="1"/>
  <x:c r="AY228" i="1"/>
  <x:c r="BB228" i="1"/>
  <x:c r="BE228" i="1"/>
  <x:c r="BH228" i="1"/>
  <x:c r="BK228" i="1"/>
  <x:c r="BN228" i="1"/>
  <x:c r="BQ228" i="1"/>
  <x:c r="BT228" i="1"/>
  <x:c r="BW228" i="1"/>
  <x:c r="BZ228" i="1"/>
  <x:c r="CC228" i="1"/>
  <x:c r="CF228" i="1"/>
  <x:c r="CI228" i="1"/>
  <x:c r="CL228" i="1"/>
  <x:c r="CO228" i="1"/>
  <x:c r="CR228" i="1"/>
  <x:c r="CU228" i="1"/>
  <x:c r="M229" i="1"/>
  <x:c r="N229" i="1"/>
  <x:c r="R229" i="1"/>
  <x:c r="U229" i="1"/>
  <x:c r="X229" i="1"/>
  <x:c r="AA229" i="1"/>
  <x:c r="AD229" i="1"/>
  <x:c r="AG229" i="1"/>
  <x:c r="AJ229" i="1"/>
  <x:c r="AM229" i="1"/>
  <x:c r="AP229" i="1"/>
  <x:c r="AS229" i="1"/>
  <x:c r="AV229" i="1"/>
  <x:c r="AY229" i="1"/>
  <x:c r="BB229" i="1"/>
  <x:c r="BE229" i="1"/>
  <x:c r="BH229" i="1"/>
  <x:c r="BK229" i="1"/>
  <x:c r="BN229" i="1"/>
  <x:c r="BQ229" i="1"/>
  <x:c r="BT229" i="1"/>
  <x:c r="BW229" i="1"/>
  <x:c r="BZ229" i="1"/>
  <x:c r="CC229" i="1"/>
  <x:c r="CF229" i="1"/>
  <x:c r="CI229" i="1"/>
  <x:c r="CL229" i="1"/>
  <x:c r="CO229" i="1"/>
  <x:c r="CR229" i="1"/>
  <x:c r="CU229" i="1"/>
  <x:c r="M230" i="1"/>
  <x:c r="N230" i="1"/>
  <x:c r="R230" i="1"/>
  <x:c r="U230" i="1"/>
  <x:c r="X230" i="1"/>
  <x:c r="AA230" i="1"/>
  <x:c r="AD230" i="1"/>
  <x:c r="AG230" i="1"/>
  <x:c r="AJ230" i="1"/>
  <x:c r="AM230" i="1"/>
  <x:c r="AP230" i="1"/>
  <x:c r="AS230" i="1"/>
  <x:c r="AV230" i="1"/>
  <x:c r="AY230" i="1"/>
  <x:c r="BB230" i="1"/>
  <x:c r="BE230" i="1"/>
  <x:c r="BH230" i="1"/>
  <x:c r="BK230" i="1"/>
  <x:c r="BN230" i="1"/>
  <x:c r="BQ230" i="1"/>
  <x:c r="BT230" i="1"/>
  <x:c r="BW230" i="1"/>
  <x:c r="BZ230" i="1"/>
  <x:c r="CC230" i="1"/>
  <x:c r="CF230" i="1"/>
  <x:c r="CI230" i="1"/>
  <x:c r="CL230" i="1"/>
  <x:c r="CO230" i="1"/>
  <x:c r="CR230" i="1"/>
  <x:c r="CU230" i="1"/>
  <x:c r="M231" i="1"/>
  <x:c r="N231" i="1"/>
  <x:c r="R231" i="1"/>
  <x:c r="U231" i="1"/>
  <x:c r="X231" i="1"/>
  <x:c r="AA231" i="1"/>
  <x:c r="AD231" i="1"/>
  <x:c r="AG231" i="1"/>
  <x:c r="AJ231" i="1"/>
  <x:c r="AM231" i="1"/>
  <x:c r="AP231" i="1"/>
  <x:c r="AS231" i="1"/>
  <x:c r="AV231" i="1"/>
  <x:c r="AY231" i="1"/>
  <x:c r="BB231" i="1"/>
  <x:c r="BE231" i="1"/>
  <x:c r="BH231" i="1"/>
  <x:c r="BK231" i="1"/>
  <x:c r="BN231" i="1"/>
  <x:c r="BQ231" i="1"/>
  <x:c r="BT231" i="1"/>
  <x:c r="BW231" i="1"/>
  <x:c r="BZ231" i="1"/>
  <x:c r="CC231" i="1"/>
  <x:c r="CF231" i="1"/>
  <x:c r="CI231" i="1"/>
  <x:c r="CL231" i="1"/>
  <x:c r="CO231" i="1"/>
  <x:c r="CR231" i="1"/>
  <x:c r="CU231" i="1"/>
  <x:c r="M232" i="1"/>
  <x:c r="N232" i="1"/>
  <x:c r="R232" i="1"/>
  <x:c r="U232" i="1"/>
  <x:c r="X232" i="1"/>
  <x:c r="AA232" i="1"/>
  <x:c r="AD232" i="1"/>
  <x:c r="AG232" i="1"/>
  <x:c r="AJ232" i="1"/>
  <x:c r="AM232" i="1"/>
  <x:c r="AP232" i="1"/>
  <x:c r="AS232" i="1"/>
  <x:c r="AV232" i="1"/>
  <x:c r="AY232" i="1"/>
  <x:c r="BB232" i="1"/>
  <x:c r="BE232" i="1"/>
  <x:c r="BH232" i="1"/>
  <x:c r="BK232" i="1"/>
  <x:c r="BN232" i="1"/>
  <x:c r="BQ232" i="1"/>
  <x:c r="BT232" i="1"/>
  <x:c r="BW232" i="1"/>
  <x:c r="BZ232" i="1"/>
  <x:c r="CC232" i="1"/>
  <x:c r="CF232" i="1"/>
  <x:c r="CI232" i="1"/>
  <x:c r="CL232" i="1"/>
  <x:c r="CO232" i="1"/>
  <x:c r="CR232" i="1"/>
  <x:c r="CU232" i="1"/>
  <x:c r="M233" i="1"/>
  <x:c r="N233" i="1"/>
  <x:c r="R233" i="1"/>
  <x:c r="U233" i="1"/>
  <x:c r="X233" i="1"/>
  <x:c r="AA233" i="1"/>
  <x:c r="AD233" i="1"/>
  <x:c r="AG233" i="1"/>
  <x:c r="AJ233" i="1"/>
  <x:c r="AM233" i="1"/>
  <x:c r="AP233" i="1"/>
  <x:c r="AS233" i="1"/>
  <x:c r="AV233" i="1"/>
  <x:c r="AY233" i="1"/>
  <x:c r="BB233" i="1"/>
  <x:c r="BE233" i="1"/>
  <x:c r="BH233" i="1"/>
  <x:c r="BK233" i="1"/>
  <x:c r="BN233" i="1"/>
  <x:c r="BQ233" i="1"/>
  <x:c r="BT233" i="1"/>
  <x:c r="BW233" i="1"/>
  <x:c r="BZ233" i="1"/>
  <x:c r="CC233" i="1"/>
  <x:c r="CF233" i="1"/>
  <x:c r="CI233" i="1"/>
  <x:c r="CL233" i="1"/>
  <x:c r="CO233" i="1"/>
  <x:c r="CR233" i="1"/>
  <x:c r="CU233" i="1"/>
  <x:c r="M234" i="1"/>
  <x:c r="N234" i="1"/>
  <x:c r="R234" i="1"/>
  <x:c r="U234" i="1"/>
  <x:c r="X234" i="1"/>
  <x:c r="AA234" i="1"/>
  <x:c r="AD234" i="1"/>
  <x:c r="AG234" i="1"/>
  <x:c r="AJ234" i="1"/>
  <x:c r="AM234" i="1"/>
  <x:c r="AP234" i="1"/>
  <x:c r="AS234" i="1"/>
  <x:c r="AV234" i="1"/>
  <x:c r="AY234" i="1"/>
  <x:c r="BB234" i="1"/>
  <x:c r="BE234" i="1"/>
  <x:c r="BH234" i="1"/>
  <x:c r="BK234" i="1"/>
  <x:c r="BN234" i="1"/>
  <x:c r="BQ234" i="1"/>
  <x:c r="BT234" i="1"/>
  <x:c r="BW234" i="1"/>
  <x:c r="BZ234" i="1"/>
  <x:c r="CC234" i="1"/>
  <x:c r="CF234" i="1"/>
  <x:c r="CI234" i="1"/>
  <x:c r="CL234" i="1"/>
  <x:c r="CO234" i="1"/>
  <x:c r="CR234" i="1"/>
  <x:c r="CU234" i="1"/>
  <x:c r="M235" i="1"/>
  <x:c r="N235" i="1"/>
  <x:c r="R235" i="1"/>
  <x:c r="U235" i="1"/>
  <x:c r="X235" i="1"/>
  <x:c r="AA235" i="1"/>
  <x:c r="AD235" i="1"/>
  <x:c r="AG235" i="1"/>
  <x:c r="AJ235" i="1"/>
  <x:c r="AM235" i="1"/>
  <x:c r="AP235" i="1"/>
  <x:c r="AS235" i="1"/>
  <x:c r="AV235" i="1"/>
  <x:c r="AY235" i="1"/>
  <x:c r="BB235" i="1"/>
  <x:c r="BE235" i="1"/>
  <x:c r="BH235" i="1"/>
  <x:c r="BK235" i="1"/>
  <x:c r="BN235" i="1"/>
  <x:c r="BQ235" i="1"/>
  <x:c r="BT235" i="1"/>
  <x:c r="BW235" i="1"/>
  <x:c r="BZ235" i="1"/>
  <x:c r="CC235" i="1"/>
  <x:c r="CF235" i="1"/>
  <x:c r="CI235" i="1"/>
  <x:c r="CL235" i="1"/>
  <x:c r="CO235" i="1"/>
  <x:c r="CR235" i="1"/>
  <x:c r="CU235" i="1"/>
  <x:c r="M236" i="1"/>
  <x:c r="N236" i="1"/>
  <x:c r="R236" i="1"/>
  <x:c r="U236" i="1"/>
  <x:c r="X236" i="1"/>
  <x:c r="AA236" i="1"/>
  <x:c r="AD236" i="1"/>
  <x:c r="AG236" i="1"/>
  <x:c r="AJ236" i="1"/>
  <x:c r="AM236" i="1"/>
  <x:c r="AP236" i="1"/>
  <x:c r="AS236" i="1"/>
  <x:c r="AV236" i="1"/>
  <x:c r="AY236" i="1"/>
  <x:c r="BB236" i="1"/>
  <x:c r="BE236" i="1"/>
  <x:c r="BH236" i="1"/>
  <x:c r="BK236" i="1"/>
  <x:c r="BN236" i="1"/>
  <x:c r="BQ236" i="1"/>
  <x:c r="BT236" i="1"/>
  <x:c r="BW236" i="1"/>
  <x:c r="BZ236" i="1"/>
  <x:c r="CC236" i="1"/>
  <x:c r="CF236" i="1"/>
  <x:c r="CI236" i="1"/>
  <x:c r="CL236" i="1"/>
  <x:c r="CO236" i="1"/>
  <x:c r="CR236" i="1"/>
  <x:c r="CU236" i="1"/>
  <x:c r="M237" i="1"/>
  <x:c r="N237" i="1"/>
  <x:c r="R237" i="1"/>
  <x:c r="U237" i="1"/>
  <x:c r="X237" i="1"/>
  <x:c r="AA237" i="1"/>
  <x:c r="AD237" i="1"/>
  <x:c r="AG237" i="1"/>
  <x:c r="AJ237" i="1"/>
  <x:c r="AM237" i="1"/>
  <x:c r="AP237" i="1"/>
  <x:c r="AS237" i="1"/>
  <x:c r="AV237" i="1"/>
  <x:c r="AY237" i="1"/>
  <x:c r="BB237" i="1"/>
  <x:c r="BE237" i="1"/>
  <x:c r="BH237" i="1"/>
  <x:c r="BK237" i="1"/>
  <x:c r="BN237" i="1"/>
  <x:c r="BQ237" i="1"/>
  <x:c r="BT237" i="1"/>
  <x:c r="BW237" i="1"/>
  <x:c r="BZ237" i="1"/>
  <x:c r="CC237" i="1"/>
  <x:c r="CF237" i="1"/>
  <x:c r="CI237" i="1"/>
  <x:c r="CL237" i="1"/>
  <x:c r="CO237" i="1"/>
  <x:c r="CR237" i="1"/>
  <x:c r="CU237" i="1"/>
  <x:c r="M238" i="1"/>
  <x:c r="N238" i="1"/>
  <x:c r="R238" i="1"/>
  <x:c r="U238" i="1"/>
  <x:c r="X238" i="1"/>
  <x:c r="AA238" i="1"/>
  <x:c r="AD238" i="1"/>
  <x:c r="AG238" i="1"/>
  <x:c r="AJ238" i="1"/>
  <x:c r="AM238" i="1"/>
  <x:c r="AP238" i="1"/>
  <x:c r="AS238" i="1"/>
  <x:c r="AV238" i="1"/>
  <x:c r="AY238" i="1"/>
  <x:c r="BB238" i="1"/>
  <x:c r="BE238" i="1"/>
  <x:c r="BH238" i="1"/>
  <x:c r="BK238" i="1"/>
  <x:c r="BN238" i="1"/>
  <x:c r="BQ238" i="1"/>
  <x:c r="BT238" i="1"/>
  <x:c r="BW238" i="1"/>
  <x:c r="BZ238" i="1"/>
  <x:c r="CC238" i="1"/>
  <x:c r="CF238" i="1"/>
  <x:c r="CI238" i="1"/>
  <x:c r="CL238" i="1"/>
  <x:c r="CO238" i="1"/>
  <x:c r="CR238" i="1"/>
  <x:c r="CU238" i="1"/>
  <x:c r="M239" i="1"/>
  <x:c r="N239" i="1"/>
  <x:c r="R239" i="1"/>
  <x:c r="U239" i="1"/>
  <x:c r="X239" i="1"/>
  <x:c r="AA239" i="1"/>
  <x:c r="AD239" i="1"/>
  <x:c r="AG239" i="1"/>
  <x:c r="AJ239" i="1"/>
  <x:c r="AM239" i="1"/>
  <x:c r="AP239" i="1"/>
  <x:c r="AS239" i="1"/>
  <x:c r="AV239" i="1"/>
  <x:c r="AY239" i="1"/>
  <x:c r="BB239" i="1"/>
  <x:c r="BE239" i="1"/>
  <x:c r="BH239" i="1"/>
  <x:c r="BK239" i="1"/>
  <x:c r="BN239" i="1"/>
  <x:c r="BQ239" i="1"/>
  <x:c r="BT239" i="1"/>
  <x:c r="BW239" i="1"/>
  <x:c r="BZ239" i="1"/>
  <x:c r="CC239" i="1"/>
  <x:c r="CF239" i="1"/>
  <x:c r="CI239" i="1"/>
  <x:c r="CL239" i="1"/>
  <x:c r="CO239" i="1"/>
  <x:c r="CR239" i="1"/>
  <x:c r="CU239" i="1"/>
  <x:c r="M240" i="1"/>
  <x:c r="N240" i="1"/>
  <x:c r="R240" i="1"/>
  <x:c r="U240" i="1"/>
  <x:c r="X240" i="1"/>
  <x:c r="AA240" i="1"/>
  <x:c r="AD240" i="1"/>
  <x:c r="AG240" i="1"/>
  <x:c r="AJ240" i="1"/>
  <x:c r="AM240" i="1"/>
  <x:c r="AP240" i="1"/>
  <x:c r="AS240" i="1"/>
  <x:c r="AV240" i="1"/>
  <x:c r="AY240" i="1"/>
  <x:c r="BB240" i="1"/>
  <x:c r="BE240" i="1"/>
  <x:c r="BH240" i="1"/>
  <x:c r="BK240" i="1"/>
  <x:c r="BN240" i="1"/>
  <x:c r="BQ240" i="1"/>
  <x:c r="BT240" i="1"/>
  <x:c r="BW240" i="1"/>
  <x:c r="BZ240" i="1"/>
  <x:c r="CC240" i="1"/>
  <x:c r="CF240" i="1"/>
  <x:c r="CI240" i="1"/>
  <x:c r="CL240" i="1"/>
  <x:c r="CO240" i="1"/>
  <x:c r="CR240" i="1"/>
  <x:c r="CU240" i="1"/>
  <x:c r="M241" i="1"/>
  <x:c r="N241" i="1"/>
  <x:c r="R241" i="1"/>
  <x:c r="U241" i="1"/>
  <x:c r="X241" i="1"/>
  <x:c r="AA241" i="1"/>
  <x:c r="AD241" i="1"/>
  <x:c r="AG241" i="1"/>
  <x:c r="AJ241" i="1"/>
  <x:c r="AM241" i="1"/>
  <x:c r="AP241" i="1"/>
  <x:c r="AS241" i="1"/>
  <x:c r="AV241" i="1"/>
  <x:c r="AY241" i="1"/>
  <x:c r="BB241" i="1"/>
  <x:c r="BE241" i="1"/>
  <x:c r="BH241" i="1"/>
  <x:c r="BK241" i="1"/>
  <x:c r="BN241" i="1"/>
  <x:c r="BQ241" i="1"/>
  <x:c r="BT241" i="1"/>
  <x:c r="BW241" i="1"/>
  <x:c r="BZ241" i="1"/>
  <x:c r="CC241" i="1"/>
  <x:c r="CF241" i="1"/>
  <x:c r="CI241" i="1"/>
  <x:c r="CL241" i="1"/>
  <x:c r="CO241" i="1"/>
  <x:c r="CR241" i="1"/>
  <x:c r="CU241" i="1"/>
  <x:c r="M242" i="1"/>
  <x:c r="N242" i="1"/>
  <x:c r="R242" i="1"/>
  <x:c r="U242" i="1"/>
  <x:c r="X242" i="1"/>
  <x:c r="AA242" i="1"/>
  <x:c r="AD242" i="1"/>
  <x:c r="AG242" i="1"/>
  <x:c r="AJ242" i="1"/>
  <x:c r="AM242" i="1"/>
  <x:c r="AP242" i="1"/>
  <x:c r="AS242" i="1"/>
  <x:c r="AV242" i="1"/>
  <x:c r="AY242" i="1"/>
  <x:c r="BB242" i="1"/>
  <x:c r="BE242" i="1"/>
  <x:c r="BH242" i="1"/>
  <x:c r="BK242" i="1"/>
  <x:c r="BN242" i="1"/>
  <x:c r="BQ242" i="1"/>
  <x:c r="BT242" i="1"/>
  <x:c r="BW242" i="1"/>
  <x:c r="BZ242" i="1"/>
  <x:c r="CC242" i="1"/>
  <x:c r="CF242" i="1"/>
  <x:c r="CI242" i="1"/>
  <x:c r="CL242" i="1"/>
  <x:c r="CO242" i="1"/>
  <x:c r="CR242" i="1"/>
  <x:c r="CU242" i="1"/>
  <x:c r="M243" i="1"/>
  <x:c r="N243" i="1"/>
  <x:c r="R243" i="1"/>
  <x:c r="U243" i="1"/>
  <x:c r="X243" i="1"/>
  <x:c r="AA243" i="1"/>
  <x:c r="AD243" i="1"/>
  <x:c r="AG243" i="1"/>
  <x:c r="AJ243" i="1"/>
  <x:c r="AM243" i="1"/>
  <x:c r="AP243" i="1"/>
  <x:c r="AS243" i="1"/>
  <x:c r="AV243" i="1"/>
  <x:c r="AY243" i="1"/>
  <x:c r="BB243" i="1"/>
  <x:c r="BE243" i="1"/>
  <x:c r="BH243" i="1"/>
  <x:c r="BK243" i="1"/>
  <x:c r="BN243" i="1"/>
  <x:c r="BQ243" i="1"/>
  <x:c r="BT243" i="1"/>
  <x:c r="BW243" i="1"/>
  <x:c r="BZ243" i="1"/>
  <x:c r="CC243" i="1"/>
  <x:c r="CF243" i="1"/>
  <x:c r="CI243" i="1"/>
  <x:c r="CL243" i="1"/>
  <x:c r="CO243" i="1"/>
  <x:c r="CR243" i="1"/>
  <x:c r="CU243" i="1"/>
  <x:c r="M244" i="1"/>
  <x:c r="N244" i="1"/>
  <x:c r="R244" i="1"/>
  <x:c r="U244" i="1"/>
  <x:c r="X244" i="1"/>
  <x:c r="AA244" i="1"/>
  <x:c r="AD244" i="1"/>
  <x:c r="AG244" i="1"/>
  <x:c r="AJ244" i="1"/>
  <x:c r="AM244" i="1"/>
  <x:c r="AP244" i="1"/>
  <x:c r="AS244" i="1"/>
  <x:c r="AV244" i="1"/>
  <x:c r="AY244" i="1"/>
  <x:c r="BB244" i="1"/>
  <x:c r="BE244" i="1"/>
  <x:c r="BH244" i="1"/>
  <x:c r="BK244" i="1"/>
  <x:c r="BN244" i="1"/>
  <x:c r="BQ244" i="1"/>
  <x:c r="BT244" i="1"/>
  <x:c r="BW244" i="1"/>
  <x:c r="BZ244" i="1"/>
  <x:c r="CC244" i="1"/>
  <x:c r="CF244" i="1"/>
  <x:c r="CI244" i="1"/>
  <x:c r="CL244" i="1"/>
  <x:c r="CO244" i="1"/>
  <x:c r="CR244" i="1"/>
  <x:c r="CU244" i="1"/>
  <x:c r="M245" i="1"/>
  <x:c r="N245" i="1"/>
  <x:c r="R245" i="1"/>
  <x:c r="U245" i="1"/>
  <x:c r="X245" i="1"/>
  <x:c r="AA245" i="1"/>
  <x:c r="AD245" i="1"/>
  <x:c r="AG245" i="1"/>
  <x:c r="AJ245" i="1"/>
  <x:c r="AM245" i="1"/>
  <x:c r="AP245" i="1"/>
  <x:c r="AS245" i="1"/>
  <x:c r="AV245" i="1"/>
  <x:c r="AY245" i="1"/>
  <x:c r="BB245" i="1"/>
  <x:c r="BE245" i="1"/>
  <x:c r="BH245" i="1"/>
  <x:c r="BK245" i="1"/>
  <x:c r="BN245" i="1"/>
  <x:c r="BQ245" i="1"/>
  <x:c r="BT245" i="1"/>
  <x:c r="BW245" i="1"/>
  <x:c r="BZ245" i="1"/>
  <x:c r="CC245" i="1"/>
  <x:c r="CF245" i="1"/>
  <x:c r="CI245" i="1"/>
  <x:c r="CL245" i="1"/>
  <x:c r="CO245" i="1"/>
  <x:c r="CR245" i="1"/>
  <x:c r="CU245" i="1"/>
  <x:c r="M246" i="1"/>
  <x:c r="N246" i="1"/>
  <x:c r="R246" i="1"/>
  <x:c r="U246" i="1"/>
  <x:c r="X246" i="1"/>
  <x:c r="AA246" i="1"/>
  <x:c r="AD246" i="1"/>
  <x:c r="AG246" i="1"/>
  <x:c r="AJ246" i="1"/>
  <x:c r="AM246" i="1"/>
  <x:c r="AP246" i="1"/>
  <x:c r="AS246" i="1"/>
  <x:c r="AV246" i="1"/>
  <x:c r="AY246" i="1"/>
  <x:c r="BB246" i="1"/>
  <x:c r="BE246" i="1"/>
  <x:c r="BH246" i="1"/>
  <x:c r="BK246" i="1"/>
  <x:c r="BN246" i="1"/>
  <x:c r="BQ246" i="1"/>
  <x:c r="BT246" i="1"/>
  <x:c r="BW246" i="1"/>
  <x:c r="BZ246" i="1"/>
  <x:c r="CC246" i="1"/>
  <x:c r="CF246" i="1"/>
  <x:c r="CI246" i="1"/>
  <x:c r="CL246" i="1"/>
  <x:c r="CO246" i="1"/>
  <x:c r="CR246" i="1"/>
  <x:c r="CU246" i="1"/>
  <x:c r="M247" i="1"/>
  <x:c r="N247" i="1"/>
  <x:c r="R247" i="1"/>
  <x:c r="U247" i="1"/>
  <x:c r="X247" i="1"/>
  <x:c r="AA247" i="1"/>
  <x:c r="AD247" i="1"/>
  <x:c r="AG247" i="1"/>
  <x:c r="AJ247" i="1"/>
  <x:c r="AM247" i="1"/>
  <x:c r="AP247" i="1"/>
  <x:c r="AS247" i="1"/>
  <x:c r="AV247" i="1"/>
  <x:c r="AY247" i="1"/>
  <x:c r="BB247" i="1"/>
  <x:c r="BE247" i="1"/>
  <x:c r="BH247" i="1"/>
  <x:c r="BK247" i="1"/>
  <x:c r="BN247" i="1"/>
  <x:c r="BQ247" i="1"/>
  <x:c r="BT247" i="1"/>
  <x:c r="BW247" i="1"/>
  <x:c r="BZ247" i="1"/>
  <x:c r="CC247" i="1"/>
  <x:c r="CF247" i="1"/>
  <x:c r="CI247" i="1"/>
  <x:c r="CL247" i="1"/>
  <x:c r="CO247" i="1"/>
  <x:c r="CR247" i="1"/>
  <x:c r="CU247" i="1"/>
  <x:c r="M248" i="1"/>
  <x:c r="N248" i="1"/>
  <x:c r="R248" i="1"/>
  <x:c r="U248" i="1"/>
  <x:c r="X248" i="1"/>
  <x:c r="AA248" i="1"/>
  <x:c r="AD248" i="1"/>
  <x:c r="AG248" i="1"/>
  <x:c r="AJ248" i="1"/>
  <x:c r="AM248" i="1"/>
  <x:c r="AP248" i="1"/>
  <x:c r="AS248" i="1"/>
  <x:c r="AV248" i="1"/>
  <x:c r="AY248" i="1"/>
  <x:c r="BB248" i="1"/>
  <x:c r="BE248" i="1"/>
  <x:c r="BH248" i="1"/>
  <x:c r="BK248" i="1"/>
  <x:c r="BN248" i="1"/>
  <x:c r="BQ248" i="1"/>
  <x:c r="BT248" i="1"/>
  <x:c r="BW248" i="1"/>
  <x:c r="BZ248" i="1"/>
  <x:c r="CC248" i="1"/>
  <x:c r="CF248" i="1"/>
  <x:c r="CI248" i="1"/>
  <x:c r="CL248" i="1"/>
  <x:c r="CO248" i="1"/>
  <x:c r="CR248" i="1"/>
  <x:c r="CU248" i="1"/>
  <x:c r="M249" i="1"/>
  <x:c r="N249" i="1"/>
  <x:c r="R249" i="1"/>
  <x:c r="U249" i="1"/>
  <x:c r="X249" i="1"/>
  <x:c r="AA249" i="1"/>
  <x:c r="AD249" i="1"/>
  <x:c r="AG249" i="1"/>
  <x:c r="AJ249" i="1"/>
  <x:c r="AM249" i="1"/>
  <x:c r="AP249" i="1"/>
  <x:c r="AS249" i="1"/>
  <x:c r="AV249" i="1"/>
  <x:c r="AY249" i="1"/>
  <x:c r="BB249" i="1"/>
  <x:c r="BE249" i="1"/>
  <x:c r="BH249" i="1"/>
  <x:c r="BK249" i="1"/>
  <x:c r="BN249" i="1"/>
  <x:c r="BQ249" i="1"/>
  <x:c r="BT249" i="1"/>
  <x:c r="BW249" i="1"/>
  <x:c r="BZ249" i="1"/>
  <x:c r="CC249" i="1"/>
  <x:c r="CF249" i="1"/>
  <x:c r="CI249" i="1"/>
  <x:c r="CL249" i="1"/>
  <x:c r="CO249" i="1"/>
  <x:c r="CR249" i="1"/>
  <x:c r="CU249" i="1"/>
  <x:c r="M250" i="1"/>
  <x:c r="N250" i="1"/>
  <x:c r="R250" i="1"/>
  <x:c r="U250" i="1"/>
  <x:c r="X250" i="1"/>
  <x:c r="AA250" i="1"/>
  <x:c r="AD250" i="1"/>
  <x:c r="AG250" i="1"/>
  <x:c r="AJ250" i="1"/>
  <x:c r="AM250" i="1"/>
  <x:c r="AP250" i="1"/>
  <x:c r="AS250" i="1"/>
  <x:c r="AV250" i="1"/>
  <x:c r="AY250" i="1"/>
  <x:c r="BB250" i="1"/>
  <x:c r="BE250" i="1"/>
  <x:c r="BH250" i="1"/>
  <x:c r="BK250" i="1"/>
  <x:c r="BN250" i="1"/>
  <x:c r="BQ250" i="1"/>
  <x:c r="BT250" i="1"/>
  <x:c r="BW250" i="1"/>
  <x:c r="BZ250" i="1"/>
  <x:c r="CC250" i="1"/>
  <x:c r="CF250" i="1"/>
  <x:c r="CI250" i="1"/>
  <x:c r="CL250" i="1"/>
  <x:c r="CO250" i="1"/>
  <x:c r="CR250" i="1"/>
  <x:c r="CU250" i="1"/>
  <x:c r="M251" i="1"/>
  <x:c r="N251" i="1"/>
  <x:c r="R251" i="1"/>
  <x:c r="U251" i="1"/>
  <x:c r="X251" i="1"/>
  <x:c r="AA251" i="1"/>
  <x:c r="AD251" i="1"/>
  <x:c r="AG251" i="1"/>
  <x:c r="AJ251" i="1"/>
  <x:c r="AM251" i="1"/>
  <x:c r="AP251" i="1"/>
  <x:c r="AS251" i="1"/>
  <x:c r="AV251" i="1"/>
  <x:c r="AY251" i="1"/>
  <x:c r="BB251" i="1"/>
  <x:c r="BE251" i="1"/>
  <x:c r="BH251" i="1"/>
  <x:c r="BK251" i="1"/>
  <x:c r="BN251" i="1"/>
  <x:c r="BQ251" i="1"/>
  <x:c r="BT251" i="1"/>
  <x:c r="BW251" i="1"/>
  <x:c r="BZ251" i="1"/>
  <x:c r="CC251" i="1"/>
  <x:c r="CF251" i="1"/>
  <x:c r="CI251" i="1"/>
  <x:c r="CL251" i="1"/>
  <x:c r="CO251" i="1"/>
  <x:c r="CR251" i="1"/>
  <x:c r="CU251" i="1"/>
  <x:c r="M252" i="1"/>
  <x:c r="N252" i="1"/>
  <x:c r="R252" i="1"/>
  <x:c r="U252" i="1"/>
  <x:c r="X252" i="1"/>
  <x:c r="AA252" i="1"/>
  <x:c r="AD252" i="1"/>
  <x:c r="AG252" i="1"/>
  <x:c r="AJ252" i="1"/>
  <x:c r="AM252" i="1"/>
  <x:c r="AP252" i="1"/>
  <x:c r="AS252" i="1"/>
  <x:c r="AV252" i="1"/>
  <x:c r="AY252" i="1"/>
  <x:c r="BB252" i="1"/>
  <x:c r="BE252" i="1"/>
  <x:c r="BH252" i="1"/>
  <x:c r="BK252" i="1"/>
  <x:c r="BN252" i="1"/>
  <x:c r="BQ252" i="1"/>
  <x:c r="BT252" i="1"/>
  <x:c r="BW252" i="1"/>
  <x:c r="BZ252" i="1"/>
  <x:c r="CC252" i="1"/>
  <x:c r="CF252" i="1"/>
  <x:c r="CI252" i="1"/>
  <x:c r="CL252" i="1"/>
  <x:c r="CO252" i="1"/>
  <x:c r="CR252" i="1"/>
  <x:c r="CU252" i="1"/>
  <x:c r="M253" i="1"/>
  <x:c r="N253" i="1"/>
  <x:c r="R253" i="1"/>
  <x:c r="U253" i="1"/>
  <x:c r="X253" i="1"/>
  <x:c r="AA253" i="1"/>
  <x:c r="AD253" i="1"/>
  <x:c r="AG253" i="1"/>
  <x:c r="AJ253" i="1"/>
  <x:c r="AM253" i="1"/>
  <x:c r="AP253" i="1"/>
  <x:c r="AS253" i="1"/>
  <x:c r="AV253" i="1"/>
  <x:c r="AY253" i="1"/>
  <x:c r="BB253" i="1"/>
  <x:c r="BE253" i="1"/>
  <x:c r="BH253" i="1"/>
  <x:c r="BK253" i="1"/>
  <x:c r="BN253" i="1"/>
  <x:c r="BQ253" i="1"/>
  <x:c r="BT253" i="1"/>
  <x:c r="BW253" i="1"/>
  <x:c r="BZ253" i="1"/>
  <x:c r="CC253" i="1"/>
  <x:c r="CF253" i="1"/>
  <x:c r="CI253" i="1"/>
  <x:c r="CL253" i="1"/>
  <x:c r="CO253" i="1"/>
  <x:c r="CR253" i="1"/>
  <x:c r="CU253" i="1"/>
  <x:c r="M254" i="1"/>
  <x:c r="N254" i="1"/>
  <x:c r="R254" i="1"/>
  <x:c r="U254" i="1"/>
  <x:c r="X254" i="1"/>
  <x:c r="AA254" i="1"/>
  <x:c r="AD254" i="1"/>
  <x:c r="AG254" i="1"/>
  <x:c r="AJ254" i="1"/>
  <x:c r="AM254" i="1"/>
  <x:c r="AP254" i="1"/>
  <x:c r="AS254" i="1"/>
  <x:c r="AV254" i="1"/>
  <x:c r="AY254" i="1"/>
  <x:c r="BB254" i="1"/>
  <x:c r="BE254" i="1"/>
  <x:c r="BH254" i="1"/>
  <x:c r="BK254" i="1"/>
  <x:c r="BN254" i="1"/>
  <x:c r="BQ254" i="1"/>
  <x:c r="BT254" i="1"/>
  <x:c r="BW254" i="1"/>
  <x:c r="BZ254" i="1"/>
  <x:c r="CC254" i="1"/>
  <x:c r="CF254" i="1"/>
  <x:c r="CI254" i="1"/>
  <x:c r="CL254" i="1"/>
  <x:c r="CO254" i="1"/>
  <x:c r="CR254" i="1"/>
  <x:c r="CU254" i="1"/>
  <x:c r="M255" i="1"/>
  <x:c r="N255" i="1"/>
  <x:c r="R255" i="1"/>
  <x:c r="U255" i="1"/>
  <x:c r="X255" i="1"/>
  <x:c r="AA255" i="1"/>
  <x:c r="AD255" i="1"/>
  <x:c r="AG255" i="1"/>
  <x:c r="AJ255" i="1"/>
  <x:c r="AM255" i="1"/>
  <x:c r="AP255" i="1"/>
  <x:c r="AS255" i="1"/>
  <x:c r="AV255" i="1"/>
  <x:c r="AY255" i="1"/>
  <x:c r="BB255" i="1"/>
  <x:c r="BE255" i="1"/>
  <x:c r="BH255" i="1"/>
  <x:c r="BK255" i="1"/>
  <x:c r="BN255" i="1"/>
  <x:c r="BQ255" i="1"/>
  <x:c r="BT255" i="1"/>
  <x:c r="BW255" i="1"/>
  <x:c r="BZ255" i="1"/>
  <x:c r="CC255" i="1"/>
  <x:c r="CF255" i="1"/>
  <x:c r="CI255" i="1"/>
  <x:c r="CL255" i="1"/>
  <x:c r="CO255" i="1"/>
  <x:c r="CR255" i="1"/>
  <x:c r="CU255" i="1"/>
  <x:c r="M256" i="1"/>
  <x:c r="N256" i="1"/>
  <x:c r="R256" i="1"/>
  <x:c r="U256" i="1"/>
  <x:c r="X256" i="1"/>
  <x:c r="AA256" i="1"/>
  <x:c r="AD256" i="1"/>
  <x:c r="AG256" i="1"/>
  <x:c r="AJ256" i="1"/>
  <x:c r="AM256" i="1"/>
  <x:c r="AP256" i="1"/>
  <x:c r="AS256" i="1"/>
  <x:c r="AV256" i="1"/>
  <x:c r="AY256" i="1"/>
  <x:c r="BB256" i="1"/>
  <x:c r="BE256" i="1"/>
  <x:c r="BH256" i="1"/>
  <x:c r="BK256" i="1"/>
  <x:c r="BN256" i="1"/>
  <x:c r="BQ256" i="1"/>
  <x:c r="BT256" i="1"/>
  <x:c r="BW256" i="1"/>
  <x:c r="BZ256" i="1"/>
  <x:c r="CC256" i="1"/>
  <x:c r="CF256" i="1"/>
  <x:c r="CI256" i="1"/>
  <x:c r="CL256" i="1"/>
  <x:c r="CO256" i="1"/>
  <x:c r="CR256" i="1"/>
  <x:c r="CU256" i="1"/>
  <x:c r="M257" i="1"/>
  <x:c r="N257" i="1"/>
  <x:c r="R257" i="1"/>
  <x:c r="U257" i="1"/>
  <x:c r="X257" i="1"/>
  <x:c r="AA257" i="1"/>
  <x:c r="AD257" i="1"/>
  <x:c r="AG257" i="1"/>
  <x:c r="AJ257" i="1"/>
  <x:c r="AM257" i="1"/>
  <x:c r="AP257" i="1"/>
  <x:c r="AS257" i="1"/>
  <x:c r="AV257" i="1"/>
  <x:c r="AY257" i="1"/>
  <x:c r="BB257" i="1"/>
  <x:c r="BE257" i="1"/>
  <x:c r="BH257" i="1"/>
  <x:c r="BK257" i="1"/>
  <x:c r="BN257" i="1"/>
  <x:c r="BQ257" i="1"/>
  <x:c r="BT257" i="1"/>
  <x:c r="BW257" i="1"/>
  <x:c r="BZ257" i="1"/>
  <x:c r="CC257" i="1"/>
  <x:c r="CF257" i="1"/>
  <x:c r="CI257" i="1"/>
  <x:c r="CL257" i="1"/>
  <x:c r="CO257" i="1"/>
  <x:c r="CR257" i="1"/>
  <x:c r="CU257" i="1"/>
  <x:c r="M258" i="1"/>
  <x:c r="N258" i="1"/>
  <x:c r="R258" i="1"/>
  <x:c r="U258" i="1"/>
  <x:c r="X258" i="1"/>
  <x:c r="AA258" i="1"/>
  <x:c r="AD258" i="1"/>
  <x:c r="AG258" i="1"/>
  <x:c r="AJ258" i="1"/>
  <x:c r="AM258" i="1"/>
  <x:c r="AP258" i="1"/>
  <x:c r="AS258" i="1"/>
  <x:c r="AV258" i="1"/>
  <x:c r="AY258" i="1"/>
  <x:c r="BB258" i="1"/>
  <x:c r="BE258" i="1"/>
  <x:c r="BH258" i="1"/>
  <x:c r="BK258" i="1"/>
  <x:c r="BN258" i="1"/>
  <x:c r="BQ258" i="1"/>
  <x:c r="BT258" i="1"/>
  <x:c r="BW258" i="1"/>
  <x:c r="BZ258" i="1"/>
  <x:c r="CC258" i="1"/>
  <x:c r="CF258" i="1"/>
  <x:c r="CI258" i="1"/>
  <x:c r="CL258" i="1"/>
  <x:c r="CO258" i="1"/>
  <x:c r="CR258" i="1"/>
  <x:c r="CU258" i="1"/>
  <x:c r="M259" i="1"/>
  <x:c r="N259" i="1"/>
  <x:c r="R259" i="1"/>
  <x:c r="U259" i="1"/>
  <x:c r="X259" i="1"/>
  <x:c r="AA259" i="1"/>
  <x:c r="AD259" i="1"/>
  <x:c r="AG259" i="1"/>
  <x:c r="AJ259" i="1"/>
  <x:c r="AM259" i="1"/>
  <x:c r="AP259" i="1"/>
  <x:c r="AS259" i="1"/>
  <x:c r="AV259" i="1"/>
  <x:c r="AY259" i="1"/>
  <x:c r="BB259" i="1"/>
  <x:c r="BE259" i="1"/>
  <x:c r="BH259" i="1"/>
  <x:c r="BK259" i="1"/>
  <x:c r="BN259" i="1"/>
  <x:c r="BQ259" i="1"/>
  <x:c r="BT259" i="1"/>
  <x:c r="BW259" i="1"/>
  <x:c r="BZ259" i="1"/>
  <x:c r="CC259" i="1"/>
  <x:c r="CF259" i="1"/>
  <x:c r="CI259" i="1"/>
  <x:c r="CL259" i="1"/>
  <x:c r="CO259" i="1"/>
  <x:c r="CR259" i="1"/>
  <x:c r="CU259" i="1"/>
  <x:c r="M260" i="1"/>
  <x:c r="N260" i="1"/>
  <x:c r="R260" i="1"/>
  <x:c r="U260" i="1"/>
  <x:c r="X260" i="1"/>
  <x:c r="AA260" i="1"/>
  <x:c r="AD260" i="1"/>
  <x:c r="AG260" i="1"/>
  <x:c r="AJ260" i="1"/>
  <x:c r="AM260" i="1"/>
  <x:c r="AP260" i="1"/>
  <x:c r="AS260" i="1"/>
  <x:c r="AV260" i="1"/>
  <x:c r="AY260" i="1"/>
  <x:c r="BB260" i="1"/>
  <x:c r="BE260" i="1"/>
  <x:c r="BH260" i="1"/>
  <x:c r="BK260" i="1"/>
  <x:c r="BN260" i="1"/>
  <x:c r="BQ260" i="1"/>
  <x:c r="BT260" i="1"/>
  <x:c r="BW260" i="1"/>
  <x:c r="BZ260" i="1"/>
  <x:c r="CC260" i="1"/>
  <x:c r="CF260" i="1"/>
  <x:c r="CI260" i="1"/>
  <x:c r="CL260" i="1"/>
  <x:c r="CO260" i="1"/>
  <x:c r="CR260" i="1"/>
  <x:c r="CU260" i="1"/>
  <x:c r="M261" i="1"/>
  <x:c r="N261" i="1"/>
  <x:c r="R261" i="1"/>
  <x:c r="U261" i="1"/>
  <x:c r="X261" i="1"/>
  <x:c r="AA261" i="1"/>
  <x:c r="AD261" i="1"/>
  <x:c r="AG261" i="1"/>
  <x:c r="AJ261" i="1"/>
  <x:c r="AM261" i="1"/>
  <x:c r="AP261" i="1"/>
  <x:c r="AS261" i="1"/>
  <x:c r="AV261" i="1"/>
  <x:c r="AY261" i="1"/>
  <x:c r="BB261" i="1"/>
  <x:c r="BE261" i="1"/>
  <x:c r="BH261" i="1"/>
  <x:c r="BK261" i="1"/>
  <x:c r="BN261" i="1"/>
  <x:c r="BQ261" i="1"/>
  <x:c r="BT261" i="1"/>
  <x:c r="BW261" i="1"/>
  <x:c r="BZ261" i="1"/>
  <x:c r="CC261" i="1"/>
  <x:c r="CF261" i="1"/>
  <x:c r="CI261" i="1"/>
  <x:c r="CL261" i="1"/>
  <x:c r="CO261" i="1"/>
  <x:c r="CR261" i="1"/>
  <x:c r="CU261" i="1"/>
  <x:c r="M262" i="1"/>
  <x:c r="N262" i="1"/>
  <x:c r="R262" i="1"/>
  <x:c r="U262" i="1"/>
  <x:c r="X262" i="1"/>
  <x:c r="AA262" i="1"/>
  <x:c r="AD262" i="1"/>
  <x:c r="AG262" i="1"/>
  <x:c r="AJ262" i="1"/>
  <x:c r="AM262" i="1"/>
  <x:c r="AP262" i="1"/>
  <x:c r="AS262" i="1"/>
  <x:c r="AV262" i="1"/>
  <x:c r="AY262" i="1"/>
  <x:c r="BB262" i="1"/>
  <x:c r="BE262" i="1"/>
  <x:c r="BH262" i="1"/>
  <x:c r="BK262" i="1"/>
  <x:c r="BN262" i="1"/>
  <x:c r="BQ262" i="1"/>
  <x:c r="BT262" i="1"/>
  <x:c r="BW262" i="1"/>
  <x:c r="BZ262" i="1"/>
  <x:c r="CC262" i="1"/>
  <x:c r="CF262" i="1"/>
  <x:c r="CI262" i="1"/>
  <x:c r="CL262" i="1"/>
  <x:c r="CO262" i="1"/>
  <x:c r="CR262" i="1"/>
  <x:c r="CU262" i="1"/>
  <x:c r="M263" i="1"/>
  <x:c r="N263" i="1"/>
  <x:c r="R263" i="1"/>
  <x:c r="U263" i="1"/>
  <x:c r="X263" i="1"/>
  <x:c r="AA263" i="1"/>
  <x:c r="AD263" i="1"/>
  <x:c r="AG263" i="1"/>
  <x:c r="AJ263" i="1"/>
  <x:c r="AM263" i="1"/>
  <x:c r="AP263" i="1"/>
  <x:c r="AS263" i="1"/>
  <x:c r="AV263" i="1"/>
  <x:c r="AY263" i="1"/>
  <x:c r="BB263" i="1"/>
  <x:c r="BE263" i="1"/>
  <x:c r="BH263" i="1"/>
  <x:c r="BK263" i="1"/>
  <x:c r="BN263" i="1"/>
  <x:c r="BQ263" i="1"/>
  <x:c r="BT263" i="1"/>
  <x:c r="BW263" i="1"/>
  <x:c r="BZ263" i="1"/>
  <x:c r="CC263" i="1"/>
  <x:c r="CF263" i="1"/>
  <x:c r="CI263" i="1"/>
  <x:c r="CL263" i="1"/>
  <x:c r="CO263" i="1"/>
  <x:c r="CR263" i="1"/>
  <x:c r="CU263" i="1"/>
  <x:c r="M264" i="1"/>
  <x:c r="N264" i="1"/>
  <x:c r="R264" i="1"/>
  <x:c r="U264" i="1"/>
  <x:c r="X264" i="1"/>
  <x:c r="AA264" i="1"/>
  <x:c r="AD264" i="1"/>
  <x:c r="AG264" i="1"/>
  <x:c r="AJ264" i="1"/>
  <x:c r="AM264" i="1"/>
  <x:c r="AP264" i="1"/>
  <x:c r="AS264" i="1"/>
  <x:c r="AV264" i="1"/>
  <x:c r="AY264" i="1"/>
  <x:c r="BB264" i="1"/>
  <x:c r="BE264" i="1"/>
  <x:c r="BH264" i="1"/>
  <x:c r="BK264" i="1"/>
  <x:c r="BN264" i="1"/>
  <x:c r="BQ264" i="1"/>
  <x:c r="BT264" i="1"/>
  <x:c r="BW264" i="1"/>
  <x:c r="BZ264" i="1"/>
  <x:c r="CC264" i="1"/>
  <x:c r="CF264" i="1"/>
  <x:c r="CI264" i="1"/>
  <x:c r="CL264" i="1"/>
  <x:c r="CO264" i="1"/>
  <x:c r="CR264" i="1"/>
  <x:c r="CU264" i="1"/>
  <x:c r="M265" i="1"/>
  <x:c r="N265" i="1"/>
  <x:c r="R265" i="1"/>
  <x:c r="U265" i="1"/>
  <x:c r="X265" i="1"/>
  <x:c r="AA265" i="1"/>
  <x:c r="AD265" i="1"/>
  <x:c r="AG265" i="1"/>
  <x:c r="AJ265" i="1"/>
  <x:c r="AM265" i="1"/>
  <x:c r="AP265" i="1"/>
  <x:c r="AS265" i="1"/>
  <x:c r="AV265" i="1"/>
  <x:c r="AY265" i="1"/>
  <x:c r="BB265" i="1"/>
  <x:c r="BE265" i="1"/>
  <x:c r="BH265" i="1"/>
  <x:c r="BK265" i="1"/>
  <x:c r="BN265" i="1"/>
  <x:c r="BQ265" i="1"/>
  <x:c r="BT265" i="1"/>
  <x:c r="BW265" i="1"/>
  <x:c r="BZ265" i="1"/>
  <x:c r="CC265" i="1"/>
  <x:c r="CF265" i="1"/>
  <x:c r="CI265" i="1"/>
  <x:c r="CL265" i="1"/>
  <x:c r="CO265" i="1"/>
  <x:c r="CR265" i="1"/>
  <x:c r="CU265" i="1"/>
  <x:c r="M266" i="1"/>
  <x:c r="N266" i="1"/>
  <x:c r="R266" i="1"/>
  <x:c r="U266" i="1"/>
  <x:c r="X266" i="1"/>
  <x:c r="AA266" i="1"/>
  <x:c r="AD266" i="1"/>
  <x:c r="AG266" i="1"/>
  <x:c r="AJ266" i="1"/>
  <x:c r="AM266" i="1"/>
  <x:c r="AP266" i="1"/>
  <x:c r="AS266" i="1"/>
  <x:c r="AV266" i="1"/>
  <x:c r="AY266" i="1"/>
  <x:c r="BB266" i="1"/>
  <x:c r="BE266" i="1"/>
  <x:c r="BH266" i="1"/>
  <x:c r="BK266" i="1"/>
  <x:c r="BN266" i="1"/>
  <x:c r="BQ266" i="1"/>
  <x:c r="BT266" i="1"/>
  <x:c r="BW266" i="1"/>
  <x:c r="BZ266" i="1"/>
  <x:c r="CC266" i="1"/>
  <x:c r="CF266" i="1"/>
  <x:c r="CI266" i="1"/>
  <x:c r="CL266" i="1"/>
  <x:c r="CO266" i="1"/>
  <x:c r="CR266" i="1"/>
  <x:c r="CU266" i="1"/>
  <x:c r="M267" i="1"/>
  <x:c r="N267" i="1"/>
  <x:c r="R267" i="1"/>
  <x:c r="U267" i="1"/>
  <x:c r="X267" i="1"/>
  <x:c r="AA267" i="1"/>
  <x:c r="AD267" i="1"/>
  <x:c r="AG267" i="1"/>
  <x:c r="AJ267" i="1"/>
  <x:c r="AM267" i="1"/>
  <x:c r="AP267" i="1"/>
  <x:c r="AS267" i="1"/>
  <x:c r="AV267" i="1"/>
  <x:c r="AY267" i="1"/>
  <x:c r="BB267" i="1"/>
  <x:c r="BE267" i="1"/>
  <x:c r="BH267" i="1"/>
  <x:c r="BK267" i="1"/>
  <x:c r="BN267" i="1"/>
  <x:c r="BQ267" i="1"/>
  <x:c r="BT267" i="1"/>
  <x:c r="BW267" i="1"/>
  <x:c r="BZ267" i="1"/>
  <x:c r="CC267" i="1"/>
  <x:c r="CF267" i="1"/>
  <x:c r="CI267" i="1"/>
  <x:c r="CL267" i="1"/>
  <x:c r="CO267" i="1"/>
  <x:c r="CR267" i="1"/>
  <x:c r="CU267" i="1"/>
  <x:c r="M268" i="1"/>
  <x:c r="N268" i="1"/>
  <x:c r="R268" i="1"/>
  <x:c r="U268" i="1"/>
  <x:c r="X268" i="1"/>
  <x:c r="AA268" i="1"/>
  <x:c r="AD268" i="1"/>
  <x:c r="AG268" i="1"/>
  <x:c r="AJ268" i="1"/>
  <x:c r="AM268" i="1"/>
  <x:c r="AP268" i="1"/>
  <x:c r="AS268" i="1"/>
  <x:c r="AV268" i="1"/>
  <x:c r="AY268" i="1"/>
  <x:c r="BB268" i="1"/>
  <x:c r="BE268" i="1"/>
  <x:c r="BH268" i="1"/>
  <x:c r="BK268" i="1"/>
  <x:c r="BN268" i="1"/>
  <x:c r="BQ268" i="1"/>
  <x:c r="BT268" i="1"/>
  <x:c r="BW268" i="1"/>
  <x:c r="BZ268" i="1"/>
  <x:c r="CC268" i="1"/>
  <x:c r="CF268" i="1"/>
  <x:c r="CI268" i="1"/>
  <x:c r="CL268" i="1"/>
  <x:c r="CO268" i="1"/>
  <x:c r="CR268" i="1"/>
  <x:c r="CU268" i="1"/>
  <x:c r="M269" i="1"/>
  <x:c r="N269" i="1"/>
  <x:c r="R269" i="1"/>
  <x:c r="U269" i="1"/>
  <x:c r="X269" i="1"/>
  <x:c r="AA269" i="1"/>
  <x:c r="AD269" i="1"/>
  <x:c r="AG269" i="1"/>
  <x:c r="AJ269" i="1"/>
  <x:c r="AM269" i="1"/>
  <x:c r="AP269" i="1"/>
  <x:c r="AS269" i="1"/>
  <x:c r="AV269" i="1"/>
  <x:c r="AY269" i="1"/>
  <x:c r="BB269" i="1"/>
  <x:c r="BE269" i="1"/>
  <x:c r="BH269" i="1"/>
  <x:c r="BK269" i="1"/>
  <x:c r="BN269" i="1"/>
  <x:c r="BQ269" i="1"/>
  <x:c r="BT269" i="1"/>
  <x:c r="BW269" i="1"/>
  <x:c r="BZ269" i="1"/>
  <x:c r="CC269" i="1"/>
  <x:c r="CF269" i="1"/>
  <x:c r="CI269" i="1"/>
  <x:c r="CL269" i="1"/>
  <x:c r="CO269" i="1"/>
  <x:c r="CR269" i="1"/>
  <x:c r="CU269" i="1"/>
  <x:c r="M270" i="1"/>
  <x:c r="N270" i="1"/>
  <x:c r="R270" i="1"/>
  <x:c r="U270" i="1"/>
  <x:c r="X270" i="1"/>
  <x:c r="AA270" i="1"/>
  <x:c r="AD270" i="1"/>
  <x:c r="AG270" i="1"/>
  <x:c r="AJ270" i="1"/>
  <x:c r="AM270" i="1"/>
  <x:c r="AP270" i="1"/>
  <x:c r="AS270" i="1"/>
  <x:c r="AV270" i="1"/>
  <x:c r="AY270" i="1"/>
  <x:c r="BB270" i="1"/>
  <x:c r="BE270" i="1"/>
  <x:c r="BH270" i="1"/>
  <x:c r="BK270" i="1"/>
  <x:c r="BN270" i="1"/>
  <x:c r="BQ270" i="1"/>
  <x:c r="BT270" i="1"/>
  <x:c r="BW270" i="1"/>
  <x:c r="BZ270" i="1"/>
  <x:c r="CC270" i="1"/>
  <x:c r="CF270" i="1"/>
  <x:c r="CI270" i="1"/>
  <x:c r="CL270" i="1"/>
  <x:c r="CO270" i="1"/>
  <x:c r="CR270" i="1"/>
  <x:c r="CU270" i="1"/>
  <x:c r="M271" i="1"/>
  <x:c r="N271" i="1"/>
  <x:c r="R271" i="1"/>
  <x:c r="U271" i="1"/>
  <x:c r="X271" i="1"/>
  <x:c r="AA271" i="1"/>
  <x:c r="AD271" i="1"/>
  <x:c r="AG271" i="1"/>
  <x:c r="AJ271" i="1"/>
  <x:c r="AM271" i="1"/>
  <x:c r="AP271" i="1"/>
  <x:c r="AS271" i="1"/>
  <x:c r="AV271" i="1"/>
  <x:c r="AY271" i="1"/>
  <x:c r="BB271" i="1"/>
  <x:c r="BE271" i="1"/>
  <x:c r="BH271" i="1"/>
  <x:c r="BK271" i="1"/>
  <x:c r="BN271" i="1"/>
  <x:c r="BQ271" i="1"/>
  <x:c r="BT271" i="1"/>
  <x:c r="BW271" i="1"/>
  <x:c r="BZ271" i="1"/>
  <x:c r="CC271" i="1"/>
  <x:c r="CF271" i="1"/>
  <x:c r="CI271" i="1"/>
  <x:c r="CL271" i="1"/>
  <x:c r="CO271" i="1"/>
  <x:c r="CR271" i="1"/>
  <x:c r="CU271" i="1"/>
  <x:c r="M272" i="1"/>
  <x:c r="N272" i="1"/>
  <x:c r="R272" i="1"/>
  <x:c r="U272" i="1"/>
  <x:c r="X272" i="1"/>
  <x:c r="AA272" i="1"/>
  <x:c r="AD272" i="1"/>
  <x:c r="AG272" i="1"/>
  <x:c r="AJ272" i="1"/>
  <x:c r="AM272" i="1"/>
  <x:c r="AP272" i="1"/>
  <x:c r="AS272" i="1"/>
  <x:c r="AV272" i="1"/>
  <x:c r="AY272" i="1"/>
  <x:c r="BB272" i="1"/>
  <x:c r="BE272" i="1"/>
  <x:c r="BH272" i="1"/>
  <x:c r="BK272" i="1"/>
  <x:c r="BN272" i="1"/>
  <x:c r="BQ272" i="1"/>
  <x:c r="BT272" i="1"/>
  <x:c r="BW272" i="1"/>
  <x:c r="BZ272" i="1"/>
  <x:c r="CC272" i="1"/>
  <x:c r="CF272" i="1"/>
  <x:c r="CI272" i="1"/>
  <x:c r="CL272" i="1"/>
  <x:c r="CO272" i="1"/>
  <x:c r="CR272" i="1"/>
  <x:c r="CU272" i="1"/>
  <x:c r="M273" i="1"/>
  <x:c r="N273" i="1"/>
  <x:c r="R273" i="1"/>
  <x:c r="U273" i="1"/>
  <x:c r="X273" i="1"/>
  <x:c r="AA273" i="1"/>
  <x:c r="AD273" i="1"/>
  <x:c r="AG273" i="1"/>
  <x:c r="AJ273" i="1"/>
  <x:c r="AM273" i="1"/>
  <x:c r="AP273" i="1"/>
  <x:c r="AS273" i="1"/>
  <x:c r="AV273" i="1"/>
  <x:c r="AY273" i="1"/>
  <x:c r="BB273" i="1"/>
  <x:c r="BE273" i="1"/>
  <x:c r="BH273" i="1"/>
  <x:c r="BK273" i="1"/>
  <x:c r="BN273" i="1"/>
  <x:c r="BQ273" i="1"/>
  <x:c r="BT273" i="1"/>
  <x:c r="BW273" i="1"/>
  <x:c r="BZ273" i="1"/>
  <x:c r="CC273" i="1"/>
  <x:c r="CF273" i="1"/>
  <x:c r="CI273" i="1"/>
  <x:c r="CL273" i="1"/>
  <x:c r="CO273" i="1"/>
  <x:c r="CR273" i="1"/>
  <x:c r="CU273" i="1"/>
  <x:c r="M274" i="1"/>
  <x:c r="N274" i="1"/>
  <x:c r="R274" i="1"/>
  <x:c r="U274" i="1"/>
  <x:c r="X274" i="1"/>
  <x:c r="AA274" i="1"/>
  <x:c r="AD274" i="1"/>
  <x:c r="AG274" i="1"/>
  <x:c r="AJ274" i="1"/>
  <x:c r="AM274" i="1"/>
  <x:c r="AP274" i="1"/>
  <x:c r="AS274" i="1"/>
  <x:c r="AV274" i="1"/>
  <x:c r="AY274" i="1"/>
  <x:c r="BB274" i="1"/>
  <x:c r="BE274" i="1"/>
  <x:c r="BH274" i="1"/>
  <x:c r="BK274" i="1"/>
  <x:c r="BN274" i="1"/>
  <x:c r="BQ274" i="1"/>
  <x:c r="BT274" i="1"/>
  <x:c r="BW274" i="1"/>
  <x:c r="BZ274" i="1"/>
  <x:c r="CC274" i="1"/>
  <x:c r="CF274" i="1"/>
  <x:c r="CI274" i="1"/>
  <x:c r="CL274" i="1"/>
  <x:c r="CO274" i="1"/>
  <x:c r="CR274" i="1"/>
  <x:c r="CU274" i="1"/>
  <x:c r="M275" i="1"/>
  <x:c r="N275" i="1"/>
  <x:c r="R275" i="1"/>
  <x:c r="U275" i="1"/>
  <x:c r="X275" i="1"/>
  <x:c r="AA275" i="1"/>
  <x:c r="AD275" i="1"/>
  <x:c r="AG275" i="1"/>
  <x:c r="AJ275" i="1"/>
  <x:c r="AM275" i="1"/>
  <x:c r="AP275" i="1"/>
  <x:c r="AS275" i="1"/>
  <x:c r="AV275" i="1"/>
  <x:c r="AY275" i="1"/>
  <x:c r="BB275" i="1"/>
  <x:c r="BE275" i="1"/>
  <x:c r="BH275" i="1"/>
  <x:c r="BK275" i="1"/>
  <x:c r="BN275" i="1"/>
  <x:c r="BQ275" i="1"/>
  <x:c r="BT275" i="1"/>
  <x:c r="BW275" i="1"/>
  <x:c r="BZ275" i="1"/>
  <x:c r="CC275" i="1"/>
  <x:c r="CF275" i="1"/>
  <x:c r="CI275" i="1"/>
  <x:c r="CL275" i="1"/>
  <x:c r="CO275" i="1"/>
  <x:c r="CR275" i="1"/>
  <x:c r="CU275" i="1"/>
  <x:c r="M276" i="1"/>
  <x:c r="N276" i="1"/>
  <x:c r="R276" i="1"/>
  <x:c r="U276" i="1"/>
  <x:c r="X276" i="1"/>
  <x:c r="AA276" i="1"/>
  <x:c r="AD276" i="1"/>
  <x:c r="AG276" i="1"/>
  <x:c r="AJ276" i="1"/>
  <x:c r="AM276" i="1"/>
  <x:c r="AP276" i="1"/>
  <x:c r="AS276" i="1"/>
  <x:c r="AV276" i="1"/>
  <x:c r="AY276" i="1"/>
  <x:c r="BB276" i="1"/>
  <x:c r="BE276" i="1"/>
  <x:c r="BH276" i="1"/>
  <x:c r="BK276" i="1"/>
  <x:c r="BN276" i="1"/>
  <x:c r="BQ276" i="1"/>
  <x:c r="BT276" i="1"/>
  <x:c r="BW276" i="1"/>
  <x:c r="BZ276" i="1"/>
  <x:c r="CC276" i="1"/>
  <x:c r="CF276" i="1"/>
  <x:c r="CI276" i="1"/>
  <x:c r="CL276" i="1"/>
  <x:c r="CO276" i="1"/>
  <x:c r="CR276" i="1"/>
  <x:c r="CU276" i="1"/>
  <x:c r="M277" i="1"/>
  <x:c r="N277" i="1"/>
  <x:c r="R277" i="1"/>
  <x:c r="U277" i="1"/>
  <x:c r="X277" i="1"/>
  <x:c r="AA277" i="1"/>
  <x:c r="AD277" i="1"/>
  <x:c r="AG277" i="1"/>
  <x:c r="AJ277" i="1"/>
  <x:c r="AM277" i="1"/>
  <x:c r="AP277" i="1"/>
  <x:c r="AS277" i="1"/>
  <x:c r="AV277" i="1"/>
  <x:c r="AY277" i="1"/>
  <x:c r="BB277" i="1"/>
  <x:c r="BE277" i="1"/>
  <x:c r="BH277" i="1"/>
  <x:c r="BK277" i="1"/>
  <x:c r="BN277" i="1"/>
  <x:c r="BQ277" i="1"/>
  <x:c r="BT277" i="1"/>
  <x:c r="BW277" i="1"/>
  <x:c r="BZ277" i="1"/>
  <x:c r="CC277" i="1"/>
  <x:c r="CF277" i="1"/>
  <x:c r="CI277" i="1"/>
  <x:c r="CL277" i="1"/>
  <x:c r="CO277" i="1"/>
  <x:c r="CR277" i="1"/>
  <x:c r="CU277" i="1"/>
  <x:c r="M278" i="1"/>
  <x:c r="N278" i="1"/>
  <x:c r="R278" i="1"/>
  <x:c r="U278" i="1"/>
  <x:c r="X278" i="1"/>
  <x:c r="AA278" i="1"/>
  <x:c r="AD278" i="1"/>
  <x:c r="AG278" i="1"/>
  <x:c r="AJ278" i="1"/>
  <x:c r="AM278" i="1"/>
  <x:c r="AP278" i="1"/>
  <x:c r="AS278" i="1"/>
  <x:c r="AV278" i="1"/>
  <x:c r="AY278" i="1"/>
  <x:c r="BB278" i="1"/>
  <x:c r="BE278" i="1"/>
  <x:c r="BH278" i="1"/>
  <x:c r="BK278" i="1"/>
  <x:c r="BN278" i="1"/>
  <x:c r="BQ278" i="1"/>
  <x:c r="BT278" i="1"/>
  <x:c r="BW278" i="1"/>
  <x:c r="BZ278" i="1"/>
  <x:c r="CC278" i="1"/>
  <x:c r="CF278" i="1"/>
  <x:c r="CI278" i="1"/>
  <x:c r="CL278" i="1"/>
  <x:c r="CO278" i="1"/>
  <x:c r="CR278" i="1"/>
  <x:c r="CU278" i="1"/>
  <x:c r="M279" i="1"/>
  <x:c r="N279" i="1"/>
  <x:c r="R279" i="1"/>
  <x:c r="U279" i="1"/>
  <x:c r="X279" i="1"/>
  <x:c r="AA279" i="1"/>
  <x:c r="AD279" i="1"/>
  <x:c r="AG279" i="1"/>
  <x:c r="AJ279" i="1"/>
  <x:c r="AM279" i="1"/>
  <x:c r="AP279" i="1"/>
  <x:c r="AS279" i="1"/>
  <x:c r="AV279" i="1"/>
  <x:c r="AY279" i="1"/>
  <x:c r="BB279" i="1"/>
  <x:c r="BE279" i="1"/>
  <x:c r="BH279" i="1"/>
  <x:c r="BK279" i="1"/>
  <x:c r="BN279" i="1"/>
  <x:c r="BQ279" i="1"/>
  <x:c r="BT279" i="1"/>
  <x:c r="BW279" i="1"/>
  <x:c r="BZ279" i="1"/>
  <x:c r="CC279" i="1"/>
  <x:c r="CF279" i="1"/>
  <x:c r="CI279" i="1"/>
  <x:c r="CL279" i="1"/>
  <x:c r="CO279" i="1"/>
  <x:c r="CR279" i="1"/>
  <x:c r="CU279" i="1"/>
  <x:c r="M280" i="1"/>
  <x:c r="N280" i="1"/>
  <x:c r="R280" i="1"/>
  <x:c r="U280" i="1"/>
  <x:c r="X280" i="1"/>
  <x:c r="AA280" i="1"/>
  <x:c r="AD280" i="1"/>
  <x:c r="AG280" i="1"/>
  <x:c r="AJ280" i="1"/>
  <x:c r="AM280" i="1"/>
  <x:c r="AP280" i="1"/>
  <x:c r="AS280" i="1"/>
  <x:c r="AV280" i="1"/>
  <x:c r="AY280" i="1"/>
  <x:c r="BB280" i="1"/>
  <x:c r="BE280" i="1"/>
  <x:c r="BH280" i="1"/>
  <x:c r="BK280" i="1"/>
  <x:c r="BN280" i="1"/>
  <x:c r="BQ280" i="1"/>
  <x:c r="BT280" i="1"/>
  <x:c r="BW280" i="1"/>
  <x:c r="BZ280" i="1"/>
  <x:c r="CC280" i="1"/>
  <x:c r="CF280" i="1"/>
  <x:c r="CI280" i="1"/>
  <x:c r="CL280" i="1"/>
  <x:c r="CO280" i="1"/>
  <x:c r="CR280" i="1"/>
  <x:c r="CU280" i="1"/>
  <x:c r="M281" i="1"/>
  <x:c r="N281" i="1"/>
  <x:c r="R281" i="1"/>
  <x:c r="U281" i="1"/>
  <x:c r="X281" i="1"/>
  <x:c r="AA281" i="1"/>
  <x:c r="AD281" i="1"/>
  <x:c r="AG281" i="1"/>
  <x:c r="AJ281" i="1"/>
  <x:c r="AM281" i="1"/>
  <x:c r="AP281" i="1"/>
  <x:c r="AS281" i="1"/>
  <x:c r="AV281" i="1"/>
  <x:c r="AY281" i="1"/>
  <x:c r="BB281" i="1"/>
  <x:c r="BE281" i="1"/>
  <x:c r="BH281" i="1"/>
  <x:c r="BK281" i="1"/>
  <x:c r="BN281" i="1"/>
  <x:c r="BQ281" i="1"/>
  <x:c r="BT281" i="1"/>
  <x:c r="BW281" i="1"/>
  <x:c r="BZ281" i="1"/>
  <x:c r="CC281" i="1"/>
  <x:c r="CF281" i="1"/>
  <x:c r="CI281" i="1"/>
  <x:c r="CL281" i="1"/>
  <x:c r="CO281" i="1"/>
  <x:c r="CR281" i="1"/>
  <x:c r="CU281" i="1"/>
  <x:c r="M282" i="1"/>
  <x:c r="N282" i="1"/>
  <x:c r="R282" i="1"/>
  <x:c r="U282" i="1"/>
  <x:c r="X282" i="1"/>
  <x:c r="AA282" i="1"/>
  <x:c r="AD282" i="1"/>
  <x:c r="AG282" i="1"/>
  <x:c r="AJ282" i="1"/>
  <x:c r="AM282" i="1"/>
  <x:c r="AP282" i="1"/>
  <x:c r="AS282" i="1"/>
  <x:c r="AV282" i="1"/>
  <x:c r="AY282" i="1"/>
  <x:c r="BB282" i="1"/>
  <x:c r="BE282" i="1"/>
  <x:c r="BH282" i="1"/>
  <x:c r="BK282" i="1"/>
  <x:c r="BN282" i="1"/>
  <x:c r="BQ282" i="1"/>
  <x:c r="BT282" i="1"/>
  <x:c r="BW282" i="1"/>
  <x:c r="BZ282" i="1"/>
  <x:c r="CC282" i="1"/>
  <x:c r="CF282" i="1"/>
  <x:c r="CI282" i="1"/>
  <x:c r="CL282" i="1"/>
  <x:c r="CO282" i="1"/>
  <x:c r="CR282" i="1"/>
  <x:c r="CU282" i="1"/>
  <x:c r="M283" i="1"/>
  <x:c r="N283" i="1"/>
  <x:c r="R283" i="1"/>
  <x:c r="U283" i="1"/>
  <x:c r="X283" i="1"/>
  <x:c r="AA283" i="1"/>
  <x:c r="AD283" i="1"/>
  <x:c r="AG283" i="1"/>
  <x:c r="AJ283" i="1"/>
  <x:c r="AM283" i="1"/>
  <x:c r="AP283" i="1"/>
  <x:c r="AS283" i="1"/>
  <x:c r="AV283" i="1"/>
  <x:c r="AY283" i="1"/>
  <x:c r="BB283" i="1"/>
  <x:c r="BE283" i="1"/>
  <x:c r="BH283" i="1"/>
  <x:c r="BK283" i="1"/>
  <x:c r="BN283" i="1"/>
  <x:c r="BQ283" i="1"/>
  <x:c r="BT283" i="1"/>
  <x:c r="BW283" i="1"/>
  <x:c r="BZ283" i="1"/>
  <x:c r="CC283" i="1"/>
  <x:c r="CF283" i="1"/>
  <x:c r="CI283" i="1"/>
  <x:c r="CL283" i="1"/>
  <x:c r="CO283" i="1"/>
  <x:c r="CR283" i="1"/>
  <x:c r="CU283" i="1"/>
  <x:c r="M284" i="1"/>
  <x:c r="N284" i="1"/>
  <x:c r="R284" i="1"/>
  <x:c r="U284" i="1"/>
  <x:c r="X284" i="1"/>
  <x:c r="AA284" i="1"/>
  <x:c r="AD284" i="1"/>
  <x:c r="AG284" i="1"/>
  <x:c r="AJ284" i="1"/>
  <x:c r="AM284" i="1"/>
  <x:c r="AP284" i="1"/>
  <x:c r="AS284" i="1"/>
  <x:c r="AV284" i="1"/>
  <x:c r="AY284" i="1"/>
  <x:c r="BB284" i="1"/>
  <x:c r="BE284" i="1"/>
  <x:c r="BH284" i="1"/>
  <x:c r="BK284" i="1"/>
  <x:c r="BN284" i="1"/>
  <x:c r="BQ284" i="1"/>
  <x:c r="BT284" i="1"/>
  <x:c r="BW284" i="1"/>
  <x:c r="BZ284" i="1"/>
  <x:c r="CC284" i="1"/>
  <x:c r="CF284" i="1"/>
  <x:c r="CI284" i="1"/>
  <x:c r="CL284" i="1"/>
  <x:c r="CO284" i="1"/>
  <x:c r="CR284" i="1"/>
  <x:c r="CU284" i="1"/>
  <x:c r="M285" i="1"/>
  <x:c r="N285" i="1"/>
  <x:c r="R285" i="1"/>
  <x:c r="U285" i="1"/>
  <x:c r="X285" i="1"/>
  <x:c r="AA285" i="1"/>
  <x:c r="AD285" i="1"/>
  <x:c r="AG285" i="1"/>
  <x:c r="AJ285" i="1"/>
  <x:c r="AM285" i="1"/>
  <x:c r="AP285" i="1"/>
  <x:c r="AS285" i="1"/>
  <x:c r="AV285" i="1"/>
  <x:c r="AY285" i="1"/>
  <x:c r="BB285" i="1"/>
  <x:c r="BE285" i="1"/>
  <x:c r="BH285" i="1"/>
  <x:c r="BK285" i="1"/>
  <x:c r="BN285" i="1"/>
  <x:c r="BQ285" i="1"/>
  <x:c r="BT285" i="1"/>
  <x:c r="BW285" i="1"/>
  <x:c r="BZ285" i="1"/>
  <x:c r="CC285" i="1"/>
  <x:c r="CF285" i="1"/>
  <x:c r="CI285" i="1"/>
  <x:c r="CL285" i="1"/>
  <x:c r="CO285" i="1"/>
  <x:c r="CR285" i="1"/>
  <x:c r="CU285" i="1"/>
  <x:c r="M286" i="1"/>
  <x:c r="N286" i="1"/>
  <x:c r="R286" i="1"/>
  <x:c r="U286" i="1"/>
  <x:c r="X286" i="1"/>
  <x:c r="AA286" i="1"/>
  <x:c r="AD286" i="1"/>
  <x:c r="AG286" i="1"/>
  <x:c r="AJ286" i="1"/>
  <x:c r="AM286" i="1"/>
  <x:c r="AP286" i="1"/>
  <x:c r="AS286" i="1"/>
  <x:c r="AV286" i="1"/>
  <x:c r="AY286" i="1"/>
  <x:c r="BB286" i="1"/>
  <x:c r="BE286" i="1"/>
  <x:c r="BH286" i="1"/>
  <x:c r="BK286" i="1"/>
  <x:c r="BN286" i="1"/>
  <x:c r="BQ286" i="1"/>
  <x:c r="BT286" i="1"/>
  <x:c r="BW286" i="1"/>
  <x:c r="BZ286" i="1"/>
  <x:c r="CC286" i="1"/>
  <x:c r="CF286" i="1"/>
  <x:c r="CI286" i="1"/>
  <x:c r="CL286" i="1"/>
  <x:c r="CO286" i="1"/>
  <x:c r="CR286" i="1"/>
  <x:c r="CU286" i="1"/>
  <x:c r="A2" i="8"/>
  <x:c r="B2" i="8"/>
  <x:c r="C2" i="8"/>
  <x:c r="A3" i="8"/>
  <x:c r="B3" i="8"/>
  <x:c r="C3" i="8"/>
  <x:c r="A4" i="8"/>
  <x:c r="B4" i="8"/>
  <x:c r="C4" i="8"/>
  <x:c r="A5" i="8"/>
  <x:c r="B5" i="8"/>
  <x:c r="C5" i="8"/>
  <x:c r="A6" i="8"/>
  <x:c r="B6" i="8"/>
  <x:c r="C6" i="8"/>
  <x:c r="A7" i="8"/>
  <x:c r="B7" i="8"/>
  <x:c r="C7" i="8"/>
  <x:c r="A8" i="8"/>
  <x:c r="B8" i="8"/>
  <x:c r="C8" i="8"/>
  <x:c r="A9" i="8"/>
  <x:c r="B9" i="8"/>
  <x:c r="C9" i="8"/>
  <x:c r="A10" i="8"/>
  <x:c r="B10" i="8"/>
  <x:c r="C10" i="8"/>
  <x:c r="A11" i="8"/>
  <x:c r="B11" i="8"/>
  <x:c r="C11" i="8"/>
  <x:c r="A12" i="8"/>
  <x:c r="B12" i="8"/>
  <x:c r="C12" i="8"/>
  <x:c r="A13" i="8"/>
  <x:c r="B13" i="8"/>
  <x:c r="C13" i="8"/>
  <x:c r="A14" i="8"/>
  <x:c r="B14" i="8"/>
  <x:c r="C14" i="8"/>
  <x:c r="A15" i="8"/>
  <x:c r="B15" i="8"/>
  <x:c r="C15" i="8"/>
  <x:c r="A16" i="8"/>
  <x:c r="B16" i="8"/>
  <x:c r="C16" i="8"/>
  <x:c r="A17" i="8"/>
  <x:c r="B17" i="8"/>
  <x:c r="C17" i="8"/>
  <x:c r="A18" i="8"/>
  <x:c r="B18" i="8"/>
  <x:c r="C18" i="8"/>
  <x:c r="A19" i="8"/>
  <x:c r="B19" i="8"/>
  <x:c r="C19" i="8"/>
  <x:c r="A20" i="8"/>
  <x:c r="B20" i="8"/>
  <x:c r="C20" i="8"/>
  <x:c r="A21" i="8"/>
  <x:c r="B21" i="8"/>
  <x:c r="C21" i="8"/>
  <x:c r="A22" i="8"/>
  <x:c r="B22" i="8"/>
  <x:c r="C22" i="8"/>
  <x:c r="A23" i="8"/>
  <x:c r="B23" i="8"/>
  <x:c r="C23" i="8"/>
  <x:c r="A24" i="8"/>
  <x:c r="B24" i="8"/>
  <x:c r="C24" i="8"/>
  <x:c r="A25" i="8"/>
  <x:c r="B25" i="8"/>
  <x:c r="C25" i="8"/>
  <x:c r="A26" i="8"/>
  <x:c r="B26" i="8"/>
  <x:c r="C26" i="8"/>
  <x:c r="A27" i="8"/>
  <x:c r="B27" i="8"/>
  <x:c r="C27" i="8"/>
  <x:c r="A28" i="8"/>
  <x:c r="B28" i="8"/>
  <x:c r="C28" i="8"/>
  <x:c r="A29" i="8"/>
  <x:c r="B29" i="8"/>
  <x:c r="C29" i="8"/>
  <x:c r="A30" i="8"/>
  <x:c r="B30" i="8"/>
  <x:c r="C30" i="8"/>
  <x:c r="A31" i="8"/>
  <x:c r="B31" i="8"/>
  <x:c r="C31" i="8"/>
  <x:c r="A32" i="8"/>
  <x:c r="B32" i="8"/>
  <x:c r="C32" i="8"/>
  <x:c r="A33" i="8"/>
  <x:c r="B33" i="8"/>
  <x:c r="C33" i="8"/>
  <x:c r="A34" i="8"/>
  <x:c r="B34" i="8"/>
  <x:c r="C34" i="8"/>
  <x:c r="A35" i="8"/>
  <x:c r="B35" i="8"/>
  <x:c r="C35" i="8"/>
  <x:c r="A36" i="8"/>
  <x:c r="B36" i="8"/>
  <x:c r="C36" i="8"/>
  <x:c r="A37" i="8"/>
  <x:c r="B37" i="8"/>
  <x:c r="C37" i="8"/>
  <x:c r="A38" i="8"/>
  <x:c r="B38" i="8"/>
  <x:c r="C38" i="8"/>
  <x:c r="A39" i="8"/>
  <x:c r="B39" i="8"/>
  <x:c r="C39" i="8"/>
  <x:c r="A40" i="8"/>
  <x:c r="B40" i="8"/>
  <x:c r="C40" i="8"/>
  <x:c r="A41" i="8"/>
  <x:c r="B41" i="8"/>
  <x:c r="C41" i="8"/>
  <x:c r="A42" i="8"/>
  <x:c r="B42" i="8"/>
  <x:c r="C42" i="8"/>
  <x:c r="A43" i="8"/>
  <x:c r="B43" i="8"/>
  <x:c r="C43" i="8"/>
  <x:c r="A44" i="8"/>
  <x:c r="B44" i="8"/>
  <x:c r="C44" i="8"/>
  <x:c r="A45" i="8"/>
  <x:c r="B45" i="8"/>
  <x:c r="C45" i="8"/>
  <x:c r="A46" i="8"/>
  <x:c r="B46" i="8"/>
  <x:c r="C46" i="8"/>
  <x:c r="A47" i="8"/>
  <x:c r="B47" i="8"/>
  <x:c r="C47" i="8"/>
  <x:c r="A48" i="8"/>
  <x:c r="B48" i="8"/>
  <x:c r="C48" i="8"/>
  <x:c r="A49" i="8"/>
  <x:c r="B49" i="8"/>
  <x:c r="C49" i="8"/>
  <x:c r="A50" i="8"/>
  <x:c r="B50" i="8"/>
  <x:c r="C50" i="8"/>
  <x:c r="A51" i="8"/>
  <x:c r="B51" i="8"/>
  <x:c r="C51" i="8"/>
  <x:c r="A52" i="8"/>
  <x:c r="B52" i="8"/>
  <x:c r="C52" i="8"/>
  <x:c r="A53" i="8"/>
  <x:c r="B53" i="8"/>
  <x:c r="C53" i="8"/>
  <x:c r="A54" i="8"/>
  <x:c r="B54" i="8"/>
  <x:c r="C54" i="8"/>
  <x:c r="A55" i="8"/>
  <x:c r="B55" i="8"/>
  <x:c r="C55" i="8"/>
  <x:c r="A56" i="8"/>
  <x:c r="B56" i="8"/>
  <x:c r="C56" i="8"/>
  <x:c r="A57" i="8"/>
  <x:c r="B57" i="8"/>
  <x:c r="C57" i="8"/>
  <x:c r="A58" i="8"/>
  <x:c r="B58" i="8"/>
  <x:c r="C58" i="8"/>
  <x:c r="A59" i="8"/>
  <x:c r="B59" i="8"/>
  <x:c r="C59" i="8"/>
  <x:c r="A60" i="8"/>
  <x:c r="B60" i="8"/>
  <x:c r="C60" i="8"/>
  <x:c r="A61" i="8"/>
  <x:c r="B61" i="8"/>
  <x:c r="C61" i="8"/>
  <x:c r="A62" i="8"/>
  <x:c r="B62" i="8"/>
  <x:c r="C62" i="8"/>
  <x:c r="A63" i="8"/>
  <x:c r="B63" i="8"/>
  <x:c r="C63" i="8"/>
  <x:c r="A64" i="8"/>
  <x:c r="B64" i="8"/>
  <x:c r="C64" i="8"/>
  <x:c r="A65" i="8"/>
  <x:c r="B65" i="8"/>
  <x:c r="C65" i="8"/>
  <x:c r="A66" i="8"/>
  <x:c r="B66" i="8"/>
  <x:c r="C66" i="8"/>
  <x:c r="A67" i="8"/>
  <x:c r="B67" i="8"/>
  <x:c r="C67" i="8"/>
  <x:c r="A68" i="8"/>
  <x:c r="B68" i="8"/>
  <x:c r="C68" i="8"/>
  <x:c r="A69" i="8"/>
  <x:c r="B69" i="8"/>
  <x:c r="C69" i="8"/>
  <x:c r="A70" i="8"/>
  <x:c r="B70" i="8"/>
  <x:c r="C70" i="8"/>
  <x:c r="A71" i="8"/>
  <x:c r="B71" i="8"/>
  <x:c r="C71" i="8"/>
  <x:c r="A72" i="8"/>
  <x:c r="B72" i="8"/>
  <x:c r="C72" i="8"/>
  <x:c r="A73" i="8"/>
  <x:c r="B73" i="8"/>
  <x:c r="C73" i="8"/>
  <x:c r="A74" i="8"/>
  <x:c r="B74" i="8"/>
  <x:c r="C74" i="8"/>
  <x:c r="A75" i="8"/>
  <x:c r="B75" i="8"/>
  <x:c r="C75" i="8"/>
  <x:c r="A76" i="8"/>
  <x:c r="B76" i="8"/>
  <x:c r="C76" i="8"/>
  <x:c r="A77" i="8"/>
  <x:c r="B77" i="8"/>
  <x:c r="C77" i="8"/>
  <x:c r="A78" i="8"/>
  <x:c r="B78" i="8"/>
  <x:c r="C78" i="8"/>
  <x:c r="A79" i="8"/>
  <x:c r="B79" i="8"/>
  <x:c r="C79" i="8"/>
  <x:c r="A80" i="8"/>
  <x:c r="B80" i="8"/>
  <x:c r="C80" i="8"/>
  <x:c r="A81" i="8"/>
  <x:c r="B81" i="8"/>
  <x:c r="C81" i="8"/>
  <x:c r="A82" i="8"/>
  <x:c r="B82" i="8"/>
  <x:c r="C82" i="8"/>
  <x:c r="A83" i="8"/>
  <x:c r="B83" i="8"/>
  <x:c r="C83" i="8"/>
  <x:c r="A84" i="8"/>
  <x:c r="B84" i="8"/>
  <x:c r="C84" i="8"/>
  <x:c r="A85" i="8"/>
  <x:c r="B85" i="8"/>
  <x:c r="C85" i="8"/>
  <x:c r="A86" i="8"/>
  <x:c r="B86" i="8"/>
  <x:c r="C86" i="8"/>
  <x:c r="A87" i="8"/>
  <x:c r="B87" i="8"/>
  <x:c r="C87" i="8"/>
  <x:c r="A88" i="8"/>
  <x:c r="B88" i="8"/>
  <x:c r="C88" i="8"/>
  <x:c r="A89" i="8"/>
  <x:c r="B89" i="8"/>
  <x:c r="C89" i="8"/>
  <x:c r="A90" i="8"/>
  <x:c r="B90" i="8"/>
  <x:c r="C90" i="8"/>
  <x:c r="A91" i="8"/>
  <x:c r="B91" i="8"/>
  <x:c r="C91" i="8"/>
  <x:c r="A92" i="8"/>
  <x:c r="B92" i="8"/>
  <x:c r="C92" i="8"/>
  <x:c r="A93" i="8"/>
  <x:c r="B93" i="8"/>
  <x:c r="C93" i="8"/>
  <x:c r="A94" i="8"/>
  <x:c r="B94" i="8"/>
  <x:c r="C94" i="8"/>
  <x:c r="A95" i="8"/>
  <x:c r="B95" i="8"/>
  <x:c r="C95" i="8"/>
  <x:c r="A96" i="8"/>
  <x:c r="B96" i="8"/>
  <x:c r="C96" i="8"/>
  <x:c r="A97" i="8"/>
  <x:c r="B97" i="8"/>
  <x:c r="C97" i="8"/>
  <x:c r="A98" i="8"/>
  <x:c r="B98" i="8"/>
  <x:c r="C98" i="8"/>
  <x:c r="A99" i="8"/>
  <x:c r="B99" i="8"/>
  <x:c r="C99" i="8"/>
  <x:c r="A100" i="8"/>
  <x:c r="B100" i="8"/>
  <x:c r="C100" i="8"/>
  <x:c r="A101" i="8"/>
  <x:c r="B101" i="8"/>
  <x:c r="C101" i="8"/>
  <x:c r="A102" i="8"/>
  <x:c r="B102" i="8"/>
  <x:c r="C102" i="8"/>
  <x:c r="A103" i="8"/>
  <x:c r="B103" i="8"/>
  <x:c r="C103" i="8"/>
  <x:c r="A104" i="8"/>
  <x:c r="B104" i="8"/>
  <x:c r="C104" i="8"/>
  <x:c r="A105" i="8"/>
  <x:c r="B105" i="8"/>
  <x:c r="C105" i="8"/>
  <x:c r="A106" i="8"/>
  <x:c r="B106" i="8"/>
  <x:c r="C106" i="8"/>
  <x:c r="A107" i="8"/>
  <x:c r="B107" i="8"/>
  <x:c r="C107" i="8"/>
  <x:c r="A108" i="8"/>
  <x:c r="B108" i="8"/>
  <x:c r="C108" i="8"/>
  <x:c r="A109" i="8"/>
  <x:c r="B109" i="8"/>
  <x:c r="C109" i="8"/>
  <x:c r="A110" i="8"/>
  <x:c r="B110" i="8"/>
  <x:c r="C110" i="8"/>
  <x:c r="A111" i="8"/>
  <x:c r="B111" i="8"/>
  <x:c r="C111" i="8"/>
  <x:c r="A112" i="8"/>
  <x:c r="B112" i="8"/>
  <x:c r="C112" i="8"/>
  <x:c r="A113" i="8"/>
  <x:c r="B113" i="8"/>
  <x:c r="C113" i="8"/>
  <x:c r="A114" i="8"/>
  <x:c r="B114" i="8"/>
  <x:c r="C114" i="8"/>
  <x:c r="A115" i="8"/>
  <x:c r="B115" i="8"/>
  <x:c r="C115" i="8"/>
  <x:c r="A116" i="8"/>
  <x:c r="B116" i="8"/>
  <x:c r="C116" i="8"/>
  <x:c r="A117" i="8"/>
  <x:c r="B117" i="8"/>
  <x:c r="C117" i="8"/>
  <x:c r="A118" i="8"/>
  <x:c r="B118" i="8"/>
  <x:c r="C118" i="8"/>
  <x:c r="A119" i="8"/>
  <x:c r="B119" i="8"/>
  <x:c r="C119" i="8"/>
  <x:c r="A120" i="8"/>
  <x:c r="B120" i="8"/>
  <x:c r="C120" i="8"/>
  <x:c r="A121" i="8"/>
  <x:c r="B121" i="8"/>
  <x:c r="C121" i="8"/>
  <x:c r="A122" i="8"/>
  <x:c r="B122" i="8"/>
  <x:c r="C122" i="8"/>
  <x:c r="A123" i="8"/>
  <x:c r="B123" i="8"/>
  <x:c r="C123" i="8"/>
  <x:c r="A124" i="8"/>
  <x:c r="B124" i="8"/>
  <x:c r="C124" i="8"/>
  <x:c r="A125" i="8"/>
  <x:c r="B125" i="8"/>
  <x:c r="C125" i="8"/>
  <x:c r="A126" i="8"/>
  <x:c r="B126" i="8"/>
  <x:c r="C126" i="8"/>
  <x:c r="A127" i="8"/>
  <x:c r="B127" i="8"/>
  <x:c r="C127" i="8"/>
  <x:c r="A128" i="8"/>
  <x:c r="B128" i="8"/>
  <x:c r="C128" i="8"/>
  <x:c r="A129" i="8"/>
  <x:c r="B129" i="8"/>
  <x:c r="C129" i="8"/>
  <x:c r="A130" i="8"/>
  <x:c r="B130" i="8"/>
  <x:c r="C130" i="8"/>
</x:calcChain>
</file>

<file path=xl/sharedStrings.xml><?xml version="1.0" encoding="utf-8"?>
<x:sst xmlns:x="http://schemas.openxmlformats.org/spreadsheetml/2006/main">
  <x:si>
    <x:t xml:space="preserve">CNB </x:t>
  </x:si>
  <x:si>
    <x:t>Client Name:</x:t>
  </x:si>
  <x:si>
    <x:t>DISCLAIMER
The Client understands that:
• this report, and any communications in relation to the contents of this report, is private and confidential and intended for the Client only;
• it is responsible for ensuring that all the tendered properties are the responsibility of the Client. If any sites are not the responsibility of the Client, these should be immediately identified to EIC so that these can be removed from any future supply contracts;
• it is responsible for ensuring that these sites are eligible to transfer to a new supplier including ensuring that termination notices have been issued in accordance with the incumbent Energy Supplier's terms and conditions and that any debt greater than 30 days old has been cleared. Additionally the Client is aware that any objections to transfer could result in out of contract rates being applied by the incumbent supplier;
• any supply contract entered into is a direct contract between the Client and the selected Energy Supplier and as such the Client will be bound by the terms and conditions provided by the Energy Supplier. It is the Clients responsibility to ensure it has read, understood and accepted the Energy Supplier’s terms and conditions before accepting any contract;
• the contents are intended for informational purposes only and that EIC makes no representation (either express or implied) or other assurances (either express or implied) that the information and opinions expressed in this report are accurate, complete or up to date;
• EIC is not liable for any damages or losses of any kind, whether foreseeable or not, (including, but without limitation, financial loss, damages for loss in business projects, loss of profits or other consequential losses) arising in contract, tort, or otherwise, as a direct or indirect result from action taken or decisions made as a result of reliance on material, in whole or in part, contained in the report. Nothing contained in the report constitutes financial, legal, tax or other advice, nor should any investment or any other decisions be made solely based on the report content;
• where contract type specifies NCP, F(T&amp;Cs) or NCPP, contracts may be subject to new charges or non-commodity potentially passed through by the supplier.  
• the report may contain price projections that are based on assumptions that are subject to variations and as such there can be no assurance that the projections contained herein will be realised;
• For quotations excluding MOP and DC/DA charges, supplier metering cost estimates will be applied for comparison purposes. The client should be aware these remain subject to change within the supplier T&amp;Cs.                                                                                                                                                                                                                                                                                              • whilst EIC considers that it used reasonable skill and care in producing this report that all parties must rely upon their own skill and judgement when making use of it.
• The client is aware that contract values and costs do not include any VAT, discounts, levies or grants the site might be eligible for.
• The client understands that prices are inclusive of any agreed commission between EIC and the client. 
• Price eligibility may be subject to credit checks. 
• The client understands that prices are valid at point of issue only, and suppliers retain the right to revoke prices without notice subject to market movement
• Supplier prices and current estimated costs may also change due to industry changes, for example MHHS, which could affect any pass through charges and estimations.  
• Deemed prices are subject to change. Please check supplier websites for the latest published rates.
• The client should inform EIC if they are a micro business. 
•Please note your chosen Supplier shall be entitled to charge Out of Contract Rates from the day after the end of your supply contract period                                                                                                                                                                                                                                                                    •Stark shall be appointed as DC/DA via supplier nomination
*The figures highlighted are indicative. The Consumption data is based on historic information or industry AQs (Annual Quantity). Actual consumption, and therefore costs, may vary. The client is responsible for checking the data appears correct and informing EIC if changes need to be made. Contract Values and Costs displayed are based on your estimated consumption and therefore directly influenced by actual usage.</x:t>
  </x:si>
  <x:si>
    <x:t>Non-Commodity charges</x:t>
  </x:si>
  <x:si>
    <x:t>Corona</x:t>
  </x:si>
  <x:si>
    <x:t>Crown You Fix</x:t>
  </x:si>
  <x:si>
    <x:t>Ecotricity</x:t>
  </x:si>
  <x:si>
    <x:t xml:space="preserve">EDF Fixed Standard </x:t>
  </x:si>
  <x:si>
    <x:t>Pozitive</x:t>
  </x:si>
  <x:si>
    <x:t>SEFE Shield</x:t>
  </x:si>
  <x:si>
    <x:t>SSE Protect</x:t>
  </x:si>
  <x:si>
    <x:t>Total Energies</x:t>
  </x:si>
  <x:si>
    <x:t>Deemed</x:t>
  </x:si>
  <x:si>
    <x:t>CNB:</x:t>
  </x:si>
  <x:si>
    <x:t>MAM, MAP, DC/DA</x:t>
  </x:si>
  <x:si>
    <x:t>P</x:t>
  </x:si>
  <x:si>
    <x:t>Contract Renewal Date:</x:t>
  </x:si>
  <x:si>
    <x:t>NTS</x:t>
  </x:si>
  <x:si>
    <x:t>F</x:t>
  </x:si>
  <x:si>
    <x:t>Analysis version:</x:t>
  </x:si>
  <x:si>
    <x:t>v1</x:t>
  </x:si>
  <x:si>
    <x:t>UNC</x:t>
  </x:si>
  <x:si>
    <x:t>Total No. Sites Tendered</x:t>
  </x:si>
  <x:si>
    <x:t>Presented to client:</x:t>
  </x:si>
  <x:si>
    <x:t xml:space="preserve">LDZ System Capacity </x:t>
  </x:si>
  <x:si>
    <x:t>LDZ Customer Charge</x:t>
  </x:si>
  <x:si>
    <x:t>Supplier Reference</x:t>
  </x:si>
  <x:si>
    <x:t>Supplier</x:t>
  </x:si>
  <x:si>
    <x:t>Contract Duration (months)</x:t>
  </x:si>
  <x:si>
    <x:t>Contract Type</x:t>
  </x:si>
  <x:si>
    <x:t>Energy Type</x:t>
  </x:si>
  <x:si>
    <x:t>Payment Type</x:t>
  </x:si>
  <x:si>
    <x:t>Payment Duration</x:t>
  </x:si>
  <x:si>
    <x:t>Annual Contract Value*</x:t>
  </x:si>
  <x:si>
    <x:t>Annual Contract Value % Diff vs Current*</x:t>
  </x:si>
  <x:si>
    <x:t>Total Difference Over Contract*</x:t>
  </x:si>
  <x:si>
    <x:t>LDZ Exit Capacity NTS</x:t>
  </x:si>
  <x:si>
    <x:t>GDN Entry Commodity Charge</x:t>
  </x:si>
  <x:si>
    <x:t>UIG</x:t>
  </x:si>
  <x:si>
    <x:t>Current</x:t>
  </x:si>
  <x:si>
    <x:t>BSC</x:t>
  </x:si>
  <x:si>
    <x:t>Total Annual Consumption*</x:t>
  </x:si>
  <x:si>
    <x:t>Fixed within T&amp;C Conditions</x:t>
  </x:si>
  <x:si>
    <x:t>Brown</x:t>
  </x:si>
  <x:si>
    <x:t>BACS</x:t>
  </x:si>
  <x:si>
    <x:t>21 days</x:t>
  </x:si>
  <x:si>
    <x:t>Government Levies/regulations</x:t>
  </x:si>
  <x:si>
    <x:t>Additional Charges</x:t>
  </x:si>
  <x:si>
    <x:t>Volume Tolerance</x:t>
  </x:si>
  <x:si>
    <x:t>TBC</x:t>
  </x:si>
  <x:si>
    <x:t>&gt;723K = 70/130</x:t>
  </x:si>
  <x:si>
    <x:t>T&amp;Cs</x:t>
  </x:si>
  <x:si>
    <x:t>RGGO/REGGO Backed on Renewable</x:t>
  </x:si>
  <x:si>
    <x:t>Yes</x:t>
  </x:si>
  <x:si>
    <x:t>No</x:t>
  </x:si>
  <x:si>
    <x:t>Site Removal Fees</x:t>
  </x:si>
  <x:si>
    <x:t>Late Payment Fees</x:t>
  </x:si>
  <x:si>
    <x:t>Contract Start Date</x:t>
  </x:si>
  <x:si>
    <x:t xml:space="preserve">Additional comments </x:t>
  </x:si>
  <x:si>
    <x:t>Key</x:t>
  </x:si>
  <x:si>
    <x:t>F - Fully Inclusive and rates should not change</x:t>
  </x:si>
  <x:si>
    <x:t>P - Inclusive in rates however potentially pass-through</x:t>
  </x:si>
  <x:si>
    <x:t>N - Pass through and not included in rates</x:t>
  </x:si>
  <x:si>
    <x:t>Current Expenditure*</x:t>
  </x:si>
  <x:si>
    <x:t>Analysis Version</x:t>
  </x:si>
  <x:si>
    <x:t>Date Presented to Client</x:t>
  </x:si>
  <x:si>
    <x:t>Contract Reference</x:t>
  </x:si>
  <x:si>
    <x:t xml:space="preserve">* The graph above does not show intra-day fluctuations in the wholesale price. </x:t>
  </x:si>
  <x:si>
    <x:t>Total number of non-IGT sites</x:t>
  </x:si>
  <x:si>
    <x:t>(All)</x:t>
  </x:si>
  <x:si>
    <x:t>Total number of IGT sites</x:t>
  </x:si>
  <x:si>
    <x:t>Total number of sites</x:t>
  </x:si>
  <x:si>
    <x:t xml:space="preserve"> NHH-100</x:t>
  </x:si>
  <x:si>
    <x:t>Grwp Cynefin</x:t>
  </x:si>
  <x:si>
    <x:t>Gas Quote Analysis</x:t>
  </x:si>
  <x:si>
    <x:t>Date</x:t>
  </x:si>
  <x:si>
    <x:t>Prev Total</x:t>
  </x:si>
  <x:si>
    <x:t>Site Details</x:t>
  </x:si>
  <x:si>
    <x:t>Meter Details</x:t>
  </x:si>
  <x:si>
    <x:t>Current Consumption</x:t>
  </x:si>
  <x:si>
    <x:t>Notes</x:t>
  </x:si>
  <x:si>
    <x:t>Location Reference</x:t>
  </x:si>
  <x:si>
    <x:t>Client Reference</x:t>
  </x:si>
  <x:si>
    <x:t>Address</x:t>
  </x:si>
  <x:si>
    <x:t xml:space="preserve">Start date </x:t>
  </x:si>
  <x:si>
    <x:t>Current Supplier</x:t>
  </x:si>
  <x:si>
    <x:t>MSN</x:t>
  </x:si>
  <x:si>
    <x:t>MPRN</x:t>
  </x:si>
  <x:si>
    <x:t>IGT?</x:t>
  </x:si>
  <x:si>
    <x:t>IGT Name</x:t>
  </x:si>
  <x:si>
    <x:t>Annual (kWh)</x:t>
  </x:si>
  <x:si>
    <x:t>Unit Rate (p/kWh)</x:t>
  </x:si>
  <x:si>
    <x:t>Standing Charge (£/month)</x:t>
  </x:si>
  <x:si>
    <x:t>Annual Cost (£)</x:t>
  </x:si>
  <x:si>
    <x:t>Abbreviation</x:t>
  </x:si>
  <x:si>
    <x:t>Pass-through</x:t>
  </x:si>
  <x:si>
    <x:t>Br</x:t>
  </x:si>
  <x:si>
    <x:t>Non-Commodity Potentially Passthrough</x:t>
  </x:si>
  <x:si>
    <x:t>NCPP</x:t>
  </x:si>
  <x:si>
    <x:t>Carbon Zero</x:t>
  </x:si>
  <x:si>
    <x:t>CZ</x:t>
  </x:si>
  <x:si>
    <x:t>F (T&amp;C)</x:t>
  </x:si>
  <x:si>
    <x:t>Green</x:t>
  </x:si>
  <x:si>
    <x:t>Gr</x:t>
  </x:si>
  <x:si>
    <x:t>Monarch</x:t>
  </x:si>
  <x:si>
    <x:t>B</x:t>
  </x:si>
  <x:si>
    <x:t>10 days</x:t>
  </x:si>
  <x:si>
    <x:t>DD</x:t>
  </x:si>
  <x:si>
    <x:t>D</x:t>
  </x:si>
  <x:si>
    <x:t>14 days</x:t>
  </x:si>
  <x:si>
    <x:t>Individual DDs</x:t>
  </x:si>
  <x:si>
    <x:t>ID</x:t>
  </x:si>
  <x:si>
    <x:t>28 days</x:t>
  </x:si>
  <x:si>
    <x:t>Opus</x:t>
  </x:si>
  <x:si>
    <x:t>SSE</x:t>
  </x:si>
  <x:si>
    <x:t>SEFE</x:t>
  </x:si>
  <x:si>
    <x:t>100 Green</x:t>
  </x:si>
  <x:si>
    <x:t>EDF Energy</x:t>
  </x:si>
  <x:si>
    <x:t>Crown</x:t>
  </x:si>
  <x:si>
    <x:t>Eon Next</x:t>
  </x:si>
  <x:si>
    <x:t>Regent</x:t>
  </x:si>
  <x:si>
    <x:t>Engie</x:t>
  </x:si>
  <x:si>
    <x:t>MPRN Range</x:t>
  </x:si>
  <x:si>
    <x:t>Licenced GT</x:t>
  </x:si>
  <x:si>
    <x:t>Description</x:t>
  </x:si>
  <x:si>
    <x:t>Independent Pipelines Ltd (IPL)</x:t>
  </x:si>
  <x:si>
    <x:t>IGT</x:t>
  </x:si>
  <x:si>
    <x:t>GTC Pipelines</x:t>
  </x:si>
  <x:si>
    <x:t>ESP Connections Ltd</x:t>
  </x:si>
  <x:si>
    <x:t>E.S.Pipelines</x:t>
  </x:si>
  <x:si>
    <x:t>SSE Pipelines Limited</x:t>
  </x:si>
  <x:si>
    <x:t>Quadrant Pipelines Limited</x:t>
  </x:si>
  <x:si>
    <x:t>ESP Networks Limited</x:t>
  </x:si>
  <x:si>
    <x:t>ESP Pipelines Limited</x:t>
  </x:si>
  <x:si>
    <x:t>Siemens</x:t>
  </x:si>
  <x:si>
    <x:t xml:space="preserve">Energetics Gas Ltd </x:t>
  </x:si>
  <x:si>
    <x:t>NGG</x:t>
  </x:si>
  <x:si>
    <x:t>ES Pipelines Ltd</x:t>
  </x:si>
  <x:si>
    <x:t>Fulcrum Pipelines Ltd</x:t>
  </x:si>
  <x:si>
    <x:t>GTC Pipelines Ltd</x:t>
  </x:si>
  <x:si>
    <x:t>TBA</x:t>
  </x:si>
  <x:si>
    <x:t>Elec</x:t>
  </x:si>
  <x:si>
    <x:t>Gas</x:t>
  </x:si>
  <x:si>
    <x:t>Company Reg</x:t>
  </x:si>
  <x:si>
    <x:t>Lift</x:t>
  </x:si>
  <x:si>
    <x:t>Payment Terms</x:t>
  </x:si>
  <x:si>
    <x:t>Fuel Type</x:t>
  </x:si>
  <x:si>
    <x:t>End date/Length</x:t>
  </x:si>
  <x:si>
    <x:t>Analysis AQ</x:t>
  </x:si>
  <x:si>
    <x:t xml:space="preserve">Matrix offers </x:t>
  </x:si>
  <x:si>
    <x:t>MOP Contract in place</x:t>
  </x:si>
  <x:si>
    <x:t xml:space="preserve">Specific Supplier </x:t>
  </x:si>
  <x:si>
    <x:t>EIC Partnership</x:t>
  </x:si>
  <x:si>
    <x:t>4</x:t>
  </x:si>
  <x:si>
    <x:t/>
  </x:si>
  <x:si>
    <x:t>Youth Enterprise Centre</x:t>
  </x:si>
  <x:si>
    <x:t>Denbigh</x:t>
  </x:si>
  <x:si>
    <x:t>UK</x:t>
  </x:si>
  <x:si>
    <x:t>01-Apr-2027</x:t>
  </x:si>
  <x:si>
    <x:t>M040K0330313D6</x:t>
  </x:si>
  <x:si>
    <x:t>9336220203</x:t>
  </x:si>
  <x:si>
    <x:t>5</x:t>
  </x:si>
  <x:si>
    <x:t>Hafod y Gest</x:t>
  </x:si>
  <x:si>
    <x:t>Porthmadog</x:t>
  </x:si>
  <x:si>
    <x:t>E065K1640015D6</x:t>
  </x:si>
  <x:si>
    <x:t>9350538306</x:t>
  </x:si>
  <x:si>
    <x:t>6</x:t>
  </x:si>
  <x:si>
    <x:t>Ty John Glyn</x:t>
  </x:si>
  <x:si>
    <x:t>E025K0099117D6</x:t>
  </x:si>
  <x:si>
    <x:t>9347443403</x:t>
  </x:si>
  <x:si>
    <x:t>7</x:t>
  </x:si>
  <x:si>
    <x:t>Awel y Dyffryn</x:t>
  </x:si>
  <x:si>
    <x:t>E160K0657320D7</x:t>
  </x:si>
  <x:si>
    <x:t>9169773803</x:t>
  </x:si>
  <x:si>
    <x:t>65</x:t>
  </x:si>
  <x:si>
    <x:t>Belmont Villa</x:t>
  </x:si>
  <x:si>
    <x:t>BANGOR</x:t>
  </x:si>
  <x:si>
    <x:t>G4K00141051301</x:t>
  </x:si>
  <x:si>
    <x:t>2704321006</x:t>
  </x:si>
  <x:si>
    <x:t>74</x:t>
  </x:si>
  <x:si>
    <x:t>35 High Street</x:t>
  </x:si>
  <x:si>
    <x:t>Llangefni</x:t>
  </x:si>
  <x:si>
    <x:t>G4K00203621401</x:t>
  </x:si>
  <x:si>
    <x:t>2703942606</x:t>
  </x:si>
  <x:si>
    <x:t>88</x:t>
  </x:si>
  <x:si>
    <x:t>Swn Yr Afon</x:t>
  </x:si>
  <x:si>
    <x:t>G4K13130200401</x:t>
  </x:si>
  <x:si>
    <x:t>9317885810</x:t>
  </x:si>
  <x:si>
    <x:t>96</x:t>
  </x:si>
  <x:si>
    <x:t>6 Swn yr Afon</x:t>
  </x:si>
  <x:si>
    <x:t>G4K30883651401</x:t>
  </x:si>
  <x:si>
    <x:t>9317768301</x:t>
  </x:si>
  <x:si>
    <x:t>154</x:t>
  </x:si>
  <x:si>
    <x:t>Ty Silyn</x:t>
  </x:si>
  <x:si>
    <x:t>Caernarfon</x:t>
  </x:si>
  <x:si>
    <x:t>000161477</x:t>
  </x:si>
  <x:si>
    <x:t>2700919203</x:t>
  </x:si>
  <x:si>
    <x:t>155</x:t>
  </x:si>
  <x:si>
    <x:t>Fair View</x:t>
  </x:si>
  <x:si>
    <x:t>Gwynedd</x:t>
  </x:si>
  <x:si>
    <x:t>4569834</x:t>
  </x:si>
  <x:si>
    <x:t>2705384810</x:t>
  </x:si>
  <x:si>
    <x:t>156</x:t>
  </x:si>
  <x:si>
    <x:t>Swyddfa Gorwel</x:t>
  </x:si>
  <x:si>
    <x:t>G4K00082481501</x:t>
  </x:si>
  <x:si>
    <x:t>2705583109</x:t>
  </x:si>
  <x:si>
    <x:t>157</x:t>
  </x:si>
  <x:si>
    <x:t>Flat 5 Capel Seion</x:t>
  </x:si>
  <x:si>
    <x:t>Pwllheli</x:t>
  </x:si>
  <x:si>
    <x:t>002165103</x:t>
  </x:si>
  <x:si>
    <x:t>2705877508</x:t>
  </x:si>
  <x:si>
    <x:t>158</x:t>
  </x:si>
  <x:si>
    <x:t>Flat 6 Capel Seion</x:t>
  </x:si>
  <x:si>
    <x:t>G4W00479510802</x:t>
  </x:si>
  <x:si>
    <x:t>2705880508</x:t>
  </x:si>
  <x:si>
    <x:t>159</x:t>
  </x:si>
  <x:si>
    <x:t>Flat 4 Capel Seion</x:t>
  </x:si>
  <x:si>
    <x:t>G4K19933640801</x:t>
  </x:si>
  <x:si>
    <x:t>2705880609</x:t>
  </x:si>
  <x:si>
    <x:t>160</x:t>
  </x:si>
  <x:si>
    <x:t>Flat 3 Capel Seion</x:t>
  </x:si>
  <x:si>
    <x:t>G4K19933220801</x:t>
  </x:si>
  <x:si>
    <x:t>2705880710</x:t>
  </x:si>
  <x:si>
    <x:t>161</x:t>
  </x:si>
  <x:si>
    <x:t>Flat 2 Capel Seion</x:t>
  </x:si>
  <x:si>
    <x:t>G4K19771200801</x:t>
  </x:si>
  <x:si>
    <x:t>2705880800</x:t>
  </x:si>
  <x:si>
    <x:t>162</x:t>
  </x:si>
  <x:si>
    <x:t>Flat 1 Capel Seion</x:t>
  </x:si>
  <x:si>
    <x:t>002165198</x:t>
  </x:si>
  <x:si>
    <x:t>2705880901</x:t>
  </x:si>
  <x:si>
    <x:t>163</x:t>
  </x:si>
  <x:si>
    <x:t>Borth Road</x:t>
  </x:si>
  <x:si>
    <x:t>00006270</x:t>
  </x:si>
  <x:si>
    <x:t>47705503</x:t>
  </x:si>
  <x:si>
    <x:t>164</x:t>
  </x:si>
  <x:si>
    <x:t>Bloc A Llys Awelon</x:t>
  </x:si>
  <x:si>
    <x:t>Denbighshire</x:t>
  </x:si>
  <x:si>
    <x:t>M040K201211D6</x:t>
  </x:si>
  <x:si>
    <x:t>9168314002</x:t>
  </x:si>
  <x:si>
    <x:t>165</x:t>
  </x:si>
  <x:si>
    <x:t>12 Ffordd Yr Efail</x:t>
  </x:si>
  <x:si>
    <x:t>G4A02264690901</x:t>
  </x:si>
  <x:si>
    <x:t>9207210000</x:t>
  </x:si>
  <x:si>
    <x:t>166</x:t>
  </x:si>
  <x:si>
    <x:t>Llys Awelon</x:t>
  </x:si>
  <x:si>
    <x:t>Ruthin</x:t>
  </x:si>
  <x:si>
    <x:t>G4A00134071101</x:t>
  </x:si>
  <x:si>
    <x:t>9208955303</x:t>
  </x:si>
  <x:si>
    <x:t>167</x:t>
  </x:si>
  <x:si>
    <x:t>Penucheldre Care Home</x:t>
  </x:si>
  <x:si>
    <x:t>Holyhead</x:t>
  </x:si>
  <x:si>
    <x:t>M100K0202910D6</x:t>
  </x:si>
  <x:si>
    <x:t>9296616808</x:t>
  </x:si>
  <x:si>
    <x:t>168</x:t>
  </x:si>
  <x:si>
    <x:t>Awel y Coleg</x:t>
  </x:si>
  <x:si>
    <x:t>Bala</x:t>
  </x:si>
  <x:si>
    <x:t>M040K0282011D6</x:t>
  </x:si>
  <x:si>
    <x:t>9297510505</x:t>
  </x:si>
  <x:si>
    <x:t>01/04/2027</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</x:si>
</x:sst>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7">
    <x:numFmt numFmtId="8" formatCode="&quot;£&quot;#,##0.00;[Red]\-&quot;£&quot;#,##0.00"/>
    <x:numFmt numFmtId="43" formatCode="_-* #,##0.00_-;\-* #,##0.00_-;_-* &quot;-&quot;??_-;_-@_-"/>
    <x:numFmt numFmtId="164" formatCode="&quot;£&quot;#,##0.00"/>
    <x:numFmt numFmtId="165" formatCode="#,##0.00_ ;[Red]\-#,##0.00\ "/>
    <x:numFmt numFmtId="166" formatCode="&quot;£&quot;#,##0"/>
    <x:numFmt numFmtId="167" formatCode="0.000"/>
    <x:numFmt numFmtId="168" formatCode="_-* #,##0_-;\-* #,##0_-;_-* &quot;-&quot;??_-;_-@_-"/>
  </x:numFmts>
  <x:fonts count="20" x14ac:knownFonts="1">
    <x:font>
      <x:sz val="11"/>
      <x:color theme="1"/>
      <x:name val="Calibri"/>
      <x:family val="2"/>
      <x:scheme val="minor"/>
    </x:font>
    <x:font>
      <x:sz val="11"/>
      <x:color theme="1"/>
      <x:name val="Calibri"/>
      <x:family val="2"/>
      <x:scheme val="minor"/>
    </x:font>
    <x:font>
      <x:sz val="11"/>
      <x:color theme="1"/>
      <x:name val="Arial Narrow"/>
      <x:family val="2"/>
    </x:font>
    <x:font>
      <x:sz val="11"/>
      <x:name val="Arial Narrow"/>
      <x:family val="2"/>
    </x:font>
    <x:font>
      <x:i/>
      <x:sz val="11"/>
      <x:name val="Arial Narrow"/>
      <x:family val="2"/>
    </x:font>
    <x:font>
      <x:b/>
      <x:sz val="10"/>
      <x:name val="Arial Narrow"/>
      <x:family val="2"/>
    </x:font>
    <x:font>
      <x:b/>
      <x:sz val="11"/>
      <x:color theme="0"/>
      <x:name val="Arial Narrow"/>
      <x:family val="2"/>
    </x:font>
    <x:font>
      <x:sz val="24"/>
      <x:color theme="1"/>
      <x:name val="Arial Narrow"/>
      <x:family val="2"/>
    </x:font>
    <x:font>
      <x:sz val="12"/>
      <x:color theme="1"/>
      <x:name val="Arial Narrow"/>
      <x:family val="2"/>
    </x:font>
    <x:font>
      <x:sz val="12"/>
      <x:name val="Arial Narrow"/>
      <x:family val="2"/>
    </x:font>
    <x:font>
      <x:sz val="12"/>
      <x:color rgb="FF000000"/>
      <x:name val="Arial Narrow"/>
      <x:family val="2"/>
    </x:font>
    <x:font>
      <x:b/>
      <x:sz val="11"/>
      <x:color theme="1"/>
      <x:name val="Arial Narrow"/>
      <x:family val="2"/>
    </x:font>
    <x:font>
      <x:sz val="18"/>
      <x:color rgb="FFFFFFFF"/>
      <x:name val="Arial Narrow"/>
      <x:family val="2"/>
    </x:font>
    <x:font>
      <x:b/>
      <x:sz val="11"/>
      <x:color rgb="FFFFFFFF"/>
      <x:name val="Arial Narrow"/>
      <x:family val="2"/>
    </x:font>
    <x:font>
      <x:sz val="18"/>
      <x:color theme="0"/>
      <x:name val="Arial Narrow"/>
      <x:family val="2"/>
    </x:font>
    <x:font>
      <x:sz val="12"/>
      <x:color rgb="FFFF0000"/>
      <x:name val="Arial Narrow"/>
      <x:family val="2"/>
    </x:font>
    <x:font>
      <x:b/>
      <x:sz val="11"/>
      <x:color theme="1"/>
      <x:name val="Calibri"/>
      <x:family val="2"/>
      <x:scheme val="minor"/>
    </x:font>
    <x:font>
      <x:b/>
      <x:sz val="11"/>
      <x:color rgb="FF000000"/>
      <x:name val="Calibri"/>
      <x:family val="2"/>
      <x:scheme val="minor"/>
    </x:font>
    <x:font>
      <x:sz val="11"/>
      <x:color rgb="FF000000"/>
      <x:name val="Calibri"/>
      <x:family val="2"/>
      <x:scheme val="minor"/>
    </x:font>
    <x:font>
      <x:vertAlign val="baseline"/>
      <x:sz val="11"/>
      <x:color rgb="FF000000"/>
      <x:name val="Calibri"/>
      <x:family val="2"/>
    </x:font>
  </x:fonts>
  <x:fills count="12">
    <x:fill>
      <x:patternFill patternType="none"/>
    </x:fill>
    <x:fill>
      <x:patternFill patternType="gray125"/>
    </x:fill>
    <x:fill>
      <x:patternFill patternType="solid">
        <x:fgColor rgb="FFFFFF00"/>
        <x:bgColor indexed="64"/>
      </x:patternFill>
    </x:fill>
    <x:fill>
      <x:patternFill patternType="solid">
        <x:fgColor theme="0"/>
        <x:bgColor indexed="64"/>
      </x:patternFill>
    </x:fill>
    <x:fill>
      <x:patternFill patternType="solid">
        <x:fgColor rgb="FFFFFFFF"/>
        <x:bgColor rgb="FF000000"/>
      </x:patternFill>
    </x:fill>
    <x:fill>
      <x:patternFill patternType="solid">
        <x:fgColor rgb="FFFFFF00"/>
        <x:bgColor rgb="FF000000"/>
      </x:patternFill>
    </x:fill>
    <x:fill>
      <x:patternFill patternType="solid">
        <x:fgColor rgb="FF3A506B"/>
        <x:bgColor indexed="64"/>
      </x:patternFill>
    </x:fill>
    <x:fill>
      <x:patternFill patternType="solid">
        <x:fgColor rgb="FF5BC0BE"/>
        <x:bgColor indexed="64"/>
      </x:patternFill>
    </x:fill>
    <x:fill>
      <x:patternFill patternType="solid">
        <x:fgColor rgb="FF1C2541"/>
        <x:bgColor indexed="64"/>
      </x:patternFill>
    </x:fill>
    <x:fill>
      <x:patternFill patternType="solid">
        <x:fgColor theme="0" tint="-0.14999847407452621"/>
        <x:bgColor indexed="64"/>
      </x:patternFill>
    </x:fill>
    <x:fill>
      <x:patternFill patternType="solid">
        <x:fgColor theme="9" tint="0.79998168889431442"/>
        <x:bgColor indexed="64"/>
      </x:patternFill>
    </x:fill>
    <x:fill>
      <x:patternFill patternType="solid">
        <x:fgColor rgb="FFD9D9D9"/>
        <x:bgColor rgb="FF000000"/>
      </x:patternFill>
    </x:fill>
  </x:fills>
  <x:borders count="17">
    <x:border>
      <x:left/>
      <x:right/>
      <x:top/>
      <x:bottom/>
      <x:diagonal/>
    </x:border>
    <x:border>
      <x:left style="thin">
        <x:color indexed="64"/>
      </x:left>
      <x:right style="thin">
        <x:color indexed="64"/>
      </x:right>
      <x:top style="thin">
        <x:color indexed="64"/>
      </x:top>
      <x:bottom style="thin">
        <x:color indexed="64"/>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x:right/>
      <x:top/>
      <x:bottom style="thin">
        <x:color indexed="64"/>
      </x:bottom>
      <x:diagonal/>
    </x:border>
    <x:border>
      <x:left/>
      <x:right/>
      <x:top style="thin">
        <x:color rgb="FFFFFFFF"/>
      </x:top>
      <x:bottom/>
      <x:diagonal/>
    </x:border>
    <x:border>
      <x:left/>
      <x:right/>
      <x:top/>
      <x:bottom style="thin">
        <x:color rgb="FFFFFFFF"/>
      </x:bottom>
      <x:diagonal/>
    </x:border>
    <x:border>
      <x:left style="thin">
        <x:color indexed="64"/>
      </x:left>
      <x:right style="thin">
        <x:color indexed="64"/>
      </x:right>
      <x:top/>
      <x:bottom style="thin">
        <x:color indexed="64"/>
      </x:bottom>
      <x:diagonal/>
    </x:border>
    <x:border>
      <x:left/>
      <x:right style="thin">
        <x:color indexed="64"/>
      </x:right>
      <x:top/>
      <x:bottom style="thin">
        <x:color indexed="64"/>
      </x:bottom>
      <x:diagonal/>
    </x:border>
    <x:border>
      <x:left style="medium">
        <x:color indexed="64"/>
      </x:left>
      <x:right/>
      <x:top style="medium">
        <x:color indexed="64"/>
      </x:top>
      <x:bottom style="medium">
        <x:color indexed="64"/>
      </x:bottom>
      <x:diagonal/>
    </x:border>
    <x:border>
      <x:left/>
      <x:right/>
      <x:top/>
      <x:bottom style="medium">
        <x:color indexed="64"/>
      </x:bottom>
      <x:diagonal/>
    </x:border>
    <x:border>
      <x:left style="thin">
        <x:color indexed="64"/>
      </x:left>
      <x:right style="thin">
        <x:color indexed="64"/>
      </x:right>
      <x:top style="thin">
        <x:color indexed="64"/>
      </x:top>
      <x:bottom/>
      <x:diagonal/>
    </x:border>
    <x:border>
      <x:left style="thin">
        <x:color rgb="FF000000"/>
      </x:left>
      <x:right style="thin">
        <x:color rgb="FF000000"/>
      </x:right>
      <x:top style="thin">
        <x:color rgb="FF000000"/>
      </x:top>
      <x:bottom style="thin">
        <x:color rgb="FF000000"/>
      </x:bottom>
      <x:diagonal/>
    </x:border>
    <x:border>
      <x:left/>
      <x:right/>
      <x:top style="medium">
        <x:color indexed="64"/>
      </x:top>
      <x:bottom style="medium">
        <x:color indexed="64"/>
      </x:bottom>
      <x:diagonal/>
    </x:border>
    <x:border>
      <x:left style="medium">
        <x:color rgb="FF000000"/>
      </x:left>
      <x:right style="medium">
        <x:color rgb="FF000000"/>
      </x:right>
      <x:top style="medium">
        <x:color rgb="FF000000"/>
      </x:top>
      <x:bottom style="medium">
        <x:color rgb="FF000000"/>
      </x:bottom>
      <x:diagonal/>
    </x:border>
    <x:border>
      <x:left style="thin">
        <x:color rgb="FF000000"/>
      </x:left>
      <x:right style="thin">
        <x:color rgb="FF000000"/>
      </x:right>
      <x:top/>
      <x:bottom style="thin">
        <x:color rgb="FF000000"/>
      </x:bottom>
      <x:diagonal/>
    </x:border>
  </x:borders>
  <x:cellStyleXfs count="108">
    <x:xf numFmtId="0" fontId="0" fillId="0" borderId="0"/>
    <x:xf numFmtId="43" fontId="1" fillId="0" borderId="0" applyFont="0" applyFill="0" applyBorder="0" applyAlignment="0" applyProtection="0"/>
    <x:xf numFmtId="0" fontId="1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17" fillId="11" borderId="10" applyNumberFormat="1" applyFill="0" applyBorder="1" applyAlignment="1" applyProtection="1">
      <x:protection locked="1" hidden="0"/>
    </x:xf>
    <x:xf numFmtId="0" fontId="17" fillId="11" borderId="14" applyNumberFormat="1" applyFill="0" applyBorder="1" applyAlignment="1" applyProtection="1">
      <x:protection locked="1" hidden="0"/>
    </x:xf>
    <x:xf numFmtId="0" fontId="17" fillId="11" borderId="15" applyNumberFormat="1" applyFill="0" applyBorder="1" applyAlignment="1" applyProtection="1">
      <x:protection locked="1" hidden="0"/>
    </x:xf>
    <x:xf numFmtId="1" fontId="12" fillId="7" borderId="6" applyNumberFormat="1" applyFill="0" applyBorder="1" applyAlignment="1" applyProtection="1">
      <x:protection locked="1" hidden="0"/>
    </x:xf>
    <x:xf numFmtId="0" fontId="18" fillId="0" borderId="2" applyNumberFormat="1" applyFill="1" applyBorder="1" applyAlignment="1" applyProtection="1">
      <x:protection locked="1" hidden="0"/>
    </x:xf>
    <x:xf numFmtId="0" fontId="18" fillId="0" borderId="8" applyNumberFormat="1" applyFill="1" applyBorder="1" applyAlignment="1" applyProtection="1">
      <x:protection locked="1" hidden="0"/>
    </x:xf>
    <x:xf numFmtId="0" fontId="18" fillId="0" borderId="1" applyNumberFormat="1" applyFill="1" applyBorder="1" applyAlignment="1" applyProtection="1">
      <x:protection locked="1" hidden="0"/>
    </x:xf>
    <x:xf numFmtId="0" fontId="18" fillId="0" borderId="16" applyNumberFormat="1" applyFill="1" applyBorder="1" applyAlignment="1" applyProtection="1">
      <x:protection locked="1" hidden="0"/>
    </x:xf>
    <x:xf numFmtId="1" fontId="12" fillId="7" borderId="0" applyNumberFormat="1" applyFill="0" applyBorder="0" applyAlignment="1" applyProtection="1">
      <x:protection locked="1" hidden="0"/>
    </x:xf>
    <x:xf numFmtId="14" fontId="2" fillId="0" borderId="0" applyNumberFormat="1" applyFill="1" applyBorder="0" applyAlignment="1" applyProtection="1">
      <x:protection locked="1" hidden="0"/>
    </x:xf>
    <x:xf numFmtId="0" fontId="18" fillId="0" borderId="13" applyNumberFormat="1" applyFill="1" applyBorder="1" applyAlignment="1" applyProtection="1">
      <x:protection locked="1" hidden="0"/>
    </x:xf>
    <x:xf numFmtId="0" fontId="13" fillId="7" borderId="0" applyNumberFormat="1" applyFill="0" applyBorder="0" applyAlignment="1" applyProtection="1">
      <x:protection locked="1" hidden="0"/>
    </x:xf>
    <x:xf numFmtId="0" fontId="13" fillId="7" borderId="7" applyNumberFormat="1" applyFill="0" applyBorder="1" applyAlignment="1" applyProtection="1">
      <x:protection locked="1" hidden="0"/>
    </x:xf>
    <x:xf numFmtId="3" fontId="12" fillId="7" borderId="6" applyNumberFormat="1" applyFill="0" applyBorder="1" applyAlignment="1" applyProtection="1">
      <x:protection locked="1" hidden="0"/>
    </x:xf>
    <x:xf numFmtId="0" fontId="6" fillId="6" borderId="0" applyNumberFormat="1" applyFill="0" applyBorder="0" applyAlignment="1" applyProtection="1">
      <x:protection locked="1" hidden="0"/>
    </x:xf>
    <x:xf numFmtId="3" fontId="12" fillId="7" borderId="0" applyNumberFormat="1" applyFill="0" applyBorder="0" applyAlignment="1" applyProtection="1">
      <x:protection locked="1" hidden="0"/>
    </x:xf>
    <x:xf numFmtId="8" fontId="2" fillId="0" borderId="0" applyNumberFormat="1" applyFill="1" applyBorder="0" applyAlignment="1" applyProtection="1">
      <x:protection locked="1" hidden="0"/>
    </x:xf>
    <x:xf numFmtId="0" fontId="2" fillId="3" borderId="0" applyNumberFormat="1" applyFill="0" applyBorder="0" applyAlignment="1" applyProtection="1">
      <x:protection locked="1" hidden="0"/>
    </x:xf>
    <x:xf numFmtId="165" fontId="2" fillId="0" borderId="0" applyNumberFormat="1" applyFill="1" applyBorder="0" applyAlignment="1" applyProtection="1">
      <x:protection locked="1" hidden="0"/>
    </x:xf>
    <x:xf numFmtId="0" fontId="17" fillId="11" borderId="2" applyNumberFormat="1" applyFill="0" applyBorder="1" applyAlignment="1" applyProtection="1">
      <x:protection locked="1" hidden="0"/>
    </x:xf>
    <x:xf numFmtId="0" fontId="18" fillId="11" borderId="1" applyNumberFormat="1" applyFill="0" applyBorder="1" applyAlignment="1" applyProtection="1">
      <x:protection locked="1" hidden="0"/>
    </x:xf>
    <x:xf numFmtId="0" fontId="18" fillId="11" borderId="13" applyNumberFormat="1" applyFill="0" applyBorder="1" applyAlignment="1" applyProtection="1">
      <x:protection locked="1" hidden="0"/>
    </x:xf>
    <x:xf numFmtId="14" fontId="12" fillId="6" borderId="6" applyNumberFormat="1" applyFill="0" applyBorder="1" applyAlignment="1" applyProtection="1">
      <x:protection locked="1" hidden="0"/>
    </x:xf>
    <x:xf numFmtId="9" fontId="18" fillId="0" borderId="1" applyNumberFormat="1" applyFill="1" applyBorder="1" applyAlignment="1" applyProtection="1">
      <x:protection locked="1" hidden="0"/>
    </x:xf>
    <x:xf numFmtId="14" fontId="12" fillId="6" borderId="0" applyNumberFormat="1" applyFill="0" applyBorder="0" applyAlignment="1" applyProtection="1">
      <x:protection locked="1" hidden="0"/>
    </x:xf>
    <x:xf numFmtId="0" fontId="13" fillId="6" borderId="0" applyNumberFormat="1" applyFill="0" applyBorder="0" applyAlignment="1" applyProtection="1">
      <x:protection locked="1" hidden="0"/>
    </x:xf>
    <x:xf numFmtId="0" fontId="13" fillId="6" borderId="7" applyNumberFormat="1" applyFill="0" applyBorder="1" applyAlignment="1" applyProtection="1">
      <x:protection locked="1" hidden="0"/>
    </x:xf>
    <x:xf numFmtId="0" fontId="18" fillId="0" borderId="0" applyNumberFormat="1" applyFill="1" applyBorder="0" applyAlignment="1" applyProtection="1">
      <x:protection locked="1" hidden="0"/>
    </x:xf>
    <x:xf numFmtId="166" fontId="12" fillId="6" borderId="6" applyNumberFormat="1" applyFill="0" applyBorder="1" applyAlignment="1" applyProtection="1">
      <x:protection locked="1" hidden="0"/>
    </x:xf>
    <x:xf numFmtId="0" fontId="17" fillId="0" borderId="0" applyNumberFormat="1" applyFill="1" applyBorder="0" applyAlignment="1" applyProtection="1">
      <x:protection locked="1" hidden="0"/>
    </x:xf>
    <x:xf numFmtId="166" fontId="12" fillId="6" borderId="0" applyNumberFormat="1" applyFill="0" applyBorder="0" applyAlignment="1" applyProtection="1">
      <x:protection locked="1" hidden="0"/>
    </x:xf>
    <x:xf numFmtId="0" fontId="14" fillId="8" borderId="6" applyNumberFormat="1" applyFill="0" applyBorder="1" applyAlignment="1" applyProtection="1">
      <x:protection locked="1" hidden="0"/>
    </x:xf>
    <x:xf numFmtId="0" fontId="14" fillId="8" borderId="0" applyNumberFormat="1" applyFill="0" applyBorder="0" applyAlignment="1" applyProtection="1">
      <x:protection locked="1" hidden="0"/>
    </x:xf>
    <x:xf numFmtId="0" fontId="6" fillId="8" borderId="0" applyNumberFormat="1" applyFill="0" applyBorder="0" applyAlignment="1" applyProtection="1">
      <x:protection locked="1" hidden="0"/>
    </x:xf>
    <x:xf numFmtId="0" fontId="6" fillId="8" borderId="7" applyNumberFormat="1" applyFill="0" applyBorder="1" applyAlignment="1" applyProtection="1">
      <x:protection locked="1" hidden="0"/>
    </x:xf>
    <x:xf numFmtId="14" fontId="14" fillId="8" borderId="6" applyNumberFormat="1" applyFill="0" applyBorder="1" applyAlignment="1" applyProtection="1">
      <x:protection locked="1" hidden="0"/>
    </x:xf>
    <x:xf numFmtId="1" fontId="14" fillId="8" borderId="6" applyNumberFormat="1" applyFill="0" applyBorder="1" applyAlignment="1" applyProtection="1">
      <x:protection locked="1" hidden="0"/>
    </x:xf>
    <x:xf numFmtId="1" fontId="14" fillId="8" borderId="0" applyNumberFormat="1" applyFill="0" applyBorder="0" applyAlignment="1" applyProtection="1">
      <x:protection locked="1" hidden="0"/>
    </x:xf>
    <x:xf numFmtId="0" fontId="2" fillId="0" borderId="1" applyNumberFormat="1" applyFill="1" applyBorder="1" applyAlignment="1" applyProtection="1">
      <x:protection locked="1" hidden="0"/>
    </x:xf>
    <x:xf numFmtId="0" fontId="2" fillId="0" borderId="4" applyNumberFormat="1" applyFill="1" applyBorder="1" applyAlignment="1" applyProtection="1">
      <x:protection locked="1" hidden="0"/>
    </x:xf>
    <x:xf numFmtId="0" fontId="2" fillId="2" borderId="0" applyNumberFormat="1" applyFill="0" applyBorder="0" applyAlignment="1" applyProtection="1">
      <x:protection locked="1" hidden="0"/>
    </x:xf>
    <x:xf numFmtId="167" fontId="2" fillId="0" borderId="0" applyNumberFormat="1" applyFill="1" applyBorder="0" applyAlignment="1" applyProtection="1">
      <x:protection locked="1" hidden="0"/>
    </x:xf>
    <x:xf numFmtId="0" fontId="7" fillId="0" borderId="10" applyNumberFormat="1" applyFill="1" applyBorder="1" applyAlignment="1" applyProtection="1">
      <x:protection locked="1" hidden="0"/>
    </x:xf>
    <x:xf numFmtId="0" fontId="8" fillId="0" borderId="11" applyNumberFormat="1" applyFill="1" applyBorder="1" applyAlignment="1" applyProtection="1">
      <x:protection locked="1" hidden="0"/>
    </x:xf>
    <x:xf numFmtId="0" fontId="8" fillId="0" borderId="0" applyNumberFormat="1" applyFill="1" applyBorder="0" applyAlignment="1" applyProtection="1">
      <x:protection locked="1" hidden="0"/>
    </x:xf>
    <x:xf numFmtId="167" fontId="8" fillId="0" borderId="0" applyNumberFormat="1" applyFill="1" applyBorder="0" applyAlignment="1" applyProtection="1">
      <x:protection locked="1" hidden="0"/>
    </x:xf>
    <x:xf numFmtId="167" fontId="8" fillId="10" borderId="0" applyNumberFormat="1" applyFill="0" applyBorder="0" applyAlignment="1" applyProtection="1">
      <x:protection locked="1" hidden="0"/>
    </x:xf>
    <x:xf numFmtId="16" fontId="8" fillId="0" borderId="0" applyNumberFormat="1" applyFill="1" applyBorder="0" applyAlignment="1" applyProtection="1">
      <x:protection locked="1" hidden="0"/>
    </x:xf>
    <x:xf numFmtId="167" fontId="2" fillId="10" borderId="0" applyNumberFormat="1" applyFill="0" applyBorder="0" applyAlignment="1" applyProtection="1">
      <x:protection locked="1" hidden="0"/>
    </x:xf>
    <x:xf numFmtId="164" fontId="8" fillId="0" borderId="0" applyNumberFormat="1" applyFill="1" applyBorder="0" applyAlignment="1" applyProtection="1">
      <x:protection locked="1" hidden="0"/>
    </x:xf>
    <x:xf numFmtId="0" fontId="15" fillId="0" borderId="0" applyNumberFormat="1" applyFill="1" applyBorder="0" applyAlignment="1" applyProtection="1">
      <x:protection locked="1" hidden="0"/>
    </x:xf>
    <x:xf numFmtId="8" fontId="8" fillId="0" borderId="0" applyNumberFormat="1" applyFill="1" applyBorder="0" applyAlignment="1" applyProtection="1">
      <x:protection locked="1" hidden="0"/>
    </x:xf>
    <x:xf numFmtId="10" fontId="8" fillId="0" borderId="0" applyNumberFormat="1" applyFill="1" applyBorder="0" applyAlignment="1" applyProtection="1">
      <x:protection locked="1" hidden="0"/>
    </x:xf>
    <x:xf numFmtId="10" fontId="2" fillId="0" borderId="0" applyNumberFormat="1" applyFill="1" applyBorder="0" applyAlignment="1" applyProtection="1">
      <x:protection locked="1" hidden="0"/>
    </x:xf>
    <x:xf numFmtId="168" fontId="8" fillId="0" borderId="5" applyNumberFormat="1" applyFill="1" applyBorder="1" applyAlignment="1" applyProtection="1">
      <x:protection locked="1" hidden="0"/>
    </x:xf>
    <x:xf numFmtId="8" fontId="8" fillId="0" borderId="5" applyNumberFormat="1" applyFill="1" applyBorder="1" applyAlignment="1" applyProtection="1">
      <x:protection locked="1" hidden="0"/>
    </x:xf>
    <x:xf numFmtId="0" fontId="8" fillId="0" borderId="1" applyNumberFormat="1" applyFill="1" applyBorder="1" applyAlignment="1" applyProtection="1">
      <x:protection locked="1" hidden="0"/>
    </x:xf>
    <x:xf numFmtId="0" fontId="8" fillId="0" borderId="2" applyNumberFormat="1" applyFill="1" applyBorder="1" applyAlignment="1" applyProtection="1">
      <x:protection locked="1" hidden="0"/>
    </x:xf>
    <x:xf numFmtId="0" fontId="8" fillId="2" borderId="2" applyNumberFormat="1" applyFill="0" applyBorder="1" applyAlignment="1" applyProtection="1">
      <x:protection locked="1" hidden="0"/>
    </x:xf>
    <x:xf numFmtId="0" fontId="8" fillId="2" borderId="3" applyNumberFormat="1" applyFill="0" applyBorder="1" applyAlignment="1" applyProtection="1">
      <x:protection locked="1" hidden="0"/>
    </x:xf>
    <x:xf numFmtId="0" fontId="8" fillId="3" borderId="2" applyNumberFormat="1" applyFill="0" applyBorder="1" applyAlignment="1" applyProtection="1">
      <x:protection locked="1" hidden="0"/>
    </x:xf>
    <x:xf numFmtId="0" fontId="8" fillId="3" borderId="3" applyNumberFormat="1" applyFill="0" applyBorder="1" applyAlignment="1" applyProtection="1">
      <x:protection locked="1" hidden="0"/>
    </x:xf>
    <x:xf numFmtId="0" fontId="8" fillId="3" borderId="4" applyNumberFormat="1" applyFill="0" applyBorder="1" applyAlignment="1" applyProtection="1">
      <x:protection locked="1" hidden="0"/>
    </x:xf>
    <x:xf numFmtId="0" fontId="8" fillId="0" borderId="3" applyNumberFormat="1" applyFill="1" applyBorder="1" applyAlignment="1" applyProtection="1">
      <x:protection locked="1" hidden="0"/>
    </x:xf>
    <x:xf numFmtId="0" fontId="8" fillId="0" borderId="4" applyNumberFormat="1" applyFill="1" applyBorder="1" applyAlignment="1" applyProtection="1">
      <x:protection locked="1" hidden="0"/>
    </x:xf>
    <x:xf numFmtId="0" fontId="2" fillId="3" borderId="2" applyNumberFormat="1" applyFill="0" applyBorder="1" applyAlignment="1" applyProtection="1">
      <x:protection locked="1" hidden="0"/>
    </x:xf>
    <x:xf numFmtId="0" fontId="2" fillId="3" borderId="3" applyNumberFormat="1" applyFill="0" applyBorder="1" applyAlignment="1" applyProtection="1">
      <x:protection locked="1" hidden="0"/>
    </x:xf>
    <x:xf numFmtId="0" fontId="2" fillId="3" borderId="4" applyNumberFormat="1" applyFill="0" applyBorder="1" applyAlignment="1" applyProtection="1">
      <x:protection locked="1" hidden="0"/>
    </x:xf>
    <x:xf numFmtId="0" fontId="8" fillId="10" borderId="1" applyNumberFormat="1" applyFill="0" applyBorder="1" applyAlignment="1" applyProtection="1">
      <x:protection locked="1" hidden="0"/>
    </x:xf>
    <x:xf numFmtId="0" fontId="8" fillId="2" borderId="1" applyNumberFormat="1" applyFill="0" applyBorder="1" applyAlignment="1" applyProtection="1">
      <x:protection locked="1" hidden="0"/>
    </x:xf>
    <x:xf numFmtId="0" fontId="8" fillId="3" borderId="1" applyNumberFormat="1" applyFill="0" applyBorder="1" applyAlignment="1" applyProtection="1">
      <x:protection locked="1" hidden="0"/>
    </x:xf>
    <x:xf numFmtId="167" fontId="8" fillId="3" borderId="1" applyNumberFormat="1" applyFill="0" applyBorder="1" applyAlignment="1" applyProtection="1">
      <x:protection locked="1" hidden="0"/>
    </x:xf>
    <x:xf numFmtId="167" fontId="8" fillId="0" borderId="1" applyNumberFormat="1" applyFill="1" applyBorder="1" applyAlignment="1" applyProtection="1">
      <x:protection locked="1" hidden="0"/>
    </x:xf>
    <x:xf numFmtId="0" fontId="2" fillId="3" borderId="1" applyNumberFormat="1" applyFill="0" applyBorder="1" applyAlignment="1" applyProtection="1">
      <x:protection locked="1" hidden="0"/>
    </x:xf>
    <x:xf numFmtId="167" fontId="2" fillId="0" borderId="1" applyNumberFormat="1" applyFill="1" applyBorder="1" applyAlignment="1" applyProtection="1">
      <x:protection locked="1" hidden="0"/>
    </x:xf>
    <x:xf numFmtId="0" fontId="9" fillId="0" borderId="1" applyNumberFormat="1" applyFill="1" applyBorder="1" applyAlignment="1" applyProtection="1">
      <x:protection locked="1" hidden="0"/>
    </x:xf>
    <x:xf numFmtId="0" fontId="9" fillId="0" borderId="4" applyNumberFormat="1" applyFill="1" applyBorder="1" applyAlignment="1" applyProtection="1">
      <x:protection locked="1" hidden="0"/>
    </x:xf>
    <x:xf numFmtId="0" fontId="9" fillId="2" borderId="1" applyNumberFormat="1" applyFill="0" applyBorder="1" applyAlignment="1" applyProtection="1">
      <x:protection locked="1" hidden="0"/>
    </x:xf>
    <x:xf numFmtId="0" fontId="9" fillId="4" borderId="1" applyNumberFormat="1" applyFill="0" applyBorder="1" applyAlignment="1" applyProtection="1">
      <x:protection locked="1" hidden="0"/>
    </x:xf>
    <x:xf numFmtId="2" fontId="9" fillId="0" borderId="1" applyNumberFormat="1" applyFill="1" applyBorder="1" applyAlignment="1" applyProtection="1">
      <x:protection locked="0" hidden="0"/>
    </x:xf>
    <x:xf numFmtId="2" fontId="9" fillId="0" borderId="1" applyNumberFormat="1" applyFill="1" applyBorder="1" applyAlignment="1" applyProtection="1">
      <x:protection locked="1" hidden="0"/>
    </x:xf>
    <x:xf numFmtId="164" fontId="8" fillId="0" borderId="1" applyNumberFormat="1" applyFill="1" applyBorder="1" applyAlignment="1" applyProtection="1">
      <x:protection locked="1" hidden="0"/>
    </x:xf>
    <x:xf numFmtId="2" fontId="8" fillId="0" borderId="1" applyNumberFormat="1" applyFill="1" applyBorder="1" applyAlignment="1" applyProtection="1">
      <x:protection locked="1" hidden="0"/>
    </x:xf>
    <x:xf numFmtId="164" fontId="2" fillId="0" borderId="1" applyNumberFormat="1" applyFill="1" applyBorder="1" applyAlignment="1" applyProtection="1">
      <x:protection locked="1" hidden="0"/>
    </x:xf>
    <x:xf numFmtId="0" fontId="9" fillId="0" borderId="8" applyNumberFormat="1" applyFill="1" applyBorder="1" applyAlignment="1" applyProtection="1">
      <x:protection locked="1" hidden="0"/>
    </x:xf>
    <x:xf numFmtId="0" fontId="9" fillId="0" borderId="9" applyNumberFormat="1" applyFill="1" applyBorder="1" applyAlignment="1" applyProtection="1">
      <x:protection locked="1" hidden="0"/>
    </x:xf>
    <x:xf numFmtId="0" fontId="9" fillId="4" borderId="8" applyNumberFormat="1" applyFill="0" applyBorder="1" applyAlignment="1" applyProtection="1">
      <x:protection locked="1" hidden="0"/>
    </x:xf>
    <x:xf numFmtId="168" fontId="8" fillId="0" borderId="1" applyNumberFormat="1" applyFill="1" applyBorder="1" applyAlignment="1" applyProtection="1">
      <x:protection locked="1" hidden="0"/>
    </x:xf>
    <x:xf numFmtId="0" fontId="9" fillId="0" borderId="1" applyNumberFormat="1" applyFill="1" applyBorder="1" applyAlignment="1" applyProtection="1">
      <x:protection locked="0" hidden="0"/>
    </x:xf>
    <x:xf numFmtId="49" fontId="9" fillId="2" borderId="1" applyNumberFormat="1" applyFill="0" applyBorder="1" applyAlignment="1" applyProtection="1">
      <x:protection locked="1" hidden="0"/>
    </x:xf>
    <x:xf numFmtId="0" fontId="6" fillId="6" borderId="1" applyNumberFormat="1" applyFill="0" applyBorder="1" applyAlignment="1" applyProtection="1">
      <x:protection locked="1" hidden="0"/>
    </x:xf>
    <x:xf numFmtId="0" fontId="0" fillId="3" borderId="0" applyNumberFormat="1" applyFill="0" applyBorder="0" applyAlignment="1" applyProtection="1">
      <x:protection locked="1" hidden="0"/>
    </x:xf>
    <x:xf numFmtId="0" fontId="2" fillId="3" borderId="12" applyNumberFormat="1" applyFill="0" applyBorder="1" applyAlignment="1" applyProtection="1">
      <x:protection locked="1" hidden="0"/>
    </x:xf>
    <x:xf numFmtId="0" fontId="2" fillId="3" borderId="13" applyNumberFormat="1" applyFill="0" applyBorder="1" applyAlignment="1" applyProtection="1">
      <x:protection locked="1" hidden="0"/>
    </x:xf>
    <x:xf numFmtId="1" fontId="2" fillId="0" borderId="0" applyNumberFormat="1" applyFill="1" applyBorder="0" applyAlignment="1" applyProtection="1">
      <x:protection locked="1" hidden="0"/>
    </x:xf>
    <x:xf numFmtId="1" fontId="2" fillId="0" borderId="1" applyNumberFormat="1" applyFill="1" applyBorder="1" applyAlignment="1" applyProtection="1">
      <x:protection locked="1" hidden="0"/>
    </x:xf>
    <x:xf numFmtId="1" fontId="3" fillId="0" borderId="1" applyNumberFormat="1" applyFill="1" applyBorder="1" applyAlignment="1" applyProtection="1">
      <x:protection locked="1" hidden="0"/>
    </x:xf>
    <x:xf numFmtId="0" fontId="3" fillId="0" borderId="1" applyNumberFormat="1" applyFill="1" applyBorder="1" applyAlignment="1" applyProtection="1">
      <x:protection locked="1" hidden="0"/>
    </x:xf>
    <x:xf numFmtId="1" fontId="4" fillId="0" borderId="1" applyNumberFormat="1" applyFill="1" applyBorder="1" applyAlignment="1" applyProtection="1">
      <x:protection locked="1" hidden="0"/>
    </x:xf>
    <x:xf numFmtId="2" fontId="2" fillId="0" borderId="0" applyNumberFormat="1" applyFill="1" applyBorder="0" applyAlignment="1" applyProtection="1">
      <x:protection locked="1" hidden="0"/>
    </x:xf>
    <x:xf numFmtId="1" fontId="2" fillId="2" borderId="0" applyNumberFormat="1" applyFill="0" applyBorder="0" applyAlignment="1" applyProtection="1">
      <x:protection locked="1" hidden="0"/>
    </x:xf>
    <x:xf numFmtId="1" fontId="5" fillId="2" borderId="0" applyNumberFormat="1" applyFill="0" applyBorder="0" applyAlignment="1" applyProtection="1">
      <x:protection locked="1" hidden="0"/>
    </x:xf>
    <x:xf numFmtId="1" fontId="5" fillId="0" borderId="0" applyNumberFormat="1" applyFill="1" applyBorder="0" applyAlignment="1" applyProtection="1">
      <x:protection locked="1" hidden="0"/>
    </x:xf>
    <x:xf numFmtId="0" fontId="16" fillId="9" borderId="0" applyNumberFormat="1" applyFill="0" applyBorder="0" applyAlignment="1" applyProtection="1">
      <x:protection locked="1" hidden="0"/>
    </x:xf>
  </x:cellStyleXfs>
  <x:cellXfs count="205">
    <x:xf numFmtId="0" fontId="0" fillId="0" borderId="0" xfId="0"/>
    <x:xf numFmtId="0" fontId="0" fillId="3" borderId="0" xfId="0" applyFill="1" applyAlignment="1">
      <x:alignment wrapText="1"/>
    </x:xf>
    <x:xf numFmtId="0" fontId="0" fillId="0" borderId="0" xfId="0" applyAlignment="1">
      <x:alignment wrapText="1"/>
    </x:xf>
    <x:xf numFmtId="0" fontId="1" fillId="0" borderId="0" xfId="0" applyFont="1" applyAlignment="1">
      <x:alignment horizontal="center" wrapText="1"/>
    </x:xf>
    <x:xf numFmtId="0" fontId="1" fillId="0" borderId="0" xfId="0" applyFont="1"/>
    <x:xf numFmtId="0" fontId="1" fillId="0" borderId="0" xfId="0" applyFont="1" applyAlignment="1">
      <x:alignment horizontal="left"/>
    </x:xf>
    <x:xf numFmtId="0" fontId="2" fillId="0" borderId="0" xfId="0" applyFont="1"/>
    <x:xf numFmtId="2" fontId="2" fillId="0" borderId="0" xfId="0" applyNumberFormat="1" applyFont="1"/>
    <x:xf numFmtId="0" fontId="2" fillId="0" borderId="0" xfId="0" applyFont="1" applyAlignment="1">
      <x:alignment horizontal="left"/>
    </x:xf>
    <x:xf numFmtId="14" fontId="2" fillId="0" borderId="0" xfId="0" applyNumberFormat="1" applyFont="1" applyAlignment="1">
      <x:alignment horizontal="left"/>
    </x:xf>
    <x:xf numFmtId="2" fontId="2" fillId="0" borderId="0" xfId="0" applyNumberFormat="1" applyFont="1" applyAlignment="1">
      <x:alignment horizontal="left"/>
    </x:xf>
    <x:xf numFmtId="0" fontId="2" fillId="0" borderId="1" xfId="0" applyFont="1" applyBorder="1"/>
    <x:xf numFmtId="1" fontId="3" fillId="0" borderId="1" xfId="0" applyNumberFormat="1" applyFont="1" applyBorder="1"/>
    <x:xf numFmtId="1" fontId="2" fillId="0" borderId="1" xfId="0" applyNumberFormat="1" applyFont="1" applyBorder="1"/>
    <x:xf numFmtId="0" fontId="3" fillId="0" borderId="1" xfId="0" applyFont="1" applyBorder="1"/>
    <x:xf numFmtId="1" fontId="2" fillId="0" borderId="0" xfId="0" applyNumberFormat="1" applyFont="1"/>
    <x:xf numFmtId="1" fontId="4" fillId="0" borderId="1" xfId="0" applyNumberFormat="1" applyFont="1" applyBorder="1"/>
    <x:xf numFmtId="1" fontId="2" fillId="2" borderId="0" xfId="0" applyNumberFormat="1" applyFont="1" applyFill="1"/>
    <x:xf numFmtId="0" fontId="2" fillId="2" borderId="0" xfId="0" applyFont="1" applyFill="1"/>
    <x:xf numFmtId="1" fontId="5" fillId="2" borderId="0" xfId="0" applyNumberFormat="1" applyFont="1" applyFill="1"/>
    <x:xf numFmtId="1" fontId="5" fillId="0" borderId="0" xfId="0" applyNumberFormat="1" applyFont="1"/>
    <x:xf numFmtId="0" fontId="2" fillId="3" borderId="0" xfId="0" applyFont="1" applyFill="1" applyAlignment="1">
      <x:alignment wrapText="1"/>
    </x:xf>
    <x:xf numFmtId="0" fontId="2" fillId="3" borderId="1" xfId="0" applyFont="1" applyFill="1" applyBorder="1" applyAlignment="1">
      <x:alignment wrapText="1"/>
    </x:xf>
    <x:xf numFmtId="0" fontId="2" fillId="0" borderId="0" xfId="0" applyFont="1" applyAlignment="1">
      <x:alignment wrapText="1"/>
    </x:xf>
    <x:xf numFmtId="0" fontId="2" fillId="0" borderId="1" xfId="0" applyFont="1" applyBorder="1" applyAlignment="1">
      <x:alignment wrapText="1"/>
    </x:xf>
    <x:xf numFmtId="0" fontId="6" fillId="6" borderId="1" xfId="0" applyFont="1" applyFill="1" applyBorder="1" applyAlignment="1">
      <x:alignment wrapText="1"/>
    </x:xf>
    <x:xf numFmtId="0" fontId="7" fillId="0" borderId="10" xfId="0" applyFont="1" applyBorder="1"/>
    <x:xf numFmtId="0" fontId="8" fillId="0" borderId="11" xfId="0" applyFont="1" applyBorder="1"/>
    <x:xf numFmtId="0" fontId="8" fillId="0" borderId="0" xfId="0" applyFont="1"/>
    <x:xf numFmtId="167" fontId="8" fillId="0" borderId="0" xfId="0" applyNumberFormat="1" applyFont="1"/>
    <x:xf numFmtId="167" fontId="2" fillId="0" borderId="0" xfId="0" applyNumberFormat="1" applyFont="1"/>
    <x:xf numFmtId="10" fontId="8" fillId="0" borderId="0" xfId="0" applyNumberFormat="1" applyFont="1"/>
    <x:xf numFmtId="10" fontId="2" fillId="0" borderId="0" xfId="0" applyNumberFormat="1" applyFont="1"/>
    <x:xf numFmtId="8" fontId="8" fillId="0" borderId="0" xfId="0" applyNumberFormat="1" applyFont="1"/>
    <x:xf numFmtId="8" fontId="2" fillId="0" borderId="0" xfId="0" applyNumberFormat="1" applyFont="1"/>
    <x:xf numFmtId="168" fontId="8" fillId="0" borderId="5" xfId="1" applyNumberFormat="1" applyFont="1" applyBorder="1" applyAlignment="1">
      <x:alignment horizontal="right"/>
    </x:xf>
    <x:xf numFmtId="0" fontId="8" fillId="0" borderId="1" xfId="0" applyFont="1" applyBorder="1" applyAlignment="1">
      <x:alignment vertical="center" wrapText="1"/>
    </x:xf>
    <x:xf numFmtId="0" fontId="8" fillId="3" borderId="2" xfId="0" applyFont="1" applyFill="1" applyBorder="1" applyAlignment="1">
      <x:alignment horizontal="center" vertical="center" wrapText="1"/>
    </x:xf>
    <x:xf numFmtId="0" fontId="2" fillId="0" borderId="0" xfId="0" applyFont="1" applyAlignment="1">
      <x:alignment vertical="center" wrapText="1"/>
    </x:xf>
    <x:xf numFmtId="0" fontId="8" fillId="2" borderId="1" xfId="0" applyFont="1" applyFill="1" applyBorder="1" applyAlignment="1">
      <x:alignment horizontal="center" vertical="center" wrapText="1"/>
    </x:xf>
    <x:xf numFmtId="0" fontId="8" fillId="2" borderId="1" xfId="0" applyFont="1" applyFill="1" applyBorder="1" applyAlignment="1">
      <x:alignment vertical="center" wrapText="1"/>
    </x:xf>
    <x:xf numFmtId="0" fontId="8" fillId="3" borderId="1" xfId="0" applyFont="1" applyFill="1" applyBorder="1" applyAlignment="1">
      <x:alignment vertical="center" wrapText="1"/>
    </x:xf>
    <x:xf numFmtId="167" fontId="8" fillId="3" borderId="1" xfId="0" applyNumberFormat="1" applyFont="1" applyFill="1" applyBorder="1" applyAlignment="1">
      <x:alignment vertical="center" wrapText="1"/>
    </x:xf>
    <x:xf numFmtId="167" fontId="8" fillId="0" borderId="1" xfId="0" applyNumberFormat="1" applyFont="1" applyBorder="1" applyAlignment="1">
      <x:alignment vertical="center" wrapText="1"/>
    </x:xf>
    <x:xf numFmtId="0" fontId="2" fillId="3" borderId="1" xfId="0" applyFont="1" applyFill="1" applyBorder="1" applyAlignment="1">
      <x:alignment vertical="center" wrapText="1"/>
    </x:xf>
    <x:xf numFmtId="167" fontId="2" fillId="0" borderId="1" xfId="0" applyNumberFormat="1" applyFont="1" applyBorder="1" applyAlignment="1">
      <x:alignment vertical="center" wrapText="1"/>
    </x:xf>
    <x:xf numFmtId="0" fontId="2" fillId="0" borderId="1" xfId="0" applyFont="1" applyBorder="1" applyAlignment="1">
      <x:alignment vertical="center" wrapText="1"/>
    </x:xf>
    <x:xf numFmtId="0" fontId="8" fillId="0" borderId="1" xfId="0" applyFont="1" applyBorder="1"/>
    <x:xf numFmtId="0" fontId="9" fillId="0" borderId="1" xfId="0" applyFont="1" applyBorder="1"/>
    <x:xf numFmtId="0" fontId="9" fillId="0" borderId="4" xfId="0" applyFont="1" applyBorder="1"/>
    <x:xf numFmtId="0" fontId="10" fillId="0" borderId="4" xfId="0" applyFont="1" applyBorder="1"/>
    <x:xf numFmtId="0" fontId="10" fillId="0" borderId="1" xfId="0" applyFont="1" applyBorder="1"/>
    <x:xf numFmtId="0" fontId="10" fillId="2" borderId="1" xfId="0" applyFont="1" applyFill="1" applyBorder="1"/>
    <x:xf numFmtId="49" fontId="9" fillId="5" borderId="1" xfId="0" applyNumberFormat="1" applyFont="1" applyFill="1" applyBorder="1" applyAlignment="1">
      <x:alignment horizontal="right"/>
    </x:xf>
    <x:xf numFmtId="0" fontId="8" fillId="2" borderId="1" xfId="0" applyFont="1" applyFill="1" applyBorder="1"/>
    <x:xf numFmtId="0" fontId="9" fillId="4" borderId="1" xfId="0" applyFont="1" applyFill="1" applyBorder="1"/>
    <x:xf numFmtId="2" fontId="9" fillId="0" borderId="1" xfId="0" applyNumberFormat="1" applyFont="1" applyBorder="1" applyProtection="1">
      <x:protection locked="0"/>
    </x:xf>
    <x:xf numFmtId="2" fontId="9" fillId="0" borderId="1" xfId="0" applyNumberFormat="1" applyFont="1" applyBorder="1"/>
    <x:xf numFmtId="164" fontId="8" fillId="0" borderId="1" xfId="0" applyNumberFormat="1" applyFont="1" applyBorder="1"/>
    <x:xf numFmtId="2" fontId="8" fillId="0" borderId="1" xfId="0" applyNumberFormat="1" applyFont="1" applyBorder="1"/>
    <x:xf numFmtId="167" fontId="8" fillId="0" borderId="1" xfId="0" applyNumberFormat="1" applyFont="1" applyBorder="1"/>
    <x:xf numFmtId="167" fontId="2" fillId="0" borderId="1" xfId="0" applyNumberFormat="1" applyFont="1" applyBorder="1"/>
    <x:xf numFmtId="164" fontId="2" fillId="0" borderId="1" xfId="0" applyNumberFormat="1" applyFont="1" applyBorder="1"/>
    <x:xf numFmtId="0" fontId="9" fillId="0" borderId="1" xfId="0" applyFont="1" applyBorder="1" applyAlignment="1">
      <x:alignment horizontal="right"/>
    </x:xf>
    <x:xf numFmtId="0" fontId="9" fillId="0" borderId="8" xfId="0" applyFont="1" applyBorder="1"/>
    <x:xf numFmtId="0" fontId="9" fillId="0" borderId="9" xfId="0" applyFont="1" applyBorder="1"/>
    <x:xf numFmtId="0" fontId="10" fillId="0" borderId="9" xfId="0" applyFont="1" applyBorder="1"/>
    <x:xf numFmtId="0" fontId="9" fillId="4" borderId="8" xfId="0" applyFont="1" applyFill="1" applyBorder="1"/>
    <x:xf numFmtId="0" fontId="10" fillId="0" borderId="8" xfId="0" applyFont="1" applyBorder="1"/>
    <x:xf numFmtId="168" fontId="8" fillId="0" borderId="1" xfId="1" applyNumberFormat="1" applyFont="1" applyBorder="1"/>
    <x:xf numFmtId="0" fontId="9" fillId="0" borderId="1" xfId="0" applyFont="1" applyBorder="1" applyProtection="1">
      <x:protection locked="0"/>
    </x:xf>
    <x:xf numFmtId="0" fontId="2" fillId="0" borderId="4" xfId="0" applyFont="1" applyBorder="1"/>
    <x:xf numFmtId="0" fontId="11" fillId="0" borderId="0" xfId="0" applyFont="1" applyAlignment="1">
      <x:alignment horizontal="right"/>
    </x:xf>
    <x:xf numFmtId="0" fontId="11" fillId="0" borderId="0" xfId="0" applyFont="1" applyAlignment="1">
      <x:alignment horizontal="left"/>
    </x:xf>
    <x:xf numFmtId="0" fontId="2" fillId="0" borderId="0" xfId="0" applyFont="1" applyAlignment="1">
      <x:alignment horizontal="right"/>
    </x:xf>
    <x:xf numFmtId="8" fontId="2" fillId="0" borderId="0" xfId="0" applyNumberFormat="1" applyFont="1" applyAlignment="1">
      <x:alignment horizontal="left"/>
    </x:xf>
    <x:xf numFmtId="0" fontId="2" fillId="3" borderId="0" xfId="0" applyFont="1" applyFill="1" applyAlignment="1">
      <x:alignment horizontal="left" wrapText="1"/>
    </x:xf>
    <x:xf numFmtId="165" fontId="2" fillId="0" borderId="0" xfId="0" applyNumberFormat="1" applyFont="1" applyAlignment="1">
      <x:alignment horizontal="left"/>
    </x:xf>
    <x:xf numFmtId="0" fontId="2" fillId="3" borderId="12" xfId="0" applyFont="1" applyFill="1" applyBorder="1" applyAlignment="1">
      <x:alignment wrapText="1"/>
    </x:xf>
    <x:xf numFmtId="0" fontId="2" fillId="3" borderId="13" xfId="0" applyFont="1" applyFill="1" applyBorder="1" applyAlignment="1">
      <x:alignment wrapText="1"/>
    </x:xf>
    <x:xf numFmtId="0" fontId="15" fillId="0" borderId="0" xfId="0" applyFont="1"/>
    <x:xf numFmtId="0" fontId="2" fillId="0" borderId="0" xfId="0" pivotButton="1" applyFont="1"/>
    <x:xf numFmtId="164" fontId="2" fillId="0" borderId="0" xfId="0" applyNumberFormat="1" applyFont="1"/>
    <x:xf numFmtId="0" fontId="16" fillId="9" borderId="0" xfId="0" applyFont="1" applyFill="1"/>
    <x:xf numFmtId="167" fontId="8" fillId="10" borderId="0" xfId="0" applyNumberFormat="1" applyFont="1" applyFill="1"/>
    <x:xf numFmtId="167" fontId="2" fillId="10" borderId="0" xfId="0" applyNumberFormat="1" applyFont="1" applyFill="1"/>
    <x:xf numFmtId="0" fontId="8" fillId="0" borderId="2" xfId="0" applyFont="1" applyBorder="1" applyAlignment="1">
      <x:alignment horizontal="center" vertical="center" wrapText="1"/>
    </x:xf>
    <x:xf numFmtId="164" fontId="8" fillId="0" borderId="0" xfId="0" applyNumberFormat="1" applyFont="1"/>
    <x:xf numFmtId="0" fontId="17" fillId="11" borderId="10" xfId="0" applyFont="1" applyFill="1" applyBorder="1"/>
    <x:xf numFmtId="0" fontId="17" fillId="11" borderId="14" xfId="0" applyFont="1" applyFill="1" applyBorder="1" applyAlignment="1">
      <x:alignment horizontal="center"/>
    </x:xf>
    <x:xf numFmtId="0" fontId="17" fillId="11" borderId="15" xfId="0" applyFont="1" applyFill="1" applyBorder="1" applyAlignment="1">
      <x:alignment horizontal="center"/>
    </x:xf>
    <x:xf numFmtId="0" fontId="18" fillId="0" borderId="2" xfId="0" applyFont="1" applyBorder="1"/>
    <x:xf numFmtId="0" fontId="18" fillId="0" borderId="8" xfId="0" applyFont="1" applyBorder="1" applyAlignment="1">
      <x:alignment horizontal="center"/>
    </x:xf>
    <x:xf numFmtId="0" fontId="18" fillId="0" borderId="1" xfId="0" applyFont="1" applyBorder="1" applyAlignment="1">
      <x:alignment horizontal="center"/>
    </x:xf>
    <x:xf numFmtId="0" fontId="18" fillId="0" borderId="16" xfId="0" applyFont="1" applyBorder="1" applyAlignment="1">
      <x:alignment horizontal="center"/>
    </x:xf>
    <x:xf numFmtId="0" fontId="18" fillId="0" borderId="13" xfId="0" applyFont="1" applyBorder="1" applyAlignment="1">
      <x:alignment horizontal="center"/>
    </x:xf>
    <x:xf numFmtId="0" fontId="18" fillId="0" borderId="1" xfId="0" applyFont="1" applyBorder="1"/>
    <x:xf numFmtId="0" fontId="17" fillId="11" borderId="2" xfId="0" applyFont="1" applyFill="1" applyBorder="1"/>
    <x:xf numFmtId="0" fontId="18" fillId="11" borderId="1" xfId="0" applyFont="1" applyFill="1" applyBorder="1" applyAlignment="1">
      <x:alignment horizontal="center"/>
    </x:xf>
    <x:xf numFmtId="0" fontId="18" fillId="11" borderId="13" xfId="0" applyFont="1" applyFill="1" applyBorder="1" applyAlignment="1">
      <x:alignment horizontal="center"/>
    </x:xf>
    <x:xf numFmtId="9" fontId="18" fillId="0" borderId="1" xfId="0" applyNumberFormat="1" applyFont="1" applyBorder="1" applyAlignment="1">
      <x:alignment horizontal="center"/>
    </x:xf>
    <x:xf numFmtId="0" fontId="18" fillId="0" borderId="0" xfId="0" applyFont="1"/>
    <x:xf numFmtId="0" fontId="17" fillId="0" borderId="0" xfId="0" applyFont="1" applyAlignment="1">
      <x:alignment horizontal="center"/>
    </x:xf>
    <x:xf numFmtId="0" fontId="0" fillId="0" borderId="0" xfId="0" applyAlignment="1">
      <x:alignment horizontal="left"/>
    </x:xf>
    <x:xf numFmtId="0" fontId="8" fillId="10" borderId="1" xfId="0" applyFont="1" applyFill="1" applyBorder="1" applyAlignment="1">
      <x:alignment horizontal="center" vertical="center" wrapText="1"/>
    </x:xf>
    <x:xf numFmtId="0" fontId="9" fillId="5" borderId="1" xfId="0" applyFont="1" applyFill="1" applyBorder="1" applyAlignment="1">
      <x:alignment horizontal="right"/>
    </x:xf>
    <x:xf numFmtId="16" fontId="8" fillId="0" borderId="0" xfId="0" applyNumberFormat="1" applyFont="1"/>
    <x:xf numFmtId="0" fontId="13" fillId="6" borderId="0" xfId="0" applyFont="1" applyFill="1" applyAlignment="1">
      <x:alignment horizontal="center" vertical="top" wrapText="1"/>
    </x:xf>
    <x:xf numFmtId="0" fontId="13" fillId="6" borderId="7" xfId="0" applyFont="1" applyFill="1" applyBorder="1" applyAlignment="1">
      <x:alignment horizontal="center" vertical="top" wrapText="1"/>
    </x:xf>
    <x:xf numFmtId="0" fontId="2" fillId="0" borderId="0" xfId="0" applyFont="1" applyAlignment="1">
      <x:alignment horizontal="left"/>
    </x:xf>
    <x:xf numFmtId="1" fontId="14" fillId="8" borderId="6" xfId="0" applyNumberFormat="1" applyFont="1" applyFill="1" applyBorder="1" applyAlignment="1">
      <x:alignment horizontal="center" wrapText="1"/>
    </x:xf>
    <x:xf numFmtId="1" fontId="14" fillId="8" borderId="0" xfId="0" applyNumberFormat="1" applyFont="1" applyFill="1" applyAlignment="1">
      <x:alignment horizontal="center" wrapText="1"/>
    </x:xf>
    <x:xf numFmtId="0" fontId="6" fillId="8" borderId="0" xfId="0" applyFont="1" applyFill="1" applyAlignment="1">
      <x:alignment horizontal="center" vertical="top" wrapText="1"/>
    </x:xf>
    <x:xf numFmtId="0" fontId="6" fillId="8" borderId="7" xfId="0" applyFont="1" applyFill="1" applyBorder="1" applyAlignment="1">
      <x:alignment horizontal="center" vertical="top" wrapText="1"/>
    </x:xf>
    <x:xf numFmtId="14" fontId="2" fillId="0" borderId="0" xfId="0" applyNumberFormat="1" applyFont="1" applyAlignment="1">
      <x:alignment horizontal="left"/>
    </x:xf>
    <x:xf numFmtId="166" fontId="12" fillId="6" borderId="6" xfId="0" applyNumberFormat="1" applyFont="1" applyFill="1" applyBorder="1" applyAlignment="1">
      <x:alignment horizontal="center" wrapText="1"/>
    </x:xf>
    <x:xf numFmtId="166" fontId="12" fillId="6" borderId="0" xfId="0" applyNumberFormat="1" applyFont="1" applyFill="1" applyAlignment="1">
      <x:alignment horizontal="center" wrapText="1"/>
    </x:xf>
    <x:xf numFmtId="0" fontId="14" fillId="8" borderId="6" xfId="0" applyFont="1" applyFill="1" applyBorder="1" applyAlignment="1">
      <x:alignment horizontal="center" wrapText="1"/>
    </x:xf>
    <x:xf numFmtId="0" fontId="14" fillId="8" borderId="0" xfId="0" applyFont="1" applyFill="1" applyAlignment="1">
      <x:alignment horizontal="center" wrapText="1"/>
    </x:xf>
    <x:xf numFmtId="14" fontId="14" fillId="8" borderId="6" xfId="0" applyNumberFormat="1" applyFont="1" applyFill="1" applyBorder="1" applyAlignment="1">
      <x:alignment horizontal="center" wrapText="1"/>
    </x:xf>
    <x:xf numFmtId="1" fontId="12" fillId="7" borderId="6" xfId="0" applyNumberFormat="1" applyFont="1" applyFill="1" applyBorder="1" applyAlignment="1">
      <x:alignment horizontal="center" wrapText="1"/>
    </x:xf>
    <x:xf numFmtId="1" fontId="12" fillId="7" borderId="0" xfId="0" applyNumberFormat="1" applyFont="1" applyFill="1" applyAlignment="1">
      <x:alignment horizontal="center" wrapText="1"/>
    </x:xf>
    <x:xf numFmtId="0" fontId="13" fillId="7" borderId="0" xfId="0" applyFont="1" applyFill="1" applyAlignment="1">
      <x:alignment horizontal="center" vertical="top" wrapText="1"/>
    </x:xf>
    <x:xf numFmtId="0" fontId="13" fillId="7" borderId="7" xfId="0" applyFont="1" applyFill="1" applyBorder="1" applyAlignment="1">
      <x:alignment horizontal="center" vertical="top" wrapText="1"/>
    </x:xf>
    <x:xf numFmtId="3" fontId="12" fillId="7" borderId="6" xfId="0" applyNumberFormat="1" applyFont="1" applyFill="1" applyBorder="1" applyAlignment="1">
      <x:alignment horizontal="center" wrapText="1"/>
    </x:xf>
    <x:xf numFmtId="3" fontId="12" fillId="7" borderId="0" xfId="0" applyNumberFormat="1" applyFont="1" applyFill="1" applyAlignment="1">
      <x:alignment horizontal="center" wrapText="1"/>
    </x:xf>
    <x:xf numFmtId="14" fontId="12" fillId="6" borderId="6" xfId="0" applyNumberFormat="1" applyFont="1" applyFill="1" applyBorder="1" applyAlignment="1">
      <x:alignment horizontal="center" wrapText="1"/>
    </x:xf>
    <x:xf numFmtId="14" fontId="12" fillId="6" borderId="0" xfId="0" applyNumberFormat="1" applyFont="1" applyFill="1" applyAlignment="1">
      <x:alignment horizontal="center" wrapText="1"/>
    </x:xf>
    <x:xf numFmtId="0" fontId="6" fillId="6" borderId="0" xfId="0" applyFont="1" applyFill="1" applyAlignment="1">
      <x:alignment horizontal="left" vertical="top" wrapText="1"/>
    </x:xf>
    <x:xf numFmtId="0" fontId="2" fillId="0" borderId="0" xfId="0" applyFont="1" applyAlignment="1">
      <x:alignment horizontal="left" vertical="top" wrapText="1"/>
    </x:xf>
    <x:xf numFmtId="0" fontId="2" fillId="0" borderId="0" xfId="0" applyFont="1" applyAlignment="1">
      <x:alignment horizontal="left" vertical="top"/>
    </x:xf>
    <x:xf numFmtId="8" fontId="8" fillId="0" borderId="5" xfId="0" applyNumberFormat="1" applyFont="1" applyBorder="1" applyAlignment="1">
      <x:alignment horizontal="right"/>
    </x:xf>
    <x:xf numFmtId="0" fontId="8" fillId="3" borderId="2" xfId="0" applyFont="1" applyFill="1" applyBorder="1" applyAlignment="1">
      <x:alignment horizontal="center" vertical="center" wrapText="1"/>
    </x:xf>
    <x:xf numFmtId="0" fontId="8" fillId="3" borderId="3" xfId="0" applyFont="1" applyFill="1" applyBorder="1" applyAlignment="1">
      <x:alignment horizontal="center" vertical="center" wrapText="1"/>
    </x:xf>
    <x:xf numFmtId="0" fontId="8" fillId="3" borderId="4" xfId="0" applyFont="1" applyFill="1" applyBorder="1" applyAlignment="1">
      <x:alignment horizontal="center" vertical="center" wrapText="1"/>
    </x:xf>
    <x:xf numFmtId="0" fontId="2" fillId="3" borderId="2" xfId="0" applyFont="1" applyFill="1" applyBorder="1" applyAlignment="1">
      <x:alignment horizontal="center" vertical="center" wrapText="1"/>
    </x:xf>
    <x:xf numFmtId="0" fontId="2" fillId="3" borderId="3" xfId="0" applyFont="1" applyFill="1" applyBorder="1" applyAlignment="1">
      <x:alignment horizontal="center" vertical="center" wrapText="1"/>
    </x:xf>
    <x:xf numFmtId="0" fontId="2" fillId="3" borderId="4" xfId="0" applyFont="1" applyFill="1" applyBorder="1" applyAlignment="1">
      <x:alignment horizontal="center" vertical="center" wrapText="1"/>
    </x:xf>
    <x:xf numFmtId="0" fontId="8" fillId="0" borderId="1" xfId="0" applyFont="1" applyBorder="1" applyAlignment="1">
      <x:alignment horizontal="center" vertical="center" wrapText="1"/>
    </x:xf>
    <x:xf numFmtId="0" fontId="8" fillId="0" borderId="2" xfId="0" applyFont="1" applyBorder="1" applyAlignment="1">
      <x:alignment horizontal="center" vertical="center" wrapText="1"/>
    </x:xf>
    <x:xf numFmtId="0" fontId="8" fillId="0" borderId="3" xfId="0" applyFont="1" applyBorder="1" applyAlignment="1">
      <x:alignment horizontal="center" vertical="center" wrapText="1"/>
    </x:xf>
    <x:xf numFmtId="0" fontId="8" fillId="0" borderId="4" xfId="0" applyFont="1" applyBorder="1" applyAlignment="1">
      <x:alignment horizontal="center" vertical="center" wrapText="1"/>
    </x:xf>
    <x:xf numFmtId="0" fontId="8" fillId="2" borderId="2" xfId="0" applyFont="1" applyFill="1" applyBorder="1" applyAlignment="1">
      <x:alignment horizontal="center" vertical="center" wrapText="1"/>
    </x:xf>
    <x:xf numFmtId="0" fontId="8" fillId="2" borderId="3" xfId="0" applyFont="1" applyFill="1" applyBorder="1" applyAlignment="1">
      <x:alignment horizontal="center" vertical="center" wrapText="1"/>
    </x:xf>
    <x:xf numFmtId="1" fontId="2" fillId="0" borderId="1" xfId="0" applyNumberFormat="1" applyFont="1" applyBorder="1" applyAlignment="1">
      <x:alignment horizontal="center"/>
    </x:xf>
    <x:xf numFmtId="0" fontId="0" fillId="0" borderId="0" xfId="0" applyNumberFormat="1" applyFill="1" applyBorder="0" applyAlignment="1" applyProtection="1">
      <x:alignment horizontal="center" vertical="bottom" textRotation="0" wrapText="1" indent="0" relativeIndent="0" justifyLastLine="0" shrinkToFit="0" readingOrder="0"/>
      <x:protection locked="1" hidden="0"/>
    </x:xf>
    <x:xf numFmtId="0" fontId="17" fillId="11" borderId="10" xfId="0" applyNumberFormat="1" applyFill="0" applyBorder="1" applyAlignment="1" applyProtection="1">
      <x:alignment horizontal="general" vertical="bottom" textRotation="0" wrapText="0" indent="0" relativeIndent="0" justifyLastLine="0" shrinkToFit="0" readingOrder="0"/>
      <x:protection locked="1" hidden="0"/>
    </x:xf>
    <x:xf numFmtId="0" fontId="17" fillId="11" borderId="14" xfId="0" applyNumberFormat="1" applyFill="0" applyBorder="1" applyAlignment="1" applyProtection="1">
      <x:alignment horizontal="center" vertical="bottom" textRotation="0" wrapText="0" indent="0" relativeIndent="0" justifyLastLine="0" shrinkToFit="0" readingOrder="0"/>
      <x:protection locked="1" hidden="0"/>
    </x:xf>
    <x:xf numFmtId="0" fontId="17" fillId="11" borderId="15" xfId="0" applyNumberFormat="1" applyFill="0" applyBorder="1" applyAlignment="1" applyProtection="1">
      <x:alignment horizontal="center" vertical="bottom" textRotation="0" wrapText="0" indent="0" relativeIndent="0" justifyLastLine="0" shrinkToFit="0" readingOrder="0"/>
      <x:protection locked="1" hidden="0"/>
    </x:xf>
    <x:xf numFmtId="1" fontId="12" fillId="7" borderId="6" xfId="0" applyNumberFormat="1" applyFill="0" applyBorder="1" applyAlignment="1" applyProtection="1">
      <x:alignment horizontal="center" vertical="bottom" textRotation="0" wrapText="1" indent="0" relativeIndent="0" justifyLastLine="0" shrinkToFit="0" readingOrder="0"/>
      <x:protection locked="1" hidden="0"/>
    </x:xf>
    <x:xf numFmtId="1" fontId="12" fillId="7"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13" fillId="7" borderId="0" xfId="0" applyNumberFormat="1" applyFill="0" applyBorder="0" applyAlignment="1" applyProtection="1">
      <x:alignment horizontal="center" vertical="top" textRotation="0" wrapText="1" indent="0" relativeIndent="0" justifyLastLine="0" shrinkToFit="0" readingOrder="0"/>
      <x:protection locked="1" hidden="0"/>
    </x:xf>
    <x:xf numFmtId="0" fontId="13" fillId="7" borderId="7" xfId="0" applyNumberFormat="1" applyFill="0" applyBorder="1" applyAlignment="1" applyProtection="1">
      <x:alignment horizontal="center" vertical="top" textRotation="0" wrapText="1" indent="0" relativeIndent="0" justifyLastLine="0" shrinkToFit="0" readingOrder="0"/>
      <x:protection locked="1" hidden="0"/>
    </x:xf>
    <x:xf numFmtId="3" fontId="12" fillId="7" borderId="6" xfId="0" applyNumberFormat="1" applyFill="0" applyBorder="1" applyAlignment="1" applyProtection="1">
      <x:alignment horizontal="center" vertical="bottom" textRotation="0" wrapText="1" indent="0" relativeIndent="0" justifyLastLine="0" shrinkToFit="0" readingOrder="0"/>
      <x:protection locked="1" hidden="0"/>
    </x:xf>
    <x:xf numFmtId="0" fontId="6" fillId="6" borderId="0" xfId="0" applyNumberFormat="1" applyFill="0" applyBorder="0" applyAlignment="1" applyProtection="1">
      <x:alignment horizontal="left" vertical="top" textRotation="0" wrapText="1" indent="0" relativeIndent="0" justifyLastLine="0" shrinkToFit="0" readingOrder="0"/>
      <x:protection locked="1" hidden="0"/>
    </x:xf>
    <x:xf numFmtId="3" fontId="12" fillId="7"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2" fillId="3" borderId="0" xfId="0" applyNumberFormat="1" applyFill="0" applyBorder="0" applyAlignment="1" applyProtection="1">
      <x:alignment horizontal="left" vertical="bottom" textRotation="0" wrapText="1" indent="0" relativeIndent="0" justifyLastLine="0" shrinkToFit="0" readingOrder="0"/>
      <x:protection locked="1" hidden="0"/>
    </x:xf>
    <x:xf numFmtId="0" fontId="17" fillId="11" borderId="2" xfId="0" applyNumberFormat="1" applyFill="0" applyBorder="1" applyAlignment="1" applyProtection="1">
      <x:alignment horizontal="general" vertical="bottom" textRotation="0" wrapText="0" indent="0" relativeIndent="0" justifyLastLine="0" shrinkToFit="0" readingOrder="0"/>
      <x:protection locked="1" hidden="0"/>
    </x:xf>
    <x:xf numFmtId="0" fontId="18" fillId="11" borderId="1" xfId="0" applyNumberFormat="1" applyFill="0" applyBorder="1" applyAlignment="1" applyProtection="1">
      <x:alignment horizontal="center" vertical="bottom" textRotation="0" wrapText="0" indent="0" relativeIndent="0" justifyLastLine="0" shrinkToFit="0" readingOrder="0"/>
      <x:protection locked="1" hidden="0"/>
    </x:xf>
    <x:xf numFmtId="0" fontId="18" fillId="11" borderId="13" xfId="0" applyNumberFormat="1" applyFill="0" applyBorder="1" applyAlignment="1" applyProtection="1">
      <x:alignment horizontal="center" vertical="bottom" textRotation="0" wrapText="0" indent="0" relativeIndent="0" justifyLastLine="0" shrinkToFit="0" readingOrder="0"/>
      <x:protection locked="1" hidden="0"/>
    </x:xf>
    <x:xf numFmtId="14" fontId="12" fillId="6" borderId="6" xfId="0" applyNumberFormat="1" applyFill="0" applyBorder="1" applyAlignment="1" applyProtection="1">
      <x:alignment horizontal="center" vertical="bottom" textRotation="0" wrapText="1" indent="0" relativeIndent="0" justifyLastLine="0" shrinkToFit="0" readingOrder="0"/>
      <x:protection locked="1" hidden="0"/>
    </x:xf>
    <x:xf numFmtId="14" fontId="12" fillId="6"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13" fillId="6" borderId="0" xfId="0" applyNumberFormat="1" applyFill="0" applyBorder="0" applyAlignment="1" applyProtection="1">
      <x:alignment horizontal="center" vertical="top" textRotation="0" wrapText="1" indent="0" relativeIndent="0" justifyLastLine="0" shrinkToFit="0" readingOrder="0"/>
      <x:protection locked="1" hidden="0"/>
    </x:xf>
    <x:xf numFmtId="0" fontId="13" fillId="6" borderId="7" xfId="0" applyNumberFormat="1" applyFill="0" applyBorder="1" applyAlignment="1" applyProtection="1">
      <x:alignment horizontal="center" vertical="top" textRotation="0" wrapText="1" indent="0" relativeIndent="0" justifyLastLine="0" shrinkToFit="0" readingOrder="0"/>
      <x:protection locked="1" hidden="0"/>
    </x:xf>
    <x:xf numFmtId="166" fontId="12" fillId="6" borderId="6" xfId="0" applyNumberFormat="1" applyFill="0" applyBorder="1" applyAlignment="1" applyProtection="1">
      <x:alignment horizontal="center" vertical="bottom" textRotation="0" wrapText="1" indent="0" relativeIndent="0" justifyLastLine="0" shrinkToFit="0" readingOrder="0"/>
      <x:protection locked="1" hidden="0"/>
    </x:xf>
    <x:xf numFmtId="166" fontId="12" fillId="6"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14" fillId="8" borderId="6" xfId="0" applyNumberFormat="1" applyFill="0" applyBorder="1" applyAlignment="1" applyProtection="1">
      <x:alignment horizontal="center" vertical="bottom" textRotation="0" wrapText="1" indent="0" relativeIndent="0" justifyLastLine="0" shrinkToFit="0" readingOrder="0"/>
      <x:protection locked="1" hidden="0"/>
    </x:xf>
    <x:xf numFmtId="0" fontId="14" fillId="8"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6" fillId="8" borderId="0" xfId="0" applyNumberFormat="1" applyFill="0" applyBorder="0" applyAlignment="1" applyProtection="1">
      <x:alignment horizontal="center" vertical="top" textRotation="0" wrapText="1" indent="0" relativeIndent="0" justifyLastLine="0" shrinkToFit="0" readingOrder="0"/>
      <x:protection locked="1" hidden="0"/>
    </x:xf>
    <x:xf numFmtId="0" fontId="6" fillId="8" borderId="7" xfId="0" applyNumberFormat="1" applyFill="0" applyBorder="1" applyAlignment="1" applyProtection="1">
      <x:alignment horizontal="center" vertical="top" textRotation="0" wrapText="1" indent="0" relativeIndent="0" justifyLastLine="0" shrinkToFit="0" readingOrder="0"/>
      <x:protection locked="1" hidden="0"/>
    </x:xf>
    <x:xf numFmtId="14" fontId="14" fillId="8" borderId="6" xfId="0" applyNumberFormat="1" applyFill="0" applyBorder="1" applyAlignment="1" applyProtection="1">
      <x:alignment horizontal="center" vertical="bottom" textRotation="0" wrapText="1" indent="0" relativeIndent="0" justifyLastLine="0" shrinkToFit="0" readingOrder="0"/>
      <x:protection locked="1" hidden="0"/>
    </x:xf>
    <x:xf numFmtId="1" fontId="14" fillId="8" borderId="6" xfId="0" applyNumberFormat="1" applyFill="0" applyBorder="1" applyAlignment="1" applyProtection="1">
      <x:alignment horizontal="center" vertical="bottom" textRotation="0" wrapText="1" indent="0" relativeIndent="0" justifyLastLine="0" shrinkToFit="0" readingOrder="0"/>
      <x:protection locked="1" hidden="0"/>
    </x:xf>
    <x:xf numFmtId="1" fontId="14" fillId="8"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2"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7" fontId="8" fillId="10" borderId="0" xfId="0" applyNumberFormat="1" applyFill="0" applyBorder="0" applyAlignment="1" applyProtection="1">
      <x:alignment horizontal="general" vertical="bottom" textRotation="0" wrapText="0" indent="0" relativeIndent="0" justifyLastLine="0" shrinkToFit="0" readingOrder="0"/>
      <x:protection locked="1" hidden="0"/>
    </x:xf>
    <x:xf numFmtId="167" fontId="2" fillId="10"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8" fillId="2" borderId="2" xfId="0" applyNumberFormat="1" applyFill="0" applyBorder="1" applyAlignment="1" applyProtection="1">
      <x:alignment horizontal="center" vertical="center" textRotation="0" wrapText="1" indent="0" relativeIndent="0" justifyLastLine="0" shrinkToFit="0" readingOrder="0"/>
      <x:protection locked="1" hidden="0"/>
    </x:xf>
    <x:xf numFmtId="0" fontId="8" fillId="2" borderId="3" xfId="0" applyNumberFormat="1" applyFill="0" applyBorder="1" applyAlignment="1" applyProtection="1">
      <x:alignment horizontal="center" vertical="center" textRotation="0" wrapText="1" indent="0" relativeIndent="0" justifyLastLine="0" shrinkToFit="0" readingOrder="0"/>
      <x:protection locked="1" hidden="0"/>
    </x:xf>
    <x:xf numFmtId="0" fontId="8" fillId="3" borderId="2" xfId="0" applyNumberFormat="1" applyFill="0" applyBorder="1" applyAlignment="1" applyProtection="1">
      <x:alignment horizontal="center" vertical="center" textRotation="0" wrapText="1" indent="0" relativeIndent="0" justifyLastLine="0" shrinkToFit="0" readingOrder="0"/>
      <x:protection locked="1" hidden="0"/>
    </x:xf>
    <x:xf numFmtId="0" fontId="8" fillId="3" borderId="3" xfId="0" applyNumberFormat="1" applyFill="0" applyBorder="1" applyAlignment="1" applyProtection="1">
      <x:alignment horizontal="center" vertical="center" textRotation="0" wrapText="1" indent="0" relativeIndent="0" justifyLastLine="0" shrinkToFit="0" readingOrder="0"/>
      <x:protection locked="1" hidden="0"/>
    </x:xf>
    <x:xf numFmtId="0" fontId="8" fillId="3" borderId="4" xfId="0" applyNumberFormat="1" applyFill="0" applyBorder="1" applyAlignment="1" applyProtection="1">
      <x:alignment horizontal="center" vertical="center" textRotation="0" wrapText="1" indent="0" relativeIndent="0" justifyLastLine="0" shrinkToFit="0" readingOrder="0"/>
      <x:protection locked="1" hidden="0"/>
    </x:xf>
    <x:xf numFmtId="0" fontId="2" fillId="3" borderId="2" xfId="0" applyNumberFormat="1" applyFill="0" applyBorder="1" applyAlignment="1" applyProtection="1">
      <x:alignment horizontal="center" vertical="center" textRotation="0" wrapText="1" indent="0" relativeIndent="0" justifyLastLine="0" shrinkToFit="0" readingOrder="0"/>
      <x:protection locked="1" hidden="0"/>
    </x:xf>
    <x:xf numFmtId="0" fontId="2" fillId="3" borderId="3" xfId="0" applyNumberFormat="1" applyFill="0" applyBorder="1" applyAlignment="1" applyProtection="1">
      <x:alignment horizontal="center" vertical="center" textRotation="0" wrapText="1" indent="0" relativeIndent="0" justifyLastLine="0" shrinkToFit="0" readingOrder="0"/>
      <x:protection locked="1" hidden="0"/>
    </x:xf>
    <x:xf numFmtId="0" fontId="2" fillId="3" borderId="4" xfId="0" applyNumberFormat="1" applyFill="0" applyBorder="1" applyAlignment="1" applyProtection="1">
      <x:alignment horizontal="center" vertical="center" textRotation="0" wrapText="1" indent="0" relativeIndent="0" justifyLastLine="0" shrinkToFit="0" readingOrder="0"/>
      <x:protection locked="1" hidden="0"/>
    </x:xf>
    <x:xf numFmtId="0" fontId="8" fillId="10"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8"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8" fillId="2" borderId="1" xfId="0" applyNumberFormat="1" applyFill="0" applyBorder="1" applyAlignment="1" applyProtection="1">
      <x:alignment horizontal="general" vertical="center" textRotation="0" wrapText="1" indent="0" relativeIndent="0" justifyLastLine="0" shrinkToFit="0" readingOrder="0"/>
      <x:protection locked="1" hidden="0"/>
    </x:xf>
    <x:xf numFmtId="0" fontId="8" fillId="3" borderId="1" xfId="0" applyNumberFormat="1" applyFill="0" applyBorder="1" applyAlignment="1" applyProtection="1">
      <x:alignment horizontal="general" vertical="center" textRotation="0" wrapText="1" indent="0" relativeIndent="0" justifyLastLine="0" shrinkToFit="0" readingOrder="0"/>
      <x:protection locked="1" hidden="0"/>
    </x:xf>
    <x:xf numFmtId="167" fontId="8" fillId="3" borderId="1" xfId="0" applyNumberFormat="1" applyFill="0" applyBorder="1" applyAlignment="1" applyProtection="1">
      <x:alignment horizontal="general" vertical="center" textRotation="0" wrapText="1" indent="0" relativeIndent="0" justifyLastLine="0" shrinkToFit="0" readingOrder="0"/>
      <x:protection locked="1" hidden="0"/>
    </x:xf>
    <x:xf numFmtId="0" fontId="2" fillId="3" borderId="1" xfId="0" applyNumberFormat="1" applyFill="0" applyBorder="1" applyAlignment="1" applyProtection="1">
      <x:alignment horizontal="general" vertical="center" textRotation="0" wrapText="1" indent="0" relativeIndent="0" justifyLastLine="0" shrinkToFit="0" readingOrder="0"/>
      <x:protection locked="1" hidden="0"/>
    </x:xf>
    <x:xf numFmtId="0" fontId="9" fillId="2" borderId="1" xfId="0" applyNumberFormat="1" applyFill="0" applyBorder="1" applyAlignment="1" applyProtection="1">
      <x:alignment horizontal="general" vertical="bottom" textRotation="0" wrapText="0" indent="0" relativeIndent="0" justifyLastLine="0" shrinkToFit="0" readingOrder="0"/>
      <x:protection locked="1" hidden="0"/>
    </x:xf>
    <x:xf numFmtId="0" fontId="9" fillId="2" borderId="1" xfId="0" applyNumberFormat="1" applyFill="0" applyBorder="1" applyAlignment="1" applyProtection="1">
      <x:alignment horizontal="right" vertical="bottom" textRotation="0" wrapText="0" indent="0" relativeIndent="0" justifyLastLine="0" shrinkToFit="0" readingOrder="0"/>
      <x:protection locked="1" hidden="0"/>
    </x:xf>
    <x:xf numFmtId="0" fontId="8" fillId="2" borderId="1" xfId="0" applyNumberFormat="1" applyFill="0" applyBorder="1" applyAlignment="1" applyProtection="1">
      <x:alignment horizontal="general" vertical="bottom" textRotation="0" wrapText="0" indent="0" relativeIndent="0" justifyLastLine="0" shrinkToFit="0" readingOrder="0"/>
      <x:protection locked="1" hidden="0"/>
    </x:xf>
    <x:xf numFmtId="0" fontId="9" fillId="4" borderId="1" xfId="0" applyNumberFormat="1" applyFill="0" applyBorder="1" applyAlignment="1" applyProtection="1">
      <x:alignment horizontal="general" vertical="bottom" textRotation="0" wrapText="0" indent="0" relativeIndent="0" justifyLastLine="0" shrinkToFit="0" readingOrder="0"/>
      <x:protection locked="1" hidden="0"/>
    </x:xf>
    <x:xf numFmtId="0" fontId="9" fillId="4" borderId="8" xfId="0" applyNumberFormat="1" applyFill="0" applyBorder="1" applyAlignment="1" applyProtection="1">
      <x:alignment horizontal="general" vertical="bottom" textRotation="0" wrapText="0" indent="0" relativeIndent="0" justifyLastLine="0" shrinkToFit="0" readingOrder="0"/>
      <x:protection locked="1" hidden="0"/>
    </x:xf>
    <x:xf numFmtId="49" fontId="9" fillId="2" borderId="1" xfId="0" applyNumberFormat="1" applyFill="0" applyBorder="1" applyAlignment="1" applyProtection="1">
      <x:alignment horizontal="right" vertical="bottom" textRotation="0" wrapText="0" indent="0" relativeIndent="0" justifyLastLine="0" shrinkToFit="0" readingOrder="0"/>
      <x:protection locked="1" hidden="0"/>
    </x:xf>
    <x:xf numFmtId="0" fontId="6" fillId="6" borderId="1" xfId="0" applyNumberFormat="1" applyFill="0" applyBorder="1" applyAlignment="1" applyProtection="1">
      <x:alignment horizontal="general" vertical="bottom" textRotation="0" wrapText="1" indent="0" relativeIndent="0" justifyLastLine="0" shrinkToFit="0" readingOrder="0"/>
      <x:protection locked="1" hidden="0"/>
    </x:xf>
    <x:xf numFmtId="0" fontId="2" fillId="3" borderId="0" xfId="0" applyNumberFormat="1" applyFill="0" applyBorder="0" applyAlignment="1" applyProtection="1">
      <x:alignment horizontal="general" vertical="bottom" textRotation="0" wrapText="1" indent="0" relativeIndent="0" justifyLastLine="0" shrinkToFit="0" readingOrder="0"/>
      <x:protection locked="1" hidden="0"/>
    </x:xf>
    <x:xf numFmtId="0" fontId="0" fillId="3" borderId="0" xfId="0" applyNumberFormat="1" applyFill="0" applyBorder="0" applyAlignment="1" applyProtection="1">
      <x:alignment horizontal="general" vertical="bottom" textRotation="0" wrapText="1" indent="0" relativeIndent="0" justifyLastLine="0" shrinkToFit="0" readingOrder="0"/>
      <x:protection locked="1" hidden="0"/>
    </x:xf>
    <x:xf numFmtId="0" fontId="2" fillId="3" borderId="1" xfId="0" applyNumberFormat="1" applyFill="0" applyBorder="1" applyAlignment="1" applyProtection="1">
      <x:alignment horizontal="general" vertical="bottom" textRotation="0" wrapText="1" indent="0" relativeIndent="0" justifyLastLine="0" shrinkToFit="0" readingOrder="0"/>
      <x:protection locked="1" hidden="0"/>
    </x:xf>
    <x:xf numFmtId="0" fontId="2" fillId="3" borderId="12" xfId="0" applyNumberFormat="1" applyFill="0" applyBorder="1" applyAlignment="1" applyProtection="1">
      <x:alignment horizontal="general" vertical="bottom" textRotation="0" wrapText="1" indent="0" relativeIndent="0" justifyLastLine="0" shrinkToFit="0" readingOrder="0"/>
      <x:protection locked="1" hidden="0"/>
    </x:xf>
    <x:xf numFmtId="0" fontId="2" fillId="3" borderId="13" xfId="0" applyNumberFormat="1" applyFill="0" applyBorder="1" applyAlignment="1" applyProtection="1">
      <x:alignment horizontal="general" vertical="bottom" textRotation="0" wrapText="1" indent="0" relativeIndent="0" justifyLastLine="0" shrinkToFit="0" readingOrder="0"/>
      <x:protection locked="1" hidden="0"/>
    </x:xf>
    <x:xf numFmtId="1" fontId="2"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 fontId="5"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6" fillId="9" borderId="0" xfId="0" applyNumberFormat="1" applyFill="0" applyBorder="0" applyAlignment="1" applyProtection="1">
      <x:alignment horizontal="general" vertical="bottom" textRotation="0" wrapText="0" indent="0" relativeIndent="0" justifyLastLine="0" shrinkToFit="0" readingOrder="0"/>
      <x:protection locked="1" hidden="0"/>
    </x:xf>
  </x:cellXfs>
  <x:cellStyles count="2">
    <x:cellStyle name="Comma" xfId="1" builtinId="3"/>
    <x:cellStyle name="Normal" xfId="0" builtinId="0"/>
  </x:cellStyles>
  <x:dxfs count="3">
    <x:dxf>
      <x:numFmt numFmtId="2" formatCode="0.00"/>
    </x:dxf>
    <x:dxf>
      <x:numFmt numFmtId="164" formatCode="&quot;£&quot;#,##0.00"/>
    </x:dxf>
    <x:dxf>
      <x:fill>
        <x:patternFill patternType="solid">
          <x:fgColor auto="1"/>
          <x:bgColor rgb="FFFF0000"/>
        </x:patternFill>
      </x:fill>
    </x:dxf>
  </x:dxfs>
  <x:tableStyles count="0" defaultTableStyle="TableStyleMedium2" defaultPivotStyle="PivotStyleLight16"/>
  <x:colors>
    <x:mruColors>
      <x:color rgb="FF3A506B"/>
      <x:color rgb="FF5BC0BE"/>
      <x:color rgb="FF1C2541"/>
      <x:color rgb="FF0C42EE"/>
      <x:color rgb="FF8FA8F9"/>
      <x:color rgb="FFB3C4FB"/>
      <x:color rgb="FFB7CFFF"/>
    </x:mruColors>
  </x:colors>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ustomXml" Target="../customXml/item1.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75000"/>
                    <a:lumOff val="25000"/>
                  </a:schemeClr>
                </a:solidFill>
                <a:latin typeface="Arial Narrow" panose="020B0606020202030204" pitchFamily="34" charset="0"/>
                <a:ea typeface="+mn-ea"/>
                <a:cs typeface="+mn-cs"/>
              </a:defRPr>
            </a:pPr>
            <a:r>
              <a:rPr lang="en-GB">
                <a:solidFill>
                  <a:schemeClr val="tx1">
                    <a:lumMod val="75000"/>
                    <a:lumOff val="25000"/>
                  </a:schemeClr>
                </a:solidFill>
                <a:latin typeface="Arial Narrow" panose="020B0606020202030204" pitchFamily="34" charset="0"/>
              </a:rPr>
              <a:t>Meter</a:t>
            </a:r>
            <a:r>
              <a:rPr lang="en-GB" baseline="0">
                <a:solidFill>
                  <a:schemeClr val="tx1">
                    <a:lumMod val="75000"/>
                    <a:lumOff val="25000"/>
                  </a:schemeClr>
                </a:solidFill>
                <a:latin typeface="Arial Narrow" panose="020B0606020202030204" pitchFamily="34" charset="0"/>
              </a:rPr>
              <a:t> Type Breakdown</a:t>
            </a:r>
            <a:endParaRPr lang="en-GB">
              <a:solidFill>
                <a:schemeClr val="tx1">
                  <a:lumMod val="75000"/>
                  <a:lumOff val="25000"/>
                </a:schemeClr>
              </a:solidFill>
              <a:latin typeface="Arial Narrow" panose="020B0606020202030204" pitchFamily="34" charset="0"/>
            </a:endParaRPr>
          </a:p>
        </c:rich>
      </c:tx>
      <c:overlay val="0"/>
      <c:spPr>
        <a:noFill/>
        <a:ln>
          <a:noFill/>
        </a:ln>
        <a:effectLst/>
      </c:spPr>
    </c:title>
    <c:autoTitleDeleted val="0"/>
    <c:plotArea>
      <c:layout/>
      <c:barChart>
        <c:barDir val="col"/>
        <c:grouping val="clustered"/>
        <c:varyColors val="0"/>
        <c:ser>
          <c:idx val="0"/>
          <c:order val="0"/>
          <c:tx>
            <c:strRef>
              <c:f>'Summary Calculations'!$E$1</c:f>
              <c:strCache>
                <c:ptCount val="1"/>
                <c:pt idx="0">
                  <c:v>Total number of non-IGT sites</c:v>
                </c:pt>
              </c:strCache>
            </c:strRef>
          </c:tx>
          <c:spPr>
            <a:solidFill>
              <a:srgbClr val="5BC0BE"/>
            </a:solidFill>
            <a:ln>
              <a:noFill/>
            </a:ln>
            <a:effectLst>
              <a:outerShdw blurRad="57150" dist="19050" dir="5400000" algn="ctr" rotWithShape="0">
                <a:srgbClr val="000000">
                  <a:alpha val="63000"/>
                </a:srgbClr>
              </a:outerShdw>
            </a:effectLst>
          </c:spPr>
          <c:invertIfNegative val="0"/>
          <c:val>
            <c:numRef>
              <c:f>'Summary Calculations'!$F$1</c:f>
              <c:numCache>
                <c:formatCode>General</c:formatCode>
                <c:ptCount val="1"/>
                <c:pt idx="0">
                  <c:v>277</c:v>
                </c:pt>
              </c:numCache>
            </c:numRef>
          </c:val>
          <c:extLst>
            <c:ext xmlns:c16="http://schemas.microsoft.com/office/drawing/2014/chart" uri="{C3380CC4-5D6E-409C-BE32-E72D297353CC}">
              <c16:uniqueId val="{00000000-E366-4D6E-9150-5D0D0251B041}"/>
            </c:ext>
          </c:extLst>
        </c:ser>
        <c:ser>
          <c:idx val="1"/>
          <c:order val="1"/>
          <c:tx>
            <c:strRef>
              <c:f>'Summary Calculations'!$E$2</c:f>
              <c:strCache>
                <c:ptCount val="1"/>
                <c:pt idx="0">
                  <c:v>Total number of IGT sites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'Summary Calculations'!$F$2</c:f>
              <c:numCache>
                <c:formatCode>General</c:formatCode>
                <c:ptCount val="1"/>
                <c:pt idx="0">
                  <c:v>0</c:v>
                </c:pt>
              </c:numCache>
            </c:numRef>
          </c:val>
          <c:extLst>
            <c:ext xmlns:c16="http://schemas.microsoft.com/office/drawing/2014/chart" uri="{C3380CC4-5D6E-409C-BE32-E72D297353CC}">
              <c16:uniqueId val="{00000001-E366-4D6E-9150-5D0D0251B041}"/>
            </c:ext>
          </c:extLst>
        </c:ser>
        <c:dLbls>
          <c:showLegendKey val="0"/>
          <c:showVal val="0"/>
          <c:showCatName val="0"/>
          <c:showSerName val="0"/>
          <c:showPercent val="0"/>
          <c:showBubbleSize val="0"/>
        </c:dLbls>
        <c:gapWidth val="100"/>
        <c:overlap val="-24"/>
        <c:axId val="111273472"/>
        <c:axId val="111275008"/>
      </c:barChart>
      <c:catAx>
        <c:axId val="111273472"/>
        <c:scaling>
          <c:orientation val="minMax"/>
        </c:scaling>
        <c:delete val="1"/>
        <c:axPos val="b"/>
        <c:numFmt formatCode="General" sourceLinked="1"/>
        <c:majorTickMark val="none"/>
        <c:minorTickMark val="none"/>
        <c:tickLblPos val="none"/>
        <c:crossAx val="111275008"/>
        <c:crosses val="autoZero"/>
        <c:auto val="1"/>
        <c:lblAlgn val="ctr"/>
        <c:lblOffset val="100"/>
        <c:noMultiLvlLbl val="0"/>
      </c:catAx>
      <c:valAx>
        <c:axId val="111275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1273472"/>
        <c:crosses val="autoZero"/>
        <c:crossBetween val="between"/>
      </c:valAx>
      <c:spPr>
        <a:noFill/>
        <a:ln>
          <a:noFill/>
        </a:ln>
        <a:effectLst/>
      </c:spPr>
    </c:plotArea>
    <c:legend>
      <c:legendPos val="b"/>
      <c:layout>
        <c:manualLayout>
          <c:xMode val="edge"/>
          <c:yMode val="edge"/>
          <c:x val="8.5891295169825743E-2"/>
          <c:y val="0.91930166666666668"/>
          <c:w val="0.76350204309186587"/>
          <c:h val="5.953166666666668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oddHeader>&amp;RPrivate and Confidential - Intended for  only</c:oddHeader>
    </c:headerFooter>
    <c:pageMargins b="0.75000000000000877" l="0.70000000000000062" r="0.70000000000000062" t="0.75000000000000877" header="0.30000000000000032" footer="0.30000000000000032"/>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[Gas_Analysis Template 2026.xlsx]Summary Calculations!PivotTable2</c:name>
    <c:fmtId val="18"/>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latin typeface="Arial Narrow" panose="020B0606020202030204" pitchFamily="34" charset="0"/>
              </a:rPr>
              <a:t>EIC </a:t>
            </a:r>
            <a:r>
              <a:rPr lang="en-US" sz="1800" b="1" baseline="0">
                <a:latin typeface="Arial Narrow" panose="020B0606020202030204" pitchFamily="34" charset="0"/>
              </a:rPr>
              <a:t>Partnership - Gas Procurement Analysis prepared for </a:t>
            </a:r>
          </a:p>
        </c:rich>
      </c:tx>
      <c:layout>
        <c:manualLayout>
          <c:xMode val="edge"/>
          <c:yMode val="edge"/>
          <c:x val="0.25330488482275126"/>
          <c:y val="4.045049392495715E-2"/>
        </c:manualLayout>
      </c:layout>
      <c:overlay val="0"/>
      <c:spPr>
        <a:noFill/>
        <a:ln>
          <a:noFill/>
        </a:ln>
        <a:effectLst/>
      </c:spPr>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dLbl>
          <c:idx val="0"/>
          <c:numFmt formatCode="&quot;£&quot;#,##0.00" sourceLinked="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5BC0BE"/>
          </a:solidFill>
        </c:spPr>
      </c:pivotFmt>
      <c:pivotFmt>
        <c:idx val="7"/>
        <c:spPr>
          <a:solidFill>
            <a:srgbClr val="3A506B"/>
          </a:solidFill>
        </c:spPr>
      </c:pivotFmt>
      <c:pivotFmt>
        <c:idx val="8"/>
        <c:marker>
          <c:symbol val="none"/>
        </c:marker>
        <c:dLbl>
          <c:idx val="0"/>
          <c:numFmt formatCode="_(&quot;£&quot;* #,##0.00_);_(&quot;£&quot;* \(#,##0.00\);_(&quot;£&quot;* &quot;-&quot;??_);_(@_)" sourceLinked="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BC0BE"/>
          </a:solidFill>
        </c:spPr>
      </c:pivotFmt>
      <c:pivotFmt>
        <c:idx val="10"/>
        <c:spPr>
          <a:solidFill>
            <a:srgbClr val="3A506B"/>
          </a:solidFill>
        </c:spPr>
      </c:pivotFmt>
    </c:pivotFmts>
    <c:plotArea>
      <c:layout>
        <c:manualLayout>
          <c:layoutTarget val="inner"/>
          <c:xMode val="edge"/>
          <c:yMode val="edge"/>
          <c:x val="0.1105372719631096"/>
          <c:y val="0.14708684181231188"/>
          <c:w val="0.86179908078736267"/>
          <c:h val="0.69491599322059494"/>
        </c:manualLayout>
      </c:layout>
      <c:barChart>
        <c:barDir val="col"/>
        <c:grouping val="clustered"/>
        <c:varyColors val="0"/>
        <c:ser>
          <c:idx val="0"/>
          <c:order val="0"/>
          <c:tx>
            <c:strRef>
              <c:f>'Summary Calculations'!$B$8</c:f>
              <c:strCache>
                <c:ptCount val="1"/>
                <c:pt idx="0">
                  <c:v>Total</c:v>
                </c:pt>
              </c:strCache>
            </c:strRef>
          </c:tx>
          <c:invertIfNegative val="0"/>
          <c:dPt>
            <c:idx val="0"/>
            <c:invertIfNegative val="0"/>
            <c:bubble3D val="0"/>
            <c:spPr>
              <a:solidFill>
                <a:srgbClr val="5BC0BE"/>
              </a:solidFill>
            </c:spPr>
            <c:extLst>
              <c:ext xmlns:c16="http://schemas.microsoft.com/office/drawing/2014/chart" uri="{C3380CC4-5D6E-409C-BE32-E72D297353CC}">
                <c16:uniqueId val="{00000000-030B-470B-BBBD-18308A08958C}"/>
              </c:ext>
            </c:extLst>
          </c:dPt>
          <c:dPt>
            <c:idx val="1"/>
            <c:invertIfNegative val="0"/>
            <c:bubble3D val="0"/>
            <c:extLst>
              <c:ext xmlns:c16="http://schemas.microsoft.com/office/drawing/2014/chart" uri="{C3380CC4-5D6E-409C-BE32-E72D297353CC}">
                <c16:uniqueId val="{00000001-030B-470B-BBBD-18308A08958C}"/>
              </c:ext>
            </c:extLst>
          </c:dPt>
          <c:dLbls>
            <c:numFmt formatCode="_(&quot;£&quot;* #,##0.00_);_(&quot;£&quot;* \(#,##0.00\);_(&quot;£&quot;* &quot;-&quot;??_);_(@_)" sourceLinked="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'Summary Calculations'!$A$9:$A$10</c:f>
              <c:strCache>
                <c:ptCount val="1"/>
                <c:pt idx="0">
                  <c:v>Current</c:v>
                </c:pt>
              </c:strCache>
            </c:strRef>
          </c:cat>
          <c:val>
            <c:numRef>
              <c:f>'Summary Calculations'!$B$9:$B$10</c:f>
              <c:numCache>
                <c:formatCode>0.00</c:formatCode>
                <c:ptCount val="1"/>
                <c:pt idx="0">
                  <c:v>0</c:v>
                </c:pt>
              </c:numCache>
            </c:numRef>
          </c:val>
          <c:extLst>
            <c:ext xmlns:c16="http://schemas.microsoft.com/office/drawing/2014/chart" uri="{C3380CC4-5D6E-409C-BE32-E72D297353CC}">
              <c16:uniqueId val="{00000003-2734-4447-9054-DC88132B98F4}"/>
            </c:ext>
          </c:extLst>
        </c:ser>
        <c:dLbls>
          <c:showLegendKey val="0"/>
          <c:showVal val="0"/>
          <c:showCatName val="0"/>
          <c:showSerName val="0"/>
          <c:showPercent val="0"/>
          <c:showBubbleSize val="0"/>
        </c:dLbls>
        <c:gapWidth val="228"/>
        <c:overlap val="55"/>
        <c:axId val="108647936"/>
        <c:axId val="108649472"/>
      </c:barChart>
      <c:catAx>
        <c:axId val="108647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b" anchorCtr="0"/>
          <a:lstStyle/>
          <a:p>
            <a:pPr>
              <a:defRPr sz="1400" b="0" i="0" u="none" strike="noStrike" kern="1200" baseline="0">
                <a:solidFill>
                  <a:sysClr val="windowText" lastClr="000000"/>
                </a:solidFill>
                <a:latin typeface="Arial Narrow" panose="020B0606020202030204" pitchFamily="34" charset="0"/>
                <a:ea typeface="+mn-ea"/>
                <a:cs typeface="Arial" pitchFamily="34" charset="0"/>
              </a:defRPr>
            </a:pPr>
            <a:endParaRPr lang="en-US"/>
          </a:p>
        </c:txPr>
        <c:crossAx val="108649472"/>
        <c:crosses val="autoZero"/>
        <c:auto val="1"/>
        <c:lblAlgn val="ctr"/>
        <c:lblOffset val="100"/>
        <c:noMultiLvlLbl val="0"/>
      </c:catAx>
      <c:valAx>
        <c:axId val="1086494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ysClr val="windowText" lastClr="000000"/>
                    </a:solidFill>
                    <a:latin typeface="Arial Narrow" panose="020B0606020202030204" pitchFamily="34" charset="0"/>
                    <a:ea typeface="+mn-ea"/>
                    <a:cs typeface="Arial" pitchFamily="34" charset="0"/>
                  </a:defRPr>
                </a:pPr>
                <a:r>
                  <a:rPr lang="en-US" sz="1400">
                    <a:solidFill>
                      <a:sysClr val="windowText" lastClr="000000"/>
                    </a:solidFill>
                    <a:latin typeface="Arial Narrow" panose="020B0606020202030204" pitchFamily="34" charset="0"/>
                    <a:cs typeface="Arial" pitchFamily="34" charset="0"/>
                  </a:rPr>
                  <a:t>Annual Contract Value* (£)</a:t>
                </a:r>
              </a:p>
            </c:rich>
          </c:tx>
          <c:layout>
            <c:manualLayout>
              <c:xMode val="edge"/>
              <c:yMode val="edge"/>
              <c:x val="1.3751897520312441E-2"/>
              <c:y val="9.1868971378912548E-2"/>
            </c:manualLayout>
          </c:layout>
          <c:overlay val="0"/>
          <c:spPr>
            <a:noFill/>
            <a:ln>
              <a:noFill/>
            </a:ln>
            <a:effectLst/>
          </c:sp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Arial" pitchFamily="34" charset="0"/>
                <a:ea typeface="+mn-ea"/>
                <a:cs typeface="Arial" pitchFamily="34" charset="0"/>
              </a:defRPr>
            </a:pPr>
            <a:endParaRPr lang="en-US"/>
          </a:p>
        </c:txPr>
        <c:crossAx val="1086479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oddHeader>&amp;R&amp;"Arial Narrow,Regular"Private and Confidential - Intended for Magna Housing Association only&amp;"-,Regular"
 </c:oddHeader>
      <c:oddFooter>&amp;LCopywright © The Monarch Partnership Ltd 2014. All rights reserved. &amp;C
</c:oddFooter>
    </c:headerFooter>
    <c:pageMargins b="0.75000000000000877" l="0.70000000000000062" r="0.70000000000000062" t="0.75000000000000877" header="0.30000000000000032" footer="0.30000000000000032"/>
    <c:pageSetup orientation="portrait"/>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GB"/>
              <a:t>Wholesale Electricity (baseload) and Gas Prices </a:t>
            </a:r>
          </a:p>
        </c:rich>
      </c:tx>
      <c:overlay val="0"/>
    </c:title>
    <c:autoTitleDeleted val="0"/>
    <c:plotArea>
      <c:layout>
        <c:manualLayout>
          <c:layoutTarget val="inner"/>
          <c:xMode val="edge"/>
          <c:yMode val="edge"/>
          <c:x val="6.3575003080626705E-2"/>
          <c:y val="0.19257668286599441"/>
          <c:w val="0.88049746829962616"/>
          <c:h val="0.6493562088839"/>
        </c:manualLayout>
      </c:layout>
      <c:lineChart>
        <c:grouping val="standard"/>
        <c:varyColors val="0"/>
        <c:ser>
          <c:idx val="1"/>
          <c:order val="1"/>
          <c:tx>
            <c:v>Gas 2026</c:v>
          </c:tx>
          <c:spPr>
            <a:ln w="25400">
              <a:solidFill>
                <a:srgbClr val="3A506B"/>
              </a:solidFill>
            </a:ln>
          </c:spPr>
          <c:marker>
            <c:symbol val="none"/>
          </c:marker>
          <c:cat>
            <c:numRef>
              <c:f>'Market Data'!$A$2:$A$130</c:f>
              <c:numCache>
                <c:formatCode>m/d/yyyy</c:formatCode>
                <c:ptCount val="129"/>
                <c:pt idx="0">
                  <c:v>46296</c:v>
                </c:pt>
                <c:pt idx="1">
                  <c:v>46295</c:v>
                </c:pt>
                <c:pt idx="2">
                  <c:v>46294</c:v>
                </c:pt>
                <c:pt idx="3">
                  <c:v>46293</c:v>
                </c:pt>
                <c:pt idx="4">
                  <c:v>46290</c:v>
                </c:pt>
                <c:pt idx="5">
                  <c:v>46289</c:v>
                </c:pt>
                <c:pt idx="6">
                  <c:v>46288</c:v>
                </c:pt>
                <c:pt idx="7">
                  <c:v>46287</c:v>
                </c:pt>
                <c:pt idx="8">
                  <c:v>46286</c:v>
                </c:pt>
                <c:pt idx="9">
                  <c:v>46283</c:v>
                </c:pt>
                <c:pt idx="10">
                  <c:v>46282</c:v>
                </c:pt>
                <c:pt idx="11">
                  <c:v>46281</c:v>
                </c:pt>
                <c:pt idx="12">
                  <c:v>46280</c:v>
                </c:pt>
                <c:pt idx="13">
                  <c:v>46279</c:v>
                </c:pt>
                <c:pt idx="14">
                  <c:v>46276</c:v>
                </c:pt>
                <c:pt idx="15">
                  <c:v>46275</c:v>
                </c:pt>
                <c:pt idx="16">
                  <c:v>46274</c:v>
                </c:pt>
                <c:pt idx="17">
                  <c:v>46273</c:v>
                </c:pt>
                <c:pt idx="18">
                  <c:v>46272</c:v>
                </c:pt>
                <c:pt idx="19">
                  <c:v>46269</c:v>
                </c:pt>
                <c:pt idx="20">
                  <c:v>46268</c:v>
                </c:pt>
                <c:pt idx="21">
                  <c:v>46267</c:v>
                </c:pt>
                <c:pt idx="22">
                  <c:v>46266</c:v>
                </c:pt>
                <c:pt idx="23">
                  <c:v>46262</c:v>
                </c:pt>
                <c:pt idx="24">
                  <c:v>46261</c:v>
                </c:pt>
                <c:pt idx="25">
                  <c:v>46260</c:v>
                </c:pt>
                <c:pt idx="26">
                  <c:v>46259</c:v>
                </c:pt>
                <c:pt idx="27">
                  <c:v>46258</c:v>
                </c:pt>
                <c:pt idx="28">
                  <c:v>46255</c:v>
                </c:pt>
                <c:pt idx="29">
                  <c:v>46254</c:v>
                </c:pt>
                <c:pt idx="30">
                  <c:v>46253</c:v>
                </c:pt>
                <c:pt idx="31">
                  <c:v>46252</c:v>
                </c:pt>
                <c:pt idx="32">
                  <c:v>46251</c:v>
                </c:pt>
                <c:pt idx="33">
                  <c:v>46248</c:v>
                </c:pt>
                <c:pt idx="34">
                  <c:v>46247</c:v>
                </c:pt>
                <c:pt idx="35">
                  <c:v>46246</c:v>
                </c:pt>
                <c:pt idx="36">
                  <c:v>46245</c:v>
                </c:pt>
                <c:pt idx="37">
                  <c:v>46244</c:v>
                </c:pt>
                <c:pt idx="38">
                  <c:v>46241</c:v>
                </c:pt>
                <c:pt idx="39">
                  <c:v>46240</c:v>
                </c:pt>
                <c:pt idx="40">
                  <c:v>46239</c:v>
                </c:pt>
                <c:pt idx="41">
                  <c:v>46238</c:v>
                </c:pt>
                <c:pt idx="42">
                  <c:v>46237</c:v>
                </c:pt>
                <c:pt idx="43">
                  <c:v>46234</c:v>
                </c:pt>
                <c:pt idx="44">
                  <c:v>46233</c:v>
                </c:pt>
                <c:pt idx="45">
                  <c:v>46232</c:v>
                </c:pt>
                <c:pt idx="46">
                  <c:v>46231</c:v>
                </c:pt>
                <c:pt idx="47">
                  <c:v>46230</c:v>
                </c:pt>
                <c:pt idx="48">
                  <c:v>46227</c:v>
                </c:pt>
                <c:pt idx="49">
                  <c:v>46226</c:v>
                </c:pt>
                <c:pt idx="50">
                  <c:v>46225</c:v>
                </c:pt>
                <c:pt idx="51">
                  <c:v>46224</c:v>
                </c:pt>
                <c:pt idx="52">
                  <c:v>46223</c:v>
                </c:pt>
                <c:pt idx="53">
                  <c:v>46220</c:v>
                </c:pt>
                <c:pt idx="54">
                  <c:v>46219</c:v>
                </c:pt>
                <c:pt idx="55">
                  <c:v>46218</c:v>
                </c:pt>
                <c:pt idx="56">
                  <c:v>46217</c:v>
                </c:pt>
                <c:pt idx="57">
                  <c:v>46216</c:v>
                </c:pt>
                <c:pt idx="58">
                  <c:v>46213</c:v>
                </c:pt>
                <c:pt idx="59">
                  <c:v>46212</c:v>
                </c:pt>
                <c:pt idx="60">
                  <c:v>46211</c:v>
                </c:pt>
                <c:pt idx="61">
                  <c:v>46210</c:v>
                </c:pt>
                <c:pt idx="62">
                  <c:v>46209</c:v>
                </c:pt>
                <c:pt idx="63">
                  <c:v>46206</c:v>
                </c:pt>
                <c:pt idx="64">
                  <c:v>46205</c:v>
                </c:pt>
                <c:pt idx="65">
                  <c:v>46204</c:v>
                </c:pt>
                <c:pt idx="66">
                  <c:v>46203</c:v>
                </c:pt>
                <c:pt idx="67">
                  <c:v>46202</c:v>
                </c:pt>
                <c:pt idx="68">
                  <c:v>46199</c:v>
                </c:pt>
                <c:pt idx="69">
                  <c:v>46198</c:v>
                </c:pt>
                <c:pt idx="70">
                  <c:v>46197</c:v>
                </c:pt>
                <c:pt idx="71">
                  <c:v>46196</c:v>
                </c:pt>
                <c:pt idx="72">
                  <c:v>46195</c:v>
                </c:pt>
                <c:pt idx="73">
                  <c:v>46192</c:v>
                </c:pt>
                <c:pt idx="74">
                  <c:v>46191</c:v>
                </c:pt>
                <c:pt idx="75">
                  <c:v>46190</c:v>
                </c:pt>
                <c:pt idx="76">
                  <c:v>46189</c:v>
                </c:pt>
                <c:pt idx="77">
                  <c:v>46188</c:v>
                </c:pt>
                <c:pt idx="78">
                  <c:v>46185</c:v>
                </c:pt>
                <c:pt idx="79">
                  <c:v>46184</c:v>
                </c:pt>
                <c:pt idx="80">
                  <c:v>46183</c:v>
                </c:pt>
                <c:pt idx="81">
                  <c:v>46182</c:v>
                </c:pt>
                <c:pt idx="82">
                  <c:v>46181</c:v>
                </c:pt>
                <c:pt idx="83">
                  <c:v>46178</c:v>
                </c:pt>
                <c:pt idx="84">
                  <c:v>46177</c:v>
                </c:pt>
                <c:pt idx="85">
                  <c:v>46176</c:v>
                </c:pt>
                <c:pt idx="86">
                  <c:v>46175</c:v>
                </c:pt>
                <c:pt idx="87">
                  <c:v>46174</c:v>
                </c:pt>
                <c:pt idx="88">
                  <c:v>46171</c:v>
                </c:pt>
                <c:pt idx="89">
                  <c:v>46170</c:v>
                </c:pt>
                <c:pt idx="90">
                  <c:v>46169</c:v>
                </c:pt>
                <c:pt idx="91">
                  <c:v>46168</c:v>
                </c:pt>
                <c:pt idx="92">
                  <c:v>46164</c:v>
                </c:pt>
                <c:pt idx="93">
                  <c:v>46163</c:v>
                </c:pt>
                <c:pt idx="94">
                  <c:v>46162</c:v>
                </c:pt>
                <c:pt idx="95">
                  <c:v>46161</c:v>
                </c:pt>
                <c:pt idx="96">
                  <c:v>46160</c:v>
                </c:pt>
                <c:pt idx="97">
                  <c:v>46157</c:v>
                </c:pt>
                <c:pt idx="98">
                  <c:v>46156</c:v>
                </c:pt>
                <c:pt idx="99">
                  <c:v>46155</c:v>
                </c:pt>
                <c:pt idx="100">
                  <c:v>46154</c:v>
                </c:pt>
                <c:pt idx="101">
                  <c:v>46153</c:v>
                </c:pt>
                <c:pt idx="102">
                  <c:v>46150</c:v>
                </c:pt>
                <c:pt idx="103">
                  <c:v>46149</c:v>
                </c:pt>
                <c:pt idx="104">
                  <c:v>46148</c:v>
                </c:pt>
                <c:pt idx="105">
                  <c:v>46147</c:v>
                </c:pt>
                <c:pt idx="106">
                  <c:v>46143</c:v>
                </c:pt>
                <c:pt idx="107">
                  <c:v>46142</c:v>
                </c:pt>
                <c:pt idx="108">
                  <c:v>46141</c:v>
                </c:pt>
                <c:pt idx="109">
                  <c:v>46140</c:v>
                </c:pt>
                <c:pt idx="110">
                  <c:v>46139</c:v>
                </c:pt>
                <c:pt idx="111">
                  <c:v>46136</c:v>
                </c:pt>
                <c:pt idx="112">
                  <c:v>46135</c:v>
                </c:pt>
                <c:pt idx="113">
                  <c:v>46134</c:v>
                </c:pt>
                <c:pt idx="114">
                  <c:v>46133</c:v>
                </c:pt>
                <c:pt idx="115">
                  <c:v>46132</c:v>
                </c:pt>
                <c:pt idx="116">
                  <c:v>46129</c:v>
                </c:pt>
                <c:pt idx="117">
                  <c:v>46128</c:v>
                </c:pt>
                <c:pt idx="118">
                  <c:v>46127</c:v>
                </c:pt>
                <c:pt idx="119">
                  <c:v>46126</c:v>
                </c:pt>
                <c:pt idx="120">
                  <c:v>46125</c:v>
                </c:pt>
                <c:pt idx="121">
                  <c:v>46122</c:v>
                </c:pt>
                <c:pt idx="122">
                  <c:v>46121</c:v>
                </c:pt>
                <c:pt idx="123">
                  <c:v>46120</c:v>
                </c:pt>
                <c:pt idx="124">
                  <c:v>46119</c:v>
                </c:pt>
                <c:pt idx="125">
                  <c:v>46114</c:v>
                </c:pt>
                <c:pt idx="126">
                  <c:v>46113</c:v>
                </c:pt>
                <c:pt idx="127">
                  <c:v>46112</c:v>
                </c:pt>
                <c:pt idx="128">
                  <c:v>46111</c:v>
                </c:pt>
              </c:numCache>
            </c:numRef>
          </c:cat>
          <c:val>
            <c:numRef>
              <c:f>'Market Data'!$C$2:$C$130</c:f>
              <c:numCache>
                <c:formatCode>0.00</c:formatCode>
                <c:ptCount val="129"/>
                <c:pt idx="0">
                  <c:v>132.94999999999999</c:v>
                </c:pt>
                <c:pt idx="1">
                  <c:v>157.39999999999998</c:v>
                </c:pt>
                <c:pt idx="2">
                  <c:v>150.6875</c:v>
                </c:pt>
                <c:pt idx="3">
                  <c:v>158.91249999999999</c:v>
                </c:pt>
                <c:pt idx="4">
                  <c:v>156.69999999999999</c:v>
                </c:pt>
                <c:pt idx="5">
                  <c:v>163.83750000000001</c:v>
                </c:pt>
                <c:pt idx="6">
                  <c:v>157.5</c:v>
                </c:pt>
                <c:pt idx="7">
                  <c:v>158.75</c:v>
                </c:pt>
                <c:pt idx="8">
                  <c:v>158.19999999999999</c:v>
                </c:pt>
                <c:pt idx="9">
                  <c:v>166.2</c:v>
                </c:pt>
                <c:pt idx="10">
                  <c:v>162.61250000000001</c:v>
                </c:pt>
                <c:pt idx="11">
                  <c:v>163.61250000000001</c:v>
                </c:pt>
                <c:pt idx="12">
                  <c:v>168.23750000000001</c:v>
                </c:pt>
                <c:pt idx="13">
                  <c:v>172.13749999999999</c:v>
                </c:pt>
                <c:pt idx="14">
                  <c:v>167.875</c:v>
                </c:pt>
                <c:pt idx="15">
                  <c:v>171.05</c:v>
                </c:pt>
                <c:pt idx="16">
                  <c:v>164.92500000000001</c:v>
                </c:pt>
                <c:pt idx="17">
                  <c:v>159.17500000000001</c:v>
                </c:pt>
                <c:pt idx="18">
                  <c:v>152.85</c:v>
                </c:pt>
                <c:pt idx="19">
                  <c:v>150.47500000000002</c:v>
                </c:pt>
                <c:pt idx="20">
                  <c:v>147.61250000000001</c:v>
                </c:pt>
                <c:pt idx="21">
                  <c:v>152.125</c:v>
                </c:pt>
                <c:pt idx="22">
                  <c:v>147.9375</c:v>
                </c:pt>
                <c:pt idx="23">
                  <c:v>136.9</c:v>
                </c:pt>
                <c:pt idx="24">
                  <c:v>139.02500000000001</c:v>
                </c:pt>
                <c:pt idx="25">
                  <c:v>135.30000000000001</c:v>
                </c:pt>
                <c:pt idx="26">
                  <c:v>135.08749999999998</c:v>
                </c:pt>
                <c:pt idx="27">
                  <c:v>138.55000000000001</c:v>
                </c:pt>
                <c:pt idx="28">
                  <c:v>135.91249999999999</c:v>
                </c:pt>
                <c:pt idx="29">
                  <c:v>133.83749999999998</c:v>
                </c:pt>
                <c:pt idx="30">
                  <c:v>129.30000000000001</c:v>
                </c:pt>
                <c:pt idx="31">
                  <c:v>128.96250000000001</c:v>
                </c:pt>
                <c:pt idx="32">
                  <c:v>124.52499999999999</c:v>
                </c:pt>
                <c:pt idx="33">
                  <c:v>122.35</c:v>
                </c:pt>
                <c:pt idx="34">
                  <c:v>122.85</c:v>
                </c:pt>
                <c:pt idx="35">
                  <c:v>121.88749999999999</c:v>
                </c:pt>
                <c:pt idx="36">
                  <c:v>119.6125</c:v>
                </c:pt>
                <c:pt idx="37">
                  <c:v>123.3875</c:v>
                </c:pt>
                <c:pt idx="38">
                  <c:v>113.125</c:v>
                </c:pt>
                <c:pt idx="39">
                  <c:v>114.21249999999999</c:v>
                </c:pt>
                <c:pt idx="40">
                  <c:v>109.05</c:v>
                </c:pt>
                <c:pt idx="41">
                  <c:v>112.22499999999999</c:v>
                </c:pt>
                <c:pt idx="42">
                  <c:v>115.42500000000001</c:v>
                </c:pt>
                <c:pt idx="43">
                  <c:v>117.44999999999999</c:v>
                </c:pt>
                <c:pt idx="44">
                  <c:v>118.78749999999999</c:v>
                </c:pt>
                <c:pt idx="45">
                  <c:v>121.91250000000001</c:v>
                </c:pt>
                <c:pt idx="46">
                  <c:v>113.4</c:v>
                </c:pt>
                <c:pt idx="47">
                  <c:v>118.88749999999999</c:v>
                </c:pt>
                <c:pt idx="48">
                  <c:v>126.9875</c:v>
                </c:pt>
                <c:pt idx="49">
                  <c:v>125.58750000000001</c:v>
                </c:pt>
                <c:pt idx="50">
                  <c:v>124.71250000000001</c:v>
                </c:pt>
                <c:pt idx="51">
                  <c:v>119.1875</c:v>
                </c:pt>
                <c:pt idx="52">
                  <c:v>117.97499999999999</c:v>
                </c:pt>
                <c:pt idx="53">
                  <c:v>117.45</c:v>
                </c:pt>
                <c:pt idx="54">
                  <c:v>113.675</c:v>
                </c:pt>
                <c:pt idx="55">
                  <c:v>113.96249999999999</c:v>
                </c:pt>
                <c:pt idx="56">
                  <c:v>111.21250000000001</c:v>
                </c:pt>
                <c:pt idx="57">
                  <c:v>107.3875</c:v>
                </c:pt>
                <c:pt idx="58">
                  <c:v>101.65</c:v>
                </c:pt>
                <c:pt idx="59">
                  <c:v>104.125</c:v>
                </c:pt>
                <c:pt idx="60">
                  <c:v>102.1375</c:v>
                </c:pt>
                <c:pt idx="61">
                  <c:v>98.087500000000006</c:v>
                </c:pt>
                <c:pt idx="62">
                  <c:v>94.412499999999994</c:v>
                </c:pt>
                <c:pt idx="63">
                  <c:v>95.487499999999997</c:v>
                </c:pt>
                <c:pt idx="64">
                  <c:v>94.65</c:v>
                </c:pt>
                <c:pt idx="65">
                  <c:v>93.537499999999994</c:v>
                </c:pt>
                <c:pt idx="66">
                  <c:v>94.699999999999989</c:v>
                </c:pt>
                <c:pt idx="67">
                  <c:v>92.962500000000006</c:v>
                </c:pt>
                <c:pt idx="68">
                  <c:v>90.5625</c:v>
                </c:pt>
                <c:pt idx="69">
                  <c:v>90.724999999999994</c:v>
                </c:pt>
                <c:pt idx="70">
                  <c:v>91.474999999999994</c:v>
                </c:pt>
                <c:pt idx="71">
                  <c:v>93.212500000000006</c:v>
                </c:pt>
                <c:pt idx="72">
                  <c:v>93.6875</c:v>
                </c:pt>
                <c:pt idx="73">
                  <c:v>94.287499999999994</c:v>
                </c:pt>
                <c:pt idx="74">
                  <c:v>91.837500000000006</c:v>
                </c:pt>
                <c:pt idx="75">
                  <c:v>92.837500000000006</c:v>
                </c:pt>
                <c:pt idx="76">
                  <c:v>92.987500000000011</c:v>
                </c:pt>
                <c:pt idx="77">
                  <c:v>93.6875</c:v>
                </c:pt>
                <c:pt idx="78">
                  <c:v>100.72499999999999</c:v>
                </c:pt>
                <c:pt idx="79">
                  <c:v>105.9875</c:v>
                </c:pt>
                <c:pt idx="80">
                  <c:v>105.88749999999999</c:v>
                </c:pt>
                <c:pt idx="81">
                  <c:v>103.22499999999999</c:v>
                </c:pt>
                <c:pt idx="82">
                  <c:v>105.22499999999999</c:v>
                </c:pt>
                <c:pt idx="83">
                  <c:v>102.6875</c:v>
                </c:pt>
                <c:pt idx="84">
                  <c:v>102.875</c:v>
                </c:pt>
                <c:pt idx="85">
                  <c:v>103.6125</c:v>
                </c:pt>
                <c:pt idx="86">
                  <c:v>101.2375</c:v>
                </c:pt>
                <c:pt idx="87">
                  <c:v>103.1875</c:v>
                </c:pt>
                <c:pt idx="88">
                  <c:v>99.65</c:v>
                </c:pt>
                <c:pt idx="89">
                  <c:v>100.4</c:v>
                </c:pt>
                <c:pt idx="90">
                  <c:v>100.02500000000001</c:v>
                </c:pt>
                <c:pt idx="91">
                  <c:v>100.61250000000001</c:v>
                </c:pt>
                <c:pt idx="92">
                  <c:v>102.53749999999999</c:v>
                </c:pt>
                <c:pt idx="93">
                  <c:v>104.08750000000001</c:v>
                </c:pt>
                <c:pt idx="94">
                  <c:v>103.575</c:v>
                </c:pt>
                <c:pt idx="95">
                  <c:v>107.11250000000001</c:v>
                </c:pt>
                <c:pt idx="96">
                  <c:v>105.41249999999999</c:v>
                </c:pt>
                <c:pt idx="97">
                  <c:v>105.6375</c:v>
                </c:pt>
                <c:pt idx="98">
                  <c:v>100.52500000000001</c:v>
                </c:pt>
                <c:pt idx="99">
                  <c:v>101.1875</c:v>
                </c:pt>
                <c:pt idx="100">
                  <c:v>101.4375</c:v>
                </c:pt>
                <c:pt idx="101">
                  <c:v>100.77500000000001</c:v>
                </c:pt>
                <c:pt idx="102">
                  <c:v>96.887500000000003</c:v>
                </c:pt>
                <c:pt idx="103">
                  <c:v>96.1</c:v>
                </c:pt>
                <c:pt idx="104">
                  <c:v>96.887500000000003</c:v>
                </c:pt>
                <c:pt idx="105">
                  <c:v>102.51249999999999</c:v>
                </c:pt>
                <c:pt idx="106">
                  <c:v>99.375</c:v>
                </c:pt>
                <c:pt idx="107">
                  <c:v>100.625</c:v>
                </c:pt>
                <c:pt idx="108">
                  <c:v>103.4</c:v>
                </c:pt>
                <c:pt idx="109">
                  <c:v>97.4375</c:v>
                </c:pt>
                <c:pt idx="110">
                  <c:v>98.862499999999997</c:v>
                </c:pt>
                <c:pt idx="111">
                  <c:v>100.65</c:v>
                </c:pt>
                <c:pt idx="112">
                  <c:v>97.637500000000003</c:v>
                </c:pt>
                <c:pt idx="113">
                  <c:v>97.275000000000006</c:v>
                </c:pt>
                <c:pt idx="114">
                  <c:v>94.462500000000006</c:v>
                </c:pt>
                <c:pt idx="115">
                  <c:v>89.987499999999997</c:v>
                </c:pt>
                <c:pt idx="116">
                  <c:v>88.65</c:v>
                </c:pt>
                <c:pt idx="117">
                  <c:v>94.862499999999997</c:v>
                </c:pt>
                <c:pt idx="118">
                  <c:v>91.587500000000006</c:v>
                </c:pt>
                <c:pt idx="119">
                  <c:v>93.724999999999994</c:v>
                </c:pt>
                <c:pt idx="120">
                  <c:v>99.9375</c:v>
                </c:pt>
                <c:pt idx="121">
                  <c:v>96.4375</c:v>
                </c:pt>
                <c:pt idx="122">
                  <c:v>97.924999999999997</c:v>
                </c:pt>
                <c:pt idx="123">
                  <c:v>100.33750000000001</c:v>
                </c:pt>
                <c:pt idx="124">
                  <c:v>113.25</c:v>
                </c:pt>
                <c:pt idx="125">
                  <c:v>110.625</c:v>
                </c:pt>
                <c:pt idx="126">
                  <c:v>121.77500000000001</c:v>
                </c:pt>
                <c:pt idx="127">
                  <c:v>126.925</c:v>
                </c:pt>
                <c:pt idx="128">
                  <c:v>138.25</c:v>
                </c:pt>
              </c:numCache>
            </c:numRef>
          </c:val>
          <c:smooth val="0"/>
          <c:extLst>
            <c:ext xmlns:c16="http://schemas.microsoft.com/office/drawing/2014/chart" uri="{C3380CC4-5D6E-409C-BE32-E72D297353CC}">
              <c16:uniqueId val="{00000000-FC53-403B-B872-9262376E1A8D}"/>
            </c:ext>
          </c:extLst>
        </c:ser>
        <c:dLbls>
          <c:showLegendKey val="0"/>
          <c:showVal val="0"/>
          <c:showCatName val="0"/>
          <c:showSerName val="0"/>
          <c:showPercent val="0"/>
          <c:showBubbleSize val="0"/>
        </c:dLbls>
        <c:marker val="1"/>
        <c:smooth val="0"/>
        <c:axId val="139511296"/>
        <c:axId val="99446784"/>
      </c:lineChart>
      <c:lineChart>
        <c:grouping val="standard"/>
        <c:varyColors val="0"/>
        <c:ser>
          <c:idx val="0"/>
          <c:order val="0"/>
          <c:tx>
            <c:v>Electric 2026</c:v>
          </c:tx>
          <c:spPr>
            <a:ln w="25400">
              <a:solidFill>
                <a:srgbClr val="5BC0BE"/>
              </a:solidFill>
            </a:ln>
          </c:spPr>
          <c:marker>
            <c:symbol val="none"/>
          </c:marker>
          <c:cat>
            <c:numRef>
              <c:f>'Market Data'!$A$2:$A$130</c:f>
              <c:numCache>
                <c:formatCode>m/d/yyyy</c:formatCode>
                <c:ptCount val="129"/>
                <c:pt idx="0">
                  <c:v>46296</c:v>
                </c:pt>
                <c:pt idx="1">
                  <c:v>46295</c:v>
                </c:pt>
                <c:pt idx="2">
                  <c:v>46294</c:v>
                </c:pt>
                <c:pt idx="3">
                  <c:v>46293</c:v>
                </c:pt>
                <c:pt idx="4">
                  <c:v>46290</c:v>
                </c:pt>
                <c:pt idx="5">
                  <c:v>46289</c:v>
                </c:pt>
                <c:pt idx="6">
                  <c:v>46288</c:v>
                </c:pt>
                <c:pt idx="7">
                  <c:v>46287</c:v>
                </c:pt>
                <c:pt idx="8">
                  <c:v>46286</c:v>
                </c:pt>
                <c:pt idx="9">
                  <c:v>46283</c:v>
                </c:pt>
                <c:pt idx="10">
                  <c:v>46282</c:v>
                </c:pt>
                <c:pt idx="11">
                  <c:v>46281</c:v>
                </c:pt>
                <c:pt idx="12">
                  <c:v>46280</c:v>
                </c:pt>
                <c:pt idx="13">
                  <c:v>46279</c:v>
                </c:pt>
                <c:pt idx="14">
                  <c:v>46276</c:v>
                </c:pt>
                <c:pt idx="15">
                  <c:v>46275</c:v>
                </c:pt>
                <c:pt idx="16">
                  <c:v>46274</c:v>
                </c:pt>
                <c:pt idx="17">
                  <c:v>46273</c:v>
                </c:pt>
                <c:pt idx="18">
                  <c:v>46272</c:v>
                </c:pt>
                <c:pt idx="19">
                  <c:v>46269</c:v>
                </c:pt>
                <c:pt idx="20">
                  <c:v>46268</c:v>
                </c:pt>
                <c:pt idx="21">
                  <c:v>46267</c:v>
                </c:pt>
                <c:pt idx="22">
                  <c:v>46266</c:v>
                </c:pt>
                <c:pt idx="23">
                  <c:v>46262</c:v>
                </c:pt>
                <c:pt idx="24">
                  <c:v>46261</c:v>
                </c:pt>
                <c:pt idx="25">
                  <c:v>46260</c:v>
                </c:pt>
                <c:pt idx="26">
                  <c:v>46259</c:v>
                </c:pt>
                <c:pt idx="27">
                  <c:v>46258</c:v>
                </c:pt>
                <c:pt idx="28">
                  <c:v>46255</c:v>
                </c:pt>
                <c:pt idx="29">
                  <c:v>46254</c:v>
                </c:pt>
                <c:pt idx="30">
                  <c:v>46253</c:v>
                </c:pt>
                <c:pt idx="31">
                  <c:v>46252</c:v>
                </c:pt>
                <c:pt idx="32">
                  <c:v>46251</c:v>
                </c:pt>
                <c:pt idx="33">
                  <c:v>46248</c:v>
                </c:pt>
                <c:pt idx="34">
                  <c:v>46247</c:v>
                </c:pt>
                <c:pt idx="35">
                  <c:v>46246</c:v>
                </c:pt>
                <c:pt idx="36">
                  <c:v>46245</c:v>
                </c:pt>
                <c:pt idx="37">
                  <c:v>46244</c:v>
                </c:pt>
                <c:pt idx="38">
                  <c:v>46241</c:v>
                </c:pt>
                <c:pt idx="39">
                  <c:v>46240</c:v>
                </c:pt>
                <c:pt idx="40">
                  <c:v>46239</c:v>
                </c:pt>
                <c:pt idx="41">
                  <c:v>46238</c:v>
                </c:pt>
                <c:pt idx="42">
                  <c:v>46237</c:v>
                </c:pt>
                <c:pt idx="43">
                  <c:v>46234</c:v>
                </c:pt>
                <c:pt idx="44">
                  <c:v>46233</c:v>
                </c:pt>
                <c:pt idx="45">
                  <c:v>46232</c:v>
                </c:pt>
                <c:pt idx="46">
                  <c:v>46231</c:v>
                </c:pt>
                <c:pt idx="47">
                  <c:v>46230</c:v>
                </c:pt>
                <c:pt idx="48">
                  <c:v>46227</c:v>
                </c:pt>
                <c:pt idx="49">
                  <c:v>46226</c:v>
                </c:pt>
                <c:pt idx="50">
                  <c:v>46225</c:v>
                </c:pt>
                <c:pt idx="51">
                  <c:v>46224</c:v>
                </c:pt>
                <c:pt idx="52">
                  <c:v>46223</c:v>
                </c:pt>
                <c:pt idx="53">
                  <c:v>46220</c:v>
                </c:pt>
                <c:pt idx="54">
                  <c:v>46219</c:v>
                </c:pt>
                <c:pt idx="55">
                  <c:v>46218</c:v>
                </c:pt>
                <c:pt idx="56">
                  <c:v>46217</c:v>
                </c:pt>
                <c:pt idx="57">
                  <c:v>46216</c:v>
                </c:pt>
                <c:pt idx="58">
                  <c:v>46213</c:v>
                </c:pt>
                <c:pt idx="59">
                  <c:v>46212</c:v>
                </c:pt>
                <c:pt idx="60">
                  <c:v>46211</c:v>
                </c:pt>
                <c:pt idx="61">
                  <c:v>46210</c:v>
                </c:pt>
                <c:pt idx="62">
                  <c:v>46209</c:v>
                </c:pt>
                <c:pt idx="63">
                  <c:v>46206</c:v>
                </c:pt>
                <c:pt idx="64">
                  <c:v>46205</c:v>
                </c:pt>
                <c:pt idx="65">
                  <c:v>46204</c:v>
                </c:pt>
                <c:pt idx="66">
                  <c:v>46203</c:v>
                </c:pt>
                <c:pt idx="67">
                  <c:v>46202</c:v>
                </c:pt>
                <c:pt idx="68">
                  <c:v>46199</c:v>
                </c:pt>
                <c:pt idx="69">
                  <c:v>46198</c:v>
                </c:pt>
                <c:pt idx="70">
                  <c:v>46197</c:v>
                </c:pt>
                <c:pt idx="71">
                  <c:v>46196</c:v>
                </c:pt>
                <c:pt idx="72">
                  <c:v>46195</c:v>
                </c:pt>
                <c:pt idx="73">
                  <c:v>46192</c:v>
                </c:pt>
                <c:pt idx="74">
                  <c:v>46191</c:v>
                </c:pt>
                <c:pt idx="75">
                  <c:v>46190</c:v>
                </c:pt>
                <c:pt idx="76">
                  <c:v>46189</c:v>
                </c:pt>
                <c:pt idx="77">
                  <c:v>46188</c:v>
                </c:pt>
                <c:pt idx="78">
                  <c:v>46185</c:v>
                </c:pt>
                <c:pt idx="79">
                  <c:v>46184</c:v>
                </c:pt>
                <c:pt idx="80">
                  <c:v>46183</c:v>
                </c:pt>
                <c:pt idx="81">
                  <c:v>46182</c:v>
                </c:pt>
                <c:pt idx="82">
                  <c:v>46181</c:v>
                </c:pt>
                <c:pt idx="83">
                  <c:v>46178</c:v>
                </c:pt>
                <c:pt idx="84">
                  <c:v>46177</c:v>
                </c:pt>
                <c:pt idx="85">
                  <c:v>46176</c:v>
                </c:pt>
                <c:pt idx="86">
                  <c:v>46175</c:v>
                </c:pt>
                <c:pt idx="87">
                  <c:v>46174</c:v>
                </c:pt>
                <c:pt idx="88">
                  <c:v>46171</c:v>
                </c:pt>
                <c:pt idx="89">
                  <c:v>46170</c:v>
                </c:pt>
                <c:pt idx="90">
                  <c:v>46169</c:v>
                </c:pt>
                <c:pt idx="91">
                  <c:v>46168</c:v>
                </c:pt>
                <c:pt idx="92">
                  <c:v>46164</c:v>
                </c:pt>
                <c:pt idx="93">
                  <c:v>46163</c:v>
                </c:pt>
                <c:pt idx="94">
                  <c:v>46162</c:v>
                </c:pt>
                <c:pt idx="95">
                  <c:v>46161</c:v>
                </c:pt>
                <c:pt idx="96">
                  <c:v>46160</c:v>
                </c:pt>
                <c:pt idx="97">
                  <c:v>46157</c:v>
                </c:pt>
                <c:pt idx="98">
                  <c:v>46156</c:v>
                </c:pt>
                <c:pt idx="99">
                  <c:v>46155</c:v>
                </c:pt>
                <c:pt idx="100">
                  <c:v>46154</c:v>
                </c:pt>
                <c:pt idx="101">
                  <c:v>46153</c:v>
                </c:pt>
                <c:pt idx="102">
                  <c:v>46150</c:v>
                </c:pt>
                <c:pt idx="103">
                  <c:v>46149</c:v>
                </c:pt>
                <c:pt idx="104">
                  <c:v>46148</c:v>
                </c:pt>
                <c:pt idx="105">
                  <c:v>46147</c:v>
                </c:pt>
                <c:pt idx="106">
                  <c:v>46143</c:v>
                </c:pt>
                <c:pt idx="107">
                  <c:v>46142</c:v>
                </c:pt>
                <c:pt idx="108">
                  <c:v>46141</c:v>
                </c:pt>
                <c:pt idx="109">
                  <c:v>46140</c:v>
                </c:pt>
                <c:pt idx="110">
                  <c:v>46139</c:v>
                </c:pt>
                <c:pt idx="111">
                  <c:v>46136</c:v>
                </c:pt>
                <c:pt idx="112">
                  <c:v>46135</c:v>
                </c:pt>
                <c:pt idx="113">
                  <c:v>46134</c:v>
                </c:pt>
                <c:pt idx="114">
                  <c:v>46133</c:v>
                </c:pt>
                <c:pt idx="115">
                  <c:v>46132</c:v>
                </c:pt>
                <c:pt idx="116">
                  <c:v>46129</c:v>
                </c:pt>
                <c:pt idx="117">
                  <c:v>46128</c:v>
                </c:pt>
                <c:pt idx="118">
                  <c:v>46127</c:v>
                </c:pt>
                <c:pt idx="119">
                  <c:v>46126</c:v>
                </c:pt>
                <c:pt idx="120">
                  <c:v>46125</c:v>
                </c:pt>
                <c:pt idx="121">
                  <c:v>46122</c:v>
                </c:pt>
                <c:pt idx="122">
                  <c:v>46121</c:v>
                </c:pt>
                <c:pt idx="123">
                  <c:v>46120</c:v>
                </c:pt>
                <c:pt idx="124">
                  <c:v>46119</c:v>
                </c:pt>
                <c:pt idx="125">
                  <c:v>46114</c:v>
                </c:pt>
                <c:pt idx="126">
                  <c:v>46113</c:v>
                </c:pt>
                <c:pt idx="127">
                  <c:v>46112</c:v>
                </c:pt>
                <c:pt idx="128">
                  <c:v>46111</c:v>
                </c:pt>
              </c:numCache>
            </c:numRef>
          </c:cat>
          <c:val>
            <c:numRef>
              <c:f>'Market Data'!$B$2:$B$130</c:f>
              <c:numCache>
                <c:formatCode>0.00</c:formatCode>
                <c:ptCount val="129"/>
                <c:pt idx="0">
                  <c:v>107.5</c:v>
                </c:pt>
                <c:pt idx="1">
                  <c:v>127.075</c:v>
                </c:pt>
                <c:pt idx="2">
                  <c:v>123.35</c:v>
                </c:pt>
                <c:pt idx="3">
                  <c:v>127.1</c:v>
                </c:pt>
                <c:pt idx="4">
                  <c:v>125.175</c:v>
                </c:pt>
                <c:pt idx="5">
                  <c:v>129.02500000000001</c:v>
                </c:pt>
                <c:pt idx="6">
                  <c:v>124.875</c:v>
                </c:pt>
                <c:pt idx="7">
                  <c:v>125.95</c:v>
                </c:pt>
                <c:pt idx="8">
                  <c:v>125</c:v>
                </c:pt>
                <c:pt idx="9">
                  <c:v>132.625</c:v>
                </c:pt>
                <c:pt idx="10">
                  <c:v>129.375</c:v>
                </c:pt>
                <c:pt idx="11">
                  <c:v>131.375</c:v>
                </c:pt>
                <c:pt idx="12">
                  <c:v>134.1</c:v>
                </c:pt>
                <c:pt idx="13">
                  <c:v>138.53749999999999</c:v>
                </c:pt>
                <c:pt idx="14">
                  <c:v>133.5625</c:v>
                </c:pt>
                <c:pt idx="15">
                  <c:v>135.80000000000001</c:v>
                </c:pt>
                <c:pt idx="16">
                  <c:v>132.15</c:v>
                </c:pt>
                <c:pt idx="17">
                  <c:v>128.25</c:v>
                </c:pt>
                <c:pt idx="18">
                  <c:v>124.48750000000001</c:v>
                </c:pt>
                <c:pt idx="19">
                  <c:v>121.1375</c:v>
                </c:pt>
                <c:pt idx="20">
                  <c:v>121.22499999999999</c:v>
                </c:pt>
                <c:pt idx="21">
                  <c:v>123.55</c:v>
                </c:pt>
                <c:pt idx="22">
                  <c:v>120.15</c:v>
                </c:pt>
                <c:pt idx="23">
                  <c:v>113.825</c:v>
                </c:pt>
                <c:pt idx="24">
                  <c:v>115.1</c:v>
                </c:pt>
                <c:pt idx="25">
                  <c:v>113.22499999999999</c:v>
                </c:pt>
                <c:pt idx="26">
                  <c:v>113.27500000000001</c:v>
                </c:pt>
                <c:pt idx="27">
                  <c:v>115.175</c:v>
                </c:pt>
                <c:pt idx="28">
                  <c:v>112.72500000000001</c:v>
                </c:pt>
                <c:pt idx="29">
                  <c:v>111.5</c:v>
                </c:pt>
                <c:pt idx="30">
                  <c:v>108.36250000000001</c:v>
                </c:pt>
                <c:pt idx="31">
                  <c:v>107.875</c:v>
                </c:pt>
                <c:pt idx="32">
                  <c:v>105.6125</c:v>
                </c:pt>
                <c:pt idx="33">
                  <c:v>104.75</c:v>
                </c:pt>
                <c:pt idx="34">
                  <c:v>104.125</c:v>
                </c:pt>
                <c:pt idx="35">
                  <c:v>103.75</c:v>
                </c:pt>
                <c:pt idx="36">
                  <c:v>101.5</c:v>
                </c:pt>
                <c:pt idx="37">
                  <c:v>103.5625</c:v>
                </c:pt>
                <c:pt idx="38">
                  <c:v>99.875</c:v>
                </c:pt>
                <c:pt idx="39">
                  <c:v>98.9</c:v>
                </c:pt>
                <c:pt idx="40">
                  <c:v>95.625</c:v>
                </c:pt>
                <c:pt idx="41">
                  <c:v>98.674999999999997</c:v>
                </c:pt>
                <c:pt idx="42">
                  <c:v>100.125</c:v>
                </c:pt>
                <c:pt idx="43">
                  <c:v>102.38749999999999</c:v>
                </c:pt>
                <c:pt idx="44">
                  <c:v>102.16249999999999</c:v>
                </c:pt>
                <c:pt idx="45">
                  <c:v>104.5</c:v>
                </c:pt>
                <c:pt idx="46">
                  <c:v>100.25</c:v>
                </c:pt>
                <c:pt idx="47">
                  <c:v>103.3125</c:v>
                </c:pt>
                <c:pt idx="48">
                  <c:v>108.94999999999999</c:v>
                </c:pt>
                <c:pt idx="49">
                  <c:v>107.21250000000001</c:v>
                </c:pt>
                <c:pt idx="50">
                  <c:v>107.125</c:v>
                </c:pt>
                <c:pt idx="51">
                  <c:v>103.71250000000001</c:v>
                </c:pt>
                <c:pt idx="52">
                  <c:v>102.575</c:v>
                </c:pt>
                <c:pt idx="53">
                  <c:v>101</c:v>
                </c:pt>
                <c:pt idx="54">
                  <c:v>98.587500000000006</c:v>
                </c:pt>
                <c:pt idx="55">
                  <c:v>99.987499999999997</c:v>
                </c:pt>
                <c:pt idx="56">
                  <c:v>97.1</c:v>
                </c:pt>
                <c:pt idx="57">
                  <c:v>94.587500000000006</c:v>
                </c:pt>
                <c:pt idx="58">
                  <c:v>91.05</c:v>
                </c:pt>
                <c:pt idx="59">
                  <c:v>92.375</c:v>
                </c:pt>
                <c:pt idx="60">
                  <c:v>90.85</c:v>
                </c:pt>
                <c:pt idx="61">
                  <c:v>89.474999999999994</c:v>
                </c:pt>
                <c:pt idx="62">
                  <c:v>87.275000000000006</c:v>
                </c:pt>
                <c:pt idx="63">
                  <c:v>87.65</c:v>
                </c:pt>
                <c:pt idx="64">
                  <c:v>86.775000000000006</c:v>
                </c:pt>
                <c:pt idx="65">
                  <c:v>86.237499999999997</c:v>
                </c:pt>
                <c:pt idx="66">
                  <c:v>87.137500000000003</c:v>
                </c:pt>
                <c:pt idx="67">
                  <c:v>85.75</c:v>
                </c:pt>
                <c:pt idx="68">
                  <c:v>84.737500000000011</c:v>
                </c:pt>
                <c:pt idx="69">
                  <c:v>83.875</c:v>
                </c:pt>
                <c:pt idx="70">
                  <c:v>84.324999999999989</c:v>
                </c:pt>
                <c:pt idx="71">
                  <c:v>86</c:v>
                </c:pt>
                <c:pt idx="72">
                  <c:v>86.462500000000006</c:v>
                </c:pt>
                <c:pt idx="73">
                  <c:v>87.75</c:v>
                </c:pt>
                <c:pt idx="74">
                  <c:v>85.424999999999997</c:v>
                </c:pt>
                <c:pt idx="75">
                  <c:v>85.75</c:v>
                </c:pt>
                <c:pt idx="76">
                  <c:v>86.275000000000006</c:v>
                </c:pt>
                <c:pt idx="77">
                  <c:v>86.237499999999997</c:v>
                </c:pt>
                <c:pt idx="78">
                  <c:v>89.125</c:v>
                </c:pt>
                <c:pt idx="79">
                  <c:v>92.575000000000003</c:v>
                </c:pt>
                <c:pt idx="80">
                  <c:v>92.625</c:v>
                </c:pt>
                <c:pt idx="81">
                  <c:v>90.625</c:v>
                </c:pt>
                <c:pt idx="82">
                  <c:v>91.5</c:v>
                </c:pt>
                <c:pt idx="83">
                  <c:v>90.462500000000006</c:v>
                </c:pt>
                <c:pt idx="84">
                  <c:v>90.125</c:v>
                </c:pt>
                <c:pt idx="85">
                  <c:v>90.6</c:v>
                </c:pt>
                <c:pt idx="86">
                  <c:v>89.837500000000006</c:v>
                </c:pt>
                <c:pt idx="87">
                  <c:v>90.587500000000006</c:v>
                </c:pt>
                <c:pt idx="88">
                  <c:v>88.75</c:v>
                </c:pt>
                <c:pt idx="89">
                  <c:v>89.5</c:v>
                </c:pt>
                <c:pt idx="90">
                  <c:v>87.512500000000003</c:v>
                </c:pt>
                <c:pt idx="91">
                  <c:v>87.637500000000003</c:v>
                </c:pt>
                <c:pt idx="92">
                  <c:v>88.25</c:v>
                </c:pt>
                <c:pt idx="93">
                  <c:v>88.925000000000011</c:v>
                </c:pt>
                <c:pt idx="94">
                  <c:v>88.125</c:v>
                </c:pt>
                <c:pt idx="95">
                  <c:v>90.875</c:v>
                </c:pt>
                <c:pt idx="96">
                  <c:v>89.625</c:v>
                </c:pt>
                <c:pt idx="97">
                  <c:v>88.125</c:v>
                </c:pt>
                <c:pt idx="98">
                  <c:v>86.625</c:v>
                </c:pt>
                <c:pt idx="99">
                  <c:v>86.95</c:v>
                </c:pt>
                <c:pt idx="100">
                  <c:v>87.9375</c:v>
                </c:pt>
                <c:pt idx="101">
                  <c:v>87.25</c:v>
                </c:pt>
                <c:pt idx="102">
                  <c:v>84.625</c:v>
                </c:pt>
                <c:pt idx="103">
                  <c:v>83.6</c:v>
                </c:pt>
                <c:pt idx="104">
                  <c:v>83.6875</c:v>
                </c:pt>
                <c:pt idx="105">
                  <c:v>87.85</c:v>
                </c:pt>
                <c:pt idx="106">
                  <c:v>86.125</c:v>
                </c:pt>
                <c:pt idx="107">
                  <c:v>85.625</c:v>
                </c:pt>
                <c:pt idx="108">
                  <c:v>86.924999999999997</c:v>
                </c:pt>
                <c:pt idx="109">
                  <c:v>84.474999999999994</c:v>
                </c:pt>
                <c:pt idx="110">
                  <c:v>84.7</c:v>
                </c:pt>
                <c:pt idx="111">
                  <c:v>85.9</c:v>
                </c:pt>
                <c:pt idx="112">
                  <c:v>83.875</c:v>
                </c:pt>
                <c:pt idx="113">
                  <c:v>82.9</c:v>
                </c:pt>
                <c:pt idx="114">
                  <c:v>81.625</c:v>
                </c:pt>
                <c:pt idx="115">
                  <c:v>79.325000000000003</c:v>
                </c:pt>
                <c:pt idx="116">
                  <c:v>77.625</c:v>
                </c:pt>
                <c:pt idx="117">
                  <c:v>81.875</c:v>
                </c:pt>
                <c:pt idx="118">
                  <c:v>79.625</c:v>
                </c:pt>
                <c:pt idx="119">
                  <c:v>80.5625</c:v>
                </c:pt>
                <c:pt idx="120">
                  <c:v>83.387500000000003</c:v>
                </c:pt>
                <c:pt idx="121">
                  <c:v>80.75</c:v>
                </c:pt>
                <c:pt idx="122">
                  <c:v>81.625</c:v>
                </c:pt>
                <c:pt idx="123">
                  <c:v>81.650000000000006</c:v>
                </c:pt>
                <c:pt idx="124">
                  <c:v>91.625</c:v>
                </c:pt>
                <c:pt idx="125">
                  <c:v>90.0625</c:v>
                </c:pt>
                <c:pt idx="126">
                  <c:v>98.375</c:v>
                </c:pt>
                <c:pt idx="127">
                  <c:v>102.22499999999999</c:v>
                </c:pt>
                <c:pt idx="128">
                  <c:v>105</c:v>
                </c:pt>
              </c:numCache>
            </c:numRef>
          </c:val>
          <c:smooth val="0"/>
          <c:extLst>
            <c:ext xmlns:c16="http://schemas.microsoft.com/office/drawing/2014/chart" uri="{C3380CC4-5D6E-409C-BE32-E72D297353CC}">
              <c16:uniqueId val="{00000001-FC53-403B-B872-9262376E1A8D}"/>
            </c:ext>
          </c:extLst>
        </c:ser>
        <c:dLbls>
          <c:showLegendKey val="0"/>
          <c:showVal val="0"/>
          <c:showCatName val="0"/>
          <c:showSerName val="0"/>
          <c:showPercent val="0"/>
          <c:showBubbleSize val="0"/>
        </c:dLbls>
        <c:marker val="1"/>
        <c:smooth val="0"/>
        <c:axId val="99450880"/>
        <c:axId val="99448704"/>
      </c:lineChart>
      <c:dateAx>
        <c:axId val="139511296"/>
        <c:scaling>
          <c:orientation val="minMax"/>
        </c:scaling>
        <c:delete val="0"/>
        <c:axPos val="b"/>
        <c:numFmt formatCode="mmm\ yy" sourceLinked="0"/>
        <c:majorTickMark val="none"/>
        <c:minorTickMark val="none"/>
        <c:tickLblPos val="nextTo"/>
        <c:crossAx val="99446784"/>
        <c:crosses val="autoZero"/>
        <c:auto val="1"/>
        <c:lblOffset val="100"/>
        <c:baseTimeUnit val="days"/>
        <c:majorUnit val="1"/>
        <c:majorTimeUnit val="months"/>
      </c:dateAx>
      <c:valAx>
        <c:axId val="99446784"/>
        <c:scaling>
          <c:orientation val="minMax"/>
        </c:scaling>
        <c:delete val="0"/>
        <c:axPos val="l"/>
        <c:majorGridlines>
          <c:spPr>
            <a:ln>
              <a:solidFill>
                <a:schemeClr val="tx1">
                  <a:alpha val="8000"/>
                </a:schemeClr>
              </a:solidFill>
            </a:ln>
          </c:spPr>
        </c:majorGridlines>
        <c:title>
          <c:tx>
            <c:rich>
              <a:bodyPr rot="0" vert="horz"/>
              <a:lstStyle/>
              <a:p>
                <a:pPr>
                  <a:defRPr/>
                </a:pPr>
                <a:r>
                  <a:rPr lang="en-GB"/>
                  <a:t>Electricity Price</a:t>
                </a:r>
              </a:p>
              <a:p>
                <a:pPr>
                  <a:defRPr/>
                </a:pPr>
                <a:r>
                  <a:rPr lang="en-GB"/>
                  <a:t>£/MWh</a:t>
                </a:r>
              </a:p>
            </c:rich>
          </c:tx>
          <c:layout>
            <c:manualLayout>
              <c:xMode val="edge"/>
              <c:yMode val="edge"/>
              <c:x val="1.6372683782081888E-2"/>
              <c:y val="6.3007589076048101E-2"/>
            </c:manualLayout>
          </c:layout>
          <c:overlay val="0"/>
        </c:title>
        <c:numFmt formatCode="0" sourceLinked="0"/>
        <c:majorTickMark val="none"/>
        <c:minorTickMark val="none"/>
        <c:tickLblPos val="nextTo"/>
        <c:spPr>
          <a:ln w="9525">
            <a:noFill/>
          </a:ln>
        </c:spPr>
        <c:crossAx val="139511296"/>
        <c:crosses val="autoZero"/>
        <c:crossBetween val="between"/>
        <c:majorUnit val="10"/>
      </c:valAx>
      <c:valAx>
        <c:axId val="99448704"/>
        <c:scaling>
          <c:orientation val="minMax"/>
        </c:scaling>
        <c:delete val="0"/>
        <c:axPos val="r"/>
        <c:title>
          <c:tx>
            <c:rich>
              <a:bodyPr rot="0" vert="horz"/>
              <a:lstStyle/>
              <a:p>
                <a:pPr>
                  <a:defRPr/>
                </a:pPr>
                <a:r>
                  <a:rPr lang="en-GB"/>
                  <a:t>Gas Price </a:t>
                </a:r>
              </a:p>
              <a:p>
                <a:pPr>
                  <a:defRPr/>
                </a:pPr>
                <a:r>
                  <a:rPr lang="en-GB"/>
                  <a:t>p/therm</a:t>
                </a:r>
              </a:p>
            </c:rich>
          </c:tx>
          <c:layout>
            <c:manualLayout>
              <c:xMode val="edge"/>
              <c:yMode val="edge"/>
              <c:x val="0.92752683919639167"/>
              <c:y val="8.2815474407413506E-2"/>
            </c:manualLayout>
          </c:layout>
          <c:overlay val="0"/>
        </c:title>
        <c:numFmt formatCode="0" sourceLinked="0"/>
        <c:majorTickMark val="out"/>
        <c:minorTickMark val="none"/>
        <c:tickLblPos val="nextTo"/>
        <c:crossAx val="99450880"/>
        <c:crosses val="max"/>
        <c:crossBetween val="between"/>
      </c:valAx>
      <c:dateAx>
        <c:axId val="99450880"/>
        <c:scaling>
          <c:orientation val="minMax"/>
        </c:scaling>
        <c:delete val="1"/>
        <c:axPos val="b"/>
        <c:numFmt formatCode="m/d/yyyy" sourceLinked="1"/>
        <c:majorTickMark val="out"/>
        <c:minorTickMark val="none"/>
        <c:tickLblPos val="none"/>
        <c:crossAx val="99448704"/>
        <c:crosses val="autoZero"/>
        <c:auto val="1"/>
        <c:lblOffset val="100"/>
        <c:baseTimeUnit val="days"/>
        <c:majorUnit val="1"/>
        <c:minorUnit val="1"/>
      </c:dateAx>
      <c:spPr>
        <a:noFill/>
        <a:ln w="25400">
          <a:noFill/>
        </a:ln>
      </c:spPr>
    </c:plotArea>
    <c:legend>
      <c:legendPos val="b"/>
      <c:layout>
        <c:manualLayout>
          <c:xMode val="edge"/>
          <c:yMode val="edge"/>
          <c:x val="0.2721751835080008"/>
          <c:y val="0.93589412196701049"/>
          <c:w val="0.43112219005135932"/>
          <c:h val="5.5478707470503541E-2"/>
        </c:manualLayout>
      </c:layout>
      <c:overlay val="0"/>
    </c:legend>
    <c:plotVisOnly val="1"/>
    <c:dispBlanksAs val="gap"/>
    <c:showDLblsOverMax val="0"/>
  </c:chart>
  <c:spPr>
    <a:ln>
      <a:solidFill>
        <a:schemeClr val="bg2"/>
      </a:solidFill>
    </a:ln>
  </c:spPr>
  <c:txPr>
    <a:bodyPr/>
    <a:lstStyle/>
    <a:p>
      <a:pPr>
        <a:defRPr>
          <a:latin typeface="Arial Narrow" panose="020B0606020202030204" pitchFamily="34" charset="0"/>
        </a:defRPr>
      </a:pPr>
      <a:endParaRPr lang="en-US"/>
    </a:p>
  </c:txPr>
  <c:printSettings>
    <c:headerFooter>
      <c:oddFooter>&amp;LCopyright © The Monarch Partnership Ltd 2014. All rights reserved. &amp;C
</c:oddFooter>
    </c:headerFooter>
    <c:pageMargins b="0.75000000000001321" l="0.70000000000000062" r="0.70000000000000062" t="0.75000000000001321" header="0.30000000000000032" footer="0.30000000000000032"/>
    <c:pageSetup orientation="portrait"/>
  </c:printSettings>
  <c:userShapes r:id="rId1"/>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381000</xdr:colOff>
      <xdr:row>0</xdr:row>
      <xdr:rowOff>174921</xdr:rowOff>
    </xdr:from>
    <xdr:to>
      <xdr:col>27</xdr:col>
      <xdr:colOff>87924</xdr:colOff>
      <xdr:row>19</xdr:row>
      <xdr:rowOff>155421</xdr:rowOff>
    </xdr:to>
    <xdr:graphicFrame macro="">
      <xdr:nvGraphicFramePr>
        <xdr:cNvPr id="3" name="Chart 2">
          <a:extLst>
            <a:ext uri="{FF2B5EF4-FFF2-40B4-BE49-F238E27FC236}">
              <a16:creationId xmlns:a16="http://schemas.microsoft.com/office/drawing/2014/main" id="{00000000-0008-0000-0000-00000300000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52917</xdr:colOff>
      <xdr:row>1</xdr:row>
      <xdr:rowOff>105832</xdr:rowOff>
    </xdr:from>
    <xdr:to>
      <xdr:col>8</xdr:col>
      <xdr:colOff>1254125</xdr:colOff>
      <xdr:row>42</xdr:row>
      <xdr:rowOff>47623</xdr:rowOff>
    </xdr:to>
    <xdr:graphicFrame macro="">
      <xdr:nvGraphicFramePr>
        <xdr:cNvPr id="7" name="Chart 1">
          <a:extLst>
            <a:ext uri="{FF2B5EF4-FFF2-40B4-BE49-F238E27FC236}">
              <a16:creationId xmlns:a16="http://schemas.microsoft.com/office/drawing/2014/main" id="{00000000-0008-0000-0000-000007000000}"/>
            </a:ext>
            <a:ext uri="{147F2762-F138-4A5C-976F-8EAC2B608ADB}">
              <a16:predDERef xmlns:a16="http://schemas.microsoft.com/office/drawing/2014/main" pre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absoluteAnchor>
    <xdr:pos x="15512143" y="3905250"/>
    <xdr:ext cx="10719858" cy="4139480"/>
    <xdr:graphicFrame macro="">
      <xdr:nvGraphicFramePr>
        <xdr:cNvPr id="5" name="Chart 4">
          <a:extLst>
            <a:ext uri="{FF2B5EF4-FFF2-40B4-BE49-F238E27FC236}">
              <a16:creationId xmlns:a16="http://schemas.microsoft.com/office/drawing/2014/main" id="{00000000-0008-0000-0000-000006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0.82945</cdr:x>
      <cdr:y>0.91705</cdr:y>
    </cdr:from>
    <cdr:to>
      <cdr:x>0.98503</cdr:x>
      <cdr:y>0.96037</cdr:y>
    </cdr:to>
    <cdr:sp macro="" textlink="">
      <cdr:nvSpPr>
        <cdr:cNvPr id="5" name="TextBox 4">
          <a:extLst xmlns:a="http://schemas.openxmlformats.org/drawingml/2006/main">
            <a:ext uri="{FF2B5EF4-FFF2-40B4-BE49-F238E27FC236}">
              <a16:creationId xmlns:a16="http://schemas.microsoft.com/office/drawing/2014/main" id="{02A13ED4-49C3-4D7C-BC49-B2EB804A81B3}"/>
            </a:ext>
          </a:extLst>
        </cdr:cNvPr>
        <cdr:cNvSpPr txBox="1"/>
      </cdr:nvSpPr>
      <cdr:spPr>
        <a:xfrm xmlns:a="http://schemas.openxmlformats.org/drawingml/2006/main">
          <a:off x="9161207" y="4000962"/>
          <a:ext cx="1718369" cy="1890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000"/>
            <a:t>Source: Reuters </a:t>
          </a:r>
        </a:p>
      </cdr:txBody>
    </cdr:sp>
  </cdr:relSizeAnchor>
</c:userShapes>
</file>

<file path=xl/externalLinks/_rels/externalLink1.xml.rels><?xml version="1.0" encoding="UTF-8" standalone="yes"?>
<Relationships xmlns="http://schemas.openxmlformats.org/package/2006/relationships"><Relationship Id="rId2" Type="http://schemas.openxmlformats.org/officeDocument/2006/relationships/externalLinkPath" Target="https://majesticintranet.sharepoint.com/sites/Company-Shares/Monarch%20%20Contract%20Negotiations/Contract%20Negotiations/Quotation%20Analysis%20Spreadsheets/Wholesale%20Prices%20-%20October-17.xlsx" TargetMode="External"/><Relationship Id="rId1" Type="http://schemas.openxmlformats.org/officeDocument/2006/relationships/externalLinkPath" Target="https://majesticintranet.sharepoint.com/sites/Company-Shares/Monarch%20%20Contract%20Negotiations/Contract%20Negotiations/Quotation%20Analysis%20Spreadsheets/Wholesale%20Prices%20-%20October-1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vt-zxeQUuEOEBJHukU13tGIghjGsnS9CrxB8h5VLY-M_un4XoIRGRprHrXPoNyaq" itemId="01E3RXPQKVRANTI6ESLBEJBOQ6FCW4NQWO">
      <xxl21:absoluteUrl r:id="rId2"/>
    </xxl21:alternateUrls>
    <sheetNames>
      <sheetName val="Sheet1"/>
      <sheetName val="Wholesale Prices"/>
    </sheetNames>
    <sheetDataSet>
      <sheetData sheetId="0"/>
      <sheetData sheetId="1">
        <row r="4">
          <cell r="B4">
            <v>46296</v>
          </cell>
          <cell r="H4">
            <v>107.5</v>
          </cell>
          <cell r="I4">
            <v>132.94999999999999</v>
          </cell>
        </row>
        <row r="5">
          <cell r="B5">
            <v>46295</v>
          </cell>
          <cell r="H5">
            <v>127.075</v>
          </cell>
          <cell r="I5">
            <v>157.39999999999998</v>
          </cell>
        </row>
        <row r="6">
          <cell r="B6">
            <v>46294</v>
          </cell>
          <cell r="H6">
            <v>123.35</v>
          </cell>
          <cell r="I6">
            <v>150.6875</v>
          </cell>
        </row>
        <row r="7">
          <cell r="B7">
            <v>46293</v>
          </cell>
          <cell r="H7">
            <v>127.1</v>
          </cell>
          <cell r="I7">
            <v>158.91249999999999</v>
          </cell>
        </row>
        <row r="8">
          <cell r="B8">
            <v>46290</v>
          </cell>
          <cell r="H8">
            <v>125.175</v>
          </cell>
          <cell r="I8">
            <v>156.69999999999999</v>
          </cell>
        </row>
        <row r="9">
          <cell r="B9">
            <v>46289</v>
          </cell>
          <cell r="H9">
            <v>129.02500000000001</v>
          </cell>
          <cell r="I9">
            <v>163.83750000000001</v>
          </cell>
        </row>
        <row r="10">
          <cell r="B10">
            <v>46288</v>
          </cell>
          <cell r="H10">
            <v>124.875</v>
          </cell>
          <cell r="I10">
            <v>157.5</v>
          </cell>
        </row>
        <row r="11">
          <cell r="B11">
            <v>46287</v>
          </cell>
          <cell r="H11">
            <v>125.95</v>
          </cell>
          <cell r="I11">
            <v>158.75</v>
          </cell>
        </row>
        <row r="12">
          <cell r="B12">
            <v>46286</v>
          </cell>
          <cell r="H12">
            <v>125</v>
          </cell>
          <cell r="I12">
            <v>158.19999999999999</v>
          </cell>
        </row>
        <row r="13">
          <cell r="B13">
            <v>46283</v>
          </cell>
          <cell r="H13">
            <v>132.625</v>
          </cell>
          <cell r="I13">
            <v>166.2</v>
          </cell>
        </row>
        <row r="14">
          <cell r="B14">
            <v>46282</v>
          </cell>
          <cell r="H14">
            <v>129.375</v>
          </cell>
          <cell r="I14">
            <v>162.61250000000001</v>
          </cell>
        </row>
        <row r="15">
          <cell r="B15">
            <v>46281</v>
          </cell>
          <cell r="H15">
            <v>131.375</v>
          </cell>
          <cell r="I15">
            <v>163.61250000000001</v>
          </cell>
        </row>
        <row r="16">
          <cell r="B16">
            <v>46280</v>
          </cell>
          <cell r="H16">
            <v>134.1</v>
          </cell>
          <cell r="I16">
            <v>168.23750000000001</v>
          </cell>
        </row>
        <row r="17">
          <cell r="B17">
            <v>46279</v>
          </cell>
          <cell r="H17">
            <v>138.53749999999999</v>
          </cell>
          <cell r="I17">
            <v>172.13749999999999</v>
          </cell>
        </row>
        <row r="18">
          <cell r="B18">
            <v>46276</v>
          </cell>
          <cell r="H18">
            <v>133.5625</v>
          </cell>
          <cell r="I18">
            <v>167.875</v>
          </cell>
        </row>
        <row r="19">
          <cell r="B19">
            <v>46275</v>
          </cell>
          <cell r="H19">
            <v>135.80000000000001</v>
          </cell>
          <cell r="I19">
            <v>171.05</v>
          </cell>
        </row>
        <row r="20">
          <cell r="B20">
            <v>46274</v>
          </cell>
          <cell r="H20">
            <v>132.15</v>
          </cell>
          <cell r="I20">
            <v>164.92500000000001</v>
          </cell>
        </row>
        <row r="21">
          <cell r="B21">
            <v>46273</v>
          </cell>
          <cell r="H21">
            <v>128.25</v>
          </cell>
          <cell r="I21">
            <v>159.17500000000001</v>
          </cell>
        </row>
        <row r="22">
          <cell r="B22">
            <v>46272</v>
          </cell>
          <cell r="H22">
            <v>124.48750000000001</v>
          </cell>
          <cell r="I22">
            <v>152.85</v>
          </cell>
        </row>
        <row r="23">
          <cell r="B23">
            <v>46269</v>
          </cell>
          <cell r="H23">
            <v>121.1375</v>
          </cell>
          <cell r="I23">
            <v>150.47500000000002</v>
          </cell>
        </row>
        <row r="24">
          <cell r="B24">
            <v>46268</v>
          </cell>
          <cell r="H24">
            <v>121.22499999999999</v>
          </cell>
          <cell r="I24">
            <v>147.61250000000001</v>
          </cell>
        </row>
        <row r="25">
          <cell r="B25">
            <v>46267</v>
          </cell>
          <cell r="H25">
            <v>123.55</v>
          </cell>
          <cell r="I25">
            <v>152.125</v>
          </cell>
        </row>
        <row r="26">
          <cell r="B26">
            <v>46266</v>
          </cell>
          <cell r="H26">
            <v>120.15</v>
          </cell>
          <cell r="I26">
            <v>147.9375</v>
          </cell>
        </row>
        <row r="27">
          <cell r="B27">
            <v>46262</v>
          </cell>
          <cell r="H27">
            <v>113.825</v>
          </cell>
          <cell r="I27">
            <v>136.9</v>
          </cell>
        </row>
        <row r="28">
          <cell r="B28">
            <v>46261</v>
          </cell>
          <cell r="H28">
            <v>115.1</v>
          </cell>
          <cell r="I28">
            <v>139.02500000000001</v>
          </cell>
        </row>
        <row r="29">
          <cell r="B29">
            <v>46260</v>
          </cell>
          <cell r="H29">
            <v>113.22499999999999</v>
          </cell>
          <cell r="I29">
            <v>135.30000000000001</v>
          </cell>
        </row>
        <row r="30">
          <cell r="B30">
            <v>46259</v>
          </cell>
          <cell r="H30">
            <v>113.27500000000001</v>
          </cell>
          <cell r="I30">
            <v>135.08749999999998</v>
          </cell>
        </row>
        <row r="31">
          <cell r="B31">
            <v>46258</v>
          </cell>
          <cell r="H31">
            <v>115.175</v>
          </cell>
          <cell r="I31">
            <v>138.55000000000001</v>
          </cell>
        </row>
        <row r="32">
          <cell r="B32">
            <v>46255</v>
          </cell>
          <cell r="H32">
            <v>112.72500000000001</v>
          </cell>
          <cell r="I32">
            <v>135.91249999999999</v>
          </cell>
        </row>
        <row r="33">
          <cell r="B33">
            <v>46254</v>
          </cell>
          <cell r="H33">
            <v>111.5</v>
          </cell>
          <cell r="I33">
            <v>133.83749999999998</v>
          </cell>
        </row>
        <row r="34">
          <cell r="B34">
            <v>46253</v>
          </cell>
          <cell r="H34">
            <v>108.36250000000001</v>
          </cell>
          <cell r="I34">
            <v>129.30000000000001</v>
          </cell>
        </row>
        <row r="35">
          <cell r="B35">
            <v>46252</v>
          </cell>
          <cell r="H35">
            <v>107.875</v>
          </cell>
          <cell r="I35">
            <v>128.96250000000001</v>
          </cell>
        </row>
        <row r="36">
          <cell r="B36">
            <v>46251</v>
          </cell>
          <cell r="H36">
            <v>105.6125</v>
          </cell>
          <cell r="I36">
            <v>124.52499999999999</v>
          </cell>
        </row>
        <row r="37">
          <cell r="B37">
            <v>46248</v>
          </cell>
          <cell r="H37">
            <v>104.75</v>
          </cell>
          <cell r="I37">
            <v>122.35</v>
          </cell>
        </row>
        <row r="38">
          <cell r="B38">
            <v>46247</v>
          </cell>
          <cell r="H38">
            <v>104.125</v>
          </cell>
          <cell r="I38">
            <v>122.85</v>
          </cell>
        </row>
        <row r="39">
          <cell r="B39">
            <v>46246</v>
          </cell>
          <cell r="H39">
            <v>103.75</v>
          </cell>
          <cell r="I39">
            <v>121.88749999999999</v>
          </cell>
        </row>
        <row r="40">
          <cell r="B40">
            <v>46245</v>
          </cell>
          <cell r="H40">
            <v>101.5</v>
          </cell>
          <cell r="I40">
            <v>119.6125</v>
          </cell>
        </row>
        <row r="41">
          <cell r="B41">
            <v>46244</v>
          </cell>
          <cell r="H41">
            <v>103.5625</v>
          </cell>
          <cell r="I41">
            <v>123.3875</v>
          </cell>
        </row>
        <row r="42">
          <cell r="B42">
            <v>46241</v>
          </cell>
          <cell r="H42">
            <v>99.875</v>
          </cell>
          <cell r="I42">
            <v>113.125</v>
          </cell>
        </row>
        <row r="43">
          <cell r="B43">
            <v>46240</v>
          </cell>
          <cell r="H43">
            <v>98.9</v>
          </cell>
          <cell r="I43">
            <v>114.21249999999999</v>
          </cell>
        </row>
        <row r="44">
          <cell r="B44">
            <v>46239</v>
          </cell>
          <cell r="H44">
            <v>95.625</v>
          </cell>
          <cell r="I44">
            <v>109.05</v>
          </cell>
        </row>
        <row r="45">
          <cell r="B45">
            <v>46238</v>
          </cell>
          <cell r="H45">
            <v>98.674999999999997</v>
          </cell>
          <cell r="I45">
            <v>112.22499999999999</v>
          </cell>
        </row>
        <row r="46">
          <cell r="B46">
            <v>46237</v>
          </cell>
          <cell r="H46">
            <v>100.125</v>
          </cell>
          <cell r="I46">
            <v>115.42500000000001</v>
          </cell>
        </row>
        <row r="47">
          <cell r="B47">
            <v>46234</v>
          </cell>
          <cell r="H47">
            <v>102.38749999999999</v>
          </cell>
          <cell r="I47">
            <v>117.44999999999999</v>
          </cell>
        </row>
        <row r="48">
          <cell r="B48">
            <v>46233</v>
          </cell>
          <cell r="H48">
            <v>102.16249999999999</v>
          </cell>
          <cell r="I48">
            <v>118.78749999999999</v>
          </cell>
        </row>
        <row r="49">
          <cell r="B49">
            <v>46232</v>
          </cell>
          <cell r="H49">
            <v>104.5</v>
          </cell>
          <cell r="I49">
            <v>121.91250000000001</v>
          </cell>
        </row>
        <row r="50">
          <cell r="B50">
            <v>46231</v>
          </cell>
          <cell r="H50">
            <v>100.25</v>
          </cell>
          <cell r="I50">
            <v>113.4</v>
          </cell>
        </row>
        <row r="51">
          <cell r="B51">
            <v>46230</v>
          </cell>
          <cell r="H51">
            <v>103.3125</v>
          </cell>
          <cell r="I51">
            <v>118.88749999999999</v>
          </cell>
        </row>
        <row r="52">
          <cell r="B52">
            <v>46227</v>
          </cell>
          <cell r="H52">
            <v>108.94999999999999</v>
          </cell>
          <cell r="I52">
            <v>126.9875</v>
          </cell>
        </row>
        <row r="53">
          <cell r="B53">
            <v>46226</v>
          </cell>
          <cell r="H53">
            <v>107.21250000000001</v>
          </cell>
          <cell r="I53">
            <v>125.58750000000001</v>
          </cell>
        </row>
        <row r="54">
          <cell r="B54">
            <v>46225</v>
          </cell>
          <cell r="H54">
            <v>107.125</v>
          </cell>
          <cell r="I54">
            <v>124.71250000000001</v>
          </cell>
        </row>
        <row r="55">
          <cell r="B55">
            <v>46224</v>
          </cell>
          <cell r="H55">
            <v>103.71250000000001</v>
          </cell>
          <cell r="I55">
            <v>119.1875</v>
          </cell>
        </row>
        <row r="56">
          <cell r="B56">
            <v>46223</v>
          </cell>
          <cell r="H56">
            <v>102.575</v>
          </cell>
          <cell r="I56">
            <v>117.97499999999999</v>
          </cell>
        </row>
        <row r="57">
          <cell r="B57">
            <v>46220</v>
          </cell>
          <cell r="H57">
            <v>101</v>
          </cell>
          <cell r="I57">
            <v>117.45</v>
          </cell>
        </row>
        <row r="58">
          <cell r="B58">
            <v>46219</v>
          </cell>
          <cell r="H58">
            <v>98.587500000000006</v>
          </cell>
          <cell r="I58">
            <v>113.675</v>
          </cell>
        </row>
        <row r="59">
          <cell r="B59">
            <v>46218</v>
          </cell>
          <cell r="H59">
            <v>99.987499999999997</v>
          </cell>
          <cell r="I59">
            <v>113.96249999999999</v>
          </cell>
        </row>
        <row r="60">
          <cell r="B60">
            <v>46217</v>
          </cell>
          <cell r="H60">
            <v>97.1</v>
          </cell>
          <cell r="I60">
            <v>111.21250000000001</v>
          </cell>
        </row>
        <row r="61">
          <cell r="B61">
            <v>46216</v>
          </cell>
          <cell r="H61">
            <v>94.587500000000006</v>
          </cell>
          <cell r="I61">
            <v>107.3875</v>
          </cell>
        </row>
        <row r="62">
          <cell r="B62">
            <v>46213</v>
          </cell>
          <cell r="H62">
            <v>91.05</v>
          </cell>
          <cell r="I62">
            <v>101.65</v>
          </cell>
        </row>
        <row r="63">
          <cell r="B63">
            <v>46212</v>
          </cell>
          <cell r="H63">
            <v>92.375</v>
          </cell>
          <cell r="I63">
            <v>104.125</v>
          </cell>
        </row>
        <row r="64">
          <cell r="B64">
            <v>46211</v>
          </cell>
          <cell r="H64">
            <v>90.85</v>
          </cell>
          <cell r="I64">
            <v>102.1375</v>
          </cell>
        </row>
        <row r="65">
          <cell r="B65">
            <v>46210</v>
          </cell>
          <cell r="H65">
            <v>89.474999999999994</v>
          </cell>
          <cell r="I65">
            <v>98.087500000000006</v>
          </cell>
        </row>
        <row r="66">
          <cell r="B66">
            <v>46209</v>
          </cell>
          <cell r="H66">
            <v>87.275000000000006</v>
          </cell>
          <cell r="I66">
            <v>94.412499999999994</v>
          </cell>
        </row>
        <row r="67">
          <cell r="B67">
            <v>46206</v>
          </cell>
          <cell r="H67">
            <v>87.65</v>
          </cell>
          <cell r="I67">
            <v>95.487499999999997</v>
          </cell>
        </row>
        <row r="68">
          <cell r="B68">
            <v>46205</v>
          </cell>
          <cell r="H68">
            <v>86.775000000000006</v>
          </cell>
          <cell r="I68">
            <v>94.65</v>
          </cell>
        </row>
        <row r="69">
          <cell r="B69">
            <v>46204</v>
          </cell>
          <cell r="H69">
            <v>86.237499999999997</v>
          </cell>
          <cell r="I69">
            <v>93.537499999999994</v>
          </cell>
        </row>
        <row r="70">
          <cell r="B70">
            <v>46203</v>
          </cell>
          <cell r="H70">
            <v>87.137500000000003</v>
          </cell>
          <cell r="I70">
            <v>94.699999999999989</v>
          </cell>
        </row>
        <row r="71">
          <cell r="B71">
            <v>46202</v>
          </cell>
          <cell r="H71">
            <v>85.75</v>
          </cell>
          <cell r="I71">
            <v>92.962500000000006</v>
          </cell>
        </row>
        <row r="72">
          <cell r="B72">
            <v>46199</v>
          </cell>
          <cell r="H72">
            <v>84.737500000000011</v>
          </cell>
          <cell r="I72">
            <v>90.5625</v>
          </cell>
        </row>
        <row r="73">
          <cell r="B73">
            <v>46198</v>
          </cell>
          <cell r="H73">
            <v>83.875</v>
          </cell>
          <cell r="I73">
            <v>90.724999999999994</v>
          </cell>
        </row>
        <row r="74">
          <cell r="B74">
            <v>46197</v>
          </cell>
          <cell r="H74">
            <v>84.324999999999989</v>
          </cell>
          <cell r="I74">
            <v>91.474999999999994</v>
          </cell>
        </row>
        <row r="75">
          <cell r="B75">
            <v>46196</v>
          </cell>
          <cell r="H75">
            <v>86</v>
          </cell>
          <cell r="I75">
            <v>93.212500000000006</v>
          </cell>
        </row>
        <row r="76">
          <cell r="B76">
            <v>46195</v>
          </cell>
          <cell r="H76">
            <v>86.462500000000006</v>
          </cell>
          <cell r="I76">
            <v>93.6875</v>
          </cell>
        </row>
        <row r="77">
          <cell r="B77">
            <v>46192</v>
          </cell>
          <cell r="H77">
            <v>87.75</v>
          </cell>
          <cell r="I77">
            <v>94.287499999999994</v>
          </cell>
        </row>
        <row r="78">
          <cell r="B78">
            <v>46191</v>
          </cell>
          <cell r="H78">
            <v>85.424999999999997</v>
          </cell>
          <cell r="I78">
            <v>91.837500000000006</v>
          </cell>
        </row>
        <row r="79">
          <cell r="B79">
            <v>46190</v>
          </cell>
          <cell r="H79">
            <v>85.75</v>
          </cell>
          <cell r="I79">
            <v>92.837500000000006</v>
          </cell>
        </row>
        <row r="80">
          <cell r="B80">
            <v>46189</v>
          </cell>
          <cell r="H80">
            <v>86.275000000000006</v>
          </cell>
          <cell r="I80">
            <v>92.987500000000011</v>
          </cell>
        </row>
        <row r="81">
          <cell r="B81">
            <v>46188</v>
          </cell>
          <cell r="H81">
            <v>86.237499999999997</v>
          </cell>
          <cell r="I81">
            <v>93.6875</v>
          </cell>
        </row>
        <row r="82">
          <cell r="B82">
            <v>46185</v>
          </cell>
          <cell r="H82">
            <v>89.125</v>
          </cell>
          <cell r="I82">
            <v>100.72499999999999</v>
          </cell>
        </row>
        <row r="83">
          <cell r="B83">
            <v>46184</v>
          </cell>
          <cell r="H83">
            <v>92.575000000000003</v>
          </cell>
          <cell r="I83">
            <v>105.9875</v>
          </cell>
        </row>
        <row r="84">
          <cell r="B84">
            <v>46183</v>
          </cell>
          <cell r="H84">
            <v>92.625</v>
          </cell>
          <cell r="I84">
            <v>105.88749999999999</v>
          </cell>
        </row>
        <row r="85">
          <cell r="B85">
            <v>46182</v>
          </cell>
          <cell r="H85">
            <v>90.625</v>
          </cell>
          <cell r="I85">
            <v>103.22499999999999</v>
          </cell>
        </row>
        <row r="86">
          <cell r="B86">
            <v>46181</v>
          </cell>
          <cell r="H86">
            <v>91.5</v>
          </cell>
          <cell r="I86">
            <v>105.22499999999999</v>
          </cell>
        </row>
        <row r="87">
          <cell r="B87">
            <v>46178</v>
          </cell>
          <cell r="H87">
            <v>90.462500000000006</v>
          </cell>
          <cell r="I87">
            <v>102.6875</v>
          </cell>
        </row>
        <row r="88">
          <cell r="B88">
            <v>46177</v>
          </cell>
          <cell r="H88">
            <v>90.125</v>
          </cell>
          <cell r="I88">
            <v>102.875</v>
          </cell>
        </row>
        <row r="89">
          <cell r="B89">
            <v>46176</v>
          </cell>
          <cell r="H89">
            <v>90.6</v>
          </cell>
          <cell r="I89">
            <v>103.6125</v>
          </cell>
        </row>
        <row r="90">
          <cell r="B90">
            <v>46175</v>
          </cell>
          <cell r="H90">
            <v>89.837500000000006</v>
          </cell>
          <cell r="I90">
            <v>101.2375</v>
          </cell>
        </row>
        <row r="91">
          <cell r="B91">
            <v>46174</v>
          </cell>
          <cell r="H91">
            <v>90.587500000000006</v>
          </cell>
          <cell r="I91">
            <v>103.1875</v>
          </cell>
        </row>
        <row r="92">
          <cell r="B92">
            <v>46171</v>
          </cell>
          <cell r="H92">
            <v>88.75</v>
          </cell>
          <cell r="I92">
            <v>99.65</v>
          </cell>
        </row>
        <row r="93">
          <cell r="B93">
            <v>46170</v>
          </cell>
          <cell r="H93">
            <v>89.5</v>
          </cell>
          <cell r="I93">
            <v>100.4</v>
          </cell>
        </row>
        <row r="94">
          <cell r="B94">
            <v>46169</v>
          </cell>
          <cell r="H94">
            <v>87.512500000000003</v>
          </cell>
          <cell r="I94">
            <v>100.02500000000001</v>
          </cell>
        </row>
        <row r="95">
          <cell r="B95">
            <v>46168</v>
          </cell>
          <cell r="H95">
            <v>87.637500000000003</v>
          </cell>
          <cell r="I95">
            <v>100.61250000000001</v>
          </cell>
        </row>
        <row r="96">
          <cell r="B96">
            <v>46164</v>
          </cell>
          <cell r="H96">
            <v>88.25</v>
          </cell>
          <cell r="I96">
            <v>102.53749999999999</v>
          </cell>
        </row>
        <row r="97">
          <cell r="B97">
            <v>46163</v>
          </cell>
          <cell r="H97">
            <v>88.925000000000011</v>
          </cell>
          <cell r="I97">
            <v>104.08750000000001</v>
          </cell>
        </row>
        <row r="98">
          <cell r="B98">
            <v>46162</v>
          </cell>
          <cell r="H98">
            <v>88.125</v>
          </cell>
          <cell r="I98">
            <v>103.575</v>
          </cell>
        </row>
        <row r="99">
          <cell r="B99">
            <v>46161</v>
          </cell>
          <cell r="H99">
            <v>90.875</v>
          </cell>
          <cell r="I99">
            <v>107.11250000000001</v>
          </cell>
        </row>
        <row r="100">
          <cell r="B100">
            <v>46160</v>
          </cell>
          <cell r="H100">
            <v>89.625</v>
          </cell>
          <cell r="I100">
            <v>105.41249999999999</v>
          </cell>
        </row>
        <row r="101">
          <cell r="B101">
            <v>46157</v>
          </cell>
          <cell r="H101">
            <v>88.125</v>
          </cell>
          <cell r="I101">
            <v>105.6375</v>
          </cell>
        </row>
        <row r="102">
          <cell r="B102">
            <v>46156</v>
          </cell>
          <cell r="H102">
            <v>86.625</v>
          </cell>
          <cell r="I102">
            <v>100.52500000000001</v>
          </cell>
        </row>
        <row r="103">
          <cell r="B103">
            <v>46155</v>
          </cell>
          <cell r="H103">
            <v>86.95</v>
          </cell>
          <cell r="I103">
            <v>101.1875</v>
          </cell>
        </row>
        <row r="104">
          <cell r="B104">
            <v>46154</v>
          </cell>
          <cell r="H104">
            <v>87.9375</v>
          </cell>
          <cell r="I104">
            <v>101.4375</v>
          </cell>
        </row>
        <row r="105">
          <cell r="B105">
            <v>46153</v>
          </cell>
          <cell r="H105">
            <v>87.25</v>
          </cell>
          <cell r="I105">
            <v>100.77500000000001</v>
          </cell>
        </row>
        <row r="106">
          <cell r="B106">
            <v>46150</v>
          </cell>
          <cell r="H106">
            <v>84.625</v>
          </cell>
          <cell r="I106">
            <v>96.887500000000003</v>
          </cell>
        </row>
        <row r="107">
          <cell r="B107">
            <v>46149</v>
          </cell>
          <cell r="H107">
            <v>83.6</v>
          </cell>
          <cell r="I107">
            <v>96.1</v>
          </cell>
        </row>
        <row r="108">
          <cell r="B108">
            <v>46148</v>
          </cell>
          <cell r="H108">
            <v>83.6875</v>
          </cell>
          <cell r="I108">
            <v>96.887500000000003</v>
          </cell>
        </row>
        <row r="109">
          <cell r="B109">
            <v>46147</v>
          </cell>
          <cell r="H109">
            <v>87.85</v>
          </cell>
          <cell r="I109">
            <v>102.51249999999999</v>
          </cell>
        </row>
        <row r="110">
          <cell r="B110">
            <v>46143</v>
          </cell>
          <cell r="H110">
            <v>86.125</v>
          </cell>
          <cell r="I110">
            <v>99.375</v>
          </cell>
        </row>
        <row r="111">
          <cell r="B111">
            <v>46142</v>
          </cell>
          <cell r="H111">
            <v>85.625</v>
          </cell>
          <cell r="I111">
            <v>100.625</v>
          </cell>
        </row>
        <row r="112">
          <cell r="B112">
            <v>46141</v>
          </cell>
          <cell r="H112">
            <v>86.924999999999997</v>
          </cell>
          <cell r="I112">
            <v>103.4</v>
          </cell>
        </row>
        <row r="113">
          <cell r="B113">
            <v>46140</v>
          </cell>
          <cell r="H113">
            <v>84.474999999999994</v>
          </cell>
          <cell r="I113">
            <v>97.4375</v>
          </cell>
        </row>
        <row r="114">
          <cell r="B114">
            <v>46139</v>
          </cell>
          <cell r="H114">
            <v>84.7</v>
          </cell>
          <cell r="I114">
            <v>98.862499999999997</v>
          </cell>
        </row>
        <row r="115">
          <cell r="B115">
            <v>46136</v>
          </cell>
          <cell r="H115">
            <v>85.9</v>
          </cell>
          <cell r="I115">
            <v>100.65</v>
          </cell>
        </row>
        <row r="116">
          <cell r="B116">
            <v>46135</v>
          </cell>
          <cell r="H116">
            <v>83.875</v>
          </cell>
          <cell r="I116">
            <v>97.637500000000003</v>
          </cell>
        </row>
        <row r="117">
          <cell r="B117">
            <v>46134</v>
          </cell>
          <cell r="H117">
            <v>82.9</v>
          </cell>
          <cell r="I117">
            <v>97.275000000000006</v>
          </cell>
        </row>
        <row r="118">
          <cell r="B118">
            <v>46133</v>
          </cell>
          <cell r="H118">
            <v>81.625</v>
          </cell>
          <cell r="I118">
            <v>94.462500000000006</v>
          </cell>
        </row>
        <row r="119">
          <cell r="B119">
            <v>46132</v>
          </cell>
          <cell r="H119">
            <v>79.325000000000003</v>
          </cell>
          <cell r="I119">
            <v>89.987499999999997</v>
          </cell>
        </row>
        <row r="120">
          <cell r="B120">
            <v>46129</v>
          </cell>
          <cell r="H120">
            <v>77.625</v>
          </cell>
          <cell r="I120">
            <v>88.65</v>
          </cell>
        </row>
        <row r="121">
          <cell r="B121">
            <v>46128</v>
          </cell>
          <cell r="H121">
            <v>81.875</v>
          </cell>
          <cell r="I121">
            <v>94.862499999999997</v>
          </cell>
        </row>
        <row r="122">
          <cell r="B122">
            <v>46127</v>
          </cell>
          <cell r="H122">
            <v>79.625</v>
          </cell>
          <cell r="I122">
            <v>91.587500000000006</v>
          </cell>
        </row>
        <row r="123">
          <cell r="B123">
            <v>46126</v>
          </cell>
          <cell r="H123">
            <v>80.5625</v>
          </cell>
          <cell r="I123">
            <v>93.724999999999994</v>
          </cell>
        </row>
        <row r="124">
          <cell r="B124">
            <v>46125</v>
          </cell>
          <cell r="H124">
            <v>83.387500000000003</v>
          </cell>
          <cell r="I124">
            <v>99.9375</v>
          </cell>
        </row>
        <row r="125">
          <cell r="B125">
            <v>46122</v>
          </cell>
          <cell r="H125">
            <v>80.75</v>
          </cell>
          <cell r="I125">
            <v>96.4375</v>
          </cell>
        </row>
        <row r="126">
          <cell r="B126">
            <v>46121</v>
          </cell>
          <cell r="H126">
            <v>81.625</v>
          </cell>
          <cell r="I126">
            <v>97.924999999999997</v>
          </cell>
        </row>
        <row r="127">
          <cell r="B127">
            <v>46120</v>
          </cell>
          <cell r="H127">
            <v>81.650000000000006</v>
          </cell>
          <cell r="I127">
            <v>100.33750000000001</v>
          </cell>
        </row>
        <row r="128">
          <cell r="B128">
            <v>46119</v>
          </cell>
          <cell r="H128">
            <v>91.625</v>
          </cell>
          <cell r="I128">
            <v>113.25</v>
          </cell>
        </row>
        <row r="129">
          <cell r="B129">
            <v>46114</v>
          </cell>
          <cell r="H129">
            <v>90.0625</v>
          </cell>
          <cell r="I129">
            <v>110.625</v>
          </cell>
        </row>
        <row r="130">
          <cell r="B130">
            <v>46113</v>
          </cell>
          <cell r="H130">
            <v>98.375</v>
          </cell>
          <cell r="I130">
            <v>121.77500000000001</v>
          </cell>
        </row>
        <row r="131">
          <cell r="B131">
            <v>46112</v>
          </cell>
          <cell r="H131">
            <v>102.22499999999999</v>
          </cell>
          <cell r="I131">
            <v>126.925</v>
          </cell>
        </row>
        <row r="132">
          <cell r="B132">
            <v>46111</v>
          </cell>
          <cell r="H132">
            <v>105</v>
          </cell>
          <cell r="I132">
            <v>138.25</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x:pivotCacheDefinition xmlns:x14="http://schemas.microsoft.com/office/spreadsheetml/2009/9/main" xmlns:xlpdsc="http://schemas.microsoft.com/office/spreadsheetml/2026/pivotDataSourceClean" xmlns:r="http://schemas.openxmlformats.org/officeDocument/2006/relationships" xmlns:mc="http://schemas.openxmlformats.org/markup-compatibility/2006" xmlns:xr="http://schemas.microsoft.com/office/spreadsheetml/2014/revision" xmlns:x="http://schemas.openxmlformats.org/spreadsheetml/2006/main" r:id="rId1" saveData="1" refreshOnLoad="1" refreshedBy="Daniel Hall" refreshedDate="46311.390668518521" createdVersion="5" refreshedVersion="8" minRefreshableVersion="3" recordCount="34" xr:uid="{00000000-000A-0000-FFFF-FFFF09000000}" mc:Ignorable="xr">
  <x:cacheSource type="worksheet">
    <x:worksheetSource ref="AC7:AJ41" sheet="Summary Info"/>
  </x:cacheSource>
  <x:cacheFields count="8">
    <x:cacheField name="Supplier Reference">
      <x:sharedItems containsBlank="1" count="25">
        <x:m/>
        <x:s v="Current"/>
        <x:s v=" , F (T&amp;C), Br, B, 21"/>
        <x:s v="Deemed 12, NCPP, Br, B, 10"/>
        <x:s v=" , F (NCP), Br, B, 21"/>
        <x:s v="EDF 2, FF, Br, D, 21"/>
        <x:s v="Opus 23, F (NCP), Br, B, 21"/>
        <x:s v="BG 2, FF, Br, D, 21"/>
        <x:s v="Opus 36, FF, Br, C, 14"/>
        <x:s v=" , FP, Br, B, 21"/>
        <x:s v="SSE 2, F, Br, D, 21"/>
        <x:s v="SSE 2, I, Br, D, 21"/>
        <x:s v="Southern , F, Br, B, 21"/>
        <x:s v="Opus , F, Br, D, 21"/>
        <x:s v=" , F, Br, B, 21"/>
        <x:e v="#N/A"/>
        <x:s v="Opus 48, FF, Br, D, 21"/>
        <x:s v="BG 2, F, Br, D, 21"/>
        <x:s v="Opus 2, FF, Br, D, 21"/>
        <x:s v="EDF 2, F, Br, D, 21"/>
        <x:s v="SSE 2, FF, Br, D, 21"/>
        <x:s v=" , F, Br, D, 21"/>
        <x:s v="SSE 12, FF, Br, C, 14"/>
        <x:s v="SSE 24, FF, Br, C, 14"/>
        <x:s v="Opus 2, F, Br, D, 21"/>
      </x:sharedItems>
    </x:cacheField>
    <x:cacheField name="Supplier">
      <x:sharedItems containsBlank="1" count="8">
        <x:m/>
        <x:s v="Current"/>
        <x:s v="Deemed"/>
        <x:s v="BG"/>
        <x:s v="Southern"/>
        <x:s v="EDF"/>
        <x:s v="Opus"/>
        <x:s v="SSE"/>
      </x:sharedItems>
    </x:cacheField>
    <x:cacheField name="Contract Duration (months)">
      <x:sharedItems containsBlank="1" containsMixedTypes="1" containsNumber="1" containsInteger="1" minValue="2" maxValue="48" count="8">
        <x:m/>
        <x:s v="Current"/>
        <x:n v="12"/>
        <x:n v="23"/>
        <x:n v="48"/>
        <x:n v="24"/>
        <x:n v="36"/>
        <x:n v="2"/>
      </x:sharedItems>
    </x:cacheField>
    <x:cacheField name="Contract Type">
      <x:sharedItems containsBlank="1" count="10">
        <x:m/>
        <x:s v="Current"/>
        <x:s v="Fixed within T&amp;C Conditions"/>
        <x:s v="Non-Commodity Potentially Passthrough"/>
        <x:s v="Fixed (NCP)"/>
        <x:s v="Fully Fixed"/>
        <x:s v="Interuptable"/>
        <x:s v="Fixed - Potential Passthrough"/>
        <x:s v="Fixed (transportation&amp;metering)"/>
        <x:s v="Firm"/>
      </x:sharedItems>
    </x:cacheField>
    <x:cacheField name="Energy Type">
      <x:sharedItems containsBlank="1" count="3">
        <x:m/>
        <x:s v="Current"/>
        <x:s v="Brown"/>
      </x:sharedItems>
    </x:cacheField>
    <x:cacheField name="Payment Type">
      <x:sharedItems containsBlank="1" count="5">
        <x:m/>
        <x:s v="Current"/>
        <x:s v="BACS"/>
        <x:s v="DD"/>
        <x:s v="Cheque"/>
      </x:sharedItems>
    </x:cacheField>
    <x:cacheField name="Payment Duration">
      <x:sharedItems containsBlank="1" count="5">
        <x:m/>
        <x:s v="Current"/>
        <x:s v="21 days"/>
        <x:s v="10 days"/>
        <x:s v="14 days"/>
      </x:sharedItems>
    </x:cacheField>
    <x:cacheField name="Annual Contract Value*">
      <x:sharedItems containsBlank="1" containsMixedTypes="1" containsNumber="1" containsInteger="1" minValue="0" maxValue="0"/>
    </x:cacheField>
  </x:cacheFields>
  <x:extLst>
    <x:ext xmlns:x14="http://schemas.microsoft.com/office/spreadsheetml/2009/9/main" uri="{725AE2AE-9491-48be-B2B4-4EB974FC3084}">
      <x14:pivotCacheDefinition/>
    </x:ext>
    <x:ext xmlns:xlpdsc="http://schemas.microsoft.com/office/spreadsheetml/2026/pivotDataSourceClean" uri="{F4336242-56EE-4DD3-A5F7-E900642BF6E9}">
      <xlpdsc:dataSourceClean>1</xlpdsc:dataSourceClean>
    </x:ext>
  </x:extLst>
</x:pivotCacheDefinition>
</file>

<file path=xl/pivotCache/pivotCacheRecords1.xml><?xml version="1.0" encoding="utf-8"?>
<pivotCacheRecords xmlns:r="http://schemas.openxmlformats.org/officeDocument/2006/relationships" xmlns:mc="http://schemas.openxmlformats.org/markup-compatibility/2006" xmlns:xr="http://schemas.microsoft.com/office/spreadsheetml/2014/revision" xmlns="http://schemas.openxmlformats.org/spreadsheetml/2006/main" mc:Ignorable="xr">
  <r>
    <x v="0"/>
    <x v="0"/>
    <x v="0"/>
    <x v="0"/>
    <x v="0"/>
    <x v="0"/>
    <x v="0"/>
    <m/>
  </r>
  <r>
    <x v="0"/>
    <x v="0"/>
    <x v="0"/>
    <x v="0"/>
    <x v="0"/>
    <x v="0"/>
    <x v="0"/>
    <m/>
  </r>
  <r>
    <x v="1"/>
    <x v="1"/>
    <x v="1"/>
    <x v="1"/>
    <x v="1"/>
    <x v="1"/>
    <x v="1"/>
    <n v="0"/>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0"/>
    <x v="0"/>
    <x v="0"/>
    <x v="0"/>
    <x v="0"/>
    <x v="0"/>
    <x v="0"/>
    <m/>
  </r>
  <r>
    <x v="0"/>
    <x v="0"/>
    <x v="0"/>
    <x v="0"/>
    <x v="0"/>
    <x v="0"/>
    <x v="0"/>
    <m/>
  </r>
  <r>
    <x v="0"/>
    <x v="0"/>
    <x v="0"/>
    <x v="0"/>
    <x v="0"/>
    <x v="0"/>
    <x v="0"/>
    <m/>
  </r>
  <r>
    <x v="0"/>
    <x v="0"/>
    <x v="0"/>
    <x v="0"/>
    <x v="0"/>
    <x v="0"/>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8" minRefreshableVersion="3" useAutoFormatting="1" itemPrintTitles="1" createdVersion="5" indent="0" showHeaders="0" outline="1" outlineData="1" multipleFieldFilters="0" chartFormat="21">
  <location ref="A8:B10" firstHeaderRow="1" firstDataRow="1" firstDataCol="1" rowPageCount="6" colPageCount="1"/>
  <pivotFields count="8">
    <pivotField axis="axisRow" showAll="0">
      <items count="26">
        <item x="1"/>
        <item x="0"/>
        <item n="Opus 2, FF, Br, D, 21" m="1" x="22"/>
        <item n="SSE 2, FF, Br, D, 21" m="1" x="23"/>
        <item m="1" x="8"/>
        <item m="1" x="16"/>
        <item m="1" x="18"/>
        <item m="1" x="20"/>
        <item m="1" x="7"/>
        <item m="1" x="5"/>
        <item m="1" x="24"/>
        <item m="1" x="11"/>
        <item m="1" x="17"/>
        <item m="1" x="19"/>
        <item m="1" x="10"/>
        <item m="1" x="13"/>
        <item m="1" x="21"/>
        <item m="1" x="14"/>
        <item m="1" x="12"/>
        <item m="1" x="15"/>
        <item m="1" x="4"/>
        <item m="1" x="6"/>
        <item m="1" x="9"/>
        <item x="2"/>
        <item m="1" x="3"/>
        <item t="default"/>
      </items>
    </pivotField>
    <pivotField axis="axisPage" multipleItemSelectionAllowed="1" showAll="0">
      <items count="9">
        <item m="1" x="6"/>
        <item m="1" x="7"/>
        <item x="1"/>
        <item h="1" x="0"/>
        <item m="1" x="3"/>
        <item m="1" x="5"/>
        <item h="1" m="1" x="4"/>
        <item m="1" x="2"/>
        <item t="default"/>
      </items>
    </pivotField>
    <pivotField axis="axisPage" showAll="0" defaultSubtotal="0">
      <items count="8">
        <item m="1" x="2"/>
        <item m="1" x="5"/>
        <item m="1" x="6"/>
        <item m="1" x="4"/>
        <item x="1"/>
        <item x="0"/>
        <item m="1" x="7"/>
        <item m="1" x="3"/>
      </items>
    </pivotField>
    <pivotField axis="axisPage" multipleItemSelectionAllowed="1" showAll="0">
      <items count="11">
        <item m="1" x="5"/>
        <item x="1"/>
        <item x="0"/>
        <item m="1" x="9"/>
        <item m="1" x="6"/>
        <item m="1" x="8"/>
        <item m="1" x="4"/>
        <item m="1" x="7"/>
        <item x="2"/>
        <item m="1" x="3"/>
        <item t="default"/>
      </items>
    </pivotField>
    <pivotField axis="axisPage" multipleItemSelectionAllowed="1" showAll="0">
      <items count="4">
        <item x="2"/>
        <item x="1"/>
        <item x="0"/>
        <item t="default"/>
      </items>
    </pivotField>
    <pivotField axis="axisPage" multipleItemSelectionAllowed="1" showAll="0" defaultSubtotal="0">
      <items count="5">
        <item m="1" x="4"/>
        <item m="1" x="3"/>
        <item x="0"/>
        <item x="1"/>
        <item x="2"/>
      </items>
    </pivotField>
    <pivotField axis="axisPage" multipleItemSelectionAllowed="1" showAll="0" defaultSubtotal="0">
      <items count="5">
        <item m="1" x="4"/>
        <item x="2"/>
        <item x="0"/>
        <item x="1"/>
        <item m="1" x="3"/>
      </items>
    </pivotField>
    <pivotField dataField="1" showAll="0" defaultSubtotal="0"/>
  </pivotFields>
  <rowFields count="1">
    <field x="0"/>
  </rowFields>
  <rowItems count="2">
    <i>
      <x/>
    </i>
    <i t="grand">
      <x/>
    </i>
  </rowItems>
  <colItems count="1">
    <i/>
  </colItems>
  <pageFields count="6">
    <pageField fld="1" hier="-1"/>
    <pageField fld="3" hier="-1"/>
    <pageField fld="4" hier="-1"/>
    <pageField fld="5" hier="-1"/>
    <pageField fld="6" hier="-1"/>
    <pageField fld="2" hier="-1"/>
  </pageFields>
  <dataFields count="1">
    <dataField name="Sum of Annual Contract Value*" fld="7" baseField="0" baseItem="0"/>
  </dataFields>
  <formats count="8">
    <format dxfId="0">
      <pivotArea collapsedLevelsAreSubtotals="1" fieldPosition="0">
        <references count="1">
          <reference field="0" count="1">
            <x v="0"/>
          </reference>
        </references>
      </pivotArea>
    </format>
    <format dxfId="1">
      <pivotArea grandRow="1" outline="0" collapsedLevelsAreSubtotals="1" fieldPosition="0"/>
    </format>
    <format>
      <pivotArea type="all" dataOnly="0" outline="0" fieldPosition="0"/>
    </format>
    <format>
      <pivotArea outline="0" collapsedLevelsAreSubtotals="1" fieldPosition="0"/>
    </format>
    <format>
      <pivotArea dataOnly="0" labelOnly="1" outline="0" axis="axisValues" fieldPosition="0"/>
    </format>
    <format>
      <pivotArea dataOnly="0" labelOnly="1" fieldPosition="0">
        <references count="1">
          <reference field="0" count="1">
            <x v="0"/>
          </reference>
        </references>
      </pivotArea>
    </format>
    <format>
      <pivotArea dataOnly="0" labelOnly="1" grandRow="1" outline="0" fieldPosition="0"/>
    </format>
    <format>
      <pivotArea dataOnly="0" labelOnly="1" outline="0" axis="axisValues" fieldPosition="0"/>
    </format>
  </formats>
  <pivotTableStyleInfo name="PivotStyleLight16" showRowHeaders="1" showColHeaders="1"/>
  <extLst>
    <ext xmlns:x14="http://schemas.microsoft.com/office/spreadsheetml/2009/9/main" uri="{962EF5D1-5CA2-4c93-8EF4-DBF5C05439D2}">
      <x14:pivotTableDefinition enableEdit="0"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codeName="Sheet1">
    <x:outlinePr summaryBelow="1" summaryRight="1"/>
  </x:sheetPr>
  <x:dimension ref="H1:BQ43"/>
  <x:sheetViews>
    <x:sheetView showGridLines="0" topLeftCell="J4" zoomScale="59" zoomScaleSheetLayoutView="90" zoomScalePageLayoutView="59" workbookViewId="0">
      <x:selection activeCell="AC37" sqref="AC37"/>
    </x:sheetView>
  </x:sheetViews>
  <x:sheetFormatPr defaultColWidth="9.140625" defaultRowHeight="15" zeroHeight="1" x14ac:dyDescent="0.25"/>
  <x:cols>
    <x:col min="1" max="1" width="34.425781" style="0" bestFit="1" customWidth="1"/>
    <x:col min="2" max="2" width="11.140625" style="0" bestFit="1" customWidth="1"/>
    <x:col min="3" max="3" width="18.425781" style="0" bestFit="1" customWidth="1"/>
    <x:col min="4" max="4" width="24.140625" style="0" bestFit="1" customWidth="1"/>
    <x:col min="5" max="7" width="18" style="0" customWidth="1"/>
    <x:col min="8" max="8" width="26.425781" style="0" bestFit="1" customWidth="1"/>
    <x:col min="9" max="9" width="18.855469" style="0" bestFit="1" customWidth="1"/>
    <x:col min="10" max="10" width="23.570312" style="145" customWidth="1"/>
    <x:col min="11" max="11" width="5.425781" style="0" customWidth="1"/>
    <x:col min="12" max="28" width="9.140625" style="0" customWidth="1"/>
    <x:col min="29" max="29" width="32.425781" style="0" customWidth="1"/>
    <x:col min="30" max="30" width="18.425781" style="0" customWidth="1"/>
    <x:col min="31" max="31" width="21.855469" style="0" customWidth="1"/>
    <x:col min="32" max="32" width="24.140625" style="0" customWidth="1"/>
    <x:col min="33" max="33" width="11" style="0" customWidth="1"/>
    <x:col min="34" max="34" width="12.425781" style="0" customWidth="1"/>
    <x:col min="35" max="35" width="14.570312" style="0" customWidth="1"/>
    <x:col min="36" max="36" width="16.425781" style="0" customWidth="1"/>
    <x:col min="37" max="37" width="17.425781" style="0" customWidth="1"/>
    <x:col min="38" max="38" width="19.140625" style="0" customWidth="1"/>
    <x:col min="39" max="59" width="9.140625" style="0" customWidth="1"/>
    <x:col min="60" max="60" width="33.710938" style="0" customWidth="1"/>
    <x:col min="61" max="61" width="7.285156" style="0" customWidth="1"/>
    <x:col min="62" max="62" width="13.710938" style="0" bestFit="1" customWidth="1"/>
    <x:col min="63" max="63" width="9.140625" style="0" bestFit="1" customWidth="1"/>
    <x:col min="64" max="64" width="18.570312" style="0" bestFit="1" customWidth="1"/>
    <x:col min="65" max="65" width="8.140625" style="0" bestFit="1" customWidth="1"/>
    <x:col min="66" max="66" width="11" style="0" bestFit="1" customWidth="1"/>
    <x:col min="67" max="67" width="14.855469" style="0" bestFit="1" customWidth="1"/>
    <x:col min="68" max="68" width="13.570312" style="0" bestFit="1" customWidth="1"/>
    <x:col min="69" max="69" width="8.570312" style="0" bestFit="1" customWidth="1"/>
    <x:col min="70" max="16384" width="9.140625" style="0" customWidth="1"/>
  </x:cols>
  <x:sheetData>
    <x:row r="1" spans="1:69" ht="17.25" customHeight="1" x14ac:dyDescent="0.35">
      <x:c r="H1" s="72" t="s">
        <x:v>0</x:v>
      </x:c>
      <x:c r="I1" s="73">
        <x:f>AD2</x:f>
      </x:c>
      <x:c r="AC1" s="74" t="s">
        <x:v>1</x:v>
      </x:c>
      <x:c r="AD1" s="8" t="s">
        <x:v>73</x:v>
      </x:c>
      <x:c r="AE1" s="8"/>
      <x:c r="AF1" s="6"/>
      <x:c r="AG1" s="6"/>
      <x:c r="AH1" s="6"/>
      <x:c r="AI1" s="6"/>
      <x:c r="AJ1" s="6"/>
      <x:c r="AK1" s="6"/>
      <x:c r="AL1" s="6"/>
      <x:c r="AM1" s="129" t="s">
        <x:v>2</x:v>
      </x:c>
      <x:c r="AN1" s="130"/>
      <x:c r="AO1" s="130"/>
      <x:c r="AP1" s="130"/>
      <x:c r="AQ1" s="130"/>
      <x:c r="AR1" s="130"/>
      <x:c r="AS1" s="130"/>
      <x:c r="AT1" s="130"/>
      <x:c r="AU1" s="130"/>
      <x:c r="AV1" s="130"/>
      <x:c r="AW1" s="130"/>
      <x:c r="AX1" s="130"/>
      <x:c r="AY1" s="130"/>
      <x:c r="AZ1" s="130"/>
      <x:c r="BA1" s="130"/>
      <x:c r="BB1" s="130"/>
      <x:c r="BC1" s="130"/>
      <x:c r="BD1" s="130"/>
      <x:c r="BE1" s="130"/>
      <x:c r="BF1" s="130"/>
      <x:c r="BH1" s="146" t="s">
        <x:v>3</x:v>
      </x:c>
      <x:c r="BI1" s="147" t="s">
        <x:v>4</x:v>
      </x:c>
      <x:c r="BJ1" s="147" t="s">
        <x:v>5</x:v>
      </x:c>
      <x:c r="BK1" s="147" t="s">
        <x:v>6</x:v>
      </x:c>
      <x:c r="BL1" s="147" t="s">
        <x:v>7</x:v>
      </x:c>
      <x:c r="BM1" s="147" t="s">
        <x:v>8</x:v>
      </x:c>
      <x:c r="BN1" s="147" t="s">
        <x:v>9</x:v>
      </x:c>
      <x:c r="BO1" s="147" t="s">
        <x:v>10</x:v>
      </x:c>
      <x:c r="BP1" s="147" t="s">
        <x:v>11</x:v>
      </x:c>
      <x:c r="BQ1" s="148" t="s">
        <x:v>12</x:v>
      </x:c>
    </x:row>
    <x:row r="2" spans="1:69" ht="15" customHeight="1" x14ac:dyDescent="0.3">
      <x:c r="J2" s="149">
        <x:f>SUM('Summary Calculations'!F1:F2)</x:f>
      </x:c>
      <x:c r="AC2" s="74" t="s">
        <x:v>13</x:v>
      </x:c>
      <x:c r="AD2" s="8" t="s">
        <x:v>72</x:v>
      </x:c>
      <x:c r="AE2" s="8"/>
      <x:c r="AF2" s="6"/>
      <x:c r="AG2" s="6"/>
      <x:c r="AH2" s="6"/>
      <x:c r="AI2" s="6"/>
      <x:c r="AJ2" s="6"/>
      <x:c r="AK2" s="6"/>
      <x:c r="AL2" s="6"/>
      <x:c r="AM2" s="130"/>
      <x:c r="AN2" s="130"/>
      <x:c r="AO2" s="130"/>
      <x:c r="AP2" s="130"/>
      <x:c r="AQ2" s="130"/>
      <x:c r="AR2" s="130"/>
      <x:c r="AS2" s="130"/>
      <x:c r="AT2" s="130"/>
      <x:c r="AU2" s="130"/>
      <x:c r="AV2" s="130"/>
      <x:c r="AW2" s="130"/>
      <x:c r="AX2" s="130"/>
      <x:c r="AY2" s="130"/>
      <x:c r="AZ2" s="130"/>
      <x:c r="BA2" s="130"/>
      <x:c r="BB2" s="130"/>
      <x:c r="BC2" s="130"/>
      <x:c r="BD2" s="130"/>
      <x:c r="BE2" s="130"/>
      <x:c r="BF2" s="130"/>
      <x:c r="BH2" s="91" t="s">
        <x:v>14</x:v>
      </x:c>
      <x:c r="BI2" s="92" t="s">
        <x:v>15</x:v>
      </x:c>
      <x:c r="BJ2" s="92" t="s">
        <x:v>15</x:v>
      </x:c>
      <x:c r="BK2" s="93" t="s">
        <x:v>15</x:v>
      </x:c>
      <x:c r="BL2" s="92" t="s">
        <x:v>15</x:v>
      </x:c>
      <x:c r="BM2" s="92" t="s">
        <x:v>15</x:v>
      </x:c>
      <x:c r="BN2" s="92" t="s">
        <x:v>15</x:v>
      </x:c>
      <x:c r="BO2" s="92" t="s">
        <x:v>15</x:v>
      </x:c>
      <x:c r="BP2" s="92" t="s">
        <x:v>15</x:v>
      </x:c>
      <x:c r="BQ2" s="94" t="s">
        <x:v>15</x:v>
      </x:c>
    </x:row>
    <x:row r="3" spans="1:69" ht="15" customHeight="1" x14ac:dyDescent="0.3">
      <x:c r="J3" s="150"/>
      <x:c r="AC3" s="74" t="s">
        <x:v>16</x:v>
      </x:c>
      <x:c r="AD3" s="9" t="s">
        <x:v>259</x:v>
      </x:c>
      <x:c r="AE3" s="9"/>
      <x:c r="AF3" s="6"/>
      <x:c r="AG3" s="6"/>
      <x:c r="AH3" s="6"/>
      <x:c r="AI3" s="6"/>
      <x:c r="AJ3" s="6"/>
      <x:c r="AK3" s="6"/>
      <x:c r="AL3" s="6"/>
      <x:c r="AM3" s="130"/>
      <x:c r="AN3" s="130"/>
      <x:c r="AO3" s="130"/>
      <x:c r="AP3" s="130"/>
      <x:c r="AQ3" s="130"/>
      <x:c r="AR3" s="130"/>
      <x:c r="AS3" s="130"/>
      <x:c r="AT3" s="130"/>
      <x:c r="AU3" s="130"/>
      <x:c r="AV3" s="130"/>
      <x:c r="AW3" s="130"/>
      <x:c r="AX3" s="130"/>
      <x:c r="AY3" s="130"/>
      <x:c r="AZ3" s="130"/>
      <x:c r="BA3" s="130"/>
      <x:c r="BB3" s="130"/>
      <x:c r="BC3" s="130"/>
      <x:c r="BD3" s="130"/>
      <x:c r="BE3" s="130"/>
      <x:c r="BF3" s="130"/>
      <x:c r="BH3" s="91" t="s">
        <x:v>17</x:v>
      </x:c>
      <x:c r="BI3" s="93" t="s">
        <x:v>15</x:v>
      </x:c>
      <x:c r="BJ3" s="93" t="s">
        <x:v>18</x:v>
      </x:c>
      <x:c r="BK3" s="93" t="s">
        <x:v>15</x:v>
      </x:c>
      <x:c r="BL3" s="92" t="s">
        <x:v>15</x:v>
      </x:c>
      <x:c r="BM3" s="93" t="s">
        <x:v>15</x:v>
      </x:c>
      <x:c r="BN3" s="93" t="s">
        <x:v>18</x:v>
      </x:c>
      <x:c r="BO3" s="93" t="s">
        <x:v>18</x:v>
      </x:c>
      <x:c r="BP3" s="93" t="s">
        <x:v>18</x:v>
      </x:c>
      <x:c r="BQ3" s="95" t="s">
        <x:v>15</x:v>
      </x:c>
    </x:row>
    <x:row r="4" spans="1:69" ht="15" customHeight="1" x14ac:dyDescent="0.3">
      <x:c r="J4" s="150"/>
      <x:c r="AC4" s="74" t="s">
        <x:v>19</x:v>
      </x:c>
      <x:c r="AD4" s="8" t="s">
        <x:v>20</x:v>
      </x:c>
      <x:c r="AE4" s="8"/>
      <x:c r="AF4" s="6"/>
      <x:c r="AG4" s="6"/>
      <x:c r="AH4" s="6"/>
      <x:c r="AI4" s="6"/>
      <x:c r="AJ4" s="6"/>
      <x:c r="AK4" s="6"/>
      <x:c r="AL4" s="6"/>
      <x:c r="AM4" s="130"/>
      <x:c r="AN4" s="130"/>
      <x:c r="AO4" s="130"/>
      <x:c r="AP4" s="130"/>
      <x:c r="AQ4" s="130"/>
      <x:c r="AR4" s="130"/>
      <x:c r="AS4" s="130"/>
      <x:c r="AT4" s="130"/>
      <x:c r="AU4" s="130"/>
      <x:c r="AV4" s="130"/>
      <x:c r="AW4" s="130"/>
      <x:c r="AX4" s="130"/>
      <x:c r="AY4" s="130"/>
      <x:c r="AZ4" s="130"/>
      <x:c r="BA4" s="130"/>
      <x:c r="BB4" s="130"/>
      <x:c r="BC4" s="130"/>
      <x:c r="BD4" s="130"/>
      <x:c r="BE4" s="130"/>
      <x:c r="BF4" s="130"/>
      <x:c r="BH4" s="91" t="s">
        <x:v>21</x:v>
      </x:c>
      <x:c r="BI4" s="93" t="s">
        <x:v>15</x:v>
      </x:c>
      <x:c r="BJ4" s="93" t="s">
        <x:v>15</x:v>
      </x:c>
      <x:c r="BK4" s="93" t="s">
        <x:v>15</x:v>
      </x:c>
      <x:c r="BL4" s="92" t="s">
        <x:v>15</x:v>
      </x:c>
      <x:c r="BM4" s="93" t="s">
        <x:v>15</x:v>
      </x:c>
      <x:c r="BN4" s="93" t="s">
        <x:v>18</x:v>
      </x:c>
      <x:c r="BO4" s="93" t="s">
        <x:v>18</x:v>
      </x:c>
      <x:c r="BP4" s="93" t="s">
        <x:v>15</x:v>
      </x:c>
      <x:c r="BQ4" s="95" t="s">
        <x:v>15</x:v>
      </x:c>
    </x:row>
    <x:row r="5" spans="1:69" ht="16.5" customHeight="1" x14ac:dyDescent="0.3">
      <x:c r="J5" s="151" t="s">
        <x:v>22</x:v>
      </x:c>
      <x:c r="AC5" s="74" t="s">
        <x:v>23</x:v>
      </x:c>
      <x:c r="AD5" s="9">
        <x:f>TODAY()</x:f>
      </x:c>
      <x:c r="AE5" s="9"/>
      <x:c r="AF5" s="6"/>
      <x:c r="AG5" s="6"/>
      <x:c r="AH5" s="6"/>
      <x:c r="AI5" s="6"/>
      <x:c r="AJ5" s="6"/>
      <x:c r="AK5" s="6"/>
      <x:c r="AL5" s="6"/>
      <x:c r="AM5" s="130"/>
      <x:c r="AN5" s="130"/>
      <x:c r="AO5" s="130"/>
      <x:c r="AP5" s="130"/>
      <x:c r="AQ5" s="130"/>
      <x:c r="AR5" s="130"/>
      <x:c r="AS5" s="130"/>
      <x:c r="AT5" s="130"/>
      <x:c r="AU5" s="130"/>
      <x:c r="AV5" s="130"/>
      <x:c r="AW5" s="130"/>
      <x:c r="AX5" s="130"/>
      <x:c r="AY5" s="130"/>
      <x:c r="AZ5" s="130"/>
      <x:c r="BA5" s="130"/>
      <x:c r="BB5" s="130"/>
      <x:c r="BC5" s="130"/>
      <x:c r="BD5" s="130"/>
      <x:c r="BE5" s="130"/>
      <x:c r="BF5" s="130"/>
      <x:c r="BH5" s="91" t="s">
        <x:v>24</x:v>
      </x:c>
      <x:c r="BI5" s="93" t="s">
        <x:v>15</x:v>
      </x:c>
      <x:c r="BJ5" s="93" t="s">
        <x:v>18</x:v>
      </x:c>
      <x:c r="BK5" s="93" t="s">
        <x:v>15</x:v>
      </x:c>
      <x:c r="BL5" s="92" t="s">
        <x:v>15</x:v>
      </x:c>
      <x:c r="BM5" s="93" t="s">
        <x:v>15</x:v>
      </x:c>
      <x:c r="BN5" s="93" t="s">
        <x:v>18</x:v>
      </x:c>
      <x:c r="BO5" s="93" t="s">
        <x:v>18</x:v>
      </x:c>
      <x:c r="BP5" s="93" t="s">
        <x:v>18</x:v>
      </x:c>
      <x:c r="BQ5" s="95" t="s">
        <x:v>15</x:v>
      </x:c>
    </x:row>
    <x:row r="6" spans="1:69" ht="16.5" customHeight="1" x14ac:dyDescent="0.3">
      <x:c r="J6" s="152"/>
      <x:c r="AC6" s="6"/>
      <x:c r="AD6" s="6"/>
      <x:c r="AE6" s="6"/>
      <x:c r="AF6" s="6"/>
      <x:c r="AG6" s="6"/>
      <x:c r="AH6" s="6"/>
      <x:c r="AI6" s="6"/>
      <x:c r="AJ6" s="6"/>
      <x:c r="AK6" s="6"/>
      <x:c r="AL6" s="6"/>
      <x:c r="AM6" s="130"/>
      <x:c r="AN6" s="130"/>
      <x:c r="AO6" s="130"/>
      <x:c r="AP6" s="130"/>
      <x:c r="AQ6" s="130"/>
      <x:c r="AR6" s="130"/>
      <x:c r="AS6" s="130"/>
      <x:c r="AT6" s="130"/>
      <x:c r="AU6" s="130"/>
      <x:c r="AV6" s="130"/>
      <x:c r="AW6" s="130"/>
      <x:c r="AX6" s="130"/>
      <x:c r="AY6" s="130"/>
      <x:c r="AZ6" s="130"/>
      <x:c r="BA6" s="130"/>
      <x:c r="BB6" s="130"/>
      <x:c r="BC6" s="130"/>
      <x:c r="BD6" s="130"/>
      <x:c r="BE6" s="130"/>
      <x:c r="BF6" s="130"/>
      <x:c r="BH6" s="91" t="s">
        <x:v>25</x:v>
      </x:c>
      <x:c r="BI6" s="93" t="s">
        <x:v>15</x:v>
      </x:c>
      <x:c r="BJ6" s="93" t="s">
        <x:v>18</x:v>
      </x:c>
      <x:c r="BK6" s="93" t="s">
        <x:v>15</x:v>
      </x:c>
      <x:c r="BL6" s="92" t="s">
        <x:v>15</x:v>
      </x:c>
      <x:c r="BM6" s="93" t="s">
        <x:v>15</x:v>
      </x:c>
      <x:c r="BN6" s="93" t="s">
        <x:v>18</x:v>
      </x:c>
      <x:c r="BO6" s="93" t="s">
        <x:v>18</x:v>
      </x:c>
      <x:c r="BP6" s="93" t="s">
        <x:v>18</x:v>
      </x:c>
      <x:c r="BQ6" s="95" t="s">
        <x:v>15</x:v>
      </x:c>
    </x:row>
    <x:row r="7" spans="1:69" ht="15" customHeight="1" x14ac:dyDescent="0.25">
      <x:c r="J7" s="153">
        <x:f>Analysis!O7</x:f>
      </x:c>
      <x:c r="AC7" s="154" t="s">
        <x:v>26</x:v>
      </x:c>
      <x:c r="AD7" s="154" t="s">
        <x:v>27</x:v>
      </x:c>
      <x:c r="AE7" s="154" t="s">
        <x:v>28</x:v>
      </x:c>
      <x:c r="AF7" s="154" t="s">
        <x:v>29</x:v>
      </x:c>
      <x:c r="AG7" s="154" t="s">
        <x:v>30</x:v>
      </x:c>
      <x:c r="AH7" s="154" t="s">
        <x:v>31</x:v>
      </x:c>
      <x:c r="AI7" s="154" t="s">
        <x:v>32</x:v>
      </x:c>
      <x:c r="AJ7" s="154" t="s">
        <x:v>33</x:v>
      </x:c>
      <x:c r="AK7" s="154" t="s">
        <x:v>34</x:v>
      </x:c>
      <x:c r="AL7" s="154" t="s">
        <x:v>35</x:v>
      </x:c>
      <x:c r="AM7" s="130"/>
      <x:c r="AN7" s="130"/>
      <x:c r="AO7" s="130"/>
      <x:c r="AP7" s="130"/>
      <x:c r="AQ7" s="130"/>
      <x:c r="AR7" s="130"/>
      <x:c r="AS7" s="130"/>
      <x:c r="AT7" s="130"/>
      <x:c r="AU7" s="130"/>
      <x:c r="AV7" s="130"/>
      <x:c r="AW7" s="130"/>
      <x:c r="AX7" s="130"/>
      <x:c r="AY7" s="130"/>
      <x:c r="AZ7" s="130"/>
      <x:c r="BA7" s="130"/>
      <x:c r="BB7" s="130"/>
      <x:c r="BC7" s="130"/>
      <x:c r="BD7" s="130"/>
      <x:c r="BE7" s="130"/>
      <x:c r="BF7" s="130"/>
      <x:c r="BH7" s="91" t="s">
        <x:v>36</x:v>
      </x:c>
      <x:c r="BI7" s="93" t="s">
        <x:v>15</x:v>
      </x:c>
      <x:c r="BJ7" s="93" t="s">
        <x:v>18</x:v>
      </x:c>
      <x:c r="BK7" s="93" t="s">
        <x:v>15</x:v>
      </x:c>
      <x:c r="BL7" s="92" t="s">
        <x:v>15</x:v>
      </x:c>
      <x:c r="BM7" s="93" t="s">
        <x:v>15</x:v>
      </x:c>
      <x:c r="BN7" s="93" t="s">
        <x:v>18</x:v>
      </x:c>
      <x:c r="BO7" s="93" t="s">
        <x:v>18</x:v>
      </x:c>
      <x:c r="BP7" s="93" t="s">
        <x:v>18</x:v>
      </x:c>
      <x:c r="BQ7" s="95" t="s">
        <x:v>15</x:v>
      </x:c>
    </x:row>
    <x:row r="8" spans="1:69" ht="15" customHeight="1" x14ac:dyDescent="0.25">
      <x:c r="J8" s="155"/>
      <x:c r="AC8" s="154"/>
      <x:c r="AD8" s="154"/>
      <x:c r="AE8" s="154"/>
      <x:c r="AF8" s="154"/>
      <x:c r="AG8" s="154"/>
      <x:c r="AH8" s="154"/>
      <x:c r="AI8" s="154"/>
      <x:c r="AJ8" s="154"/>
      <x:c r="AK8" s="154"/>
      <x:c r="AL8" s="154"/>
      <x:c r="AM8" s="130"/>
      <x:c r="AN8" s="130"/>
      <x:c r="AO8" s="130"/>
      <x:c r="AP8" s="130"/>
      <x:c r="AQ8" s="130"/>
      <x:c r="AR8" s="130"/>
      <x:c r="AS8" s="130"/>
      <x:c r="AT8" s="130"/>
      <x:c r="AU8" s="130"/>
      <x:c r="AV8" s="130"/>
      <x:c r="AW8" s="130"/>
      <x:c r="AX8" s="130"/>
      <x:c r="AY8" s="130"/>
      <x:c r="AZ8" s="130"/>
      <x:c r="BA8" s="130"/>
      <x:c r="BB8" s="130"/>
      <x:c r="BC8" s="130"/>
      <x:c r="BD8" s="130"/>
      <x:c r="BE8" s="130"/>
      <x:c r="BF8" s="130"/>
      <x:c r="BH8" s="91" t="s">
        <x:v>37</x:v>
      </x:c>
      <x:c r="BI8" s="93" t="s">
        <x:v>15</x:v>
      </x:c>
      <x:c r="BJ8" s="93" t="s">
        <x:v>15</x:v>
      </x:c>
      <x:c r="BK8" s="93" t="s">
        <x:v>15</x:v>
      </x:c>
      <x:c r="BL8" s="92" t="s">
        <x:v>15</x:v>
      </x:c>
      <x:c r="BM8" s="93" t="s">
        <x:v>15</x:v>
      </x:c>
      <x:c r="BN8" s="93" t="s">
        <x:v>18</x:v>
      </x:c>
      <x:c r="BO8" s="93" t="s">
        <x:v>18</x:v>
      </x:c>
      <x:c r="BP8" s="93" t="s">
        <x:v>15</x:v>
      </x:c>
      <x:c r="BQ8" s="95" t="s">
        <x:v>15</x:v>
      </x:c>
    </x:row>
    <x:row r="9" spans="1:69" ht="15" customHeight="1" x14ac:dyDescent="0.25">
      <x:c r="J9" s="155"/>
      <x:c r="AC9" s="154"/>
      <x:c r="AD9" s="154"/>
      <x:c r="AE9" s="154"/>
      <x:c r="AF9" s="154"/>
      <x:c r="AG9" s="154"/>
      <x:c r="AH9" s="154"/>
      <x:c r="AI9" s="154"/>
      <x:c r="AJ9" s="154"/>
      <x:c r="AK9" s="154"/>
      <x:c r="AL9" s="154"/>
      <x:c r="AM9" s="130"/>
      <x:c r="AN9" s="130"/>
      <x:c r="AO9" s="130"/>
      <x:c r="AP9" s="130"/>
      <x:c r="AQ9" s="130"/>
      <x:c r="AR9" s="130"/>
      <x:c r="AS9" s="130"/>
      <x:c r="AT9" s="130"/>
      <x:c r="AU9" s="130"/>
      <x:c r="AV9" s="130"/>
      <x:c r="AW9" s="130"/>
      <x:c r="AX9" s="130"/>
      <x:c r="AY9" s="130"/>
      <x:c r="AZ9" s="130"/>
      <x:c r="BA9" s="130"/>
      <x:c r="BB9" s="130"/>
      <x:c r="BC9" s="130"/>
      <x:c r="BD9" s="130"/>
      <x:c r="BE9" s="130"/>
      <x:c r="BF9" s="130"/>
      <x:c r="BH9" s="91" t="s">
        <x:v>38</x:v>
      </x:c>
      <x:c r="BI9" s="93" t="s">
        <x:v>15</x:v>
      </x:c>
      <x:c r="BJ9" s="93" t="s">
        <x:v>15</x:v>
      </x:c>
      <x:c r="BK9" s="93" t="s">
        <x:v>15</x:v>
      </x:c>
      <x:c r="BL9" s="92" t="s">
        <x:v>15</x:v>
      </x:c>
      <x:c r="BM9" s="93" t="s">
        <x:v>15</x:v>
      </x:c>
      <x:c r="BN9" s="93" t="s">
        <x:v>18</x:v>
      </x:c>
      <x:c r="BO9" s="93" t="s">
        <x:v>18</x:v>
      </x:c>
      <x:c r="BP9" s="93" t="s">
        <x:v>15</x:v>
      </x:c>
      <x:c r="BQ9" s="95" t="s">
        <x:v>15</x:v>
      </x:c>
    </x:row>
    <x:row r="10" spans="1:69" ht="15" customHeight="1" x14ac:dyDescent="0.3">
      <x:c r="J10" s="155"/>
      <x:c r="AC10" s="8" t="s">
        <x:v>39</x:v>
      </x:c>
      <x:c r="AD10" s="8" t="s">
        <x:v>39</x:v>
      </x:c>
      <x:c r="AE10" s="8" t="s">
        <x:v>39</x:v>
      </x:c>
      <x:c r="AF10" s="8" t="s">
        <x:v>39</x:v>
      </x:c>
      <x:c r="AG10" s="8" t="s">
        <x:v>39</x:v>
      </x:c>
      <x:c r="AH10" s="8" t="s">
        <x:v>39</x:v>
      </x:c>
      <x:c r="AI10" s="8" t="s">
        <x:v>39</x:v>
      </x:c>
      <x:c r="AJ10" s="75">
        <x:f>INDEX(Analysis!$A$7:$DV$8,1,MATCH(AC10,Analysis!$A$8:$DV$8,0))</x:f>
      </x:c>
      <x:c r="AK10" s="6"/>
      <x:c r="AL10" s="75"/>
      <x:c r="AM10" s="130"/>
      <x:c r="AN10" s="130"/>
      <x:c r="AO10" s="130"/>
      <x:c r="AP10" s="130"/>
      <x:c r="AQ10" s="130"/>
      <x:c r="AR10" s="130"/>
      <x:c r="AS10" s="130"/>
      <x:c r="AT10" s="130"/>
      <x:c r="AU10" s="130"/>
      <x:c r="AV10" s="130"/>
      <x:c r="AW10" s="130"/>
      <x:c r="AX10" s="130"/>
      <x:c r="AY10" s="130"/>
      <x:c r="AZ10" s="130"/>
      <x:c r="BA10" s="130"/>
      <x:c r="BB10" s="130"/>
      <x:c r="BC10" s="130"/>
      <x:c r="BD10" s="130"/>
      <x:c r="BE10" s="130"/>
      <x:c r="BF10" s="130"/>
      <x:c r="BH10" s="96" t="s">
        <x:v>40</x:v>
      </x:c>
      <x:c r="BI10" s="93" t="s">
        <x:v>15</x:v>
      </x:c>
      <x:c r="BJ10" s="93" t="s">
        <x:v>15</x:v>
      </x:c>
      <x:c r="BK10" s="93" t="s">
        <x:v>15</x:v>
      </x:c>
      <x:c r="BL10" s="92" t="s">
        <x:v>15</x:v>
      </x:c>
      <x:c r="BM10" s="93" t="s">
        <x:v>15</x:v>
      </x:c>
      <x:c r="BN10" s="93" t="s">
        <x:v>18</x:v>
      </x:c>
      <x:c r="BO10" s="93" t="s">
        <x:v>18</x:v>
      </x:c>
      <x:c r="BP10" s="93" t="s">
        <x:v>15</x:v>
      </x:c>
      <x:c r="BQ10" s="95" t="s">
        <x:v>15</x:v>
      </x:c>
    </x:row>
    <x:row r="11" spans="1:69" ht="16.5" customHeight="1" x14ac:dyDescent="0.3">
      <x:c r="J11" s="151" t="s">
        <x:v>41</x:v>
      </x:c>
      <x:c r="AC11" s="156">
        <x:f>AD11&amp;" "&amp;AE11&amp;", "&amp;(VLOOKUP(AF11,Keys!$A$2:$B$8,2,FALSE))&amp;", "&amp;(VLOOKUP(AG11,Keys!$D$2:$E$8,2,FALSE))&amp;", "&amp;(VLOOKUP(AH11,Keys!$A$17:$B$19,2,FALSE))&amp;", "&amp;(VLOOKUP(AI11,Keys!$D$17:$E$20,2,FALSE))</x:f>
      </x:c>
      <x:c r="AD11" s="8"/>
      <x:c r="AE11" s="6"/>
      <x:c r="AF11" s="8" t="s">
        <x:v>42</x:v>
      </x:c>
      <x:c r="AG11" s="8" t="s">
        <x:v>43</x:v>
      </x:c>
      <x:c r="AH11" s="8" t="s">
        <x:v>44</x:v>
      </x:c>
      <x:c r="AI11" s="8" t="s">
        <x:v>45</x:v>
      </x:c>
      <x:c r="AJ11" s="75">
        <x:f>INDEX(Analysis!$A$7:$DV$8,1,MATCH(AC11,Analysis!$A$8:$DV$8,0))</x:f>
      </x:c>
      <x:c r="AK11" s="77">
        <x:f>(AJ11-$AJ$10)/$AJ$10*100</x:f>
      </x:c>
      <x:c r="AL11" s="75">
        <x:f>(AJ11-$AJ$10)/12*AE11</x:f>
      </x:c>
      <x:c r="AM11" s="130"/>
      <x:c r="AN11" s="130"/>
      <x:c r="AO11" s="130"/>
      <x:c r="AP11" s="130"/>
      <x:c r="AQ11" s="130"/>
      <x:c r="AR11" s="130"/>
      <x:c r="AS11" s="130"/>
      <x:c r="AT11" s="130"/>
      <x:c r="AU11" s="130"/>
      <x:c r="AV11" s="130"/>
      <x:c r="AW11" s="130"/>
      <x:c r="AX11" s="130"/>
      <x:c r="AY11" s="130"/>
      <x:c r="AZ11" s="130"/>
      <x:c r="BA11" s="130"/>
      <x:c r="BB11" s="130"/>
      <x:c r="BC11" s="130"/>
      <x:c r="BD11" s="130"/>
      <x:c r="BE11" s="130"/>
      <x:c r="BF11" s="130"/>
      <x:c r="BH11" s="91" t="s">
        <x:v>46</x:v>
      </x:c>
      <x:c r="BI11" s="93" t="s">
        <x:v>15</x:v>
      </x:c>
      <x:c r="BJ11" s="93" t="s">
        <x:v>15</x:v>
      </x:c>
      <x:c r="BK11" s="93" t="s">
        <x:v>15</x:v>
      </x:c>
      <x:c r="BL11" s="93" t="s">
        <x:v>15</x:v>
      </x:c>
      <x:c r="BM11" s="93" t="s">
        <x:v>15</x:v>
      </x:c>
      <x:c r="BN11" s="93" t="s">
        <x:v>15</x:v>
      </x:c>
      <x:c r="BO11" s="93" t="s">
        <x:v>15</x:v>
      </x:c>
      <x:c r="BP11" s="93" t="s">
        <x:v>15</x:v>
      </x:c>
      <x:c r="BQ11" s="95" t="s">
        <x:v>15</x:v>
      </x:c>
    </x:row>
    <x:row r="12" spans="1:69" ht="16.5" customHeight="1" x14ac:dyDescent="0.3">
      <x:c r="J12" s="152"/>
      <x:c r="AC12" s="156">
        <x:f>AD12&amp;" "&amp;AE12&amp;", "&amp;(VLOOKUP(AF12,Keys!$A$2:$B$8,2,FALSE))&amp;", "&amp;(VLOOKUP(AG12,Keys!$D$2:$E$8,2,FALSE))&amp;", "&amp;(VLOOKUP(AH12,Keys!$A$17:$B$19,2,FALSE))&amp;", "&amp;(VLOOKUP(AI12,Keys!$D$17:$E$20,2,FALSE))</x:f>
      </x:c>
      <x:c r="AD12" s="8"/>
      <x:c r="AE12" s="6"/>
      <x:c r="AF12" s="8" t="s">
        <x:v>42</x:v>
      </x:c>
      <x:c r="AG12" s="8" t="s">
        <x:v>43</x:v>
      </x:c>
      <x:c r="AH12" s="8" t="s">
        <x:v>44</x:v>
      </x:c>
      <x:c r="AI12" s="8" t="s">
        <x:v>45</x:v>
      </x:c>
      <x:c r="AJ12" s="75">
        <x:f>INDEX(Analysis!$A$7:$DV$8,1,MATCH(AC12,Analysis!$A$8:$DV$8,0))</x:f>
      </x:c>
      <x:c r="AK12" s="77">
        <x:f>(AJ12-$AJ$10)/$AJ$10*100</x:f>
      </x:c>
      <x:c r="AL12" s="75">
        <x:f>(AJ12-$AJ$10)/12*AE12</x:f>
      </x:c>
      <x:c r="AM12" s="130"/>
      <x:c r="AN12" s="130"/>
      <x:c r="AO12" s="130"/>
      <x:c r="AP12" s="130"/>
      <x:c r="AQ12" s="130"/>
      <x:c r="AR12" s="130"/>
      <x:c r="AS12" s="130"/>
      <x:c r="AT12" s="130"/>
      <x:c r="AU12" s="130"/>
      <x:c r="AV12" s="130"/>
      <x:c r="AW12" s="130"/>
      <x:c r="AX12" s="130"/>
      <x:c r="AY12" s="130"/>
      <x:c r="AZ12" s="130"/>
      <x:c r="BA12" s="130"/>
      <x:c r="BB12" s="130"/>
      <x:c r="BC12" s="130"/>
      <x:c r="BD12" s="130"/>
      <x:c r="BE12" s="130"/>
      <x:c r="BF12" s="130"/>
      <x:c r="BH12" s="157" t="s">
        <x:v>47</x:v>
      </x:c>
      <x:c r="BI12" s="158"/>
      <x:c r="BJ12" s="158"/>
      <x:c r="BK12" s="158"/>
      <x:c r="BL12" s="158"/>
      <x:c r="BM12" s="158"/>
      <x:c r="BN12" s="158"/>
      <x:c r="BO12" s="158"/>
      <x:c r="BP12" s="158"/>
      <x:c r="BQ12" s="159"/>
    </x:row>
    <x:row r="13" spans="1:69" ht="15" customHeight="1" x14ac:dyDescent="0.3">
      <x:c r="J13" s="160">
        <x:f>AD3</x:f>
      </x:c>
      <x:c r="AC13" s="156">
        <x:f>AD13&amp;" "&amp;AE13&amp;", "&amp;(VLOOKUP(AF13,Keys!$A$2:$B$8,2,FALSE))&amp;", "&amp;(VLOOKUP(AG13,Keys!$D$2:$E$8,2,FALSE))&amp;", "&amp;(VLOOKUP(AH13,Keys!$A$17:$B$19,2,FALSE))&amp;", "&amp;(VLOOKUP(AI13,Keys!$D$17:$E$20,2,FALSE))</x:f>
      </x:c>
      <x:c r="AD13" s="8"/>
      <x:c r="AE13" s="6"/>
      <x:c r="AF13" s="8" t="s">
        <x:v>42</x:v>
      </x:c>
      <x:c r="AG13" s="8" t="s">
        <x:v>43</x:v>
      </x:c>
      <x:c r="AH13" s="8" t="s">
        <x:v>44</x:v>
      </x:c>
      <x:c r="AI13" s="8" t="s">
        <x:v>45</x:v>
      </x:c>
      <x:c r="AJ13" s="75">
        <x:f>INDEX(Analysis!$A$7:$DV$8,1,MATCH(AC13,Analysis!$A$8:$DV$8,0))</x:f>
      </x:c>
      <x:c r="AK13" s="77">
        <x:f>(AJ13-$AJ$10)/$AJ$10*100</x:f>
      </x:c>
      <x:c r="AL13" s="75">
        <x:f>(AJ13-$AJ$10)/12*AE13</x:f>
      </x:c>
      <x:c r="AM13" s="130"/>
      <x:c r="AN13" s="130"/>
      <x:c r="AO13" s="130"/>
      <x:c r="AP13" s="130"/>
      <x:c r="AQ13" s="130"/>
      <x:c r="AR13" s="130"/>
      <x:c r="AS13" s="130"/>
      <x:c r="AT13" s="130"/>
      <x:c r="AU13" s="130"/>
      <x:c r="AV13" s="130"/>
      <x:c r="AW13" s="130"/>
      <x:c r="AX13" s="130"/>
      <x:c r="AY13" s="130"/>
      <x:c r="AZ13" s="130"/>
      <x:c r="BA13" s="130"/>
      <x:c r="BB13" s="130"/>
      <x:c r="BC13" s="130"/>
      <x:c r="BD13" s="130"/>
      <x:c r="BE13" s="130"/>
      <x:c r="BF13" s="130"/>
      <x:c r="BH13" s="91" t="s">
        <x:v>48</x:v>
      </x:c>
      <x:c r="BI13" s="93" t="s">
        <x:v>49</x:v>
      </x:c>
      <x:c r="BJ13" s="100">
        <x:v>0.25</x:v>
      </x:c>
      <x:c r="BK13" s="100">
        <x:v>0.2</x:v>
      </x:c>
      <x:c r="BL13" s="100">
        <x:v>0.2</x:v>
      </x:c>
      <x:c r="BM13" s="93" t="s">
        <x:v>49</x:v>
      </x:c>
      <x:c r="BN13" s="100">
        <x:v>0.2</x:v>
      </x:c>
      <x:c r="BO13" s="93" t="s">
        <x:v>50</x:v>
      </x:c>
      <x:c r="BP13" s="100">
        <x:v>0.2</x:v>
      </x:c>
      <x:c r="BQ13" s="95" t="s">
        <x:v>51</x:v>
      </x:c>
    </x:row>
    <x:row r="14" spans="1:69" ht="15" customHeight="1" x14ac:dyDescent="0.3">
      <x:c r="J14" s="161"/>
      <x:c r="AC14" s="156">
        <x:f>AD14&amp;" "&amp;AE14&amp;", "&amp;(VLOOKUP(AF14,Keys!$A$2:$B$8,2,FALSE))&amp;", "&amp;(VLOOKUP(AG14,Keys!$D$2:$E$8,2,FALSE))&amp;", "&amp;(VLOOKUP(AH14,Keys!$A$17:$B$19,2,FALSE))&amp;", "&amp;(VLOOKUP(AI14,Keys!$D$17:$E$20,2,FALSE))</x:f>
      </x:c>
      <x:c r="AD14" s="8"/>
      <x:c r="AE14" s="6"/>
      <x:c r="AF14" s="8" t="s">
        <x:v>42</x:v>
      </x:c>
      <x:c r="AG14" s="8" t="s">
        <x:v>43</x:v>
      </x:c>
      <x:c r="AH14" s="8" t="s">
        <x:v>44</x:v>
      </x:c>
      <x:c r="AI14" s="8" t="s">
        <x:v>45</x:v>
      </x:c>
      <x:c r="AJ14" s="75">
        <x:f>INDEX(Analysis!$A$7:$DV$8,1,MATCH(AC14,Analysis!$A$8:$DV$8,0))</x:f>
      </x:c>
      <x:c r="AK14" s="77">
        <x:f>(AJ14-$AJ$10)/$AJ$10*100</x:f>
      </x:c>
      <x:c r="AL14" s="75">
        <x:f>(AJ14-$AJ$10)/12*AE14</x:f>
      </x:c>
      <x:c r="AM14" s="130"/>
      <x:c r="AN14" s="130"/>
      <x:c r="AO14" s="130"/>
      <x:c r="AP14" s="130"/>
      <x:c r="AQ14" s="130"/>
      <x:c r="AR14" s="130"/>
      <x:c r="AS14" s="130"/>
      <x:c r="AT14" s="130"/>
      <x:c r="AU14" s="130"/>
      <x:c r="AV14" s="130"/>
      <x:c r="AW14" s="130"/>
      <x:c r="AX14" s="130"/>
      <x:c r="AY14" s="130"/>
      <x:c r="AZ14" s="130"/>
      <x:c r="BA14" s="130"/>
      <x:c r="BB14" s="130"/>
      <x:c r="BC14" s="130"/>
      <x:c r="BD14" s="130"/>
      <x:c r="BE14" s="130"/>
      <x:c r="BF14" s="130"/>
      <x:c r="BH14" s="91" t="s">
        <x:v>52</x:v>
      </x:c>
      <x:c r="BI14" s="93" t="s">
        <x:v>53</x:v>
      </x:c>
      <x:c r="BJ14" s="93" t="s">
        <x:v>53</x:v>
      </x:c>
      <x:c r="BK14" s="93" t="s">
        <x:v>54</x:v>
      </x:c>
      <x:c r="BL14" s="93" t="s">
        <x:v>54</x:v>
      </x:c>
      <x:c r="BM14" s="93" t="s">
        <x:v>53</x:v>
      </x:c>
      <x:c r="BN14" s="93" t="s">
        <x:v>53</x:v>
      </x:c>
      <x:c r="BO14" s="93" t="s">
        <x:v>53</x:v>
      </x:c>
      <x:c r="BP14" s="93" t="s">
        <x:v>53</x:v>
      </x:c>
      <x:c r="BQ14" s="95" t="s">
        <x:v>51</x:v>
      </x:c>
    </x:row>
    <x:row r="15" spans="1:69" ht="15" customHeight="1" x14ac:dyDescent="0.3">
      <x:c r="J15" s="161"/>
      <x:c r="AC15" s="156">
        <x:f>AD15&amp;" "&amp;AE15&amp;", "&amp;(VLOOKUP(AF15,Keys!$A$2:$B$8,2,FALSE))&amp;", "&amp;(VLOOKUP(AG15,Keys!$D$2:$E$8,2,FALSE))&amp;", "&amp;(VLOOKUP(AH15,Keys!$A$17:$B$19,2,FALSE))&amp;", "&amp;(VLOOKUP(AI15,Keys!$D$17:$E$20,2,FALSE))</x:f>
      </x:c>
      <x:c r="AD15" s="8"/>
      <x:c r="AE15" s="6"/>
      <x:c r="AF15" s="8" t="s">
        <x:v>42</x:v>
      </x:c>
      <x:c r="AG15" s="8" t="s">
        <x:v>43</x:v>
      </x:c>
      <x:c r="AH15" s="8" t="s">
        <x:v>44</x:v>
      </x:c>
      <x:c r="AI15" s="8" t="s">
        <x:v>45</x:v>
      </x:c>
      <x:c r="AJ15" s="75">
        <x:f>INDEX(Analysis!$A$7:$DV$8,1,MATCH(AC15,Analysis!$A$8:$DV$8,0))</x:f>
      </x:c>
      <x:c r="AK15" s="77">
        <x:f>(AJ15-$AJ$10)/$AJ$10*100</x:f>
      </x:c>
      <x:c r="AL15" s="75">
        <x:f>(AJ15-$AJ$10)/12*AE15</x:f>
      </x:c>
      <x:c r="AM15" s="130"/>
      <x:c r="AN15" s="130"/>
      <x:c r="AO15" s="130"/>
      <x:c r="AP15" s="130"/>
      <x:c r="AQ15" s="130"/>
      <x:c r="AR15" s="130"/>
      <x:c r="AS15" s="130"/>
      <x:c r="AT15" s="130"/>
      <x:c r="AU15" s="130"/>
      <x:c r="AV15" s="130"/>
      <x:c r="AW15" s="130"/>
      <x:c r="AX15" s="130"/>
      <x:c r="AY15" s="130"/>
      <x:c r="AZ15" s="130"/>
      <x:c r="BA15" s="130"/>
      <x:c r="BB15" s="130"/>
      <x:c r="BC15" s="130"/>
      <x:c r="BD15" s="130"/>
      <x:c r="BE15" s="130"/>
      <x:c r="BF15" s="130"/>
      <x:c r="BH15" s="91" t="s">
        <x:v>55</x:v>
      </x:c>
      <x:c r="BI15" s="93" t="s">
        <x:v>53</x:v>
      </x:c>
      <x:c r="BJ15" s="93" t="s">
        <x:v>53</x:v>
      </x:c>
      <x:c r="BK15" s="93" t="s">
        <x:v>53</x:v>
      </x:c>
      <x:c r="BL15" s="93" t="s">
        <x:v>53</x:v>
      </x:c>
      <x:c r="BM15" s="93" t="s">
        <x:v>53</x:v>
      </x:c>
      <x:c r="BN15" s="93" t="s">
        <x:v>53</x:v>
      </x:c>
      <x:c r="BO15" s="93" t="s">
        <x:v>53</x:v>
      </x:c>
      <x:c r="BP15" s="93" t="s">
        <x:v>53</x:v>
      </x:c>
      <x:c r="BQ15" s="95" t="s">
        <x:v>51</x:v>
      </x:c>
    </x:row>
    <x:row r="16" spans="1:69" ht="15" customHeight="1" x14ac:dyDescent="0.3">
      <x:c r="J16" s="161"/>
      <x:c r="AC16" s="156">
        <x:f>AD16&amp;" "&amp;AE16&amp;", "&amp;(VLOOKUP(AF16,Keys!$A$2:$B$8,2,FALSE))&amp;", "&amp;(VLOOKUP(AG16,Keys!$D$2:$E$8,2,FALSE))&amp;", "&amp;(VLOOKUP(AH16,Keys!$A$17:$B$19,2,FALSE))&amp;", "&amp;(VLOOKUP(AI16,Keys!$D$17:$E$20,2,FALSE))</x:f>
      </x:c>
      <x:c r="AD16" s="8"/>
      <x:c r="AE16" s="6"/>
      <x:c r="AF16" s="8" t="s">
        <x:v>42</x:v>
      </x:c>
      <x:c r="AG16" s="8" t="s">
        <x:v>43</x:v>
      </x:c>
      <x:c r="AH16" s="8" t="s">
        <x:v>44</x:v>
      </x:c>
      <x:c r="AI16" s="8" t="s">
        <x:v>45</x:v>
      </x:c>
      <x:c r="AJ16" s="75">
        <x:f>INDEX(Analysis!$A$7:$DV$8,1,MATCH(AC16,Analysis!$A$8:$DV$8,0))</x:f>
      </x:c>
      <x:c r="AK16" s="77">
        <x:f>(AJ16-$AJ$10)/$AJ$10*100</x:f>
      </x:c>
      <x:c r="AL16" s="75">
        <x:f>(AJ16-$AJ$10)/12*AE16</x:f>
      </x:c>
      <x:c r="AM16" s="130"/>
      <x:c r="AN16" s="130"/>
      <x:c r="AO16" s="130"/>
      <x:c r="AP16" s="130"/>
      <x:c r="AQ16" s="130"/>
      <x:c r="AR16" s="130"/>
      <x:c r="AS16" s="130"/>
      <x:c r="AT16" s="130"/>
      <x:c r="AU16" s="130"/>
      <x:c r="AV16" s="130"/>
      <x:c r="AW16" s="130"/>
      <x:c r="AX16" s="130"/>
      <x:c r="AY16" s="130"/>
      <x:c r="AZ16" s="130"/>
      <x:c r="BA16" s="130"/>
      <x:c r="BB16" s="130"/>
      <x:c r="BC16" s="130"/>
      <x:c r="BD16" s="130"/>
      <x:c r="BE16" s="130"/>
      <x:c r="BF16" s="130"/>
      <x:c r="BH16" s="91" t="s">
        <x:v>56</x:v>
      </x:c>
      <x:c r="BI16" s="93" t="s">
        <x:v>53</x:v>
      </x:c>
      <x:c r="BJ16" s="93" t="s">
        <x:v>53</x:v>
      </x:c>
      <x:c r="BK16" s="93" t="s">
        <x:v>53</x:v>
      </x:c>
      <x:c r="BL16" s="93" t="s">
        <x:v>53</x:v>
      </x:c>
      <x:c r="BM16" s="93" t="s">
        <x:v>53</x:v>
      </x:c>
      <x:c r="BN16" s="93" t="s">
        <x:v>53</x:v>
      </x:c>
      <x:c r="BO16" s="93" t="s">
        <x:v>53</x:v>
      </x:c>
      <x:c r="BP16" s="93" t="s">
        <x:v>53</x:v>
      </x:c>
      <x:c r="BQ16" s="95" t="s">
        <x:v>51</x:v>
      </x:c>
    </x:row>
    <x:row r="17" spans="1:69" ht="16.5" customHeight="1" x14ac:dyDescent="0.3">
      <x:c r="J17" s="162" t="s">
        <x:v>57</x:v>
      </x:c>
      <x:c r="AC17" s="156">
        <x:f>AD17&amp;" "&amp;AE17&amp;", "&amp;(VLOOKUP(AF17,Keys!$A$2:$B$8,2,FALSE))&amp;", "&amp;(VLOOKUP(AG17,Keys!$D$2:$E$8,2,FALSE))&amp;", "&amp;(VLOOKUP(AH17,Keys!$A$17:$B$19,2,FALSE))&amp;", "&amp;(VLOOKUP(AI17,Keys!$D$17:$E$20,2,FALSE))</x:f>
      </x:c>
      <x:c r="AD17" s="8"/>
      <x:c r="AE17" s="6"/>
      <x:c r="AF17" s="8" t="s">
        <x:v>42</x:v>
      </x:c>
      <x:c r="AG17" s="8" t="s">
        <x:v>43</x:v>
      </x:c>
      <x:c r="AH17" s="8" t="s">
        <x:v>44</x:v>
      </x:c>
      <x:c r="AI17" s="8" t="s">
        <x:v>45</x:v>
      </x:c>
      <x:c r="AJ17" s="75">
        <x:f>INDEX(Analysis!$A$7:$DV$8,1,MATCH(AC17,Analysis!$A$8:$DV$8,0))</x:f>
      </x:c>
      <x:c r="AK17" s="77">
        <x:f>(AJ17-$AJ$10)/$AJ$10*100</x:f>
      </x:c>
      <x:c r="AL17" s="75">
        <x:f>(AJ17-$AJ$10)/12*AE17</x:f>
      </x:c>
      <x:c r="AM17" s="130"/>
      <x:c r="AN17" s="130"/>
      <x:c r="AO17" s="130"/>
      <x:c r="AP17" s="130"/>
      <x:c r="AQ17" s="130"/>
      <x:c r="AR17" s="130"/>
      <x:c r="AS17" s="130"/>
      <x:c r="AT17" s="130"/>
      <x:c r="AU17" s="130"/>
      <x:c r="AV17" s="130"/>
      <x:c r="AW17" s="130"/>
      <x:c r="AX17" s="130"/>
      <x:c r="AY17" s="130"/>
      <x:c r="AZ17" s="130"/>
      <x:c r="BA17" s="130"/>
      <x:c r="BB17" s="130"/>
      <x:c r="BC17" s="130"/>
      <x:c r="BD17" s="130"/>
      <x:c r="BE17" s="130"/>
      <x:c r="BF17" s="130"/>
      <x:c r="BH17" s="91" t="s">
        <x:v>58</x:v>
      </x:c>
      <x:c r="BI17" s="93"/>
      <x:c r="BJ17" s="93"/>
      <x:c r="BK17" s="93"/>
      <x:c r="BL17" s="93"/>
      <x:c r="BM17" s="93"/>
      <x:c r="BN17" s="93"/>
      <x:c r="BO17" s="93"/>
      <x:c r="BP17" s="93"/>
      <x:c r="BQ17" s="95"/>
    </x:row>
    <x:row r="18" spans="1:69" ht="16.5" customHeight="1" x14ac:dyDescent="0.3">
      <x:c r="J18" s="163"/>
      <x:c r="AC18" s="156">
        <x:f>AD18&amp;" "&amp;AE18&amp;", "&amp;(VLOOKUP(AF18,Keys!$A$2:$B$8,2,FALSE))&amp;", "&amp;(VLOOKUP(AG18,Keys!$D$2:$E$8,2,FALSE))&amp;", "&amp;(VLOOKUP(AH18,Keys!$A$17:$B$19,2,FALSE))&amp;", "&amp;(VLOOKUP(AI18,Keys!$D$17:$E$20,2,FALSE))</x:f>
      </x:c>
      <x:c r="AD18" s="8"/>
      <x:c r="AE18" s="6"/>
      <x:c r="AF18" s="8" t="s">
        <x:v>42</x:v>
      </x:c>
      <x:c r="AG18" s="8" t="s">
        <x:v>43</x:v>
      </x:c>
      <x:c r="AH18" s="8" t="s">
        <x:v>44</x:v>
      </x:c>
      <x:c r="AI18" s="8" t="s">
        <x:v>45</x:v>
      </x:c>
      <x:c r="AJ18" s="75">
        <x:f>INDEX(Analysis!$A$7:$DV$8,1,MATCH(AC18,Analysis!$A$8:$DV$8,0))</x:f>
      </x:c>
      <x:c r="AK18" s="77">
        <x:f>(AJ18-$AJ$10)/$AJ$10*100</x:f>
      </x:c>
      <x:c r="AL18" s="75">
        <x:f>(AJ18-$AJ$10)/12*AE18</x:f>
      </x:c>
      <x:c r="AM18" s="130"/>
      <x:c r="AN18" s="130"/>
      <x:c r="AO18" s="130"/>
      <x:c r="AP18" s="130"/>
      <x:c r="AQ18" s="130"/>
      <x:c r="AR18" s="130"/>
      <x:c r="AS18" s="130"/>
      <x:c r="AT18" s="130"/>
      <x:c r="AU18" s="130"/>
      <x:c r="AV18" s="130"/>
      <x:c r="AW18" s="130"/>
      <x:c r="AX18" s="130"/>
      <x:c r="AY18" s="130"/>
      <x:c r="AZ18" s="130"/>
      <x:c r="BA18" s="130"/>
      <x:c r="BB18" s="130"/>
      <x:c r="BC18" s="130"/>
      <x:c r="BD18" s="130"/>
      <x:c r="BE18" s="130"/>
      <x:c r="BF18" s="130"/>
      <x:c r="BH18" s="101"/>
      <x:c r="BI18" s="101"/>
      <x:c r="BJ18" s="101"/>
      <x:c r="BK18" s="101"/>
      <x:c r="BL18" s="101"/>
      <x:c r="BM18" s="101"/>
      <x:c r="BN18" s="101"/>
      <x:c r="BO18" s="101"/>
      <x:c r="BP18" s="101"/>
      <x:c r="BQ18" s="101"/>
    </x:row>
    <x:row r="19" spans="1:69" ht="15" customHeight="1" x14ac:dyDescent="0.3">
      <x:c r="J19" s="164">
        <x:f>Analysis!P7</x:f>
      </x:c>
      <x:c r="AC19" s="156">
        <x:f>AD19&amp;" "&amp;AE19&amp;", "&amp;(VLOOKUP(AF19,Keys!$A$2:$B$8,2,FALSE))&amp;", "&amp;(VLOOKUP(AG19,Keys!$D$2:$E$8,2,FALSE))&amp;", "&amp;(VLOOKUP(AH19,Keys!$A$17:$B$19,2,FALSE))&amp;", "&amp;(VLOOKUP(AI19,Keys!$D$17:$E$20,2,FALSE))</x:f>
      </x:c>
      <x:c r="AD19" s="8"/>
      <x:c r="AE19" s="6"/>
      <x:c r="AF19" s="8" t="s">
        <x:v>42</x:v>
      </x:c>
      <x:c r="AG19" s="8" t="s">
        <x:v>43</x:v>
      </x:c>
      <x:c r="AH19" s="8" t="s">
        <x:v>44</x:v>
      </x:c>
      <x:c r="AI19" s="8" t="s">
        <x:v>45</x:v>
      </x:c>
      <x:c r="AJ19" s="75">
        <x:f>INDEX(Analysis!$A$7:$DV$8,1,MATCH(AC19,Analysis!$A$8:$DV$8,0))</x:f>
      </x:c>
      <x:c r="AK19" s="77">
        <x:f>(AJ19-$AJ$10)/$AJ$10*100</x:f>
      </x:c>
      <x:c r="AL19" s="75">
        <x:f>(AJ19-$AJ$10)/12*AE19</x:f>
      </x:c>
      <x:c r="AM19" s="130"/>
      <x:c r="AN19" s="130"/>
      <x:c r="AO19" s="130"/>
      <x:c r="AP19" s="130"/>
      <x:c r="AQ19" s="130"/>
      <x:c r="AR19" s="130"/>
      <x:c r="AS19" s="130"/>
      <x:c r="AT19" s="130"/>
      <x:c r="AU19" s="130"/>
      <x:c r="AV19" s="130"/>
      <x:c r="AW19" s="130"/>
      <x:c r="AX19" s="130"/>
      <x:c r="AY19" s="130"/>
      <x:c r="AZ19" s="130"/>
      <x:c r="BA19" s="130"/>
      <x:c r="BB19" s="130"/>
      <x:c r="BC19" s="130"/>
      <x:c r="BD19" s="130"/>
      <x:c r="BE19" s="130"/>
      <x:c r="BF19" s="130"/>
      <x:c r="BH19" s="102" t="s">
        <x:v>59</x:v>
      </x:c>
      <x:c r="BI19" s="101"/>
      <x:c r="BJ19" s="101"/>
      <x:c r="BK19" s="101"/>
      <x:c r="BL19" s="101"/>
      <x:c r="BM19" s="101"/>
      <x:c r="BN19" s="101"/>
      <x:c r="BO19" s="101"/>
      <x:c r="BP19" s="101"/>
      <x:c r="BQ19" s="101"/>
    </x:row>
    <x:row r="20" spans="1:69" ht="15" customHeight="1" x14ac:dyDescent="0.3">
      <x:c r="J20" s="165"/>
      <x:c r="AC20" s="156">
        <x:f>AD20&amp;" "&amp;AE20&amp;", "&amp;(VLOOKUP(AF20,Keys!$A$2:$B$8,2,FALSE))&amp;", "&amp;(VLOOKUP(AG20,Keys!$D$2:$E$8,2,FALSE))&amp;", "&amp;(VLOOKUP(AH20,Keys!$A$17:$B$19,2,FALSE))&amp;", "&amp;(VLOOKUP(AI20,Keys!$D$17:$E$20,2,FALSE))</x:f>
      </x:c>
      <x:c r="AD20" s="8"/>
      <x:c r="AE20" s="6"/>
      <x:c r="AF20" s="8" t="s">
        <x:v>42</x:v>
      </x:c>
      <x:c r="AG20" s="8" t="s">
        <x:v>43</x:v>
      </x:c>
      <x:c r="AH20" s="8" t="s">
        <x:v>44</x:v>
      </x:c>
      <x:c r="AI20" s="8" t="s">
        <x:v>45</x:v>
      </x:c>
      <x:c r="AJ20" s="75">
        <x:f>INDEX(Analysis!$A$7:$DV$8,1,MATCH(AC20,Analysis!$A$8:$DV$8,0))</x:f>
      </x:c>
      <x:c r="AK20" s="77">
        <x:f>(AJ20-$AJ$10)/$AJ$10*100</x:f>
      </x:c>
      <x:c r="AL20" s="75">
        <x:f>(AJ20-$AJ$10)/12*AE20</x:f>
      </x:c>
      <x:c r="AM20" s="130"/>
      <x:c r="AN20" s="130"/>
      <x:c r="AO20" s="130"/>
      <x:c r="AP20" s="130"/>
      <x:c r="AQ20" s="130"/>
      <x:c r="AR20" s="130"/>
      <x:c r="AS20" s="130"/>
      <x:c r="AT20" s="130"/>
      <x:c r="AU20" s="130"/>
      <x:c r="AV20" s="130"/>
      <x:c r="AW20" s="130"/>
      <x:c r="AX20" s="130"/>
      <x:c r="AY20" s="130"/>
      <x:c r="AZ20" s="130"/>
      <x:c r="BA20" s="130"/>
      <x:c r="BB20" s="130"/>
      <x:c r="BC20" s="130"/>
      <x:c r="BD20" s="130"/>
      <x:c r="BE20" s="130"/>
      <x:c r="BF20" s="130"/>
      <x:c r="BH20" s="101" t="s">
        <x:v>60</x:v>
      </x:c>
      <x:c r="BI20" s="101"/>
      <x:c r="BJ20" s="101"/>
      <x:c r="BK20" s="101"/>
      <x:c r="BL20" s="101"/>
      <x:c r="BM20" s="101"/>
      <x:c r="BN20" s="101"/>
      <x:c r="BO20" s="101"/>
      <x:c r="BP20" s="101"/>
      <x:c r="BQ20" s="101"/>
    </x:row>
    <x:row r="21" spans="1:69" ht="15" customHeight="1" x14ac:dyDescent="0.3">
      <x:c r="J21" s="165"/>
      <x:c r="AC21" s="156">
        <x:f>AD21&amp;" "&amp;AE21&amp;", "&amp;(VLOOKUP(AF21,Keys!$A$2:$B$8,2,FALSE))&amp;", "&amp;(VLOOKUP(AG21,Keys!$D$2:$E$8,2,FALSE))&amp;", "&amp;(VLOOKUP(AH21,Keys!$A$17:$B$19,2,FALSE))&amp;", "&amp;(VLOOKUP(AI21,Keys!$D$17:$E$20,2,FALSE))</x:f>
      </x:c>
      <x:c r="AD21" s="8"/>
      <x:c r="AE21" s="6"/>
      <x:c r="AF21" s="8" t="s">
        <x:v>42</x:v>
      </x:c>
      <x:c r="AG21" s="8" t="s">
        <x:v>43</x:v>
      </x:c>
      <x:c r="AH21" s="8" t="s">
        <x:v>44</x:v>
      </x:c>
      <x:c r="AI21" s="8" t="s">
        <x:v>45</x:v>
      </x:c>
      <x:c r="AJ21" s="75">
        <x:f>INDEX(Analysis!$A$7:$DV$8,1,MATCH(AC21,Analysis!$A$8:$DV$8,0))</x:f>
      </x:c>
      <x:c r="AK21" s="77">
        <x:f>(AJ21-$AJ$10)/$AJ$10*100</x:f>
      </x:c>
      <x:c r="AL21" s="75">
        <x:f>(AJ21-$AJ$10)/12*AE21</x:f>
      </x:c>
      <x:c r="AM21" s="130"/>
      <x:c r="AN21" s="130"/>
      <x:c r="AO21" s="130"/>
      <x:c r="AP21" s="130"/>
      <x:c r="AQ21" s="130"/>
      <x:c r="AR21" s="130"/>
      <x:c r="AS21" s="130"/>
      <x:c r="AT21" s="130"/>
      <x:c r="AU21" s="130"/>
      <x:c r="AV21" s="130"/>
      <x:c r="AW21" s="130"/>
      <x:c r="AX21" s="130"/>
      <x:c r="AY21" s="130"/>
      <x:c r="AZ21" s="130"/>
      <x:c r="BA21" s="130"/>
      <x:c r="BB21" s="130"/>
      <x:c r="BC21" s="130"/>
      <x:c r="BD21" s="130"/>
      <x:c r="BE21" s="130"/>
      <x:c r="BF21" s="130"/>
      <x:c r="BH21" s="101" t="s">
        <x:v>61</x:v>
      </x:c>
      <x:c r="BI21" s="101"/>
      <x:c r="BJ21" s="101"/>
      <x:c r="BK21" s="101"/>
      <x:c r="BL21" s="101"/>
      <x:c r="BM21" s="101"/>
      <x:c r="BN21" s="101"/>
      <x:c r="BO21" s="101"/>
      <x:c r="BP21" s="101"/>
      <x:c r="BQ21" s="101"/>
    </x:row>
    <x:row r="22" spans="1:69" ht="15" customHeight="1" x14ac:dyDescent="0.3">
      <x:c r="J22" s="165"/>
      <x:c r="AC22" s="156">
        <x:f>AD22&amp;" "&amp;AE22&amp;", "&amp;(VLOOKUP(AF22,Keys!$A$2:$B$8,2,FALSE))&amp;", "&amp;(VLOOKUP(AG22,Keys!$D$2:$E$8,2,FALSE))&amp;", "&amp;(VLOOKUP(AH22,Keys!$A$17:$B$19,2,FALSE))&amp;", "&amp;(VLOOKUP(AI22,Keys!$D$17:$E$20,2,FALSE))</x:f>
      </x:c>
      <x:c r="AD22" s="8"/>
      <x:c r="AE22" s="6"/>
      <x:c r="AF22" s="8" t="s">
        <x:v>42</x:v>
      </x:c>
      <x:c r="AG22" s="8" t="s">
        <x:v>43</x:v>
      </x:c>
      <x:c r="AH22" s="8" t="s">
        <x:v>44</x:v>
      </x:c>
      <x:c r="AI22" s="8" t="s">
        <x:v>45</x:v>
      </x:c>
      <x:c r="AJ22" s="75">
        <x:f>INDEX(Analysis!$A$7:$DV$8,1,MATCH(AC22,Analysis!$A$8:$DV$8,0))</x:f>
      </x:c>
      <x:c r="AK22" s="77">
        <x:f>(AJ22-$AJ$10)/$AJ$10*100</x:f>
      </x:c>
      <x:c r="AL22" s="75">
        <x:f>(AJ22-$AJ$10)/12*AE22</x:f>
      </x:c>
      <x:c r="AM22" s="130"/>
      <x:c r="AN22" s="130"/>
      <x:c r="AO22" s="130"/>
      <x:c r="AP22" s="130"/>
      <x:c r="AQ22" s="130"/>
      <x:c r="AR22" s="130"/>
      <x:c r="AS22" s="130"/>
      <x:c r="AT22" s="130"/>
      <x:c r="AU22" s="130"/>
      <x:c r="AV22" s="130"/>
      <x:c r="AW22" s="130"/>
      <x:c r="AX22" s="130"/>
      <x:c r="AY22" s="130"/>
      <x:c r="AZ22" s="130"/>
      <x:c r="BA22" s="130"/>
      <x:c r="BB22" s="130"/>
      <x:c r="BC22" s="130"/>
      <x:c r="BD22" s="130"/>
      <x:c r="BE22" s="130"/>
      <x:c r="BF22" s="130"/>
      <x:c r="BH22" s="101" t="s">
        <x:v>62</x:v>
      </x:c>
      <x:c r="BI22" s="101"/>
      <x:c r="BJ22" s="101"/>
      <x:c r="BK22" s="101"/>
      <x:c r="BL22" s="101"/>
      <x:c r="BM22" s="101"/>
      <x:c r="BN22" s="101"/>
      <x:c r="BO22" s="101"/>
      <x:c r="BP22" s="101"/>
      <x:c r="BQ22" s="101"/>
    </x:row>
    <x:row r="23" spans="1:69" ht="16.5" customHeight="1" x14ac:dyDescent="0.3">
      <x:c r="J23" s="162" t="s">
        <x:v>63</x:v>
      </x:c>
      <x:c r="AC23" s="156">
        <x:f>AD23&amp;" "&amp;AE23&amp;", "&amp;(VLOOKUP(AF23,Keys!$A$2:$B$8,2,FALSE))&amp;", "&amp;(VLOOKUP(AG23,Keys!$D$2:$E$8,2,FALSE))&amp;", "&amp;(VLOOKUP(AH23,Keys!$A$17:$B$19,2,FALSE))&amp;", "&amp;(VLOOKUP(AI23,Keys!$D$17:$E$20,2,FALSE))</x:f>
      </x:c>
      <x:c r="AD23" s="8"/>
      <x:c r="AE23" s="6"/>
      <x:c r="AF23" s="8" t="s">
        <x:v>42</x:v>
      </x:c>
      <x:c r="AG23" s="8" t="s">
        <x:v>43</x:v>
      </x:c>
      <x:c r="AH23" s="8" t="s">
        <x:v>44</x:v>
      </x:c>
      <x:c r="AI23" s="8" t="s">
        <x:v>45</x:v>
      </x:c>
      <x:c r="AJ23" s="75">
        <x:f>INDEX(Analysis!$A$7:$DV$8,1,MATCH(AC23,Analysis!$A$8:$DV$8,0))</x:f>
      </x:c>
      <x:c r="AK23" s="77">
        <x:f>(AJ23-$AJ$10)/$AJ$10*100</x:f>
      </x:c>
      <x:c r="AL23" s="75">
        <x:f>(AJ23-$AJ$10)/12*AE23</x:f>
      </x:c>
      <x:c r="AM23" s="130"/>
      <x:c r="AN23" s="130"/>
      <x:c r="AO23" s="130"/>
      <x:c r="AP23" s="130"/>
      <x:c r="AQ23" s="130"/>
      <x:c r="AR23" s="130"/>
      <x:c r="AS23" s="130"/>
      <x:c r="AT23" s="130"/>
      <x:c r="AU23" s="130"/>
      <x:c r="AV23" s="130"/>
      <x:c r="AW23" s="130"/>
      <x:c r="AX23" s="130"/>
      <x:c r="AY23" s="130"/>
      <x:c r="AZ23" s="130"/>
      <x:c r="BA23" s="130"/>
      <x:c r="BB23" s="130"/>
      <x:c r="BC23" s="130"/>
      <x:c r="BD23" s="130"/>
      <x:c r="BE23" s="130"/>
      <x:c r="BF23" s="130"/>
      <x:c r="BH23" s="101"/>
      <x:c r="BI23" s="101"/>
      <x:c r="BJ23" s="101"/>
      <x:c r="BK23" s="101"/>
      <x:c r="BL23" s="101"/>
      <x:c r="BM23" s="101"/>
      <x:c r="BN23" s="101"/>
      <x:c r="BO23" s="101"/>
      <x:c r="BP23" s="101"/>
      <x:c r="BQ23" s="101"/>
    </x:row>
    <x:row r="24" spans="1:69" ht="16.5" customHeight="1" x14ac:dyDescent="0.3">
      <x:c r="J24" s="163"/>
      <x:c r="AC24" s="156">
        <x:f>AD24&amp;" "&amp;AE24&amp;", "&amp;(VLOOKUP(AF24,Keys!$A$2:$B$8,2,FALSE))&amp;", "&amp;(VLOOKUP(AG24,Keys!$D$2:$E$8,2,FALSE))&amp;", "&amp;(VLOOKUP(AH24,Keys!$A$17:$B$19,2,FALSE))&amp;", "&amp;(VLOOKUP(AI24,Keys!$D$17:$E$20,2,FALSE))</x:f>
      </x:c>
      <x:c r="AD24" s="8"/>
      <x:c r="AE24" s="6"/>
      <x:c r="AF24" s="8" t="s">
        <x:v>42</x:v>
      </x:c>
      <x:c r="AG24" s="8" t="s">
        <x:v>43</x:v>
      </x:c>
      <x:c r="AH24" s="8" t="s">
        <x:v>44</x:v>
      </x:c>
      <x:c r="AI24" s="8" t="s">
        <x:v>45</x:v>
      </x:c>
      <x:c r="AJ24" s="75">
        <x:f>INDEX(Analysis!$A$7:$DV$8,1,MATCH(AC24,Analysis!$A$8:$DV$8,0))</x:f>
      </x:c>
      <x:c r="AK24" s="77">
        <x:f>(AJ24-$AJ$10)/$AJ$10*100</x:f>
      </x:c>
      <x:c r="AL24" s="75">
        <x:f>(AJ24-$AJ$10)/12*AE24</x:f>
      </x:c>
      <x:c r="AM24" s="130"/>
      <x:c r="AN24" s="130"/>
      <x:c r="AO24" s="130"/>
      <x:c r="AP24" s="130"/>
      <x:c r="AQ24" s="130"/>
      <x:c r="AR24" s="130"/>
      <x:c r="AS24" s="130"/>
      <x:c r="AT24" s="130"/>
      <x:c r="AU24" s="130"/>
      <x:c r="AV24" s="130"/>
      <x:c r="AW24" s="130"/>
      <x:c r="AX24" s="130"/>
      <x:c r="AY24" s="130"/>
      <x:c r="AZ24" s="130"/>
      <x:c r="BA24" s="130"/>
      <x:c r="BB24" s="130"/>
      <x:c r="BC24" s="130"/>
      <x:c r="BD24" s="130"/>
      <x:c r="BE24" s="130"/>
      <x:c r="BF24" s="130"/>
      <x:c r="BH24" s="101"/>
      <x:c r="BI24" s="101"/>
      <x:c r="BJ24" s="101"/>
      <x:c r="BK24" s="101"/>
      <x:c r="BL24" s="101"/>
      <x:c r="BM24" s="101"/>
      <x:c r="BN24" s="101"/>
      <x:c r="BO24" s="101"/>
      <x:c r="BP24" s="101"/>
      <x:c r="BQ24" s="101"/>
    </x:row>
    <x:row r="25" spans="1:69" ht="15" customHeight="1" x14ac:dyDescent="0.3">
      <x:c r="J25" s="166">
        <x:f>AD4</x:f>
      </x:c>
      <x:c r="AC25" s="156">
        <x:f>AD25&amp;" "&amp;AE25&amp;", "&amp;(VLOOKUP(AF25,Keys!$A$2:$B$8,2,FALSE))&amp;", "&amp;(VLOOKUP(AG25,Keys!$D$2:$E$8,2,FALSE))&amp;", "&amp;(VLOOKUP(AH25,Keys!$A$17:$B$19,2,FALSE))&amp;", "&amp;(VLOOKUP(AI25,Keys!$D$17:$E$20,2,FALSE))</x:f>
      </x:c>
      <x:c r="AD25" s="8"/>
      <x:c r="AE25" s="6"/>
      <x:c r="AF25" s="8" t="s">
        <x:v>42</x:v>
      </x:c>
      <x:c r="AG25" s="8" t="s">
        <x:v>43</x:v>
      </x:c>
      <x:c r="AH25" s="8" t="s">
        <x:v>44</x:v>
      </x:c>
      <x:c r="AI25" s="8" t="s">
        <x:v>45</x:v>
      </x:c>
      <x:c r="AJ25" s="75">
        <x:f>INDEX(Analysis!$A$7:$DV$8,1,MATCH(AC25,Analysis!$A$8:$DV$8,0))</x:f>
      </x:c>
      <x:c r="AK25" s="77">
        <x:f>(AJ25-$AJ$10)/$AJ$10*100</x:f>
      </x:c>
      <x:c r="AL25" s="75">
        <x:f>(AJ25-$AJ$10)/12*AE25</x:f>
      </x:c>
      <x:c r="AM25" s="130"/>
      <x:c r="AN25" s="130"/>
      <x:c r="AO25" s="130"/>
      <x:c r="AP25" s="130"/>
      <x:c r="AQ25" s="130"/>
      <x:c r="AR25" s="130"/>
      <x:c r="AS25" s="130"/>
      <x:c r="AT25" s="130"/>
      <x:c r="AU25" s="130"/>
      <x:c r="AV25" s="130"/>
      <x:c r="AW25" s="130"/>
      <x:c r="AX25" s="130"/>
      <x:c r="AY25" s="130"/>
      <x:c r="AZ25" s="130"/>
      <x:c r="BA25" s="130"/>
      <x:c r="BB25" s="130"/>
      <x:c r="BC25" s="130"/>
      <x:c r="BD25" s="130"/>
      <x:c r="BE25" s="130"/>
      <x:c r="BF25" s="130"/>
      <x:c r="BH25" s="101"/>
      <x:c r="BI25" s="101"/>
      <x:c r="BJ25" s="101"/>
      <x:c r="BK25" s="101"/>
      <x:c r="BL25" s="101"/>
      <x:c r="BM25" s="101"/>
      <x:c r="BN25" s="101"/>
      <x:c r="BO25" s="101"/>
      <x:c r="BP25" s="101"/>
      <x:c r="BQ25" s="101"/>
    </x:row>
    <x:row r="26" spans="1:69" ht="15" customHeight="1" x14ac:dyDescent="0.3">
      <x:c r="J26" s="167"/>
      <x:c r="AC26" s="156">
        <x:f>AD26&amp;" "&amp;AE26&amp;", "&amp;(VLOOKUP(AF26,Keys!$A$2:$B$8,2,FALSE))&amp;", "&amp;(VLOOKUP(AG26,Keys!$D$2:$E$8,2,FALSE))&amp;", "&amp;(VLOOKUP(AH26,Keys!$A$17:$B$19,2,FALSE))&amp;", "&amp;(VLOOKUP(AI26,Keys!$D$17:$E$20,2,FALSE))</x:f>
      </x:c>
      <x:c r="AD26" s="8"/>
      <x:c r="AE26" s="6"/>
      <x:c r="AF26" s="8" t="s">
        <x:v>42</x:v>
      </x:c>
      <x:c r="AG26" s="8" t="s">
        <x:v>43</x:v>
      </x:c>
      <x:c r="AH26" s="8" t="s">
        <x:v>44</x:v>
      </x:c>
      <x:c r="AI26" s="8" t="s">
        <x:v>45</x:v>
      </x:c>
      <x:c r="AJ26" s="75">
        <x:f>INDEX(Analysis!$A$7:$DV$8,1,MATCH(AC26,Analysis!$A$8:$DV$8,0))</x:f>
      </x:c>
      <x:c r="AK26" s="77">
        <x:f>(AJ26-$AJ$10)/$AJ$10*100</x:f>
      </x:c>
      <x:c r="AL26" s="75">
        <x:f>(AJ26-$AJ$10)/12*AE26</x:f>
      </x:c>
      <x:c r="AM26" s="130"/>
      <x:c r="AN26" s="130"/>
      <x:c r="AO26" s="130"/>
      <x:c r="AP26" s="130"/>
      <x:c r="AQ26" s="130"/>
      <x:c r="AR26" s="130"/>
      <x:c r="AS26" s="130"/>
      <x:c r="AT26" s="130"/>
      <x:c r="AU26" s="130"/>
      <x:c r="AV26" s="130"/>
      <x:c r="AW26" s="130"/>
      <x:c r="AX26" s="130"/>
      <x:c r="AY26" s="130"/>
      <x:c r="AZ26" s="130"/>
      <x:c r="BA26" s="130"/>
      <x:c r="BB26" s="130"/>
      <x:c r="BC26" s="130"/>
      <x:c r="BD26" s="130"/>
      <x:c r="BE26" s="130"/>
      <x:c r="BF26" s="130"/>
      <x:c r="BI26" s="101"/>
      <x:c r="BJ26" s="101"/>
      <x:c r="BK26" s="101"/>
      <x:c r="BL26" s="101"/>
      <x:c r="BM26" s="101"/>
      <x:c r="BN26" s="101"/>
      <x:c r="BO26" s="101"/>
      <x:c r="BP26" s="101"/>
      <x:c r="BQ26" s="101"/>
    </x:row>
    <x:row r="27" spans="1:69" ht="15" customHeight="1" x14ac:dyDescent="0.3">
      <x:c r="J27" s="167"/>
      <x:c r="AC27" s="156">
        <x:f>AD27&amp;" "&amp;AE27&amp;", "&amp;(VLOOKUP(AF27,Keys!$A$2:$B$8,2,FALSE))&amp;", "&amp;(VLOOKUP(AG27,Keys!$D$2:$E$8,2,FALSE))&amp;", "&amp;(VLOOKUP(AH27,Keys!$A$17:$B$19,2,FALSE))&amp;", "&amp;(VLOOKUP(AI27,Keys!$D$17:$E$20,2,FALSE))</x:f>
      </x:c>
      <x:c r="AD27" s="8"/>
      <x:c r="AE27" s="6"/>
      <x:c r="AF27" s="8" t="s">
        <x:v>42</x:v>
      </x:c>
      <x:c r="AG27" s="8" t="s">
        <x:v>43</x:v>
      </x:c>
      <x:c r="AH27" s="8" t="s">
        <x:v>44</x:v>
      </x:c>
      <x:c r="AI27" s="8" t="s">
        <x:v>45</x:v>
      </x:c>
      <x:c r="AJ27" s="75">
        <x:f>INDEX(Analysis!$A$7:$DV$8,1,MATCH(AC27,Analysis!$A$8:$DV$8,0))</x:f>
      </x:c>
      <x:c r="AK27" s="77">
        <x:f>(AJ27-$AJ$10)/$AJ$10*100</x:f>
      </x:c>
      <x:c r="AL27" s="75">
        <x:f>(AJ27-$AJ$10)/12*AE27</x:f>
      </x:c>
      <x:c r="AM27" s="130"/>
      <x:c r="AN27" s="130"/>
      <x:c r="AO27" s="130"/>
      <x:c r="AP27" s="130"/>
      <x:c r="AQ27" s="130"/>
      <x:c r="AR27" s="130"/>
      <x:c r="AS27" s="130"/>
      <x:c r="AT27" s="130"/>
      <x:c r="AU27" s="130"/>
      <x:c r="AV27" s="130"/>
      <x:c r="AW27" s="130"/>
      <x:c r="AX27" s="130"/>
      <x:c r="AY27" s="130"/>
      <x:c r="AZ27" s="130"/>
      <x:c r="BA27" s="130"/>
      <x:c r="BB27" s="130"/>
      <x:c r="BC27" s="130"/>
      <x:c r="BD27" s="130"/>
      <x:c r="BE27" s="130"/>
      <x:c r="BF27" s="130"/>
    </x:row>
    <x:row r="28" spans="1:69" ht="15" customHeight="1" x14ac:dyDescent="0.3">
      <x:c r="J28" s="167"/>
      <x:c r="AC28" s="156">
        <x:f>AD28&amp;" "&amp;AE28&amp;", "&amp;(VLOOKUP(AF28,Keys!$A$2:$B$8,2,FALSE))&amp;", "&amp;(VLOOKUP(AG28,Keys!$D$2:$E$8,2,FALSE))&amp;", "&amp;(VLOOKUP(AH28,Keys!$A$17:$B$19,2,FALSE))&amp;", "&amp;(VLOOKUP(AI28,Keys!$D$17:$E$20,2,FALSE))</x:f>
      </x:c>
      <x:c r="AD28" s="8"/>
      <x:c r="AE28" s="6"/>
      <x:c r="AF28" s="8" t="s">
        <x:v>42</x:v>
      </x:c>
      <x:c r="AG28" s="8" t="s">
        <x:v>43</x:v>
      </x:c>
      <x:c r="AH28" s="8" t="s">
        <x:v>44</x:v>
      </x:c>
      <x:c r="AI28" s="8" t="s">
        <x:v>45</x:v>
      </x:c>
      <x:c r="AJ28" s="75">
        <x:f>INDEX(Analysis!$A$7:$DV$8,1,MATCH(AC28,Analysis!$A$8:$DV$8,0))</x:f>
      </x:c>
      <x:c r="AK28" s="77">
        <x:f>(AJ28-$AJ$10)/$AJ$10*100</x:f>
      </x:c>
      <x:c r="AL28" s="75">
        <x:f>(AJ28-$AJ$10)/12*AE28</x:f>
      </x:c>
      <x:c r="AM28" s="130"/>
      <x:c r="AN28" s="130"/>
      <x:c r="AO28" s="130"/>
      <x:c r="AP28" s="130"/>
      <x:c r="AQ28" s="130"/>
      <x:c r="AR28" s="130"/>
      <x:c r="AS28" s="130"/>
      <x:c r="AT28" s="130"/>
      <x:c r="AU28" s="130"/>
      <x:c r="AV28" s="130"/>
      <x:c r="AW28" s="130"/>
      <x:c r="AX28" s="130"/>
      <x:c r="AY28" s="130"/>
      <x:c r="AZ28" s="130"/>
      <x:c r="BA28" s="130"/>
      <x:c r="BB28" s="130"/>
      <x:c r="BC28" s="130"/>
      <x:c r="BD28" s="130"/>
      <x:c r="BE28" s="130"/>
      <x:c r="BF28" s="130"/>
    </x:row>
    <x:row r="29" spans="1:69" ht="16.5" customHeight="1" x14ac:dyDescent="0.3">
      <x:c r="J29" s="168" t="s">
        <x:v>64</x:v>
      </x:c>
      <x:c r="AC29" s="156">
        <x:f>AD29&amp;" "&amp;AE29&amp;", "&amp;(VLOOKUP(AF29,Keys!$A$2:$B$8,2,FALSE))&amp;", "&amp;(VLOOKUP(AG29,Keys!$D$2:$E$8,2,FALSE))&amp;", "&amp;(VLOOKUP(AH29,Keys!$A$17:$B$19,2,FALSE))&amp;", "&amp;(VLOOKUP(AI29,Keys!$D$17:$E$20,2,FALSE))</x:f>
      </x:c>
      <x:c r="AD29" s="8"/>
      <x:c r="AE29" s="6"/>
      <x:c r="AF29" s="8" t="s">
        <x:v>42</x:v>
      </x:c>
      <x:c r="AG29" s="8" t="s">
        <x:v>43</x:v>
      </x:c>
      <x:c r="AH29" s="8" t="s">
        <x:v>44</x:v>
      </x:c>
      <x:c r="AI29" s="8" t="s">
        <x:v>45</x:v>
      </x:c>
      <x:c r="AJ29" s="75">
        <x:f>INDEX(Analysis!$A$7:$DV$8,1,MATCH(AC29,Analysis!$A$8:$DV$8,0))</x:f>
      </x:c>
      <x:c r="AK29" s="77">
        <x:f>(AJ29-$AJ$10)/$AJ$10*100</x:f>
      </x:c>
      <x:c r="AL29" s="75">
        <x:f>(AJ29-$AJ$10)/12*AE29</x:f>
      </x:c>
      <x:c r="AM29" s="130"/>
      <x:c r="AN29" s="130"/>
      <x:c r="AO29" s="130"/>
      <x:c r="AP29" s="130"/>
      <x:c r="AQ29" s="130"/>
      <x:c r="AR29" s="130"/>
      <x:c r="AS29" s="130"/>
      <x:c r="AT29" s="130"/>
      <x:c r="AU29" s="130"/>
      <x:c r="AV29" s="130"/>
      <x:c r="AW29" s="130"/>
      <x:c r="AX29" s="130"/>
      <x:c r="AY29" s="130"/>
      <x:c r="AZ29" s="130"/>
      <x:c r="BA29" s="130"/>
      <x:c r="BB29" s="130"/>
      <x:c r="BC29" s="130"/>
      <x:c r="BD29" s="130"/>
      <x:c r="BE29" s="130"/>
      <x:c r="BF29" s="130"/>
    </x:row>
    <x:row r="30" spans="1:69" ht="16.5" customHeight="1" x14ac:dyDescent="0.3">
      <x:c r="J30" s="169"/>
      <x:c r="AC30" s="156">
        <x:f>AD30&amp;" "&amp;AE30&amp;", "&amp;(VLOOKUP(AF30,Keys!$A$2:$B$8,2,FALSE))&amp;", "&amp;(VLOOKUP(AG30,Keys!$D$2:$E$8,2,FALSE))&amp;", "&amp;(VLOOKUP(AH30,Keys!$A$17:$B$19,2,FALSE))&amp;", "&amp;(VLOOKUP(AI30,Keys!$D$17:$E$20,2,FALSE))</x:f>
      </x:c>
      <x:c r="AD30" s="8"/>
      <x:c r="AE30" s="6"/>
      <x:c r="AF30" s="8" t="s">
        <x:v>42</x:v>
      </x:c>
      <x:c r="AG30" s="8" t="s">
        <x:v>43</x:v>
      </x:c>
      <x:c r="AH30" s="8" t="s">
        <x:v>44</x:v>
      </x:c>
      <x:c r="AI30" s="8" t="s">
        <x:v>45</x:v>
      </x:c>
      <x:c r="AJ30" s="75">
        <x:f>INDEX(Analysis!$A$7:$DV$8,1,MATCH(AC30,Analysis!$A$8:$DV$8,0))</x:f>
      </x:c>
      <x:c r="AK30" s="77">
        <x:f>(AJ30-$AJ$10)/$AJ$10*100</x:f>
      </x:c>
      <x:c r="AL30" s="75">
        <x:f>(AJ30-$AJ$10)/12*AE30</x:f>
      </x:c>
      <x:c r="AM30" s="130"/>
      <x:c r="AN30" s="130"/>
      <x:c r="AO30" s="130"/>
      <x:c r="AP30" s="130"/>
      <x:c r="AQ30" s="130"/>
      <x:c r="AR30" s="130"/>
      <x:c r="AS30" s="130"/>
      <x:c r="AT30" s="130"/>
      <x:c r="AU30" s="130"/>
      <x:c r="AV30" s="130"/>
      <x:c r="AW30" s="130"/>
      <x:c r="AX30" s="130"/>
      <x:c r="AY30" s="130"/>
      <x:c r="AZ30" s="130"/>
      <x:c r="BA30" s="130"/>
      <x:c r="BB30" s="130"/>
      <x:c r="BC30" s="130"/>
      <x:c r="BD30" s="130"/>
      <x:c r="BE30" s="130"/>
      <x:c r="BF30" s="130"/>
    </x:row>
    <x:row r="31" spans="1:69" ht="15" customHeight="1" x14ac:dyDescent="0.3">
      <x:c r="J31" s="170">
        <x:f>AD5</x:f>
      </x:c>
      <x:c r="AC31" s="156">
        <x:f>AD31&amp;" "&amp;AE31&amp;", "&amp;(VLOOKUP(AF31,Keys!$A$2:$B$8,2,FALSE))&amp;", "&amp;(VLOOKUP(AG31,Keys!$D$2:$E$8,2,FALSE))&amp;", "&amp;(VLOOKUP(AH31,Keys!$A$17:$B$19,2,FALSE))&amp;", "&amp;(VLOOKUP(AI31,Keys!$D$17:$E$20,2,FALSE))</x:f>
      </x:c>
      <x:c r="AD31" s="8"/>
      <x:c r="AE31" s="6"/>
      <x:c r="AF31" s="8" t="s">
        <x:v>42</x:v>
      </x:c>
      <x:c r="AG31" s="8" t="s">
        <x:v>43</x:v>
      </x:c>
      <x:c r="AH31" s="8" t="s">
        <x:v>44</x:v>
      </x:c>
      <x:c r="AI31" s="8" t="s">
        <x:v>45</x:v>
      </x:c>
      <x:c r="AJ31" s="75">
        <x:f>INDEX(Analysis!$A$7:$DV$8,1,MATCH(AC31,Analysis!$A$8:$DV$8,0))</x:f>
      </x:c>
      <x:c r="AK31" s="77">
        <x:f>(AJ31-$AJ$10)/$AJ$10*100</x:f>
      </x:c>
      <x:c r="AL31" s="75">
        <x:f>(AJ31-$AJ$10)/12*AE31</x:f>
      </x:c>
      <x:c r="AM31" s="130"/>
      <x:c r="AN31" s="130"/>
      <x:c r="AO31" s="130"/>
      <x:c r="AP31" s="130"/>
      <x:c r="AQ31" s="130"/>
      <x:c r="AR31" s="130"/>
      <x:c r="AS31" s="130"/>
      <x:c r="AT31" s="130"/>
      <x:c r="AU31" s="130"/>
      <x:c r="AV31" s="130"/>
      <x:c r="AW31" s="130"/>
      <x:c r="AX31" s="130"/>
      <x:c r="AY31" s="130"/>
      <x:c r="AZ31" s="130"/>
      <x:c r="BA31" s="130"/>
      <x:c r="BB31" s="130"/>
      <x:c r="BC31" s="130"/>
      <x:c r="BD31" s="130"/>
      <x:c r="BE31" s="130"/>
      <x:c r="BF31" s="130"/>
    </x:row>
    <x:row r="32" spans="1:69" ht="15" customHeight="1" x14ac:dyDescent="0.3">
      <x:c r="J32" s="167"/>
      <x:c r="AC32" s="156">
        <x:f>AD32&amp;" "&amp;AE32&amp;", "&amp;(VLOOKUP(AF32,Keys!$A$2:$B$8,2,FALSE))&amp;", "&amp;(VLOOKUP(AG32,Keys!$D$2:$E$8,2,FALSE))&amp;", "&amp;(VLOOKUP(AH32,Keys!$A$17:$B$19,2,FALSE))&amp;", "&amp;(VLOOKUP(AI32,Keys!$D$17:$E$20,2,FALSE))</x:f>
      </x:c>
      <x:c r="AD32" s="8"/>
      <x:c r="AE32" s="6"/>
      <x:c r="AF32" s="8" t="s">
        <x:v>42</x:v>
      </x:c>
      <x:c r="AG32" s="8" t="s">
        <x:v>43</x:v>
      </x:c>
      <x:c r="AH32" s="8" t="s">
        <x:v>44</x:v>
      </x:c>
      <x:c r="AI32" s="8" t="s">
        <x:v>45</x:v>
      </x:c>
      <x:c r="AJ32" s="75">
        <x:f>INDEX(Analysis!$A$7:$DV$8,1,MATCH(AC32,Analysis!$A$8:$DV$8,0))</x:f>
      </x:c>
      <x:c r="AK32" s="77">
        <x:f>(AJ32-$AJ$10)/$AJ$10*100</x:f>
      </x:c>
      <x:c r="AL32" s="75">
        <x:f>(AJ32-$AJ$10)/12*AE32</x:f>
      </x:c>
      <x:c r="AM32" s="130"/>
      <x:c r="AN32" s="130"/>
      <x:c r="AO32" s="130"/>
      <x:c r="AP32" s="130"/>
      <x:c r="AQ32" s="130"/>
      <x:c r="AR32" s="130"/>
      <x:c r="AS32" s="130"/>
      <x:c r="AT32" s="130"/>
      <x:c r="AU32" s="130"/>
      <x:c r="AV32" s="130"/>
      <x:c r="AW32" s="130"/>
      <x:c r="AX32" s="130"/>
      <x:c r="AY32" s="130"/>
      <x:c r="AZ32" s="130"/>
      <x:c r="BA32" s="130"/>
      <x:c r="BB32" s="130"/>
      <x:c r="BC32" s="130"/>
      <x:c r="BD32" s="130"/>
      <x:c r="BE32" s="130"/>
      <x:c r="BF32" s="130"/>
    </x:row>
    <x:row r="33" spans="1:69" ht="15" customHeight="1" x14ac:dyDescent="0.3">
      <x:c r="J33" s="167"/>
      <x:c r="AC33" s="156">
        <x:f>AD33&amp;" "&amp;AE33&amp;", "&amp;(VLOOKUP(AF33,Keys!$A$2:$B$8,2,FALSE))&amp;", "&amp;(VLOOKUP(AG33,Keys!$D$2:$E$8,2,FALSE))&amp;", "&amp;(VLOOKUP(AH33,Keys!$A$17:$B$19,2,FALSE))&amp;", "&amp;(VLOOKUP(AI33,Keys!$D$17:$E$20,2,FALSE))</x:f>
      </x:c>
      <x:c r="AD33" s="8"/>
      <x:c r="AE33" s="6"/>
      <x:c r="AF33" s="8" t="s">
        <x:v>42</x:v>
      </x:c>
      <x:c r="AG33" s="8" t="s">
        <x:v>43</x:v>
      </x:c>
      <x:c r="AH33" s="8" t="s">
        <x:v>44</x:v>
      </x:c>
      <x:c r="AI33" s="8" t="s">
        <x:v>45</x:v>
      </x:c>
      <x:c r="AJ33" s="75">
        <x:f>INDEX(Analysis!$A$7:$DV$8,1,MATCH(AC33,Analysis!$A$8:$DV$8,0))</x:f>
      </x:c>
      <x:c r="AK33" s="77">
        <x:f>(AJ33-$AJ$10)/$AJ$10*100</x:f>
      </x:c>
      <x:c r="AL33" s="75">
        <x:f>(AJ33-$AJ$10)/12*AE33</x:f>
      </x:c>
      <x:c r="AM33" s="130"/>
      <x:c r="AN33" s="130"/>
      <x:c r="AO33" s="130"/>
      <x:c r="AP33" s="130"/>
      <x:c r="AQ33" s="130"/>
      <x:c r="AR33" s="130"/>
      <x:c r="AS33" s="130"/>
      <x:c r="AT33" s="130"/>
      <x:c r="AU33" s="130"/>
      <x:c r="AV33" s="130"/>
      <x:c r="AW33" s="130"/>
      <x:c r="AX33" s="130"/>
      <x:c r="AY33" s="130"/>
      <x:c r="AZ33" s="130"/>
      <x:c r="BA33" s="130"/>
      <x:c r="BB33" s="130"/>
      <x:c r="BC33" s="130"/>
      <x:c r="BD33" s="130"/>
      <x:c r="BE33" s="130"/>
      <x:c r="BF33" s="130"/>
    </x:row>
    <x:row r="34" spans="1:69" ht="15" customHeight="1" x14ac:dyDescent="0.3">
      <x:c r="J34" s="167"/>
      <x:c r="AC34" s="156">
        <x:f>AD34&amp;" "&amp;AE34&amp;", "&amp;(VLOOKUP(AF34,Keys!$A$2:$B$8,2,FALSE))&amp;", "&amp;(VLOOKUP(AG34,Keys!$D$2:$E$8,2,FALSE))&amp;", "&amp;(VLOOKUP(AH34,Keys!$A$17:$B$19,2,FALSE))&amp;", "&amp;(VLOOKUP(AI34,Keys!$D$17:$E$20,2,FALSE))</x:f>
      </x:c>
      <x:c r="AD34" s="8"/>
      <x:c r="AE34" s="6"/>
      <x:c r="AF34" s="8" t="s">
        <x:v>42</x:v>
      </x:c>
      <x:c r="AG34" s="8" t="s">
        <x:v>43</x:v>
      </x:c>
      <x:c r="AH34" s="8" t="s">
        <x:v>44</x:v>
      </x:c>
      <x:c r="AI34" s="8" t="s">
        <x:v>45</x:v>
      </x:c>
      <x:c r="AJ34" s="75">
        <x:f>INDEX(Analysis!$A$7:$DV$8,1,MATCH(AC34,Analysis!$A$8:$DV$8,0))</x:f>
      </x:c>
      <x:c r="AK34" s="77">
        <x:f>(AJ34-$AJ$10)/$AJ$10*100</x:f>
      </x:c>
      <x:c r="AL34" s="75">
        <x:f>(AJ34-$AJ$10)/12*AE34</x:f>
      </x:c>
      <x:c r="AM34" s="130"/>
      <x:c r="AN34" s="130"/>
      <x:c r="AO34" s="130"/>
      <x:c r="AP34" s="130"/>
      <x:c r="AQ34" s="130"/>
      <x:c r="AR34" s="130"/>
      <x:c r="AS34" s="130"/>
      <x:c r="AT34" s="130"/>
      <x:c r="AU34" s="130"/>
      <x:c r="AV34" s="130"/>
      <x:c r="AW34" s="130"/>
      <x:c r="AX34" s="130"/>
      <x:c r="AY34" s="130"/>
      <x:c r="AZ34" s="130"/>
      <x:c r="BA34" s="130"/>
      <x:c r="BB34" s="130"/>
      <x:c r="BC34" s="130"/>
      <x:c r="BD34" s="130"/>
      <x:c r="BE34" s="130"/>
      <x:c r="BF34" s="130"/>
    </x:row>
    <x:row r="35" spans="1:69" ht="16.5" customHeight="1" x14ac:dyDescent="0.3">
      <x:c r="J35" s="168" t="s">
        <x:v>65</x:v>
      </x:c>
      <x:c r="AC35" s="156">
        <x:f>AD35&amp;" "&amp;AE35&amp;", "&amp;(VLOOKUP(AF35,Keys!$A$2:$B$8,2,FALSE))&amp;", "&amp;(VLOOKUP(AG35,Keys!$D$2:$E$8,2,FALSE))&amp;", "&amp;(VLOOKUP(AH35,Keys!$A$17:$B$19,2,FALSE))&amp;", "&amp;(VLOOKUP(AI35,Keys!$D$17:$E$20,2,FALSE))</x:f>
      </x:c>
      <x:c r="AD35" s="8"/>
      <x:c r="AE35" s="6"/>
      <x:c r="AF35" s="8" t="s">
        <x:v>42</x:v>
      </x:c>
      <x:c r="AG35" s="8" t="s">
        <x:v>43</x:v>
      </x:c>
      <x:c r="AH35" s="8" t="s">
        <x:v>44</x:v>
      </x:c>
      <x:c r="AI35" s="8" t="s">
        <x:v>45</x:v>
      </x:c>
      <x:c r="AJ35" s="75">
        <x:f>INDEX(Analysis!$A$7:$DV$8,1,MATCH(AC35,Analysis!$A$8:$DV$8,0))</x:f>
      </x:c>
      <x:c r="AK35" s="77">
        <x:f>(AJ35-$AJ$10)/$AJ$10*100</x:f>
      </x:c>
      <x:c r="AL35" s="75">
        <x:f>(AJ35-$AJ$10)/12*AE35</x:f>
      </x:c>
      <x:c r="AM35" s="130"/>
      <x:c r="AN35" s="130"/>
      <x:c r="AO35" s="130"/>
      <x:c r="AP35" s="130"/>
      <x:c r="AQ35" s="130"/>
      <x:c r="AR35" s="130"/>
      <x:c r="AS35" s="130"/>
      <x:c r="AT35" s="130"/>
      <x:c r="AU35" s="130"/>
      <x:c r="AV35" s="130"/>
      <x:c r="AW35" s="130"/>
      <x:c r="AX35" s="130"/>
      <x:c r="AY35" s="130"/>
      <x:c r="AZ35" s="130"/>
      <x:c r="BA35" s="130"/>
      <x:c r="BB35" s="130"/>
      <x:c r="BC35" s="130"/>
      <x:c r="BD35" s="130"/>
      <x:c r="BE35" s="130"/>
      <x:c r="BF35" s="130"/>
    </x:row>
    <x:row r="36" spans="1:69" ht="16.5" customHeight="1" x14ac:dyDescent="0.3">
      <x:c r="J36" s="169"/>
      <x:c r="AC36" s="156">
        <x:f>AD36&amp;" "&amp;AE36&amp;", "&amp;(VLOOKUP(AF36,Keys!$A$2:$B$8,2,FALSE))&amp;", "&amp;(VLOOKUP(AG36,Keys!$D$2:$E$8,2,FALSE))&amp;", "&amp;(VLOOKUP(AH36,Keys!$A$17:$B$19,2,FALSE))&amp;", "&amp;(VLOOKUP(AI36,Keys!$D$17:$E$20,2,FALSE))</x:f>
      </x:c>
      <x:c r="AD36" s="8"/>
      <x:c r="AE36" s="6"/>
      <x:c r="AF36" s="8" t="s">
        <x:v>42</x:v>
      </x:c>
      <x:c r="AG36" s="8" t="s">
        <x:v>43</x:v>
      </x:c>
      <x:c r="AH36" s="8" t="s">
        <x:v>44</x:v>
      </x:c>
      <x:c r="AI36" s="8" t="s">
        <x:v>45</x:v>
      </x:c>
      <x:c r="AJ36" s="75">
        <x:f>INDEX(Analysis!$A$7:$DV$8,1,MATCH(AC36,Analysis!$A$8:$DV$8,0))</x:f>
      </x:c>
      <x:c r="AK36" s="77">
        <x:f>(AJ36-$AJ$10)/$AJ$10*100</x:f>
      </x:c>
      <x:c r="AL36" s="75">
        <x:f>(AJ36-$AJ$10)/12*AE36</x:f>
      </x:c>
      <x:c r="AM36" s="130"/>
      <x:c r="AN36" s="130"/>
      <x:c r="AO36" s="130"/>
      <x:c r="AP36" s="130"/>
      <x:c r="AQ36" s="130"/>
      <x:c r="AR36" s="130"/>
      <x:c r="AS36" s="130"/>
      <x:c r="AT36" s="130"/>
      <x:c r="AU36" s="130"/>
      <x:c r="AV36" s="130"/>
      <x:c r="AW36" s="130"/>
      <x:c r="AX36" s="130"/>
      <x:c r="AY36" s="130"/>
      <x:c r="AZ36" s="130"/>
      <x:c r="BA36" s="130"/>
      <x:c r="BB36" s="130"/>
      <x:c r="BC36" s="130"/>
      <x:c r="BD36" s="130"/>
      <x:c r="BE36" s="130"/>
      <x:c r="BF36" s="130"/>
    </x:row>
    <x:row r="37" spans="1:69" ht="15" customHeight="1" x14ac:dyDescent="0.3">
      <x:c r="J37" s="171">
        <x:f>AD2</x:f>
      </x:c>
      <x:c r="AC37" s="156">
        <x:f>AD37&amp;" "&amp;AE37&amp;", "&amp;(VLOOKUP(AF37,Keys!$A$2:$B$8,2,FALSE))&amp;", "&amp;(VLOOKUP(AG37,Keys!$D$2:$E$8,2,FALSE))&amp;", "&amp;(VLOOKUP(AH37,Keys!$A$17:$B$19,2,FALSE))&amp;", "&amp;(VLOOKUP(AI37,Keys!$D$17:$E$20,2,FALSE))</x:f>
      </x:c>
      <x:c r="AD37" s="8"/>
      <x:c r="AE37" s="6"/>
      <x:c r="AF37" s="8" t="s">
        <x:v>42</x:v>
      </x:c>
      <x:c r="AG37" s="8" t="s">
        <x:v>43</x:v>
      </x:c>
      <x:c r="AH37" s="8" t="s">
        <x:v>44</x:v>
      </x:c>
      <x:c r="AI37" s="8" t="s">
        <x:v>45</x:v>
      </x:c>
      <x:c r="AJ37" s="75">
        <x:f>INDEX(Analysis!$A$7:$DV$8,1,MATCH(AC37,Analysis!$A$8:$DV$8,0))</x:f>
      </x:c>
      <x:c r="AK37" s="77">
        <x:f>(AJ37-$AJ$10)/$AJ$10*100</x:f>
      </x:c>
      <x:c r="AL37" s="75">
        <x:f>(AJ37-$AJ$10)/12*AE37</x:f>
      </x:c>
      <x:c r="AM37" s="130"/>
      <x:c r="AN37" s="130"/>
      <x:c r="AO37" s="130"/>
      <x:c r="AP37" s="130"/>
      <x:c r="AQ37" s="130"/>
      <x:c r="AR37" s="130"/>
      <x:c r="AS37" s="130"/>
      <x:c r="AT37" s="130"/>
      <x:c r="AU37" s="130"/>
      <x:c r="AV37" s="130"/>
      <x:c r="AW37" s="130"/>
      <x:c r="AX37" s="130"/>
      <x:c r="AY37" s="130"/>
      <x:c r="AZ37" s="130"/>
      <x:c r="BA37" s="130"/>
      <x:c r="BB37" s="130"/>
      <x:c r="BC37" s="130"/>
      <x:c r="BD37" s="130"/>
      <x:c r="BE37" s="130"/>
      <x:c r="BF37" s="130"/>
    </x:row>
    <x:row r="38" spans="1:69" ht="15" customHeight="1" x14ac:dyDescent="0.3">
      <x:c r="J38" s="172"/>
      <x:c r="AC38" s="6"/>
      <x:c r="AD38" s="6"/>
      <x:c r="AE38" s="6"/>
      <x:c r="AF38" s="6"/>
      <x:c r="AG38" s="6"/>
      <x:c r="AH38" s="8"/>
      <x:c r="AI38" s="6"/>
      <x:c r="AJ38" s="6"/>
      <x:c r="AK38" s="6"/>
      <x:c r="AL38" s="6"/>
      <x:c r="AM38" s="130"/>
      <x:c r="AN38" s="130"/>
      <x:c r="AO38" s="130"/>
      <x:c r="AP38" s="130"/>
      <x:c r="AQ38" s="130"/>
      <x:c r="AR38" s="130"/>
      <x:c r="AS38" s="130"/>
      <x:c r="AT38" s="130"/>
      <x:c r="AU38" s="130"/>
      <x:c r="AV38" s="130"/>
      <x:c r="AW38" s="130"/>
      <x:c r="AX38" s="130"/>
      <x:c r="AY38" s="130"/>
      <x:c r="AZ38" s="130"/>
      <x:c r="BA38" s="130"/>
      <x:c r="BB38" s="130"/>
      <x:c r="BC38" s="130"/>
      <x:c r="BD38" s="130"/>
      <x:c r="BE38" s="130"/>
      <x:c r="BF38" s="130"/>
    </x:row>
    <x:row r="39" spans="1:69" ht="15" customHeight="1" x14ac:dyDescent="0.25">
      <x:c r="J39" s="172"/>
      <x:c r="AH39" s="103"/>
      <x:c r="AM39" s="130"/>
      <x:c r="AN39" s="130"/>
      <x:c r="AO39" s="130"/>
      <x:c r="AP39" s="130"/>
      <x:c r="AQ39" s="130"/>
      <x:c r="AR39" s="130"/>
      <x:c r="AS39" s="130"/>
      <x:c r="AT39" s="130"/>
      <x:c r="AU39" s="130"/>
      <x:c r="AV39" s="130"/>
      <x:c r="AW39" s="130"/>
      <x:c r="AX39" s="130"/>
      <x:c r="AY39" s="130"/>
      <x:c r="AZ39" s="130"/>
      <x:c r="BA39" s="130"/>
      <x:c r="BB39" s="130"/>
      <x:c r="BC39" s="130"/>
      <x:c r="BD39" s="130"/>
      <x:c r="BE39" s="130"/>
      <x:c r="BF39" s="130"/>
    </x:row>
    <x:row r="40" spans="1:69" ht="15" customHeight="1" x14ac:dyDescent="0.25">
      <x:c r="J40" s="172"/>
      <x:c r="AM40" s="130"/>
      <x:c r="AN40" s="130"/>
      <x:c r="AO40" s="130"/>
      <x:c r="AP40" s="130"/>
      <x:c r="AQ40" s="130"/>
      <x:c r="AR40" s="130"/>
      <x:c r="AS40" s="130"/>
      <x:c r="AT40" s="130"/>
      <x:c r="AU40" s="130"/>
      <x:c r="AV40" s="130"/>
      <x:c r="AW40" s="130"/>
      <x:c r="AX40" s="130"/>
      <x:c r="AY40" s="130"/>
      <x:c r="AZ40" s="130"/>
      <x:c r="BA40" s="130"/>
      <x:c r="BB40" s="130"/>
      <x:c r="BC40" s="130"/>
      <x:c r="BD40" s="130"/>
      <x:c r="BE40" s="130"/>
      <x:c r="BF40" s="130"/>
    </x:row>
    <x:row r="41" spans="1:69" x14ac:dyDescent="0.25">
      <x:c r="A41" s="0" t="s">
        <x:v>152</x:v>
      </x:c>
      <x:c r="J41" s="168" t="s">
        <x:v>66</x:v>
      </x:c>
      <x:c r="AM41" s="130"/>
      <x:c r="AN41" s="130"/>
      <x:c r="AO41" s="130"/>
      <x:c r="AP41" s="130"/>
      <x:c r="AQ41" s="130"/>
      <x:c r="AR41" s="130"/>
      <x:c r="AS41" s="130"/>
      <x:c r="AT41" s="130"/>
      <x:c r="AU41" s="130"/>
      <x:c r="AV41" s="130"/>
      <x:c r="AW41" s="130"/>
      <x:c r="AX41" s="130"/>
      <x:c r="AY41" s="130"/>
      <x:c r="AZ41" s="130"/>
      <x:c r="BA41" s="130"/>
      <x:c r="BB41" s="130"/>
      <x:c r="BC41" s="130"/>
      <x:c r="BD41" s="130"/>
      <x:c r="BE41" s="130"/>
      <x:c r="BF41" s="130"/>
    </x:row>
    <x:row r="42" spans="1:69" x14ac:dyDescent="0.25">
      <x:c r="J42" s="169"/>
      <x:c r="AM42" s="130"/>
      <x:c r="AN42" s="130"/>
      <x:c r="AO42" s="130"/>
      <x:c r="AP42" s="130"/>
      <x:c r="AQ42" s="130"/>
      <x:c r="AR42" s="130"/>
      <x:c r="AS42" s="130"/>
      <x:c r="AT42" s="130"/>
      <x:c r="AU42" s="130"/>
      <x:c r="AV42" s="130"/>
      <x:c r="AW42" s="130"/>
      <x:c r="AX42" s="130"/>
      <x:c r="AY42" s="130"/>
      <x:c r="AZ42" s="130"/>
      <x:c r="BA42" s="130"/>
      <x:c r="BB42" s="130"/>
      <x:c r="BC42" s="130"/>
      <x:c r="BD42" s="130"/>
      <x:c r="BE42" s="130"/>
      <x:c r="BF42" s="130"/>
    </x:row>
    <x:row r="43" spans="1:69" x14ac:dyDescent="0.25">
      <x:c r="L43" s="0" t="s">
        <x:v>67</x:v>
      </x:c>
      <x:c r="AM43" s="130"/>
      <x:c r="AN43" s="130"/>
      <x:c r="AO43" s="130"/>
      <x:c r="AP43" s="130"/>
      <x:c r="AQ43" s="130"/>
      <x:c r="AR43" s="130"/>
      <x:c r="AS43" s="130"/>
      <x:c r="AT43" s="130"/>
      <x:c r="AU43" s="130"/>
      <x:c r="AV43" s="130"/>
      <x:c r="AW43" s="130"/>
      <x:c r="AX43" s="130"/>
      <x:c r="AY43" s="130"/>
      <x:c r="AZ43" s="130"/>
      <x:c r="BA43" s="130"/>
      <x:c r="BB43" s="130"/>
      <x:c r="BC43" s="130"/>
      <x:c r="BD43" s="130"/>
      <x:c r="BE43" s="130"/>
      <x:c r="BF43" s="130"/>
    </x:row>
  </x:sheetData>
  <x:mergeCells count="30">
    <x:mergeCell ref="AD1:AE1"/>
    <x:mergeCell ref="AM1:BF43"/>
    <x:mergeCell ref="J2:J4"/>
    <x:mergeCell ref="AD2:AE2"/>
    <x:mergeCell ref="AD3:AE3"/>
    <x:mergeCell ref="AD4:AE4"/>
    <x:mergeCell ref="J5:J6"/>
    <x:mergeCell ref="AD5:AE5"/>
    <x:mergeCell ref="J7:J10"/>
    <x:mergeCell ref="AC7:AC9"/>
    <x:mergeCell ref="AD7:AD9"/>
    <x:mergeCell ref="AE7:AE9"/>
    <x:mergeCell ref="AF7:AF9"/>
    <x:mergeCell ref="AG7:AG9"/>
    <x:mergeCell ref="AH7:AH9"/>
    <x:mergeCell ref="AI7:AI9"/>
    <x:mergeCell ref="AJ7:AJ9"/>
    <x:mergeCell ref="AK7:AK9"/>
    <x:mergeCell ref="AL7:AL9"/>
    <x:mergeCell ref="J11:J12"/>
    <x:mergeCell ref="J13:J16"/>
    <x:mergeCell ref="J17:J18"/>
    <x:mergeCell ref="J19:J22"/>
    <x:mergeCell ref="J23:J24"/>
    <x:mergeCell ref="J25:J28"/>
    <x:mergeCell ref="J29:J30"/>
    <x:mergeCell ref="J31:J34"/>
    <x:mergeCell ref="J35:J36"/>
    <x:mergeCell ref="J37:J40"/>
    <x:mergeCell ref="J41:J42"/>
  </x:mergeCells>
  <x:dataValidations count="2">
    <x:dataValidation type="list" errorStyle="stop" operator="between" allowBlank="1" showDropDown="0" showInputMessage="1" showErrorMessage="1" errorTitle="" error="" promptTitle="" prompt="" sqref="AI32:AI37">
      <x:formula1>$D$15:$D$18</x:formula1>
      <x:formula2/>
    </x:dataValidation>
    <x:dataValidation type="list" errorStyle="stop" operator="between" allowBlank="1" showDropDown="0" showInputMessage="1" showErrorMessage="1" errorTitle="" error="" promptTitle="" prompt="" sqref="AH21:AH21">
      <x:formula1>A15:A17</x:formula1>
      <x:formula2/>
    </x:dataValidation>
  </x:dataValidations>
  <x:printOptions horizontalCentered="0" verticalCentered="0" headings="0" gridLines="0"/>
  <x:pageMargins left="0.25" right="0.25" top="0.75" bottom="0.75" header="0.3" footer="0.3"/>
  <x:pageSetup paperSize="9" scale="75" pageOrder="downThenOver" orientation="landscape" blackAndWhite="0" draft="0" cellComments="none" errors="displayed" r:id="rId1"/>
  <x:headerFooter differentOddEven="0" differentFirst="0" scaleWithDoc="1" alignWithMargins="1">
    <x:oddHeader>&amp;R&amp;"Arial Narrow,Regular"Private and Confidential - Intended for only&amp;"-,Regular"
 </x:oddHeader>
    <x:oddFooter>&amp;L&amp;"Arial Narrow,Regular"Copyright © EIC Partnership 2024. All rights reserved. &amp;C
</x:oddFooter>
    <x:evenHeader/>
    <x:evenFooter/>
    <x:firstHeader/>
    <x:firstFooter/>
  </x:headerFooter>
  <x:drawing r:id="rId2"/>
  <x:tableParts count="0"/>
  <x:extLst>
    <x:ext xmlns:x14="http://schemas.microsoft.com/office/spreadsheetml/2009/9/main" uri="{CCE6A557-97BC-4b89-ADB6-D9C93CAAB3DF}">
      <x14:dataValidations xmlns:xm="http://schemas.microsoft.com/office/excel/2006/main" count="10">
        <x14:dataValidation type="list" errorStyle="stop" operator="between" allowBlank="1" showDropDown="0" showInputMessage="1" showErrorMessage="1" errorTitle="" error="" promptTitle="" prompt="">
          <x14:formula1>
            <xm:f>Keys!$A$2:$A$8</xm:f>
          </x14:formula1>
          <xm:sqref/>
        </x14:dataValidation>
        <x14:dataValidation type="list" errorStyle="stop" operator="between" allowBlank="1" showDropDown="0" showInputMessage="1" showErrorMessage="1" errorTitle="" error="" promptTitle="" prompt="">
          <x14:formula1>
            <xm:f>Keys!$A$17:$A$19</xm:f>
          </x14:formula1>
          <xm:sqref/>
        </x14:dataValidation>
        <x14:dataValidation type="list" errorStyle="stop" operator="between" allowBlank="1" showDropDown="0" showInputMessage="1" showErrorMessage="1" errorTitle="" error="" promptTitle="" prompt="">
          <x14:formula1>
            <xm:f>Keys!$D$17:$D$20</xm:f>
          </x14:formula1>
          <xm:sqref/>
        </x14:dataValidation>
        <x14:dataValidation type="list" errorStyle="stop" operator="between" allowBlank="1" showDropDown="0" showInputMessage="1" showErrorMessage="1" errorTitle="" error="" promptTitle="" prompt="">
          <x14:formula1>
            <xm:f>Keys!$D$2:$D$8</xm:f>
          </x14:formula1>
          <xm:sqref/>
        </x14:dataValidation>
        <x14:dataValidation type="list" errorStyle="stop" operator="between" allowBlank="1" showDropDown="0" showInputMessage="1" showErrorMessage="1" errorTitle="" error="" promptTitle="" prompt="">
          <x14:formula1>
            <xm:f>Keys!A34:A36</xm:f>
          </x14:formula1>
          <xm:sqref>AH38:AH39</xm:sqref>
        </x14:dataValidation>
        <x14:dataValidation type="list" errorStyle="stop" operator="between" allowBlank="1" showDropDown="0" showInputMessage="1" showErrorMessage="1" errorTitle="" error="" promptTitle="" prompt="">
          <x14:formula1>
            <xm:f>Keys!A17:A19</xm:f>
          </x14:formula1>
          <xm:sqref>AH11:AH20 AH22:AH37</xm:sqref>
        </x14:dataValidation>
        <x14:dataValidation type="list" errorStyle="stop" operator="between" allowBlank="1" showDropDown="0" showInputMessage="1" showErrorMessage="1" errorTitle="" error="" promptTitle="" prompt="">
          <x14:formula1>
            <xm:f>Keys!D17:D21</xm:f>
          </x14:formula1>
          <xm:sqref>AI11:AI31</xm:sqref>
        </x14:dataValidation>
        <x14:dataValidation type="list" errorStyle="stop" operator="between" allowBlank="1" showDropDown="0" showInputMessage="1" showErrorMessage="1" errorTitle="" error="" promptTitle="" prompt="">
          <x14:formula1>
            <xm:f>Keys!D2:D8</xm:f>
          </x14:formula1>
          <xm:sqref>AG11:AG37</xm:sqref>
        </x14:dataValidation>
        <x14:dataValidation type="list" errorStyle="stop" operator="between" allowBlank="1" showDropDown="0" showInputMessage="1" showErrorMessage="1" errorTitle="" error="" promptTitle="" prompt="">
          <x14:formula1>
            <xm:f>Keys!A2:A8</xm:f>
          </x14:formula1>
          <xm:sqref>AF11:AF37</xm:sqref>
        </x14:dataValidation>
        <x14:dataValidation type="list" errorStyle="stop" operator="between" allowBlank="1" showDropDown="0" showInputMessage="1" showErrorMessage="1" errorTitle="" error="" promptTitle="" prompt="">
          <x14:formula1>
            <xm:f>Keys!$A$21:$A$40</xm:f>
          </x14:formula1>
          <xm:sqref>AD11:AD37</xm:sqref>
        </x14:dataValidation>
      </x14:dataValidations>
    </x:ext>
  </x:extLst>
</x:worksheet>
</file>

<file path=xl/worksheets/sheet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100-000000000000}" mc:Ignorable="x14ac xr xr2 xr3">
  <x:sheetPr codeName="Sheet2">
    <x:outlinePr summaryBelow="1" summaryRight="1"/>
  </x:sheetPr>
  <x:dimension ref="A1:G11"/>
  <x:sheetViews>
    <x:sheetView workbookViewId="0">
      <x:selection activeCell="F2" sqref="F2"/>
    </x:sheetView>
  </x:sheetViews>
  <x:sheetFormatPr defaultColWidth="9.140625" defaultRowHeight="16.5" x14ac:dyDescent="0.3"/>
  <x:cols>
    <x:col min="1" max="1" width="22.710938" style="6" bestFit="1" customWidth="1"/>
    <x:col min="2" max="2" width="28" style="6" customWidth="1"/>
    <x:col min="3" max="3" width="11.425781" style="6" customWidth="1"/>
    <x:col min="4" max="4" width="9.140625" style="6" customWidth="1"/>
    <x:col min="5" max="5" width="27.570312" style="6" bestFit="1" customWidth="1"/>
    <x:col min="6" max="16384" width="9.140625" style="6" customWidth="1"/>
  </x:cols>
  <x:sheetData>
    <x:row r="1" spans="1:7" x14ac:dyDescent="0.3">
      <x:c r="A1" s="6" t="s">
        <x:v>27</x:v>
      </x:c>
      <x:c r="B1" s="6" t="s">
        <x:v>39</x:v>
      </x:c>
      <x:c r="E1" s="11" t="s">
        <x:v>68</x:v>
      </x:c>
      <x:c r="F1" s="11">
        <x:f>COUNTA(Analysis!M10:M1000)-'Summary Calculations'!F2</x:f>
      </x:c>
      <x:c r="G1" s="11"/>
    </x:row>
    <x:row r="2" spans="1:7" x14ac:dyDescent="0.3">
      <x:c r="A2" s="6" t="s">
        <x:v>29</x:v>
      </x:c>
      <x:c r="B2" s="6" t="s">
        <x:v>69</x:v>
      </x:c>
      <x:c r="E2" s="11" t="s">
        <x:v>70</x:v>
      </x:c>
      <x:c r="F2" s="11">
        <x:f>COUNTIF(Analysis!M10:M1000,"IGT")</x:f>
      </x:c>
    </x:row>
    <x:row r="3" spans="1:7" x14ac:dyDescent="0.3">
      <x:c r="A3" s="6" t="s">
        <x:v>30</x:v>
      </x:c>
      <x:c r="B3" s="6" t="s">
        <x:v>69</x:v>
      </x:c>
      <x:c r="E3" s="11" t="s">
        <x:v>71</x:v>
      </x:c>
      <x:c r="F3" s="71">
        <x:f>SUM(F1:F2)</x:f>
      </x:c>
    </x:row>
    <x:row r="4" spans="1:7" x14ac:dyDescent="0.3">
      <x:c r="A4" s="6" t="s">
        <x:v>31</x:v>
      </x:c>
      <x:c r="B4" s="6" t="s">
        <x:v>69</x:v>
      </x:c>
    </x:row>
    <x:row r="5" spans="1:7" x14ac:dyDescent="0.3">
      <x:c r="A5" s="6" t="s">
        <x:v>32</x:v>
      </x:c>
      <x:c r="B5" s="6" t="s">
        <x:v>69</x:v>
      </x:c>
    </x:row>
    <x:row r="6" spans="1:7" x14ac:dyDescent="0.3">
      <x:c r="A6" s="6" t="s">
        <x:v>28</x:v>
      </x:c>
      <x:c r="B6" s="6" t="s">
        <x:v>69</x:v>
      </x:c>
    </x:row>
    <x:row r="11" spans="1:7" x14ac:dyDescent="0.3">
      <x:c r="A11" s="0"/>
      <x:c r="B11" s="0"/>
    </x:row>
  </x:sheetData>
  <x:printOptions horizontalCentered="0" verticalCentered="0" headings="0" gridLines="0"/>
  <x:pageMargins left="0.7" right="0.7" top="0.75" bottom="0.75" header="0.3" footer="0.3"/>
  <x:pageSetup paperSize="9" scale="100" pageOrder="downThenOver" orientation="portrait" blackAndWhite="0" draft="0" cellComments="none" errors="displayed" r:id="rId2"/>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200-000000000000}" mc:Ignorable="x14ac xr xr2 xr3">
  <x:sheetPr codeName="Sheet3">
    <x:outlinePr summaryBelow="1" summaryRight="1"/>
    <x:pageSetUpPr fitToPage="1"/>
  </x:sheetPr>
  <x:dimension ref="A1:DV1469"/>
  <x:sheetViews>
    <x:sheetView zoomScale="89" zoomScaleNormal="89" workbookViewId="0">
      <x:selection activeCell="A8" sqref="A8"/>
    </x:sheetView>
  </x:sheetViews>
  <x:sheetFormatPr defaultColWidth="9.140625" defaultRowHeight="16.5" x14ac:dyDescent="0.3"/>
  <x:cols>
    <x:col min="1" max="1" width="13.285156" style="6" customWidth="1"/>
    <x:col min="2" max="2" width="21" style="6" customWidth="1"/>
    <x:col min="3" max="3" width="19" style="6" customWidth="1"/>
    <x:col min="4" max="4" width="18.425781" style="6" customWidth="1"/>
    <x:col min="5" max="5" width="16.425781" style="6" customWidth="1"/>
    <x:col min="6" max="7" width="16.140625" style="6" customWidth="1"/>
    <x:col min="8" max="8" width="18.425781" style="6" customWidth="1"/>
    <x:col min="9" max="9" width="11.425781" style="6" customWidth="1"/>
    <x:col min="10" max="10" width="12.855469" style="6" customWidth="1"/>
    <x:col min="11" max="11" width="11.570312" style="6" customWidth="1"/>
    <x:col min="12" max="12" width="27.425781" style="173" customWidth="1"/>
    <x:col min="13" max="13" width="9.140625" style="173" customWidth="1"/>
    <x:col min="14" max="14" width="12" style="173" customWidth="1"/>
    <x:col min="15" max="15" width="14.570312" style="6" customWidth="1"/>
    <x:col min="16" max="16" width="12.140625" style="6" customWidth="1"/>
    <x:col min="17" max="17" width="17.570312" style="30" customWidth="1"/>
    <x:col min="18" max="18" width="16.425781" style="6" customWidth="1"/>
    <x:col min="19" max="19" width="13.425781" style="6" customWidth="1"/>
    <x:col min="20" max="20" width="17.570312" style="30" customWidth="1"/>
    <x:col min="21" max="21" width="16.140625" style="6" customWidth="1"/>
    <x:col min="22" max="22" width="8.425781" style="6" customWidth="1"/>
    <x:col min="23" max="23" width="17.570312" style="30" customWidth="1"/>
    <x:col min="24" max="24" width="12.855469" style="6" bestFit="1" customWidth="1"/>
    <x:col min="25" max="25" width="8.425781" style="6" customWidth="1"/>
    <x:col min="26" max="26" width="17.570312" style="30" customWidth="1"/>
    <x:col min="27" max="27" width="15" style="6" bestFit="1" customWidth="1"/>
    <x:col min="28" max="28" width="8.425781" style="6" customWidth="1"/>
    <x:col min="29" max="29" width="17.570312" style="30" customWidth="1"/>
    <x:col min="30" max="30" width="15" style="6" bestFit="1" customWidth="1"/>
    <x:col min="31" max="31" width="8.425781" style="6" customWidth="1"/>
    <x:col min="32" max="32" width="17.570312" style="30" customWidth="1"/>
    <x:col min="33" max="33" width="13.425781" style="6" customWidth="1"/>
    <x:col min="34" max="34" width="8.425781" style="6" customWidth="1"/>
    <x:col min="35" max="35" width="17.570312" style="30" customWidth="1"/>
    <x:col min="36" max="36" width="14.855469" style="6" customWidth="1"/>
    <x:col min="37" max="37" width="8.425781" style="6" customWidth="1"/>
    <x:col min="38" max="38" width="17.570312" style="30" customWidth="1"/>
    <x:col min="39" max="39" width="13.855469" style="6" customWidth="1"/>
    <x:col min="40" max="40" width="8.425781" style="6" customWidth="1"/>
    <x:col min="41" max="41" width="17.570312" style="30" customWidth="1"/>
    <x:col min="42" max="42" width="13.425781" style="6" customWidth="1"/>
    <x:col min="43" max="43" width="8.425781" style="6" customWidth="1"/>
    <x:col min="44" max="44" width="17.570312" style="30" customWidth="1"/>
    <x:col min="45" max="45" width="15.570312" style="6" customWidth="1"/>
    <x:col min="46" max="46" width="8.425781" style="6" customWidth="1"/>
    <x:col min="47" max="47" width="17.570312" style="30" customWidth="1"/>
    <x:col min="48" max="48" width="14.425781" style="6" customWidth="1"/>
    <x:col min="49" max="49" width="8.425781" style="6" customWidth="1"/>
    <x:col min="50" max="50" width="17.570312" style="30" customWidth="1"/>
    <x:col min="51" max="51" width="12.855469" style="6" customWidth="1"/>
    <x:col min="52" max="52" width="8.425781" style="6" customWidth="1"/>
    <x:col min="53" max="53" width="17.570312" style="30" customWidth="1"/>
    <x:col min="54" max="54" width="14.140625" style="6" customWidth="1"/>
    <x:col min="55" max="55" width="8.425781" style="6" customWidth="1"/>
    <x:col min="56" max="56" width="17.570312" style="30" customWidth="1"/>
    <x:col min="57" max="57" width="13.140625" style="6" customWidth="1"/>
    <x:col min="58" max="58" width="8.425781" style="6" customWidth="1"/>
    <x:col min="59" max="59" width="17.570312" style="30" customWidth="1"/>
    <x:col min="60" max="60" width="13.425781" style="6" customWidth="1"/>
    <x:col min="61" max="61" width="8.425781" style="6" customWidth="1"/>
    <x:col min="62" max="62" width="17.570312" style="30" customWidth="1"/>
    <x:col min="63" max="63" width="12.425781" style="6" customWidth="1"/>
    <x:col min="64" max="64" width="8.425781" style="6" customWidth="1"/>
    <x:col min="65" max="65" width="17.570312" style="30" customWidth="1"/>
    <x:col min="66" max="66" width="13.855469" style="6" customWidth="1"/>
    <x:col min="67" max="67" width="8.425781" style="6" customWidth="1"/>
    <x:col min="68" max="68" width="17.570312" style="30" customWidth="1"/>
    <x:col min="69" max="69" width="13" style="6" customWidth="1"/>
    <x:col min="70" max="70" width="8.425781" style="6" customWidth="1"/>
    <x:col min="71" max="71" width="17.570312" style="30" customWidth="1"/>
    <x:col min="72" max="72" width="9.140625" style="6" customWidth="1"/>
    <x:col min="73" max="73" width="8.425781" style="6" customWidth="1"/>
    <x:col min="74" max="74" width="17.570312" style="30" customWidth="1"/>
    <x:col min="75" max="75" width="9.140625" style="6" customWidth="1"/>
    <x:col min="76" max="76" width="8.425781" style="6" customWidth="1"/>
    <x:col min="77" max="77" width="17.570312" style="30" customWidth="1"/>
    <x:col min="78" max="78" width="9.140625" style="6" customWidth="1"/>
    <x:col min="79" max="79" width="8.425781" style="6" customWidth="1"/>
    <x:col min="80" max="80" width="17.570312" style="30" customWidth="1"/>
    <x:col min="81" max="81" width="9.140625" style="6" customWidth="1"/>
    <x:col min="82" max="82" width="8.425781" style="6" customWidth="1"/>
    <x:col min="83" max="83" width="17.570312" style="30" customWidth="1"/>
    <x:col min="84" max="84" width="9.140625" style="6" customWidth="1"/>
    <x:col min="85" max="85" width="8.425781" style="6" customWidth="1"/>
    <x:col min="86" max="86" width="17.570312" style="30" customWidth="1"/>
    <x:col min="87" max="87" width="9.140625" style="6" customWidth="1"/>
    <x:col min="88" max="88" width="8.425781" style="6" customWidth="1"/>
    <x:col min="89" max="89" width="17.570312" style="30" customWidth="1"/>
    <x:col min="90" max="90" width="9.140625" style="6" customWidth="1"/>
    <x:col min="91" max="91" width="8.425781" style="6" customWidth="1"/>
    <x:col min="92" max="92" width="17.570312" style="30" customWidth="1"/>
    <x:col min="93" max="93" width="9.140625" style="6" customWidth="1"/>
    <x:col min="94" max="94" width="8.425781" style="6" customWidth="1"/>
    <x:col min="95" max="95" width="17.570312" style="30" customWidth="1"/>
    <x:col min="96" max="96" width="9.140625" style="6" customWidth="1"/>
    <x:col min="97" max="97" width="8.425781" style="6" customWidth="1"/>
    <x:col min="98" max="98" width="17.570312" style="30" customWidth="1"/>
    <x:col min="99" max="99" width="9.140625" style="6" customWidth="1"/>
    <x:col min="100" max="100" width="8.425781" style="6" customWidth="1"/>
    <x:col min="101" max="101" width="17.570312" style="30" customWidth="1"/>
    <x:col min="102" max="102" width="9.140625" style="6" customWidth="1"/>
    <x:col min="103" max="103" width="8.425781" style="6" customWidth="1"/>
    <x:col min="104" max="104" width="17.570312" style="30" customWidth="1"/>
    <x:col min="105" max="105" width="9.140625" style="6" customWidth="1"/>
    <x:col min="106" max="106" width="8.425781" style="6" customWidth="1"/>
    <x:col min="107" max="107" width="17.570312" style="30" customWidth="1"/>
    <x:col min="108" max="108" width="9.140625" style="6" customWidth="1"/>
    <x:col min="109" max="109" width="8.425781" style="6" customWidth="1"/>
    <x:col min="110" max="110" width="17.570312" style="30" customWidth="1"/>
    <x:col min="111" max="111" width="9.140625" style="6" customWidth="1"/>
    <x:col min="112" max="112" width="8.425781" style="6" customWidth="1"/>
    <x:col min="113" max="113" width="17.570312" style="30" customWidth="1"/>
    <x:col min="114" max="114" width="9.140625" style="6" customWidth="1"/>
    <x:col min="115" max="115" width="8.425781" style="6" customWidth="1"/>
    <x:col min="116" max="116" width="17.570312" style="30" customWidth="1"/>
    <x:col min="117" max="117" width="9.140625" style="6" customWidth="1"/>
    <x:col min="118" max="118" width="8.425781" style="6" customWidth="1"/>
    <x:col min="119" max="119" width="17.570312" style="30" customWidth="1"/>
    <x:col min="120" max="120" width="9.140625" style="6" customWidth="1"/>
    <x:col min="121" max="121" width="8.425781" style="6" customWidth="1"/>
    <x:col min="122" max="122" width="17.570312" style="30" customWidth="1"/>
    <x:col min="123" max="123" width="9.140625" style="6" customWidth="1"/>
    <x:col min="124" max="124" width="8.425781" style="6" customWidth="1"/>
    <x:col min="125" max="125" width="17.570312" style="30" customWidth="1"/>
    <x:col min="126" max="16384" width="9.140625" style="6" customWidth="1"/>
  </x:cols>
  <x:sheetData>
    <x:row r="1" spans="1:126" ht="30.75" customHeight="1" x14ac:dyDescent="0.45">
      <x:c r="A1" s="26" t="s">
        <x:v>74</x:v>
      </x:c>
      <x:c r="B1" s="27"/>
      <x:c r="C1" s="27"/>
      <x:c r="D1" s="28"/>
      <x:c r="E1" s="28"/>
      <x:c r="F1" s="28"/>
      <x:c r="G1" s="28"/>
      <x:c r="H1" s="28"/>
      <x:c r="I1" s="28"/>
      <x:c r="J1" s="28"/>
      <x:c r="K1" s="28"/>
      <x:c r="L1" s="28"/>
      <x:c r="M1" s="28"/>
      <x:c r="N1" s="28"/>
      <x:c r="O1" s="28"/>
      <x:c r="P1" s="28"/>
      <x:c r="Q1" s="29"/>
      <x:c r="R1" s="28"/>
      <x:c r="S1" s="28"/>
      <x:c r="T1" s="174" t="s">
        <x:v>75</x:v>
      </x:c>
      <x:c r="U1" s="106"/>
      <x:c r="V1" s="28"/>
      <x:c r="W1" s="174" t="s">
        <x:v>75</x:v>
      </x:c>
      <x:c r="X1" s="28"/>
      <x:c r="Y1" s="28"/>
      <x:c r="Z1" s="174" t="s">
        <x:v>75</x:v>
      </x:c>
      <x:c r="AA1" s="28"/>
      <x:c r="AB1" s="28"/>
      <x:c r="AC1" s="174" t="s">
        <x:v>75</x:v>
      </x:c>
      <x:c r="AD1" s="28"/>
      <x:c r="AE1" s="28"/>
      <x:c r="AF1" s="174" t="s">
        <x:v>75</x:v>
      </x:c>
      <x:c r="AG1" s="28"/>
      <x:c r="AH1" s="28"/>
      <x:c r="AI1" s="174" t="s">
        <x:v>75</x:v>
      </x:c>
      <x:c r="AJ1" s="28"/>
      <x:c r="AK1" s="28"/>
      <x:c r="AL1" s="174" t="s">
        <x:v>75</x:v>
      </x:c>
      <x:c r="AM1" s="28"/>
      <x:c r="AN1" s="28"/>
      <x:c r="AO1" s="174" t="s">
        <x:v>75</x:v>
      </x:c>
      <x:c r="AP1" s="28"/>
      <x:c r="AQ1" s="28"/>
      <x:c r="AR1" s="174" t="s">
        <x:v>75</x:v>
      </x:c>
      <x:c r="AS1" s="28"/>
      <x:c r="AT1" s="28"/>
      <x:c r="AU1" s="174" t="s">
        <x:v>75</x:v>
      </x:c>
      <x:c r="AV1" s="28"/>
      <x:c r="AW1" s="28"/>
      <x:c r="AX1" s="174" t="s">
        <x:v>75</x:v>
      </x:c>
      <x:c r="AY1" s="28"/>
      <x:c r="AZ1" s="28"/>
      <x:c r="BA1" s="174" t="s">
        <x:v>75</x:v>
      </x:c>
      <x:c r="BB1" s="28"/>
      <x:c r="BC1" s="28"/>
      <x:c r="BD1" s="174" t="s">
        <x:v>75</x:v>
      </x:c>
      <x:c r="BE1" s="28"/>
      <x:c r="BF1" s="28"/>
      <x:c r="BG1" s="174" t="s">
        <x:v>75</x:v>
      </x:c>
      <x:c r="BH1" s="28"/>
      <x:c r="BI1" s="28"/>
      <x:c r="BJ1" s="174" t="s">
        <x:v>75</x:v>
      </x:c>
      <x:c r="BK1" s="28"/>
      <x:c r="BL1" s="28"/>
      <x:c r="BM1" s="174" t="s">
        <x:v>75</x:v>
      </x:c>
      <x:c r="BN1" s="28"/>
      <x:c r="BO1" s="28"/>
      <x:c r="BP1" s="174" t="s">
        <x:v>75</x:v>
      </x:c>
      <x:c r="BQ1" s="28"/>
      <x:c r="BR1" s="28"/>
      <x:c r="BS1" s="174" t="s">
        <x:v>75</x:v>
      </x:c>
      <x:c r="BT1" s="28"/>
      <x:c r="BU1" s="28"/>
      <x:c r="BV1" s="174" t="s">
        <x:v>75</x:v>
      </x:c>
      <x:c r="BW1" s="28"/>
      <x:c r="BX1" s="28"/>
      <x:c r="BY1" s="174" t="s">
        <x:v>75</x:v>
      </x:c>
      <x:c r="BZ1" s="28"/>
      <x:c r="CA1" s="28"/>
      <x:c r="CB1" s="174" t="s">
        <x:v>75</x:v>
      </x:c>
      <x:c r="CC1" s="28"/>
      <x:c r="CD1" s="28"/>
      <x:c r="CE1" s="174" t="s">
        <x:v>75</x:v>
      </x:c>
      <x:c r="CF1" s="28"/>
      <x:c r="CG1" s="28"/>
      <x:c r="CH1" s="174" t="s">
        <x:v>75</x:v>
      </x:c>
      <x:c r="CI1" s="28"/>
      <x:c r="CJ1" s="28"/>
      <x:c r="CK1" s="174" t="s">
        <x:v>75</x:v>
      </x:c>
      <x:c r="CL1" s="28"/>
      <x:c r="CM1" s="28"/>
      <x:c r="CN1" s="174" t="s">
        <x:v>75</x:v>
      </x:c>
      <x:c r="CO1" s="28"/>
      <x:c r="CP1" s="28"/>
      <x:c r="CQ1" s="174" t="s">
        <x:v>75</x:v>
      </x:c>
      <x:c r="CR1" s="28"/>
      <x:c r="CS1" s="28"/>
      <x:c r="CT1" s="174" t="s">
        <x:v>75</x:v>
      </x:c>
      <x:c r="CU1" s="28"/>
      <x:c r="CV1" s="28"/>
      <x:c r="CW1" s="174" t="s">
        <x:v>75</x:v>
      </x:c>
      <x:c r="CX1" s="28"/>
      <x:c r="CY1" s="28"/>
      <x:c r="CZ1" s="174" t="s">
        <x:v>75</x:v>
      </x:c>
      <x:c r="DA1" s="28"/>
      <x:c r="DB1" s="28"/>
      <x:c r="DC1" s="29"/>
      <x:c r="DD1" s="28"/>
      <x:c r="DE1" s="28"/>
      <x:c r="DF1" s="29"/>
      <x:c r="DG1" s="28"/>
      <x:c r="DH1" s="28"/>
      <x:c r="DI1" s="29"/>
      <x:c r="DJ1" s="28"/>
      <x:c r="DK1" s="28"/>
      <x:c r="DL1" s="29"/>
      <x:c r="DM1" s="28"/>
    </x:row>
    <x:row r="2" spans="1:126" x14ac:dyDescent="0.3">
      <x:c r="A2" s="28"/>
      <x:c r="B2" s="28"/>
      <x:c r="C2" s="28"/>
      <x:c r="D2" s="28"/>
      <x:c r="E2" s="28"/>
      <x:c r="F2" s="28"/>
      <x:c r="G2" s="28"/>
      <x:c r="H2" s="28"/>
      <x:c r="I2" s="28"/>
      <x:c r="J2" s="28"/>
      <x:c r="K2" s="28"/>
      <x:c r="L2" s="28"/>
      <x:c r="M2" s="28"/>
      <x:c r="N2" s="28"/>
      <x:c r="O2" s="28"/>
      <x:c r="P2" s="28"/>
      <x:c r="Q2" s="29"/>
      <x:c r="R2" s="28"/>
      <x:c r="S2" s="28"/>
      <x:c r="T2" s="175" t="s">
        <x:v>76</x:v>
      </x:c>
      <x:c r="U2" s="87"/>
      <x:c r="V2" s="28"/>
      <x:c r="W2" s="175" t="s">
        <x:v>76</x:v>
      </x:c>
      <x:c r="X2" s="87"/>
      <x:c r="Y2" s="28"/>
      <x:c r="Z2" s="175" t="s">
        <x:v>76</x:v>
      </x:c>
      <x:c r="AA2" s="87"/>
      <x:c r="AB2" s="28"/>
      <x:c r="AC2" s="175" t="s">
        <x:v>76</x:v>
      </x:c>
      <x:c r="AD2" s="87"/>
      <x:c r="AE2" s="28"/>
      <x:c r="AF2" s="175" t="s">
        <x:v>76</x:v>
      </x:c>
      <x:c r="AG2" s="87"/>
      <x:c r="AH2" s="28"/>
      <x:c r="AI2" s="175" t="s">
        <x:v>76</x:v>
      </x:c>
      <x:c r="AJ2" s="87"/>
      <x:c r="AK2" s="28"/>
      <x:c r="AL2" s="175" t="s">
        <x:v>76</x:v>
      </x:c>
      <x:c r="AM2" s="87"/>
      <x:c r="AN2" s="28"/>
      <x:c r="AO2" s="175" t="s">
        <x:v>76</x:v>
      </x:c>
      <x:c r="AP2" s="87"/>
      <x:c r="AQ2" s="28"/>
      <x:c r="AR2" s="175" t="s">
        <x:v>76</x:v>
      </x:c>
      <x:c r="AS2" s="87"/>
      <x:c r="AT2" s="28"/>
      <x:c r="AU2" s="175" t="s">
        <x:v>76</x:v>
      </x:c>
      <x:c r="AV2" s="87"/>
      <x:c r="AW2" s="28"/>
      <x:c r="AX2" s="175" t="s">
        <x:v>76</x:v>
      </x:c>
      <x:c r="AY2" s="87"/>
      <x:c r="AZ2" s="28"/>
      <x:c r="BA2" s="175" t="s">
        <x:v>76</x:v>
      </x:c>
      <x:c r="BB2" s="87"/>
      <x:c r="BC2" s="28"/>
      <x:c r="BD2" s="175" t="s">
        <x:v>76</x:v>
      </x:c>
      <x:c r="BE2" s="87"/>
      <x:c r="BF2" s="28"/>
      <x:c r="BG2" s="175" t="s">
        <x:v>76</x:v>
      </x:c>
      <x:c r="BH2" s="87"/>
      <x:c r="BI2" s="28"/>
      <x:c r="BJ2" s="175" t="s">
        <x:v>76</x:v>
      </x:c>
      <x:c r="BK2" s="87"/>
      <x:c r="BL2" s="28"/>
      <x:c r="BM2" s="175" t="s">
        <x:v>76</x:v>
      </x:c>
      <x:c r="BN2" s="87"/>
      <x:c r="BO2" s="28"/>
      <x:c r="BP2" s="175" t="s">
        <x:v>76</x:v>
      </x:c>
      <x:c r="BQ2" s="87"/>
      <x:c r="BR2" s="28"/>
      <x:c r="BS2" s="175" t="s">
        <x:v>76</x:v>
      </x:c>
      <x:c r="BT2" s="87"/>
      <x:c r="BU2" s="28"/>
      <x:c r="BV2" s="175" t="s">
        <x:v>76</x:v>
      </x:c>
      <x:c r="BW2" s="87"/>
      <x:c r="BX2" s="28"/>
      <x:c r="BY2" s="175" t="s">
        <x:v>76</x:v>
      </x:c>
      <x:c r="BZ2" s="87"/>
      <x:c r="CA2" s="28"/>
      <x:c r="CB2" s="175" t="s">
        <x:v>76</x:v>
      </x:c>
      <x:c r="CC2" s="87"/>
      <x:c r="CD2" s="28"/>
      <x:c r="CE2" s="175" t="s">
        <x:v>76</x:v>
      </x:c>
      <x:c r="CF2" s="87"/>
      <x:c r="CG2" s="28"/>
      <x:c r="CH2" s="175" t="s">
        <x:v>76</x:v>
      </x:c>
      <x:c r="CI2" s="87"/>
      <x:c r="CJ2" s="28"/>
      <x:c r="CK2" s="175" t="s">
        <x:v>76</x:v>
      </x:c>
      <x:c r="CL2" s="87"/>
      <x:c r="CM2" s="28"/>
      <x:c r="CN2" s="175" t="s">
        <x:v>76</x:v>
      </x:c>
      <x:c r="CO2" s="87"/>
      <x:c r="CP2" s="28"/>
      <x:c r="CQ2" s="175" t="s">
        <x:v>76</x:v>
      </x:c>
      <x:c r="CR2" s="87"/>
      <x:c r="CS2" s="28"/>
      <x:c r="CT2" s="175" t="s">
        <x:v>76</x:v>
      </x:c>
      <x:c r="CU2" s="87"/>
      <x:c r="CV2" s="28"/>
      <x:c r="CW2" s="175" t="s">
        <x:v>76</x:v>
      </x:c>
      <x:c r="CX2" s="87"/>
      <x:c r="CY2" s="28"/>
      <x:c r="CZ2" s="175" t="s">
        <x:v>76</x:v>
      </x:c>
      <x:c r="DA2" s="87"/>
      <x:c r="DB2" s="28"/>
      <x:c r="DC2" s="29"/>
      <x:c r="DD2" s="28"/>
      <x:c r="DE2" s="28"/>
      <x:c r="DF2" s="29"/>
      <x:c r="DG2" s="28"/>
      <x:c r="DH2" s="28"/>
      <x:c r="DI2" s="29"/>
      <x:c r="DJ2" s="28"/>
      <x:c r="DK2" s="28"/>
      <x:c r="DL2" s="29"/>
      <x:c r="DM2" s="28"/>
    </x:row>
    <x:row r="3" spans="1:126" x14ac:dyDescent="0.3">
      <x:c r="A3" s="80"/>
      <x:c r="B3" s="80"/>
      <x:c r="C3" s="28"/>
      <x:c r="D3" s="28"/>
      <x:c r="E3" s="28"/>
      <x:c r="F3" s="28"/>
      <x:c r="G3" s="28"/>
      <x:c r="H3" s="28"/>
      <x:c r="I3" s="28"/>
      <x:c r="J3" s="28"/>
      <x:c r="K3" s="28"/>
      <x:c r="L3" s="28"/>
      <x:c r="M3" s="28"/>
      <x:c r="N3" s="28"/>
      <x:c r="O3" s="28"/>
      <x:c r="P3" s="28"/>
      <x:c r="Q3" s="29"/>
      <x:c r="R3" s="28"/>
      <x:c r="S3" s="28"/>
      <x:c r="T3" s="29"/>
      <x:c r="U3" s="33">
        <x:f>S7-U2</x:f>
      </x:c>
      <x:c r="V3" s="28"/>
      <x:c r="W3" s="29"/>
      <x:c r="X3" s="33">
        <x:f>V7-X2</x:f>
      </x:c>
      <x:c r="Y3" s="28"/>
      <x:c r="Z3" s="29"/>
      <x:c r="AA3" s="33">
        <x:f>Y7-AA2</x:f>
      </x:c>
      <x:c r="AB3" s="28"/>
      <x:c r="AC3" s="29"/>
      <x:c r="AD3" s="33">
        <x:f>AB7-AD2</x:f>
      </x:c>
      <x:c r="AE3" s="28"/>
      <x:c r="AF3" s="29"/>
      <x:c r="AG3" s="33">
        <x:f>AE7-AG2</x:f>
      </x:c>
      <x:c r="AH3" s="28"/>
      <x:c r="AI3" s="29"/>
      <x:c r="AJ3" s="33">
        <x:f>AH7-AJ2</x:f>
      </x:c>
      <x:c r="AK3" s="28"/>
      <x:c r="AL3" s="29"/>
      <x:c r="AM3" s="33">
        <x:f>AK7-AM2</x:f>
      </x:c>
      <x:c r="AN3" s="28"/>
      <x:c r="AO3" s="29"/>
      <x:c r="AP3" s="33">
        <x:f>AN7-AP2</x:f>
      </x:c>
      <x:c r="AQ3" s="28"/>
      <x:c r="AR3" s="29"/>
      <x:c r="AS3" s="33">
        <x:f>AQ7-AS2</x:f>
      </x:c>
      <x:c r="AT3" s="28"/>
      <x:c r="AU3" s="29"/>
      <x:c r="AV3" s="33">
        <x:f>AT7-AV2</x:f>
      </x:c>
      <x:c r="AW3" s="28"/>
      <x:c r="AX3" s="29"/>
      <x:c r="AY3" s="33">
        <x:f>AW7-AY2</x:f>
      </x:c>
      <x:c r="AZ3" s="28"/>
      <x:c r="BA3" s="29"/>
      <x:c r="BB3" s="33">
        <x:f>AZ7-BB2</x:f>
      </x:c>
      <x:c r="BC3" s="28"/>
      <x:c r="BD3" s="29"/>
      <x:c r="BE3" s="33">
        <x:f>BC7-BE2</x:f>
      </x:c>
      <x:c r="BF3" s="28"/>
      <x:c r="BG3" s="29"/>
      <x:c r="BH3" s="33">
        <x:f>BF7-BH2</x:f>
      </x:c>
      <x:c r="BI3" s="28"/>
      <x:c r="BJ3" s="29"/>
      <x:c r="BK3" s="33">
        <x:f>BI7-BK2</x:f>
      </x:c>
      <x:c r="BL3" s="28"/>
      <x:c r="BM3" s="29"/>
      <x:c r="BN3" s="33">
        <x:f>BL7-BN2</x:f>
      </x:c>
      <x:c r="BO3" s="28"/>
      <x:c r="BP3" s="29"/>
      <x:c r="BQ3" s="33">
        <x:f>BO7-BQ2</x:f>
      </x:c>
      <x:c r="BR3" s="28"/>
      <x:c r="BS3" s="29"/>
      <x:c r="BT3" s="33">
        <x:f>BR7-BT2</x:f>
      </x:c>
      <x:c r="BU3" s="28"/>
      <x:c r="BV3" s="29"/>
      <x:c r="BW3" s="33">
        <x:f>BU7-BW2</x:f>
      </x:c>
      <x:c r="BX3" s="28"/>
      <x:c r="BY3" s="29"/>
      <x:c r="BZ3" s="33">
        <x:f>BX7-BZ2</x:f>
      </x:c>
      <x:c r="CA3" s="28"/>
      <x:c r="CB3" s="29"/>
      <x:c r="CC3" s="33">
        <x:f>CA7-CC2</x:f>
      </x:c>
      <x:c r="CD3" s="28"/>
      <x:c r="CE3" s="29"/>
      <x:c r="CF3" s="33">
        <x:f>CD7-CF2</x:f>
      </x:c>
      <x:c r="CG3" s="28"/>
      <x:c r="CH3" s="29"/>
      <x:c r="CI3" s="33">
        <x:f>CG7-CI2</x:f>
      </x:c>
      <x:c r="CJ3" s="28"/>
      <x:c r="CK3" s="29"/>
      <x:c r="CL3" s="33">
        <x:f>CJ7-CL2</x:f>
      </x:c>
      <x:c r="CM3" s="28"/>
      <x:c r="CN3" s="29"/>
      <x:c r="CO3" s="33">
        <x:f>CM7-CO2</x:f>
      </x:c>
      <x:c r="CP3" s="28"/>
      <x:c r="CQ3" s="29"/>
      <x:c r="CR3" s="33">
        <x:f>CP7-CR2</x:f>
      </x:c>
      <x:c r="CS3" s="28"/>
      <x:c r="CT3" s="29"/>
      <x:c r="CU3" s="33">
        <x:f>CS7-CU2</x:f>
      </x:c>
      <x:c r="CV3" s="28"/>
      <x:c r="CW3" s="29"/>
      <x:c r="CX3" s="33">
        <x:f>CV7-CX2</x:f>
      </x:c>
      <x:c r="CY3" s="28"/>
      <x:c r="CZ3" s="29"/>
      <x:c r="DA3" s="33">
        <x:f>CY7-DA2</x:f>
      </x:c>
      <x:c r="DB3" s="28"/>
      <x:c r="DC3" s="29"/>
      <x:c r="DD3" s="28"/>
      <x:c r="DE3" s="28"/>
      <x:c r="DF3" s="29"/>
      <x:c r="DG3" s="28"/>
      <x:c r="DH3" s="28"/>
      <x:c r="DI3" s="29"/>
      <x:c r="DJ3" s="28"/>
      <x:c r="DK3" s="28"/>
      <x:c r="DL3" s="29"/>
      <x:c r="DM3" s="28"/>
    </x:row>
    <x:row r="4" spans="1:126" x14ac:dyDescent="0.3">
      <x:c r="A4" s="80"/>
      <x:c r="B4" s="80"/>
      <x:c r="C4" s="28"/>
      <x:c r="D4" s="28"/>
      <x:c r="E4" s="28"/>
      <x:c r="F4" s="28"/>
      <x:c r="G4" s="28"/>
      <x:c r="H4" s="28"/>
      <x:c r="I4" s="28"/>
      <x:c r="J4" s="28"/>
      <x:c r="K4" s="28"/>
      <x:c r="L4" s="28"/>
      <x:c r="M4" s="28"/>
      <x:c r="N4" s="28"/>
      <x:c r="O4" s="28"/>
      <x:c r="P4" s="28"/>
      <x:c r="Q4" s="29"/>
      <x:c r="R4" s="28"/>
      <x:c r="S4" s="28"/>
      <x:c r="T4" s="29"/>
      <x:c r="U4" s="28"/>
      <x:c r="V4" s="28"/>
      <x:c r="W4" s="29"/>
      <x:c r="X4" s="28"/>
      <x:c r="Y4" s="28"/>
      <x:c r="Z4" s="29"/>
      <x:c r="AA4" s="28"/>
      <x:c r="AB4" s="28"/>
      <x:c r="AC4" s="29"/>
      <x:c r="AD4" s="28"/>
      <x:c r="AE4" s="28"/>
      <x:c r="AF4" s="29"/>
      <x:c r="AG4" s="28"/>
      <x:c r="AH4" s="28"/>
      <x:c r="AI4" s="29"/>
      <x:c r="AJ4" s="28"/>
      <x:c r="AK4" s="28"/>
      <x:c r="AL4" s="29"/>
      <x:c r="AM4" s="28"/>
      <x:c r="AN4" s="28"/>
      <x:c r="AO4" s="29"/>
      <x:c r="AP4" s="28"/>
      <x:c r="AQ4" s="28"/>
      <x:c r="AR4" s="29"/>
      <x:c r="AS4" s="28"/>
      <x:c r="AT4" s="28"/>
      <x:c r="AU4" s="29"/>
      <x:c r="AV4" s="28"/>
      <x:c r="AW4" s="28"/>
      <x:c r="AX4" s="29"/>
      <x:c r="AY4" s="28"/>
      <x:c r="AZ4" s="28"/>
      <x:c r="BA4" s="29"/>
      <x:c r="BB4" s="28"/>
      <x:c r="BC4" s="28"/>
      <x:c r="BD4" s="29"/>
      <x:c r="BE4" s="28"/>
      <x:c r="BF4" s="28"/>
      <x:c r="BG4" s="29"/>
      <x:c r="BH4" s="28"/>
      <x:c r="BI4" s="28"/>
      <x:c r="BJ4" s="29"/>
      <x:c r="BK4" s="28"/>
      <x:c r="BL4" s="28"/>
      <x:c r="BM4" s="29"/>
      <x:c r="BN4" s="28"/>
      <x:c r="BO4" s="28"/>
      <x:c r="BP4" s="29"/>
      <x:c r="BQ4" s="28"/>
      <x:c r="BR4" s="28"/>
      <x:c r="BS4" s="29"/>
      <x:c r="BT4" s="28"/>
      <x:c r="BU4" s="28"/>
      <x:c r="BV4" s="29"/>
      <x:c r="BW4" s="28"/>
      <x:c r="BX4" s="28"/>
      <x:c r="BY4" s="29"/>
      <x:c r="BZ4" s="28"/>
      <x:c r="CA4" s="28"/>
      <x:c r="CB4" s="29"/>
      <x:c r="CC4" s="28"/>
      <x:c r="CD4" s="28"/>
      <x:c r="CE4" s="29"/>
      <x:c r="CF4" s="28"/>
      <x:c r="CG4" s="28"/>
      <x:c r="CH4" s="29"/>
      <x:c r="CI4" s="28"/>
      <x:c r="CJ4" s="28"/>
      <x:c r="CK4" s="29"/>
      <x:c r="CL4" s="28"/>
      <x:c r="CM4" s="28"/>
      <x:c r="CN4" s="29"/>
      <x:c r="CO4" s="28"/>
      <x:c r="CP4" s="28"/>
      <x:c r="CQ4" s="29"/>
      <x:c r="CR4" s="28"/>
      <x:c r="CS4" s="28"/>
      <x:c r="CT4" s="29"/>
      <x:c r="CU4" s="28"/>
      <x:c r="CV4" s="28"/>
      <x:c r="CW4" s="29"/>
      <x:c r="CX4" s="28"/>
      <x:c r="CY4" s="28"/>
      <x:c r="CZ4" s="29"/>
      <x:c r="DA4" s="28"/>
      <x:c r="DB4" s="28"/>
      <x:c r="DC4" s="29"/>
      <x:c r="DD4" s="28"/>
      <x:c r="DE4" s="28"/>
      <x:c r="DF4" s="29"/>
      <x:c r="DG4" s="28"/>
      <x:c r="DH4" s="28"/>
      <x:c r="DI4" s="29"/>
      <x:c r="DJ4" s="28"/>
      <x:c r="DK4" s="28"/>
      <x:c r="DL4" s="29"/>
      <x:c r="DM4" s="28"/>
    </x:row>
    <x:row r="5" spans="1:126" x14ac:dyDescent="0.3">
      <x:c r="A5" s="80"/>
      <x:c r="B5" s="80"/>
      <x:c r="C5" s="28"/>
      <x:c r="D5" s="28"/>
      <x:c r="E5" s="28"/>
      <x:c r="F5" s="28"/>
      <x:c r="G5" s="28"/>
      <x:c r="H5" s="28"/>
      <x:c r="I5" s="28"/>
      <x:c r="J5" s="28"/>
      <x:c r="K5" s="28"/>
      <x:c r="L5" s="28"/>
      <x:c r="M5" s="28"/>
      <x:c r="N5" s="28"/>
      <x:c r="O5" s="28"/>
      <x:c r="P5" s="28"/>
      <x:c r="Q5" s="29"/>
      <x:c r="R5" s="28"/>
      <x:c r="S5" s="28"/>
      <x:c r="T5" s="29"/>
      <x:c r="U5" s="31">
        <x:f>(S7-$P$7)/$P$7</x:f>
      </x:c>
      <x:c r="V5" s="28"/>
      <x:c r="W5" s="29"/>
      <x:c r="X5" s="31">
        <x:f>(V7-$P$7)/$P$7</x:f>
      </x:c>
      <x:c r="Y5" s="28"/>
      <x:c r="Z5" s="29"/>
      <x:c r="AA5" s="31">
        <x:f>(Y7-$P$7)/$P$7</x:f>
      </x:c>
      <x:c r="AB5" s="28"/>
      <x:c r="AC5" s="29"/>
      <x:c r="AD5" s="31">
        <x:f>(AB7-$P$7)/$P$7</x:f>
      </x:c>
      <x:c r="AE5" s="28"/>
      <x:c r="AF5" s="29"/>
      <x:c r="AG5" s="31">
        <x:f>(AE7-$P$7)/$P$7</x:f>
      </x:c>
      <x:c r="AH5" s="28"/>
      <x:c r="AI5" s="29"/>
      <x:c r="AJ5" s="31">
        <x:f>(AH7-$P$7)/$P$7</x:f>
      </x:c>
      <x:c r="AK5" s="28"/>
      <x:c r="AL5" s="29"/>
      <x:c r="AM5" s="31">
        <x:f>(AK7-$P$7)/$P$7</x:f>
      </x:c>
      <x:c r="AN5" s="28"/>
      <x:c r="AO5" s="29"/>
      <x:c r="AP5" s="31">
        <x:f>(AN7-$P$7)/$P$7</x:f>
      </x:c>
      <x:c r="AQ5" s="28"/>
      <x:c r="AR5" s="29"/>
      <x:c r="AS5" s="31">
        <x:f>(AQ7-$P$7)/$P$7</x:f>
      </x:c>
      <x:c r="AT5" s="28"/>
      <x:c r="AU5" s="29"/>
      <x:c r="AV5" s="31">
        <x:f>(AT7-$P$7)/$P$7</x:f>
      </x:c>
      <x:c r="AW5" s="28"/>
      <x:c r="AX5" s="29"/>
      <x:c r="AY5" s="31">
        <x:f>(AW7-$P$7)/$P$7</x:f>
      </x:c>
      <x:c r="AZ5" s="28"/>
      <x:c r="BA5" s="29"/>
      <x:c r="BB5" s="31">
        <x:f>(AZ7-$P$7)/$P$7</x:f>
      </x:c>
      <x:c r="BC5" s="28"/>
      <x:c r="BD5" s="29"/>
      <x:c r="BE5" s="31">
        <x:f>(BC7-$P$7)/$P$7</x:f>
      </x:c>
      <x:c r="BF5" s="28"/>
      <x:c r="BG5" s="29"/>
      <x:c r="BH5" s="31">
        <x:f>(BF7-$P$7)/$P$7</x:f>
      </x:c>
      <x:c r="BI5" s="28"/>
      <x:c r="BJ5" s="29"/>
      <x:c r="BK5" s="31">
        <x:f>(BI7-$P$7)/$P$7</x:f>
      </x:c>
      <x:c r="BL5" s="28"/>
      <x:c r="BM5" s="29"/>
      <x:c r="BN5" s="31">
        <x:f>(BL7-$P$7)/$P$7</x:f>
      </x:c>
      <x:c r="BO5" s="28"/>
      <x:c r="BP5" s="29"/>
      <x:c r="BQ5" s="31">
        <x:f>(BO7-$P$7)/$P$7</x:f>
      </x:c>
      <x:c r="BR5" s="28"/>
      <x:c r="BS5" s="29"/>
      <x:c r="BT5" s="31">
        <x:f>(BR7-$P$7)/$P$7</x:f>
      </x:c>
      <x:c r="BU5" s="28"/>
      <x:c r="BV5" s="29"/>
      <x:c r="BW5" s="31">
        <x:f>(BU7-$P$7)/$P$7</x:f>
      </x:c>
      <x:c r="BX5" s="28"/>
      <x:c r="BY5" s="29"/>
      <x:c r="BZ5" s="31">
        <x:f>(BX7-$P$7)/$P$7</x:f>
      </x:c>
      <x:c r="CA5" s="28"/>
      <x:c r="CB5" s="29"/>
      <x:c r="CC5" s="31">
        <x:f>(CA7-$P$7)/$P$7</x:f>
      </x:c>
      <x:c r="CD5" s="28"/>
      <x:c r="CE5" s="29"/>
      <x:c r="CF5" s="31">
        <x:f>(CD7-$P$7)/$P$7</x:f>
      </x:c>
      <x:c r="CG5" s="28"/>
      <x:c r="CH5" s="29"/>
      <x:c r="CI5" s="31">
        <x:f>(CG7-$P$7)/$P$7</x:f>
      </x:c>
      <x:c r="CJ5" s="28"/>
      <x:c r="CK5" s="29"/>
      <x:c r="CL5" s="31">
        <x:f>(CJ7-$P$7)/$P$7</x:f>
      </x:c>
      <x:c r="CM5" s="28"/>
      <x:c r="CN5" s="29"/>
      <x:c r="CO5" s="31">
        <x:f>(CM7-$P$7)/$P$7</x:f>
      </x:c>
      <x:c r="CP5" s="28"/>
      <x:c r="CQ5" s="29"/>
      <x:c r="CR5" s="31">
        <x:f>(CP7-$P$7)/$P$7</x:f>
      </x:c>
      <x:c r="CS5" s="28"/>
      <x:c r="CT5" s="29"/>
      <x:c r="CU5" s="31">
        <x:f>(CS7-$P$7)/$P$7</x:f>
      </x:c>
      <x:c r="CV5" s="28"/>
      <x:c r="CW5" s="29"/>
      <x:c r="CX5" s="31">
        <x:f>(CV7-$P$7)/$P$7</x:f>
      </x:c>
      <x:c r="CY5" s="28"/>
      <x:c r="CZ5" s="29"/>
      <x:c r="DA5" s="31">
        <x:f>(CY7-$P$7)/$P$7</x:f>
      </x:c>
      <x:c r="DB5" s="28"/>
      <x:c r="DC5" s="29"/>
      <x:c r="DD5" s="31">
        <x:f>(DB7-$P$7)/$P$7</x:f>
      </x:c>
      <x:c r="DE5" s="28"/>
      <x:c r="DF5" s="29"/>
      <x:c r="DG5" s="31">
        <x:f>(DE7-$P$7)/$P$7</x:f>
      </x:c>
      <x:c r="DH5" s="28"/>
      <x:c r="DI5" s="29"/>
      <x:c r="DJ5" s="31">
        <x:f>(DH7-$P$7)/$P$7</x:f>
      </x:c>
      <x:c r="DK5" s="28"/>
      <x:c r="DL5" s="29"/>
      <x:c r="DM5" s="31">
        <x:f>(DK7-$P$7)/$P$7</x:f>
      </x:c>
      <x:c r="DP5" s="32">
        <x:f>(DN7-$P$7)/$P$7</x:f>
      </x:c>
      <x:c r="DS5" s="32">
        <x:f>(DQ7-$P$7)/$P$7</x:f>
      </x:c>
      <x:c r="DV5" s="32">
        <x:f>(DT7-$P$7)/$P$7</x:f>
      </x:c>
    </x:row>
    <x:row r="6" spans="1:126" x14ac:dyDescent="0.3">
      <x:c r="A6" s="80"/>
      <x:c r="B6" s="80"/>
      <x:c r="C6" s="28"/>
      <x:c r="D6" s="28"/>
      <x:c r="E6" s="28"/>
      <x:c r="F6" s="28"/>
      <x:c r="G6" s="28"/>
      <x:c r="H6" s="28"/>
      <x:c r="I6" s="28"/>
      <x:c r="J6" s="28"/>
      <x:c r="K6" s="28"/>
      <x:c r="L6" s="28"/>
      <x:c r="M6" s="28"/>
      <x:c r="N6" s="28"/>
      <x:c r="O6" s="28"/>
      <x:c r="P6" s="28"/>
      <x:c r="Q6" s="29"/>
      <x:c r="R6" s="33"/>
      <x:c r="S6" s="28"/>
      <x:c r="T6" s="29"/>
      <x:c r="U6" s="33">
        <x:f>(S7-$P$7)</x:f>
      </x:c>
      <x:c r="V6" s="28"/>
      <x:c r="W6" s="29"/>
      <x:c r="X6" s="33">
        <x:f>(V7-$P$7)</x:f>
      </x:c>
      <x:c r="Y6" s="28"/>
      <x:c r="Z6" s="29"/>
      <x:c r="AA6" s="33">
        <x:f>(Y7-$P$7)</x:f>
      </x:c>
      <x:c r="AB6" s="28"/>
      <x:c r="AC6" s="29"/>
      <x:c r="AD6" s="33">
        <x:f>(AB7-$P$7)</x:f>
      </x:c>
      <x:c r="AE6" s="28"/>
      <x:c r="AF6" s="29"/>
      <x:c r="AG6" s="33">
        <x:f>(AE7-$P$7)</x:f>
      </x:c>
      <x:c r="AH6" s="28"/>
      <x:c r="AI6" s="29"/>
      <x:c r="AJ6" s="33">
        <x:f>(AH7-$P$7)</x:f>
      </x:c>
      <x:c r="AK6" s="28"/>
      <x:c r="AL6" s="29"/>
      <x:c r="AM6" s="33">
        <x:f>(AK7-$P$7)</x:f>
      </x:c>
      <x:c r="AN6" s="28"/>
      <x:c r="AO6" s="29"/>
      <x:c r="AP6" s="33">
        <x:f>(AN7-$P$7)</x:f>
      </x:c>
      <x:c r="AQ6" s="28"/>
      <x:c r="AR6" s="29"/>
      <x:c r="AS6" s="33">
        <x:f>(AQ7-$P$7)</x:f>
      </x:c>
      <x:c r="AT6" s="28"/>
      <x:c r="AU6" s="29"/>
      <x:c r="AV6" s="33">
        <x:f>(AT7-$P$7)</x:f>
      </x:c>
      <x:c r="AW6" s="28"/>
      <x:c r="AX6" s="29"/>
      <x:c r="AY6" s="33">
        <x:f>(AW7-$P$7)</x:f>
      </x:c>
      <x:c r="AZ6" s="28"/>
      <x:c r="BA6" s="29"/>
      <x:c r="BB6" s="33">
        <x:f>(AZ7-$P$7)</x:f>
      </x:c>
      <x:c r="BC6" s="28"/>
      <x:c r="BD6" s="29"/>
      <x:c r="BE6" s="33">
        <x:f>(BC7-$P$7)</x:f>
      </x:c>
      <x:c r="BF6" s="28"/>
      <x:c r="BG6" s="29"/>
      <x:c r="BH6" s="33">
        <x:f>(BF7-$P$7)</x:f>
      </x:c>
      <x:c r="BI6" s="28"/>
      <x:c r="BJ6" s="29"/>
      <x:c r="BK6" s="33">
        <x:f>(BI7-$P$7)</x:f>
      </x:c>
      <x:c r="BL6" s="28"/>
      <x:c r="BM6" s="29"/>
      <x:c r="BN6" s="33">
        <x:f>(BL7-$P$7)</x:f>
      </x:c>
      <x:c r="BO6" s="28"/>
      <x:c r="BP6" s="29"/>
      <x:c r="BQ6" s="33">
        <x:f>(BO7-$P$7)</x:f>
      </x:c>
      <x:c r="BR6" s="28"/>
      <x:c r="BS6" s="29"/>
      <x:c r="BT6" s="33">
        <x:f>(BR7-$P$7)</x:f>
      </x:c>
      <x:c r="BU6" s="28"/>
      <x:c r="BV6" s="29"/>
      <x:c r="BW6" s="33">
        <x:f>(BU7-$P$7)</x:f>
      </x:c>
      <x:c r="BX6" s="28"/>
      <x:c r="BY6" s="29"/>
      <x:c r="BZ6" s="33">
        <x:f>(BX7-$P$7)</x:f>
      </x:c>
      <x:c r="CA6" s="28"/>
      <x:c r="CB6" s="29"/>
      <x:c r="CC6" s="33">
        <x:f>(CA7-$P$7)</x:f>
      </x:c>
      <x:c r="CD6" s="28"/>
      <x:c r="CE6" s="29"/>
      <x:c r="CF6" s="33">
        <x:f>(CD7-$P$7)</x:f>
      </x:c>
      <x:c r="CG6" s="28"/>
      <x:c r="CH6" s="29"/>
      <x:c r="CI6" s="33">
        <x:f>(CG7-$P$7)</x:f>
      </x:c>
      <x:c r="CJ6" s="28"/>
      <x:c r="CK6" s="29"/>
      <x:c r="CL6" s="33">
        <x:f>(CJ7-$P$7)</x:f>
      </x:c>
      <x:c r="CM6" s="28"/>
      <x:c r="CN6" s="29"/>
      <x:c r="CO6" s="33">
        <x:f>(CM7-$P$7)</x:f>
      </x:c>
      <x:c r="CP6" s="28"/>
      <x:c r="CQ6" s="29"/>
      <x:c r="CR6" s="33">
        <x:f>(CP7-$P$7)</x:f>
      </x:c>
      <x:c r="CS6" s="28"/>
      <x:c r="CT6" s="29"/>
      <x:c r="CU6" s="33">
        <x:f>(CS7-$P$7)</x:f>
      </x:c>
      <x:c r="CV6" s="28"/>
      <x:c r="CW6" s="29"/>
      <x:c r="CX6" s="33">
        <x:f>(CV7-$P$7)</x:f>
      </x:c>
      <x:c r="CY6" s="28"/>
      <x:c r="CZ6" s="29"/>
      <x:c r="DA6" s="33">
        <x:f>(CY7-$P$7)</x:f>
      </x:c>
      <x:c r="DB6" s="28"/>
      <x:c r="DC6" s="29"/>
      <x:c r="DD6" s="33">
        <x:f>(DB7-$P$7)</x:f>
      </x:c>
      <x:c r="DE6" s="28"/>
      <x:c r="DF6" s="29"/>
      <x:c r="DG6" s="33">
        <x:f>(DE7-$P$7)</x:f>
      </x:c>
      <x:c r="DH6" s="28"/>
      <x:c r="DI6" s="29"/>
      <x:c r="DJ6" s="33">
        <x:f>(DH7-$P$7)</x:f>
      </x:c>
      <x:c r="DK6" s="28"/>
      <x:c r="DL6" s="29"/>
      <x:c r="DM6" s="33">
        <x:f>(DK7-$P$7)</x:f>
      </x:c>
      <x:c r="DP6" s="34">
        <x:f>(DN7-$P$7)</x:f>
      </x:c>
      <x:c r="DS6" s="34">
        <x:f>(DQ7-$P$7)</x:f>
      </x:c>
      <x:c r="DV6" s="34">
        <x:f>(DT7-$P$7)</x:f>
      </x:c>
    </x:row>
    <x:row r="7" spans="1:126" x14ac:dyDescent="0.3">
      <x:c r="A7" s="28"/>
      <x:c r="B7" s="28"/>
      <x:c r="C7" s="28"/>
      <x:c r="D7" s="28"/>
      <x:c r="E7" s="28"/>
      <x:c r="F7" s="28"/>
      <x:c r="G7" s="28"/>
      <x:c r="H7" s="28"/>
      <x:c r="I7" s="28"/>
      <x:c r="J7" s="28"/>
      <x:c r="K7" s="28"/>
      <x:c r="L7" s="28"/>
      <x:c r="M7" s="28"/>
      <x:c r="N7" s="28"/>
      <x:c r="O7" s="35">
        <x:f>SUM(O10:O1211)</x:f>
      </x:c>
      <x:c r="P7" s="131">
        <x:f>SUM(R10:R1000)</x:f>
      </x:c>
      <x:c r="Q7" s="131"/>
      <x:c r="R7" s="131"/>
      <x:c r="S7" s="131">
        <x:f>SUM(U10:U1000)</x:f>
      </x:c>
      <x:c r="T7" s="131"/>
      <x:c r="U7" s="131"/>
      <x:c r="V7" s="131">
        <x:f>SUM(X10:X1000)</x:f>
      </x:c>
      <x:c r="W7" s="131"/>
      <x:c r="X7" s="131"/>
      <x:c r="Y7" s="131">
        <x:f>SUM(AA10:AA1000)</x:f>
      </x:c>
      <x:c r="Z7" s="131"/>
      <x:c r="AA7" s="131"/>
      <x:c r="AB7" s="131">
        <x:f>SUM(AD10:AD1000)</x:f>
      </x:c>
      <x:c r="AC7" s="131"/>
      <x:c r="AD7" s="131"/>
      <x:c r="AE7" s="131">
        <x:f>SUM(AG10:AG1000)</x:f>
      </x:c>
      <x:c r="AF7" s="131"/>
      <x:c r="AG7" s="131"/>
      <x:c r="AH7" s="131">
        <x:f>SUM(AJ10:AJ1000)</x:f>
      </x:c>
      <x:c r="AI7" s="131"/>
      <x:c r="AJ7" s="131"/>
      <x:c r="AK7" s="131">
        <x:f>SUM(AM10:AM1000)</x:f>
      </x:c>
      <x:c r="AL7" s="131"/>
      <x:c r="AM7" s="131"/>
      <x:c r="AN7" s="131">
        <x:f>SUM(AP10:AP1000)</x:f>
      </x:c>
      <x:c r="AO7" s="131"/>
      <x:c r="AP7" s="131"/>
      <x:c r="AQ7" s="131">
        <x:f>SUM(AS10:AS1000)</x:f>
      </x:c>
      <x:c r="AR7" s="131"/>
      <x:c r="AS7" s="131"/>
      <x:c r="AT7" s="131">
        <x:f>SUM(AV10:AV1000)</x:f>
      </x:c>
      <x:c r="AU7" s="131"/>
      <x:c r="AV7" s="131"/>
      <x:c r="AW7" s="131">
        <x:f>SUM(AY10:AY1000)</x:f>
      </x:c>
      <x:c r="AX7" s="131"/>
      <x:c r="AY7" s="131"/>
      <x:c r="AZ7" s="131">
        <x:f>SUM(BB10:BB1000)</x:f>
      </x:c>
      <x:c r="BA7" s="131"/>
      <x:c r="BB7" s="131"/>
      <x:c r="BC7" s="131">
        <x:f>SUM(BE10:BE1000)</x:f>
      </x:c>
      <x:c r="BD7" s="131"/>
      <x:c r="BE7" s="131"/>
      <x:c r="BF7" s="131">
        <x:f>SUM(BH10:BH1000)</x:f>
      </x:c>
      <x:c r="BG7" s="131"/>
      <x:c r="BH7" s="131"/>
      <x:c r="BI7" s="131">
        <x:f>SUM(BK10:BK1000)</x:f>
      </x:c>
      <x:c r="BJ7" s="131"/>
      <x:c r="BK7" s="131"/>
      <x:c r="BL7" s="131">
        <x:f>SUM(BN10:BN1000)</x:f>
      </x:c>
      <x:c r="BM7" s="131"/>
      <x:c r="BN7" s="131"/>
      <x:c r="BO7" s="131">
        <x:f>SUM(BQ10:BQ1000)</x:f>
      </x:c>
      <x:c r="BP7" s="131"/>
      <x:c r="BQ7" s="131"/>
      <x:c r="BR7" s="131">
        <x:f>SUM(BT10:BT1000)</x:f>
      </x:c>
      <x:c r="BS7" s="131"/>
      <x:c r="BT7" s="131"/>
      <x:c r="BU7" s="131">
        <x:f>SUM(BW10:BW1000)</x:f>
      </x:c>
      <x:c r="BV7" s="131"/>
      <x:c r="BW7" s="131"/>
      <x:c r="BX7" s="131">
        <x:f>SUM(BZ10:BZ1000)</x:f>
      </x:c>
      <x:c r="BY7" s="131"/>
      <x:c r="BZ7" s="131"/>
      <x:c r="CA7" s="131">
        <x:f>SUM(CC10:CC1000)</x:f>
      </x:c>
      <x:c r="CB7" s="131"/>
      <x:c r="CC7" s="131"/>
      <x:c r="CD7" s="131">
        <x:f>SUM(CF10:CF1000)</x:f>
      </x:c>
      <x:c r="CE7" s="131"/>
      <x:c r="CF7" s="131"/>
      <x:c r="CG7" s="131">
        <x:f>SUM(CI10:CI1000)</x:f>
      </x:c>
      <x:c r="CH7" s="131"/>
      <x:c r="CI7" s="131"/>
      <x:c r="CJ7" s="131">
        <x:f>SUM(CL10:CL1000)</x:f>
      </x:c>
      <x:c r="CK7" s="131"/>
      <x:c r="CL7" s="131"/>
      <x:c r="CM7" s="131">
        <x:f>SUM(CO10:CO1000)</x:f>
      </x:c>
      <x:c r="CN7" s="131"/>
      <x:c r="CO7" s="131"/>
      <x:c r="CP7" s="131">
        <x:f>SUM(CR10:CR1000)</x:f>
      </x:c>
      <x:c r="CQ7" s="131"/>
      <x:c r="CR7" s="131"/>
      <x:c r="CS7" s="131">
        <x:f>SUM(CU10:CU1000)</x:f>
      </x:c>
      <x:c r="CT7" s="131"/>
      <x:c r="CU7" s="131"/>
      <x:c r="CV7" s="131">
        <x:f>SUM(CX10:CX1000)</x:f>
      </x:c>
      <x:c r="CW7" s="131"/>
      <x:c r="CX7" s="131"/>
      <x:c r="CY7" s="131">
        <x:f>SUM(DA10:DA1000)</x:f>
      </x:c>
      <x:c r="CZ7" s="131"/>
      <x:c r="DA7" s="131"/>
      <x:c r="DB7" s="131">
        <x:f>SUM(DD10:DD1000)</x:f>
      </x:c>
      <x:c r="DC7" s="131"/>
      <x:c r="DD7" s="131"/>
      <x:c r="DE7" s="131">
        <x:f>SUM(DG10:DG1000)</x:f>
      </x:c>
      <x:c r="DF7" s="131"/>
      <x:c r="DG7" s="131"/>
      <x:c r="DH7" s="131">
        <x:f>SUM(DJ10:DJ1000)</x:f>
      </x:c>
      <x:c r="DI7" s="131"/>
      <x:c r="DJ7" s="131"/>
      <x:c r="DK7" s="131">
        <x:f>SUM(DM10:DM1000)</x:f>
      </x:c>
      <x:c r="DL7" s="131"/>
      <x:c r="DM7" s="131"/>
      <x:c r="DN7" s="131">
        <x:f>SUM(DP10:DP1000)</x:f>
      </x:c>
      <x:c r="DO7" s="131"/>
      <x:c r="DP7" s="131"/>
      <x:c r="DQ7" s="131">
        <x:f>SUM(DS10:DS1000)</x:f>
      </x:c>
      <x:c r="DR7" s="131"/>
      <x:c r="DS7" s="131"/>
      <x:c r="DT7" s="131">
        <x:f>SUM(DV10:DV1000)</x:f>
      </x:c>
      <x:c r="DU7" s="131"/>
      <x:c r="DV7" s="131"/>
    </x:row>
    <x:row r="8" spans="1:126" ht="30" customHeight="1" s="38" customFormat="1" x14ac:dyDescent="0.25">
      <x:c r="A8" s="36"/>
      <x:c r="B8" s="138" t="s">
        <x:v>77</x:v>
      </x:c>
      <x:c r="C8" s="138"/>
      <x:c r="D8" s="138"/>
      <x:c r="E8" s="138"/>
      <x:c r="F8" s="138"/>
      <x:c r="G8" s="138"/>
      <x:c r="H8" s="138"/>
      <x:c r="I8" s="86"/>
      <x:c r="J8" s="86"/>
      <x:c r="K8" s="176" t="s">
        <x:v>78</x:v>
      </x:c>
      <x:c r="L8" s="177"/>
      <x:c r="M8" s="177"/>
      <x:c r="N8" s="177"/>
      <x:c r="O8" s="178" t="s">
        <x:v>79</x:v>
      </x:c>
      <x:c r="P8" s="178" t="s">
        <x:v>39</x:v>
      </x:c>
      <x:c r="Q8" s="179"/>
      <x:c r="R8" s="180"/>
      <x:c r="S8" s="86"/>
      <x:c r="T8" s="140"/>
      <x:c r="U8" s="141"/>
      <x:c r="V8" s="178"/>
      <x:c r="W8" s="179"/>
      <x:c r="X8" s="180"/>
      <x:c r="Y8" s="178"/>
      <x:c r="Z8" s="179"/>
      <x:c r="AA8" s="180"/>
      <x:c r="AB8" s="178"/>
      <x:c r="AC8" s="179"/>
      <x:c r="AD8" s="180"/>
      <x:c r="AE8" s="178"/>
      <x:c r="AF8" s="179"/>
      <x:c r="AG8" s="180"/>
      <x:c r="AH8" s="178"/>
      <x:c r="AI8" s="179"/>
      <x:c r="AJ8" s="180"/>
      <x:c r="AK8" s="178"/>
      <x:c r="AL8" s="179"/>
      <x:c r="AM8" s="180"/>
      <x:c r="AN8" s="178"/>
      <x:c r="AO8" s="179"/>
      <x:c r="AP8" s="180"/>
      <x:c r="AQ8" s="178"/>
      <x:c r="AR8" s="179"/>
      <x:c r="AS8" s="180"/>
      <x:c r="AT8" s="178"/>
      <x:c r="AU8" s="179"/>
      <x:c r="AV8" s="180"/>
      <x:c r="AW8" s="178"/>
      <x:c r="AX8" s="179"/>
      <x:c r="AY8" s="180"/>
      <x:c r="AZ8" s="178"/>
      <x:c r="BA8" s="179"/>
      <x:c r="BB8" s="180"/>
      <x:c r="BC8" s="178"/>
      <x:c r="BD8" s="179"/>
      <x:c r="BE8" s="180"/>
      <x:c r="BF8" s="178"/>
      <x:c r="BG8" s="179"/>
      <x:c r="BH8" s="180"/>
      <x:c r="BI8" s="178"/>
      <x:c r="BJ8" s="179"/>
      <x:c r="BK8" s="180"/>
      <x:c r="BL8" s="178"/>
      <x:c r="BM8" s="179"/>
      <x:c r="BN8" s="180"/>
      <x:c r="BO8" s="178"/>
      <x:c r="BP8" s="179"/>
      <x:c r="BQ8" s="180"/>
      <x:c r="BR8" s="178"/>
      <x:c r="BS8" s="179"/>
      <x:c r="BT8" s="180"/>
      <x:c r="BU8" s="178"/>
      <x:c r="BV8" s="179"/>
      <x:c r="BW8" s="180"/>
      <x:c r="BX8" s="178"/>
      <x:c r="BY8" s="179"/>
      <x:c r="BZ8" s="180"/>
      <x:c r="CA8" s="178"/>
      <x:c r="CB8" s="179"/>
      <x:c r="CC8" s="180"/>
      <x:c r="CD8" s="178"/>
      <x:c r="CE8" s="179"/>
      <x:c r="CF8" s="180"/>
      <x:c r="CG8" s="178"/>
      <x:c r="CH8" s="179"/>
      <x:c r="CI8" s="180"/>
      <x:c r="CJ8" s="178"/>
      <x:c r="CK8" s="179"/>
      <x:c r="CL8" s="180"/>
      <x:c r="CM8" s="178"/>
      <x:c r="CN8" s="179"/>
      <x:c r="CO8" s="180"/>
      <x:c r="CP8" s="178"/>
      <x:c r="CQ8" s="179"/>
      <x:c r="CR8" s="180"/>
      <x:c r="CS8" s="178"/>
      <x:c r="CT8" s="179"/>
      <x:c r="CU8" s="180"/>
      <x:c r="CV8" s="178"/>
      <x:c r="CW8" s="179"/>
      <x:c r="CX8" s="180"/>
      <x:c r="CY8" s="178"/>
      <x:c r="CZ8" s="179"/>
      <x:c r="DA8" s="180"/>
      <x:c r="DB8" s="178"/>
      <x:c r="DC8" s="179"/>
      <x:c r="DD8" s="180"/>
      <x:c r="DE8" s="178"/>
      <x:c r="DF8" s="179"/>
      <x:c r="DG8" s="180"/>
      <x:c r="DH8" s="178"/>
      <x:c r="DI8" s="179"/>
      <x:c r="DJ8" s="180"/>
      <x:c r="DK8" s="178"/>
      <x:c r="DL8" s="179"/>
      <x:c r="DM8" s="180"/>
      <x:c r="DN8" s="181"/>
      <x:c r="DO8" s="182"/>
      <x:c r="DP8" s="183"/>
      <x:c r="DQ8" s="181"/>
      <x:c r="DR8" s="182"/>
      <x:c r="DS8" s="183"/>
      <x:c r="DT8" s="181"/>
      <x:c r="DU8" s="182"/>
      <x:c r="DV8" s="183"/>
    </x:row>
    <x:row r="9" spans="1:126" ht="30" customHeight="1" s="38" customFormat="1" x14ac:dyDescent="0.25">
      <x:c r="A9" s="36" t="s">
        <x:v>80</x:v>
      </x:c>
      <x:c r="B9" s="36" t="s">
        <x:v>81</x:v>
      </x:c>
      <x:c r="C9" s="36" t="s">
        <x:v>82</x:v>
      </x:c>
      <x:c r="D9" s="138" t="s">
        <x:v>83</x:v>
      </x:c>
      <x:c r="E9" s="138"/>
      <x:c r="F9" s="138"/>
      <x:c r="G9" s="138"/>
      <x:c r="H9" s="138"/>
      <x:c r="I9" s="184" t="s">
        <x:v>84</x:v>
      </x:c>
      <x:c r="J9" s="184" t="s">
        <x:v>85</x:v>
      </x:c>
      <x:c r="K9" s="185" t="s">
        <x:v>86</x:v>
      </x:c>
      <x:c r="L9" s="186" t="s">
        <x:v>87</x:v>
      </x:c>
      <x:c r="M9" s="186" t="s">
        <x:v>88</x:v>
      </x:c>
      <x:c r="N9" s="186" t="s">
        <x:v>89</x:v>
      </x:c>
      <x:c r="O9" s="187" t="s">
        <x:v>90</x:v>
      </x:c>
      <x:c r="P9" s="187" t="s">
        <x:v>91</x:v>
      </x:c>
      <x:c r="Q9" s="188" t="s">
        <x:v>92</x:v>
      </x:c>
      <x:c r="R9" s="187" t="s">
        <x:v>93</x:v>
      </x:c>
      <x:c r="S9" s="187" t="s">
        <x:v>91</x:v>
      </x:c>
      <x:c r="T9" s="188" t="s">
        <x:v>92</x:v>
      </x:c>
      <x:c r="U9" s="36" t="s">
        <x:v>93</x:v>
      </x:c>
      <x:c r="V9" s="187" t="s">
        <x:v>91</x:v>
      </x:c>
      <x:c r="W9" s="188" t="s">
        <x:v>92</x:v>
      </x:c>
      <x:c r="X9" s="36" t="s">
        <x:v>93</x:v>
      </x:c>
      <x:c r="Y9" s="187" t="s">
        <x:v>91</x:v>
      </x:c>
      <x:c r="Z9" s="43" t="s">
        <x:v>92</x:v>
      </x:c>
      <x:c r="AA9" s="36" t="s">
        <x:v>93</x:v>
      </x:c>
      <x:c r="AB9" s="187" t="s">
        <x:v>91</x:v>
      </x:c>
      <x:c r="AC9" s="43" t="s">
        <x:v>92</x:v>
      </x:c>
      <x:c r="AD9" s="36" t="s">
        <x:v>93</x:v>
      </x:c>
      <x:c r="AE9" s="187" t="s">
        <x:v>91</x:v>
      </x:c>
      <x:c r="AF9" s="43" t="s">
        <x:v>92</x:v>
      </x:c>
      <x:c r="AG9" s="36" t="s">
        <x:v>93</x:v>
      </x:c>
      <x:c r="AH9" s="187" t="s">
        <x:v>91</x:v>
      </x:c>
      <x:c r="AI9" s="43" t="s">
        <x:v>92</x:v>
      </x:c>
      <x:c r="AJ9" s="36" t="s">
        <x:v>93</x:v>
      </x:c>
      <x:c r="AK9" s="187" t="s">
        <x:v>91</x:v>
      </x:c>
      <x:c r="AL9" s="43" t="s">
        <x:v>92</x:v>
      </x:c>
      <x:c r="AM9" s="36" t="s">
        <x:v>93</x:v>
      </x:c>
      <x:c r="AN9" s="187" t="s">
        <x:v>91</x:v>
      </x:c>
      <x:c r="AO9" s="43" t="s">
        <x:v>92</x:v>
      </x:c>
      <x:c r="AP9" s="36" t="s">
        <x:v>93</x:v>
      </x:c>
      <x:c r="AQ9" s="187" t="s">
        <x:v>91</x:v>
      </x:c>
      <x:c r="AR9" s="43" t="s">
        <x:v>92</x:v>
      </x:c>
      <x:c r="AS9" s="36" t="s">
        <x:v>93</x:v>
      </x:c>
      <x:c r="AT9" s="187" t="s">
        <x:v>91</x:v>
      </x:c>
      <x:c r="AU9" s="43" t="s">
        <x:v>92</x:v>
      </x:c>
      <x:c r="AV9" s="36" t="s">
        <x:v>93</x:v>
      </x:c>
      <x:c r="AW9" s="187" t="s">
        <x:v>91</x:v>
      </x:c>
      <x:c r="AX9" s="43" t="s">
        <x:v>92</x:v>
      </x:c>
      <x:c r="AY9" s="36" t="s">
        <x:v>93</x:v>
      </x:c>
      <x:c r="AZ9" s="187" t="s">
        <x:v>91</x:v>
      </x:c>
      <x:c r="BA9" s="43" t="s">
        <x:v>92</x:v>
      </x:c>
      <x:c r="BB9" s="36" t="s">
        <x:v>93</x:v>
      </x:c>
      <x:c r="BC9" s="187" t="s">
        <x:v>91</x:v>
      </x:c>
      <x:c r="BD9" s="43" t="s">
        <x:v>92</x:v>
      </x:c>
      <x:c r="BE9" s="36" t="s">
        <x:v>93</x:v>
      </x:c>
      <x:c r="BF9" s="187" t="s">
        <x:v>91</x:v>
      </x:c>
      <x:c r="BG9" s="43" t="s">
        <x:v>92</x:v>
      </x:c>
      <x:c r="BH9" s="36" t="s">
        <x:v>93</x:v>
      </x:c>
      <x:c r="BI9" s="187" t="s">
        <x:v>91</x:v>
      </x:c>
      <x:c r="BJ9" s="43" t="s">
        <x:v>92</x:v>
      </x:c>
      <x:c r="BK9" s="36" t="s">
        <x:v>93</x:v>
      </x:c>
      <x:c r="BL9" s="187" t="s">
        <x:v>91</x:v>
      </x:c>
      <x:c r="BM9" s="43" t="s">
        <x:v>92</x:v>
      </x:c>
      <x:c r="BN9" s="36" t="s">
        <x:v>93</x:v>
      </x:c>
      <x:c r="BO9" s="187" t="s">
        <x:v>91</x:v>
      </x:c>
      <x:c r="BP9" s="43" t="s">
        <x:v>92</x:v>
      </x:c>
      <x:c r="BQ9" s="36" t="s">
        <x:v>93</x:v>
      </x:c>
      <x:c r="BR9" s="187" t="s">
        <x:v>91</x:v>
      </x:c>
      <x:c r="BS9" s="43" t="s">
        <x:v>92</x:v>
      </x:c>
      <x:c r="BT9" s="36" t="s">
        <x:v>93</x:v>
      </x:c>
      <x:c r="BU9" s="187" t="s">
        <x:v>91</x:v>
      </x:c>
      <x:c r="BV9" s="43" t="s">
        <x:v>92</x:v>
      </x:c>
      <x:c r="BW9" s="36" t="s">
        <x:v>93</x:v>
      </x:c>
      <x:c r="BX9" s="187" t="s">
        <x:v>91</x:v>
      </x:c>
      <x:c r="BY9" s="43" t="s">
        <x:v>92</x:v>
      </x:c>
      <x:c r="BZ9" s="36" t="s">
        <x:v>93</x:v>
      </x:c>
      <x:c r="CA9" s="187" t="s">
        <x:v>91</x:v>
      </x:c>
      <x:c r="CB9" s="43" t="s">
        <x:v>92</x:v>
      </x:c>
      <x:c r="CC9" s="36" t="s">
        <x:v>93</x:v>
      </x:c>
      <x:c r="CD9" s="187" t="s">
        <x:v>91</x:v>
      </x:c>
      <x:c r="CE9" s="43" t="s">
        <x:v>92</x:v>
      </x:c>
      <x:c r="CF9" s="36" t="s">
        <x:v>93</x:v>
      </x:c>
      <x:c r="CG9" s="187" t="s">
        <x:v>91</x:v>
      </x:c>
      <x:c r="CH9" s="43" t="s">
        <x:v>92</x:v>
      </x:c>
      <x:c r="CI9" s="36" t="s">
        <x:v>93</x:v>
      </x:c>
      <x:c r="CJ9" s="187" t="s">
        <x:v>91</x:v>
      </x:c>
      <x:c r="CK9" s="43" t="s">
        <x:v>92</x:v>
      </x:c>
      <x:c r="CL9" s="36" t="s">
        <x:v>93</x:v>
      </x:c>
      <x:c r="CM9" s="187" t="s">
        <x:v>91</x:v>
      </x:c>
      <x:c r="CN9" s="43" t="s">
        <x:v>92</x:v>
      </x:c>
      <x:c r="CO9" s="36" t="s">
        <x:v>93</x:v>
      </x:c>
      <x:c r="CP9" s="187" t="s">
        <x:v>91</x:v>
      </x:c>
      <x:c r="CQ9" s="43" t="s">
        <x:v>92</x:v>
      </x:c>
      <x:c r="CR9" s="36" t="s">
        <x:v>93</x:v>
      </x:c>
      <x:c r="CS9" s="187" t="s">
        <x:v>91</x:v>
      </x:c>
      <x:c r="CT9" s="43" t="s">
        <x:v>92</x:v>
      </x:c>
      <x:c r="CU9" s="36" t="s">
        <x:v>93</x:v>
      </x:c>
      <x:c r="CV9" s="187" t="s">
        <x:v>91</x:v>
      </x:c>
      <x:c r="CW9" s="43" t="s">
        <x:v>92</x:v>
      </x:c>
      <x:c r="CX9" s="36" t="s">
        <x:v>93</x:v>
      </x:c>
      <x:c r="CY9" s="187" t="s">
        <x:v>91</x:v>
      </x:c>
      <x:c r="CZ9" s="43" t="s">
        <x:v>92</x:v>
      </x:c>
      <x:c r="DA9" s="36" t="s">
        <x:v>93</x:v>
      </x:c>
      <x:c r="DB9" s="187" t="s">
        <x:v>91</x:v>
      </x:c>
      <x:c r="DC9" s="43" t="s">
        <x:v>92</x:v>
      </x:c>
      <x:c r="DD9" s="36" t="s">
        <x:v>93</x:v>
      </x:c>
      <x:c r="DE9" s="187" t="s">
        <x:v>91</x:v>
      </x:c>
      <x:c r="DF9" s="43" t="s">
        <x:v>92</x:v>
      </x:c>
      <x:c r="DG9" s="36" t="s">
        <x:v>93</x:v>
      </x:c>
      <x:c r="DH9" s="187" t="s">
        <x:v>91</x:v>
      </x:c>
      <x:c r="DI9" s="43" t="s">
        <x:v>92</x:v>
      </x:c>
      <x:c r="DJ9" s="36" t="s">
        <x:v>93</x:v>
      </x:c>
      <x:c r="DK9" s="187" t="s">
        <x:v>91</x:v>
      </x:c>
      <x:c r="DL9" s="43" t="s">
        <x:v>92</x:v>
      </x:c>
      <x:c r="DM9" s="36" t="s">
        <x:v>93</x:v>
      </x:c>
      <x:c r="DN9" s="189" t="s">
        <x:v>91</x:v>
      </x:c>
      <x:c r="DO9" s="45" t="s">
        <x:v>92</x:v>
      </x:c>
      <x:c r="DP9" s="46" t="s">
        <x:v>93</x:v>
      </x:c>
      <x:c r="DQ9" s="189" t="s">
        <x:v>91</x:v>
      </x:c>
      <x:c r="DR9" s="45" t="s">
        <x:v>92</x:v>
      </x:c>
      <x:c r="DS9" s="46" t="s">
        <x:v>93</x:v>
      </x:c>
      <x:c r="DT9" s="189" t="s">
        <x:v>91</x:v>
      </x:c>
      <x:c r="DU9" s="45" t="s">
        <x:v>92</x:v>
      </x:c>
      <x:c r="DV9" s="46" t="s">
        <x:v>93</x:v>
      </x:c>
    </x:row>
    <x:row r="10" spans="1:126" x14ac:dyDescent="0.3">
      <x:c r="A10" s="47"/>
      <x:c r="B10" s="48" t="s">
        <x:v>153</x:v>
      </x:c>
      <x:c r="C10" s="49" t="s">
        <x:v>154</x:v>
      </x:c>
      <x:c r="D10" s="48" t="s">
        <x:v>155</x:v>
      </x:c>
      <x:c r="E10" s="49" t="s">
        <x:v>154</x:v>
      </x:c>
      <x:c r="F10" s="48" t="s">
        <x:v>156</x:v>
      </x:c>
      <x:c r="G10" s="11" t="s">
        <x:v>157</x:v>
      </x:c>
      <x:c r="H10" s="48" t="s">
        <x:v>154</x:v>
      </x:c>
      <x:c r="I10" s="48" t="s">
        <x:v>158</x:v>
      </x:c>
      <x:c r="J10" s="48" t="s">
        <x:v>114</x:v>
      </x:c>
      <x:c r="K10" s="190" t="s">
        <x:v>159</x:v>
      </x:c>
      <x:c r="L10" s="191" t="s">
        <x:v>160</x:v>
      </x:c>
      <x:c r="M10" s="192">
        <x:f>IF(ISERROR(INDEX('Meter Type Data'!$B$2:$E$1165,SUMPRODUCT(--('Meter Type Data'!$B$2:$B$1165&lt;=Analysis!L10)*('Meter Type Data'!$C$2:$C$1165&gt;=Analysis!L10),ROW('Meter Type Data'!$B$2:$B$1165))-1,4))," ",INDEX('Meter Type Data'!$B$2:$E$1165,SUMPRODUCT(--('Meter Type Data'!$B$2:$B$1165&lt;=Analysis!L10)*('Meter Type Data'!$C$2:$C$1165&gt;=Analysis!L10),ROW('Meter Type Data'!$B$2:$B$1165))-1,4))</x:f>
      </x:c>
      <x:c r="N10" s="192">
        <x:v>0</x:v>
      </x:c>
      <x:c r="O10" s="193">
        <x:v>6.062</x:v>
      </x:c>
      <x:c r="P10" s="56">
        <x:v>0</x:v>
      </x:c>
      <x:c r="Q10" s="57"/>
      <x:c r="R10" s="58">
        <x:f>(($O10*P10)/100)+(Q10*12)</x:f>
      </x:c>
      <x:c r="S10" s="59"/>
      <x:c r="T10" s="59"/>
      <x:c r="U10" s="58">
        <x:f>(($O10*S10)/100)+(T10*12)</x:f>
      </x:c>
      <x:c r="V10" s="59"/>
      <x:c r="W10" s="59"/>
      <x:c r="X10" s="58">
        <x:f>(($O10*V10)/100)+(W10*12)</x:f>
      </x:c>
      <x:c r="Y10" s="59"/>
      <x:c r="Z10" s="59"/>
      <x:c r="AA10" s="58">
        <x:f>(($O10*Y10)/100)+(Z10*12)</x:f>
      </x:c>
      <x:c r="AB10" s="59"/>
      <x:c r="AC10" s="59"/>
      <x:c r="AD10" s="58">
        <x:f>(($O10*AB10)/100)+(AC10*12)</x:f>
      </x:c>
      <x:c r="AE10" s="47"/>
      <x:c r="AF10" s="60"/>
      <x:c r="AG10" s="58">
        <x:f>(($O10*AE10)/100)+(AF10*12)</x:f>
      </x:c>
      <x:c r="AH10" s="47"/>
      <x:c r="AI10" s="60"/>
      <x:c r="AJ10" s="58">
        <x:f>(($O10*AH10)/100)+(AI10*12)</x:f>
      </x:c>
      <x:c r="AK10" s="47"/>
      <x:c r="AL10" s="60"/>
      <x:c r="AM10" s="58">
        <x:f>(($O10*AK10)/100)+(AL10*12)</x:f>
      </x:c>
      <x:c r="AN10" s="47"/>
      <x:c r="AO10" s="60"/>
      <x:c r="AP10" s="58">
        <x:f>(($O10*AN10)/100)+(AO10*12)</x:f>
      </x:c>
      <x:c r="AQ10" s="47"/>
      <x:c r="AR10" s="60"/>
      <x:c r="AS10" s="58">
        <x:f>(($O10*AQ10)/100)+(AR10*12)</x:f>
      </x:c>
      <x:c r="AT10" s="47"/>
      <x:c r="AU10" s="60"/>
      <x:c r="AV10" s="58">
        <x:f>(($O10*AT10)/100)+(AU10*12)</x:f>
      </x:c>
      <x:c r="AW10" s="47"/>
      <x:c r="AX10" s="60"/>
      <x:c r="AY10" s="58">
        <x:f>(($O10*AW10)/100)+(AX10*12)</x:f>
      </x:c>
      <x:c r="AZ10" s="47"/>
      <x:c r="BA10" s="60"/>
      <x:c r="BB10" s="58">
        <x:f>(($O10*AZ10)/100)+(BA10*12)</x:f>
      </x:c>
      <x:c r="BC10" s="47"/>
      <x:c r="BD10" s="60"/>
      <x:c r="BE10" s="58">
        <x:f>(($O10*BC10)/100)+(BD10*12)</x:f>
      </x:c>
      <x:c r="BF10" s="47"/>
      <x:c r="BG10" s="60"/>
      <x:c r="BH10" s="58">
        <x:f>(($O10*BF10)/100)+(BG10*12)</x:f>
      </x:c>
      <x:c r="BI10" s="47"/>
      <x:c r="BJ10" s="60"/>
      <x:c r="BK10" s="58">
        <x:f>(($O10*BI10)/100)+(BJ10*12)</x:f>
      </x:c>
      <x:c r="BL10" s="47"/>
      <x:c r="BM10" s="60"/>
      <x:c r="BN10" s="58">
        <x:f>(($O10*BL10)/100)+(BM10*12)</x:f>
      </x:c>
      <x:c r="BO10" s="47"/>
      <x:c r="BP10" s="60"/>
      <x:c r="BQ10" s="58">
        <x:f>(($O10*BO10)/100)+(BP10*12)</x:f>
      </x:c>
      <x:c r="BR10" s="47"/>
      <x:c r="BS10" s="60"/>
      <x:c r="BT10" s="58">
        <x:f>(($O10*BR10)/100)+(BS10*12)</x:f>
      </x:c>
      <x:c r="BU10" s="47"/>
      <x:c r="BV10" s="60"/>
      <x:c r="BW10" s="58">
        <x:f>(($O10*BU10)/100)+(BV10*12)</x:f>
      </x:c>
      <x:c r="BX10" s="47"/>
      <x:c r="BY10" s="60"/>
      <x:c r="BZ10" s="58">
        <x:f>(($O10*BX10)/100)+(BY10*12)</x:f>
      </x:c>
      <x:c r="CA10" s="47"/>
      <x:c r="CB10" s="60"/>
      <x:c r="CC10" s="58">
        <x:f>(($O10*CA10)/100)+(CB10*12)</x:f>
      </x:c>
      <x:c r="CD10" s="47"/>
      <x:c r="CE10" s="60"/>
      <x:c r="CF10" s="58">
        <x:f>(($O10*CD10)/100)+(CE10*12)</x:f>
      </x:c>
      <x:c r="CG10" s="47"/>
      <x:c r="CH10" s="60"/>
      <x:c r="CI10" s="58">
        <x:f>(($O10*CG10)/100)+(CH10*12)</x:f>
      </x:c>
      <x:c r="CJ10" s="47"/>
      <x:c r="CK10" s="60"/>
      <x:c r="CL10" s="58">
        <x:f>(($O10*CJ10)/100)+(CK10*12)</x:f>
      </x:c>
      <x:c r="CM10" s="47"/>
      <x:c r="CN10" s="60"/>
      <x:c r="CO10" s="58">
        <x:f>(($O10*CM10)/100)+(CN10*12)</x:f>
      </x:c>
      <x:c r="CP10" s="47"/>
      <x:c r="CQ10" s="60"/>
      <x:c r="CR10" s="58">
        <x:f>(($O10*CP10)/100)+(CQ10*12)</x:f>
      </x:c>
      <x:c r="CS10" s="47"/>
      <x:c r="CT10" s="60"/>
      <x:c r="CU10" s="58">
        <x:f>(($O10*CS10)/100)+(CT10*12)</x:f>
      </x:c>
      <x:c r="CV10" s="47"/>
      <x:c r="CW10" s="60"/>
      <x:c r="CX10" s="58">
        <x:f>(($O10*CV10)/100)+(CW10*12)</x:f>
      </x:c>
      <x:c r="CY10" s="47"/>
      <x:c r="CZ10" s="60"/>
      <x:c r="DA10" s="58">
        <x:f>(($O10*CY10)/100)+(CZ10*12)</x:f>
      </x:c>
      <x:c r="DB10" s="47"/>
      <x:c r="DC10" s="60"/>
      <x:c r="DD10" s="58">
        <x:f>(($O10*DB10)/100)+(DC10*12)</x:f>
      </x:c>
      <x:c r="DE10" s="47"/>
      <x:c r="DF10" s="60"/>
      <x:c r="DG10" s="58">
        <x:f>(($O10*DE10)/100)+(DF10*12)</x:f>
      </x:c>
      <x:c r="DH10" s="47"/>
      <x:c r="DI10" s="60"/>
      <x:c r="DJ10" s="58">
        <x:f>(($O10*DH10)/100)+(DI10*12)</x:f>
      </x:c>
      <x:c r="DK10" s="47"/>
      <x:c r="DL10" s="60"/>
      <x:c r="DM10" s="58">
        <x:f>(($O10*DK10)/100)+(DL10*12)</x:f>
      </x:c>
      <x:c r="DN10" s="11"/>
      <x:c r="DO10" s="61"/>
      <x:c r="DP10" s="62">
        <x:f>(($O10*DN10)/100)+(DO10*12)</x:f>
      </x:c>
      <x:c r="DQ10" s="11"/>
      <x:c r="DR10" s="61"/>
      <x:c r="DS10" s="62">
        <x:f>(($O10*DQ10)/100)+(DR10*12)</x:f>
      </x:c>
      <x:c r="DT10" s="11"/>
      <x:c r="DU10" s="61"/>
      <x:c r="DV10" s="62">
        <x:f>(($O10*DT10)/100)+(DU10*12)</x:f>
      </x:c>
    </x:row>
    <x:row r="11" spans="1:126" x14ac:dyDescent="0.3">
      <x:c r="A11" s="63"/>
      <x:c r="B11" s="64" t="s">
        <x:v>161</x:v>
      </x:c>
      <x:c r="C11" s="65" t="s">
        <x:v>154</x:v>
      </x:c>
      <x:c r="D11" s="64" t="s">
        <x:v>162</x:v>
      </x:c>
      <x:c r="E11" s="65" t="s">
        <x:v>154</x:v>
      </x:c>
      <x:c r="F11" s="65" t="s">
        <x:v>163</x:v>
      </x:c>
      <x:c r="G11" s="65" t="s">
        <x:v>157</x:v>
      </x:c>
      <x:c r="H11" s="65" t="s">
        <x:v>154</x:v>
      </x:c>
      <x:c r="I11" s="65" t="s">
        <x:v>158</x:v>
      </x:c>
      <x:c r="J11" s="65" t="s">
        <x:v>114</x:v>
      </x:c>
      <x:c r="K11" s="190" t="s">
        <x:v>164</x:v>
      </x:c>
      <x:c r="L11" s="191" t="s">
        <x:v>165</x:v>
      </x:c>
      <x:c r="M11" s="192">
        <x:f>IF(ISERROR(INDEX('Meter Type Data'!$B$2:$E$1165,SUMPRODUCT(--('Meter Type Data'!$B$2:$B$1165&lt;=Analysis!L11)*('Meter Type Data'!$C$2:$C$1165&gt;=Analysis!L11),ROW('Meter Type Data'!$B$2:$B$1165))-1,4))," ",INDEX('Meter Type Data'!$B$2:$E$1165,SUMPRODUCT(--('Meter Type Data'!$B$2:$B$1165&lt;=Analysis!L11)*('Meter Type Data'!$C$2:$C$1165&gt;=Analysis!L11),ROW('Meter Type Data'!$B$2:$B$1165))-1,4))</x:f>
      </x:c>
      <x:c r="N11" s="192">
        <x:v>0</x:v>
      </x:c>
      <x:c r="O11" s="194">
        <x:v>6.062</x:v>
      </x:c>
      <x:c r="P11" s="56">
        <x:v>0</x:v>
      </x:c>
      <x:c r="Q11" s="57"/>
      <x:c r="R11" s="58">
        <x:f>(($O11*P11)/100)+(Q11*12)</x:f>
      </x:c>
      <x:c r="S11" s="59"/>
      <x:c r="T11" s="59"/>
      <x:c r="U11" s="58">
        <x:f>(($O11*S11)/100)+(T11*12)</x:f>
      </x:c>
      <x:c r="V11" s="59"/>
      <x:c r="W11" s="59"/>
      <x:c r="X11" s="58">
        <x:f>(($O11*V11)/100)+(W11*12)</x:f>
      </x:c>
      <x:c r="Y11" s="59"/>
      <x:c r="Z11" s="59"/>
      <x:c r="AA11" s="58">
        <x:f>(($O11*Y11)/100)+(Z11*12)</x:f>
      </x:c>
      <x:c r="AB11" s="59"/>
      <x:c r="AC11" s="59"/>
      <x:c r="AD11" s="58">
        <x:f>(($O11*AB11)/100)+(AC11*12)</x:f>
      </x:c>
      <x:c r="AE11" s="47"/>
      <x:c r="AF11" s="60"/>
      <x:c r="AG11" s="58">
        <x:f>(($O11*AE11)/100)+(AF11*12)</x:f>
      </x:c>
      <x:c r="AH11" s="47"/>
      <x:c r="AI11" s="60"/>
      <x:c r="AJ11" s="58">
        <x:f>(($O11*AH11)/100)+(AI11*12)</x:f>
      </x:c>
      <x:c r="AK11" s="47"/>
      <x:c r="AL11" s="60"/>
      <x:c r="AM11" s="58">
        <x:f>(($O11*AK11)/100)+(AL11*12)</x:f>
      </x:c>
      <x:c r="AN11" s="47"/>
      <x:c r="AO11" s="60"/>
      <x:c r="AP11" s="58">
        <x:f>(($O11*AN11)/100)+(AO11*12)</x:f>
      </x:c>
      <x:c r="AQ11" s="47"/>
      <x:c r="AR11" s="60"/>
      <x:c r="AS11" s="58">
        <x:f>(($O11*AQ11)/100)+(AR11*12)</x:f>
      </x:c>
      <x:c r="AT11" s="47"/>
      <x:c r="AU11" s="60"/>
      <x:c r="AV11" s="58">
        <x:f>(($O11*AT11)/100)+(AU11*12)</x:f>
      </x:c>
      <x:c r="AW11" s="47"/>
      <x:c r="AX11" s="60"/>
      <x:c r="AY11" s="58">
        <x:f>(($O11*AW11)/100)+(AX11*12)</x:f>
      </x:c>
      <x:c r="AZ11" s="47"/>
      <x:c r="BA11" s="60"/>
      <x:c r="BB11" s="58">
        <x:f>(($O11*AZ11)/100)+(BA11*12)</x:f>
      </x:c>
      <x:c r="BC11" s="47"/>
      <x:c r="BD11" s="60"/>
      <x:c r="BE11" s="58">
        <x:f>(($O11*BC11)/100)+(BD11*12)</x:f>
      </x:c>
      <x:c r="BF11" s="47"/>
      <x:c r="BG11" s="60"/>
      <x:c r="BH11" s="58">
        <x:f>(($O11*BF11)/100)+(BG11*12)</x:f>
      </x:c>
      <x:c r="BI11" s="47"/>
      <x:c r="BJ11" s="60"/>
      <x:c r="BK11" s="58">
        <x:f>(($O11*BI11)/100)+(BJ11*12)</x:f>
      </x:c>
      <x:c r="BL11" s="47"/>
      <x:c r="BM11" s="60"/>
      <x:c r="BN11" s="58">
        <x:f>(($O11*BL11)/100)+(BM11*12)</x:f>
      </x:c>
      <x:c r="BO11" s="47"/>
      <x:c r="BP11" s="60"/>
      <x:c r="BQ11" s="58">
        <x:f>(($O11*BO11)/100)+(BP11*12)</x:f>
      </x:c>
      <x:c r="BR11" s="47"/>
      <x:c r="BS11" s="60"/>
      <x:c r="BT11" s="58">
        <x:f>(($O11*BR11)/100)+(BS11*12)</x:f>
      </x:c>
      <x:c r="BU11" s="47"/>
      <x:c r="BV11" s="60"/>
      <x:c r="BW11" s="58">
        <x:f>(($O11*BU11)/100)+(BV11*12)</x:f>
      </x:c>
      <x:c r="BX11" s="47"/>
      <x:c r="BY11" s="60"/>
      <x:c r="BZ11" s="58">
        <x:f>(($O11*BX11)/100)+(BY11*12)</x:f>
      </x:c>
      <x:c r="CA11" s="47"/>
      <x:c r="CB11" s="60"/>
      <x:c r="CC11" s="58">
        <x:f>(($O11*CA11)/100)+(CB11*12)</x:f>
      </x:c>
      <x:c r="CD11" s="47"/>
      <x:c r="CE11" s="60"/>
      <x:c r="CF11" s="58">
        <x:f>(($O11*CD11)/100)+(CE11*12)</x:f>
      </x:c>
      <x:c r="CG11" s="47"/>
      <x:c r="CH11" s="60"/>
      <x:c r="CI11" s="58">
        <x:f>(($O11*CG11)/100)+(CH11*12)</x:f>
      </x:c>
      <x:c r="CJ11" s="47"/>
      <x:c r="CK11" s="60"/>
      <x:c r="CL11" s="58">
        <x:f>(($O11*CJ11)/100)+(CK11*12)</x:f>
      </x:c>
      <x:c r="CM11" s="47"/>
      <x:c r="CN11" s="60"/>
      <x:c r="CO11" s="58">
        <x:f>(($O11*CM11)/100)+(CN11*12)</x:f>
      </x:c>
      <x:c r="CP11" s="47"/>
      <x:c r="CQ11" s="60"/>
      <x:c r="CR11" s="58">
        <x:f>(($O11*CP11)/100)+(CQ11*12)</x:f>
      </x:c>
      <x:c r="CS11" s="47"/>
      <x:c r="CT11" s="60"/>
      <x:c r="CU11" s="58">
        <x:f>(($O11*CS11)/100)+(CT11*12)</x:f>
      </x:c>
      <x:c r="CV11" s="47"/>
      <x:c r="CW11" s="60"/>
      <x:c r="CX11" s="58">
        <x:f>(($O11*CV11)/100)+(CW11*12)</x:f>
      </x:c>
      <x:c r="CY11" s="47"/>
      <x:c r="CZ11" s="60"/>
      <x:c r="DA11" s="58">
        <x:f>(($O11*CY11)/100)+(CZ11*12)</x:f>
      </x:c>
      <x:c r="DB11" s="47"/>
      <x:c r="DC11" s="60"/>
      <x:c r="DD11" s="58">
        <x:f>(($O11*DB11)/100)+(DC11*12)</x:f>
      </x:c>
      <x:c r="DE11" s="47"/>
      <x:c r="DF11" s="60"/>
      <x:c r="DG11" s="58">
        <x:f>(($O11*DE11)/100)+(DF11*12)</x:f>
      </x:c>
      <x:c r="DH11" s="47"/>
      <x:c r="DI11" s="60"/>
      <x:c r="DJ11" s="58">
        <x:f>(($O11*DH11)/100)+(DI11*12)</x:f>
      </x:c>
      <x:c r="DK11" s="47"/>
      <x:c r="DL11" s="60"/>
      <x:c r="DM11" s="58">
        <x:f>(($O11*DK11)/100)+(DL11*12)</x:f>
      </x:c>
      <x:c r="DN11" s="11"/>
      <x:c r="DO11" s="61"/>
      <x:c r="DP11" s="62">
        <x:f>(($O11*DN11)/100)+(DO11*12)</x:f>
      </x:c>
      <x:c r="DQ11" s="11"/>
      <x:c r="DR11" s="61"/>
      <x:c r="DS11" s="62">
        <x:f>(($O11*DQ11)/100)+(DR11*12)</x:f>
      </x:c>
      <x:c r="DT11" s="11"/>
      <x:c r="DU11" s="61"/>
      <x:c r="DV11" s="62">
        <x:f>(($O11*DT11)/100)+(DU11*12)</x:f>
      </x:c>
    </x:row>
    <x:row r="12" spans="1:126" x14ac:dyDescent="0.3">
      <x:c r="A12" s="63"/>
      <x:c r="B12" s="64" t="s">
        <x:v>166</x:v>
      </x:c>
      <x:c r="C12" s="65" t="s">
        <x:v>154</x:v>
      </x:c>
      <x:c r="D12" s="64" t="s">
        <x:v>167</x:v>
      </x:c>
      <x:c r="E12" s="65" t="s">
        <x:v>154</x:v>
      </x:c>
      <x:c r="F12" s="65" t="s">
        <x:v>156</x:v>
      </x:c>
      <x:c r="G12" s="65" t="s">
        <x:v>157</x:v>
      </x:c>
      <x:c r="H12" s="65" t="s">
        <x:v>154</x:v>
      </x:c>
      <x:c r="I12" s="65" t="s">
        <x:v>158</x:v>
      </x:c>
      <x:c r="J12" s="65" t="s">
        <x:v>114</x:v>
      </x:c>
      <x:c r="K12" s="190" t="s">
        <x:v>168</x:v>
      </x:c>
      <x:c r="L12" s="191" t="s">
        <x:v>169</x:v>
      </x:c>
      <x:c r="M12" s="192">
        <x:f>IF(ISERROR(INDEX('Meter Type Data'!$B$2:$E$1165,SUMPRODUCT(--('Meter Type Data'!$B$2:$B$1165&lt;=Analysis!L12)*('Meter Type Data'!$C$2:$C$1165&gt;=Analysis!L12),ROW('Meter Type Data'!$B$2:$B$1165))-1,4))," ",INDEX('Meter Type Data'!$B$2:$E$1165,SUMPRODUCT(--('Meter Type Data'!$B$2:$B$1165&lt;=Analysis!L12)*('Meter Type Data'!$C$2:$C$1165&gt;=Analysis!L12),ROW('Meter Type Data'!$B$2:$B$1165))-1,4))</x:f>
      </x:c>
      <x:c r="N12" s="192">
        <x:v>0</x:v>
      </x:c>
      <x:c r="O12" s="194">
        <x:v>6.062</x:v>
      </x:c>
      <x:c r="P12" s="56">
        <x:v>0</x:v>
      </x:c>
      <x:c r="Q12" s="57"/>
      <x:c r="R12" s="58">
        <x:f>(($O12*P12)/100)+(Q12*12)</x:f>
      </x:c>
      <x:c r="S12" s="59"/>
      <x:c r="T12" s="59"/>
      <x:c r="U12" s="58">
        <x:f>(($O12*S12)/100)+(T12*12)</x:f>
      </x:c>
      <x:c r="V12" s="59"/>
      <x:c r="W12" s="59"/>
      <x:c r="X12" s="58">
        <x:f>(($O12*V12)/100)+(W12*12)</x:f>
      </x:c>
      <x:c r="Y12" s="59"/>
      <x:c r="Z12" s="59"/>
      <x:c r="AA12" s="58">
        <x:f>(($O12*Y12)/100)+(Z12*12)</x:f>
      </x:c>
      <x:c r="AB12" s="59"/>
      <x:c r="AC12" s="59"/>
      <x:c r="AD12" s="58">
        <x:f>(($O12*AB12)/100)+(AC12*12)</x:f>
      </x:c>
      <x:c r="AE12" s="47"/>
      <x:c r="AF12" s="60"/>
      <x:c r="AG12" s="58">
        <x:f>(($O12*AE12)/100)+(AF12*12)</x:f>
      </x:c>
      <x:c r="AH12" s="47"/>
      <x:c r="AI12" s="60"/>
      <x:c r="AJ12" s="58">
        <x:f>(($O12*AH12)/100)+(AI12*12)</x:f>
      </x:c>
      <x:c r="AK12" s="47"/>
      <x:c r="AL12" s="60"/>
      <x:c r="AM12" s="58">
        <x:f>(($O12*AK12)/100)+(AL12*12)</x:f>
      </x:c>
      <x:c r="AN12" s="47"/>
      <x:c r="AO12" s="60"/>
      <x:c r="AP12" s="58">
        <x:f>(($O12*AN12)/100)+(AO12*12)</x:f>
      </x:c>
      <x:c r="AQ12" s="47"/>
      <x:c r="AR12" s="60"/>
      <x:c r="AS12" s="58">
        <x:f>(($O12*AQ12)/100)+(AR12*12)</x:f>
      </x:c>
      <x:c r="AT12" s="47"/>
      <x:c r="AU12" s="60"/>
      <x:c r="AV12" s="58">
        <x:f>(($O12*AT12)/100)+(AU12*12)</x:f>
      </x:c>
      <x:c r="AW12" s="47"/>
      <x:c r="AX12" s="60"/>
      <x:c r="AY12" s="58">
        <x:f>(($O12*AW12)/100)+(AX12*12)</x:f>
      </x:c>
      <x:c r="AZ12" s="47"/>
      <x:c r="BA12" s="60"/>
      <x:c r="BB12" s="58">
        <x:f>(($O12*AZ12)/100)+(BA12*12)</x:f>
      </x:c>
      <x:c r="BC12" s="47"/>
      <x:c r="BD12" s="60"/>
      <x:c r="BE12" s="58">
        <x:f>(($O12*BC12)/100)+(BD12*12)</x:f>
      </x:c>
      <x:c r="BF12" s="47"/>
      <x:c r="BG12" s="60"/>
      <x:c r="BH12" s="58">
        <x:f>(($O12*BF12)/100)+(BG12*12)</x:f>
      </x:c>
      <x:c r="BI12" s="47"/>
      <x:c r="BJ12" s="60"/>
      <x:c r="BK12" s="58">
        <x:f>(($O12*BI12)/100)+(BJ12*12)</x:f>
      </x:c>
      <x:c r="BL12" s="47"/>
      <x:c r="BM12" s="60"/>
      <x:c r="BN12" s="58">
        <x:f>(($O12*BL12)/100)+(BM12*12)</x:f>
      </x:c>
      <x:c r="BO12" s="47"/>
      <x:c r="BP12" s="60"/>
      <x:c r="BQ12" s="58">
        <x:f>(($O12*BO12)/100)+(BP12*12)</x:f>
      </x:c>
      <x:c r="BR12" s="47"/>
      <x:c r="BS12" s="60"/>
      <x:c r="BT12" s="58">
        <x:f>(($O12*BR12)/100)+(BS12*12)</x:f>
      </x:c>
      <x:c r="BU12" s="47"/>
      <x:c r="BV12" s="60"/>
      <x:c r="BW12" s="58">
        <x:f>(($O12*BU12)/100)+(BV12*12)</x:f>
      </x:c>
      <x:c r="BX12" s="47"/>
      <x:c r="BY12" s="60"/>
      <x:c r="BZ12" s="58">
        <x:f>(($O12*BX12)/100)+(BY12*12)</x:f>
      </x:c>
      <x:c r="CA12" s="47"/>
      <x:c r="CB12" s="60"/>
      <x:c r="CC12" s="58">
        <x:f>(($O12*CA12)/100)+(CB12*12)</x:f>
      </x:c>
      <x:c r="CD12" s="47"/>
      <x:c r="CE12" s="60"/>
      <x:c r="CF12" s="58">
        <x:f>(($O12*CD12)/100)+(CE12*12)</x:f>
      </x:c>
      <x:c r="CG12" s="47"/>
      <x:c r="CH12" s="60"/>
      <x:c r="CI12" s="58">
        <x:f>(($O12*CG12)/100)+(CH12*12)</x:f>
      </x:c>
      <x:c r="CJ12" s="47"/>
      <x:c r="CK12" s="60"/>
      <x:c r="CL12" s="58">
        <x:f>(($O12*CJ12)/100)+(CK12*12)</x:f>
      </x:c>
      <x:c r="CM12" s="47"/>
      <x:c r="CN12" s="60"/>
      <x:c r="CO12" s="58">
        <x:f>(($O12*CM12)/100)+(CN12*12)</x:f>
      </x:c>
      <x:c r="CP12" s="47"/>
      <x:c r="CQ12" s="60"/>
      <x:c r="CR12" s="58">
        <x:f>(($O12*CP12)/100)+(CQ12*12)</x:f>
      </x:c>
      <x:c r="CS12" s="47"/>
      <x:c r="CT12" s="60"/>
      <x:c r="CU12" s="58">
        <x:f>(($O12*CS12)/100)+(CT12*12)</x:f>
      </x:c>
      <x:c r="CV12" s="47"/>
      <x:c r="CW12" s="60"/>
      <x:c r="CX12" s="58">
        <x:f>(($O12*CV12)/100)+(CW12*12)</x:f>
      </x:c>
      <x:c r="CY12" s="47"/>
      <x:c r="CZ12" s="60"/>
      <x:c r="DA12" s="58">
        <x:f>(($O12*CY12)/100)+(CZ12*12)</x:f>
      </x:c>
      <x:c r="DB12" s="47"/>
      <x:c r="DC12" s="60"/>
      <x:c r="DD12" s="58">
        <x:f>(($O12*DB12)/100)+(DC12*12)</x:f>
      </x:c>
      <x:c r="DE12" s="47"/>
      <x:c r="DF12" s="60"/>
      <x:c r="DG12" s="58">
        <x:f>(($O12*DE12)/100)+(DF12*12)</x:f>
      </x:c>
      <x:c r="DH12" s="47"/>
      <x:c r="DI12" s="60"/>
      <x:c r="DJ12" s="58">
        <x:f>(($O12*DH12)/100)+(DI12*12)</x:f>
      </x:c>
      <x:c r="DK12" s="47"/>
      <x:c r="DL12" s="60"/>
      <x:c r="DM12" s="58">
        <x:f>(($O12*DK12)/100)+(DL12*12)</x:f>
      </x:c>
      <x:c r="DN12" s="11"/>
      <x:c r="DO12" s="61"/>
      <x:c r="DP12" s="62">
        <x:f>(($O12*DN12)/100)+(DO12*12)</x:f>
      </x:c>
      <x:c r="DQ12" s="11"/>
      <x:c r="DR12" s="61"/>
      <x:c r="DS12" s="62">
        <x:f>(($O12*DQ12)/100)+(DR12*12)</x:f>
      </x:c>
      <x:c r="DT12" s="11"/>
      <x:c r="DU12" s="61"/>
      <x:c r="DV12" s="62">
        <x:f>(($O12*DT12)/100)+(DU12*12)</x:f>
      </x:c>
    </x:row>
    <x:row r="13" spans="1:126" x14ac:dyDescent="0.3">
      <x:c r="A13" s="63"/>
      <x:c r="B13" s="64" t="s">
        <x:v>170</x:v>
      </x:c>
      <x:c r="C13" s="65" t="s">
        <x:v>154</x:v>
      </x:c>
      <x:c r="D13" s="64" t="s">
        <x:v>171</x:v>
      </x:c>
      <x:c r="E13" s="65" t="s">
        <x:v>154</x:v>
      </x:c>
      <x:c r="F13" s="65" t="s">
        <x:v>156</x:v>
      </x:c>
      <x:c r="G13" s="65" t="s">
        <x:v>157</x:v>
      </x:c>
      <x:c r="H13" s="65" t="s">
        <x:v>154</x:v>
      </x:c>
      <x:c r="I13" s="65" t="s">
        <x:v>158</x:v>
      </x:c>
      <x:c r="J13" s="65" t="s">
        <x:v>114</x:v>
      </x:c>
      <x:c r="K13" s="190" t="s">
        <x:v>172</x:v>
      </x:c>
      <x:c r="L13" s="191" t="s">
        <x:v>173</x:v>
      </x:c>
      <x:c r="M13" s="192">
        <x:f>IF(ISERROR(INDEX('Meter Type Data'!$B$2:$E$1165,SUMPRODUCT(--('Meter Type Data'!$B$2:$B$1165&lt;=Analysis!L13)*('Meter Type Data'!$C$2:$C$1165&gt;=Analysis!L13),ROW('Meter Type Data'!$B$2:$B$1165))-1,4))," ",INDEX('Meter Type Data'!$B$2:$E$1165,SUMPRODUCT(--('Meter Type Data'!$B$2:$B$1165&lt;=Analysis!L13)*('Meter Type Data'!$C$2:$C$1165&gt;=Analysis!L13),ROW('Meter Type Data'!$B$2:$B$1165))-1,4))</x:f>
      </x:c>
      <x:c r="N13" s="192">
        <x:v>0</x:v>
      </x:c>
      <x:c r="O13" s="194">
        <x:v>6.062</x:v>
      </x:c>
      <x:c r="P13" s="56">
        <x:v>0</x:v>
      </x:c>
      <x:c r="Q13" s="57"/>
      <x:c r="R13" s="58">
        <x:f>(($O13*P13)/100)+(Q13*12)</x:f>
      </x:c>
      <x:c r="S13" s="59"/>
      <x:c r="T13" s="59"/>
      <x:c r="U13" s="58">
        <x:f>(($O13*S13)/100)+(T13*12)</x:f>
      </x:c>
      <x:c r="V13" s="59"/>
      <x:c r="W13" s="59"/>
      <x:c r="X13" s="58">
        <x:f>(($O13*V13)/100)+(W13*12)</x:f>
      </x:c>
      <x:c r="Y13" s="59"/>
      <x:c r="Z13" s="59"/>
      <x:c r="AA13" s="58">
        <x:f>(($O13*Y13)/100)+(Z13*12)</x:f>
      </x:c>
      <x:c r="AB13" s="59"/>
      <x:c r="AC13" s="59"/>
      <x:c r="AD13" s="58">
        <x:f>(($O13*AB13)/100)+(AC13*12)</x:f>
      </x:c>
      <x:c r="AE13" s="47"/>
      <x:c r="AF13" s="60"/>
      <x:c r="AG13" s="58">
        <x:f>(($O13*AE13)/100)+(AF13*12)</x:f>
      </x:c>
      <x:c r="AH13" s="47"/>
      <x:c r="AI13" s="60"/>
      <x:c r="AJ13" s="58">
        <x:f>(($O13*AH13)/100)+(AI13*12)</x:f>
      </x:c>
      <x:c r="AK13" s="47"/>
      <x:c r="AL13" s="60"/>
      <x:c r="AM13" s="58">
        <x:f>(($O13*AK13)/100)+(AL13*12)</x:f>
      </x:c>
      <x:c r="AN13" s="47"/>
      <x:c r="AO13" s="60"/>
      <x:c r="AP13" s="58">
        <x:f>(($O13*AN13)/100)+(AO13*12)</x:f>
      </x:c>
      <x:c r="AQ13" s="47"/>
      <x:c r="AR13" s="60"/>
      <x:c r="AS13" s="58">
        <x:f>(($O13*AQ13)/100)+(AR13*12)</x:f>
      </x:c>
      <x:c r="AT13" s="47"/>
      <x:c r="AU13" s="60"/>
      <x:c r="AV13" s="58">
        <x:f>(($O13*AT13)/100)+(AU13*12)</x:f>
      </x:c>
      <x:c r="AW13" s="47"/>
      <x:c r="AX13" s="60"/>
      <x:c r="AY13" s="58">
        <x:f>(($O13*AW13)/100)+(AX13*12)</x:f>
      </x:c>
      <x:c r="AZ13" s="47"/>
      <x:c r="BA13" s="60"/>
      <x:c r="BB13" s="58">
        <x:f>(($O13*AZ13)/100)+(BA13*12)</x:f>
      </x:c>
      <x:c r="BC13" s="47"/>
      <x:c r="BD13" s="60"/>
      <x:c r="BE13" s="58">
        <x:f>(($O13*BC13)/100)+(BD13*12)</x:f>
      </x:c>
      <x:c r="BF13" s="47"/>
      <x:c r="BG13" s="60"/>
      <x:c r="BH13" s="58">
        <x:f>(($O13*BF13)/100)+(BG13*12)</x:f>
      </x:c>
      <x:c r="BI13" s="47"/>
      <x:c r="BJ13" s="60"/>
      <x:c r="BK13" s="58">
        <x:f>(($O13*BI13)/100)+(BJ13*12)</x:f>
      </x:c>
      <x:c r="BL13" s="47"/>
      <x:c r="BM13" s="60"/>
      <x:c r="BN13" s="58">
        <x:f>(($O13*BL13)/100)+(BM13*12)</x:f>
      </x:c>
      <x:c r="BO13" s="47"/>
      <x:c r="BP13" s="60"/>
      <x:c r="BQ13" s="58">
        <x:f>(($O13*BO13)/100)+(BP13*12)</x:f>
      </x:c>
      <x:c r="BR13" s="47"/>
      <x:c r="BS13" s="60"/>
      <x:c r="BT13" s="58">
        <x:f>(($O13*BR13)/100)+(BS13*12)</x:f>
      </x:c>
      <x:c r="BU13" s="47"/>
      <x:c r="BV13" s="60"/>
      <x:c r="BW13" s="58">
        <x:f>(($O13*BU13)/100)+(BV13*12)</x:f>
      </x:c>
      <x:c r="BX13" s="47"/>
      <x:c r="BY13" s="60"/>
      <x:c r="BZ13" s="58">
        <x:f>(($O13*BX13)/100)+(BY13*12)</x:f>
      </x:c>
      <x:c r="CA13" s="47"/>
      <x:c r="CB13" s="60"/>
      <x:c r="CC13" s="58">
        <x:f>(($O13*CA13)/100)+(CB13*12)</x:f>
      </x:c>
      <x:c r="CD13" s="47"/>
      <x:c r="CE13" s="60"/>
      <x:c r="CF13" s="58">
        <x:f>(($O13*CD13)/100)+(CE13*12)</x:f>
      </x:c>
      <x:c r="CG13" s="47"/>
      <x:c r="CH13" s="60"/>
      <x:c r="CI13" s="58">
        <x:f>(($O13*CG13)/100)+(CH13*12)</x:f>
      </x:c>
      <x:c r="CJ13" s="47"/>
      <x:c r="CK13" s="60"/>
      <x:c r="CL13" s="58">
        <x:f>(($O13*CJ13)/100)+(CK13*12)</x:f>
      </x:c>
      <x:c r="CM13" s="47"/>
      <x:c r="CN13" s="60"/>
      <x:c r="CO13" s="58">
        <x:f>(($O13*CM13)/100)+(CN13*12)</x:f>
      </x:c>
      <x:c r="CP13" s="47"/>
      <x:c r="CQ13" s="60"/>
      <x:c r="CR13" s="58">
        <x:f>(($O13*CP13)/100)+(CQ13*12)</x:f>
      </x:c>
      <x:c r="CS13" s="47"/>
      <x:c r="CT13" s="60"/>
      <x:c r="CU13" s="58">
        <x:f>(($O13*CS13)/100)+(CT13*12)</x:f>
      </x:c>
      <x:c r="CV13" s="47"/>
      <x:c r="CW13" s="60"/>
      <x:c r="CX13" s="58">
        <x:f>(($O13*CV13)/100)+(CW13*12)</x:f>
      </x:c>
      <x:c r="CY13" s="47"/>
      <x:c r="CZ13" s="60"/>
      <x:c r="DA13" s="58">
        <x:f>(($O13*CY13)/100)+(CZ13*12)</x:f>
      </x:c>
      <x:c r="DB13" s="47"/>
      <x:c r="DC13" s="60"/>
      <x:c r="DD13" s="58">
        <x:f>(($O13*DB13)/100)+(DC13*12)</x:f>
      </x:c>
      <x:c r="DE13" s="47"/>
      <x:c r="DF13" s="60"/>
      <x:c r="DG13" s="58">
        <x:f>(($O13*DE13)/100)+(DF13*12)</x:f>
      </x:c>
      <x:c r="DH13" s="47"/>
      <x:c r="DI13" s="60"/>
      <x:c r="DJ13" s="58">
        <x:f>(($O13*DH13)/100)+(DI13*12)</x:f>
      </x:c>
      <x:c r="DK13" s="47"/>
      <x:c r="DL13" s="60"/>
      <x:c r="DM13" s="58">
        <x:f>(($O13*DK13)/100)+(DL13*12)</x:f>
      </x:c>
      <x:c r="DN13" s="11"/>
      <x:c r="DO13" s="61"/>
      <x:c r="DP13" s="62">
        <x:f>(($O13*DN13)/100)+(DO13*12)</x:f>
      </x:c>
      <x:c r="DQ13" s="11"/>
      <x:c r="DR13" s="61"/>
      <x:c r="DS13" s="62">
        <x:f>(($O13*DQ13)/100)+(DR13*12)</x:f>
      </x:c>
      <x:c r="DT13" s="11"/>
      <x:c r="DU13" s="61"/>
      <x:c r="DV13" s="62">
        <x:f>(($O13*DT13)/100)+(DU13*12)</x:f>
      </x:c>
    </x:row>
    <x:row r="14" spans="1:126" x14ac:dyDescent="0.3">
      <x:c r="A14" s="63"/>
      <x:c r="B14" s="64" t="s">
        <x:v>174</x:v>
      </x:c>
      <x:c r="C14" s="64" t="s">
        <x:v>154</x:v>
      </x:c>
      <x:c r="D14" s="65" t="s">
        <x:v>175</x:v>
      </x:c>
      <x:c r="E14" s="65" t="s">
        <x:v>154</x:v>
      </x:c>
      <x:c r="F14" s="65" t="s">
        <x:v>176</x:v>
      </x:c>
      <x:c r="G14" s="65" t="s">
        <x:v>157</x:v>
      </x:c>
      <x:c r="H14" s="65" t="s">
        <x:v>154</x:v>
      </x:c>
      <x:c r="I14" s="65" t="s">
        <x:v>158</x:v>
      </x:c>
      <x:c r="J14" s="65" t="s">
        <x:v>114</x:v>
      </x:c>
      <x:c r="K14" s="190" t="s">
        <x:v>177</x:v>
      </x:c>
      <x:c r="L14" s="191" t="s">
        <x:v>178</x:v>
      </x:c>
      <x:c r="M14" s="192">
        <x:f>IF(ISERROR(INDEX('Meter Type Data'!$B$2:$E$1165,SUMPRODUCT(--('Meter Type Data'!$B$2:$B$1165&lt;=Analysis!L14)*('Meter Type Data'!$C$2:$C$1165&gt;=Analysis!L14),ROW('Meter Type Data'!$B$2:$B$1165))-1,4))," ",INDEX('Meter Type Data'!$B$2:$E$1165,SUMPRODUCT(--('Meter Type Data'!$B$2:$B$1165&lt;=Analysis!L14)*('Meter Type Data'!$C$2:$C$1165&gt;=Analysis!L14),ROW('Meter Type Data'!$B$2:$B$1165))-1,4))</x:f>
      </x:c>
      <x:c r="N14" s="192">
        <x:v>0</x:v>
      </x:c>
      <x:c r="O14" s="193">
        <x:v>6.062</x:v>
      </x:c>
      <x:c r="P14" s="56">
        <x:v>0</x:v>
      </x:c>
      <x:c r="Q14" s="57"/>
      <x:c r="R14" s="58">
        <x:f>(($O14*P14)/100)+(Q14*12)</x:f>
      </x:c>
      <x:c r="S14" s="59"/>
      <x:c r="T14" s="59"/>
      <x:c r="U14" s="58">
        <x:f>(($O14*S14)/100)+(T14*12)</x:f>
      </x:c>
      <x:c r="V14" s="59"/>
      <x:c r="W14" s="59"/>
      <x:c r="X14" s="58">
        <x:f>(($O14*V14)/100)+(W14*12)</x:f>
      </x:c>
      <x:c r="Y14" s="59"/>
      <x:c r="Z14" s="59"/>
      <x:c r="AA14" s="58">
        <x:f>(($O14*Y14)/100)+(Z14*12)</x:f>
      </x:c>
      <x:c r="AB14" s="59"/>
      <x:c r="AC14" s="59"/>
      <x:c r="AD14" s="58">
        <x:f>(($O14*AB14)/100)+(AC14*12)</x:f>
      </x:c>
      <x:c r="AE14" s="47"/>
      <x:c r="AF14" s="60"/>
      <x:c r="AG14" s="58">
        <x:f>(($O14*AE14)/100)+(AF14*12)</x:f>
      </x:c>
      <x:c r="AH14" s="47"/>
      <x:c r="AI14" s="60"/>
      <x:c r="AJ14" s="58">
        <x:f>(($O14*AH14)/100)+(AI14*12)</x:f>
      </x:c>
      <x:c r="AK14" s="47"/>
      <x:c r="AL14" s="60"/>
      <x:c r="AM14" s="58">
        <x:f>(($O14*AK14)/100)+(AL14*12)</x:f>
      </x:c>
      <x:c r="AN14" s="47"/>
      <x:c r="AO14" s="60"/>
      <x:c r="AP14" s="58">
        <x:f>(($O14*AN14)/100)+(AO14*12)</x:f>
      </x:c>
      <x:c r="AQ14" s="47"/>
      <x:c r="AR14" s="60"/>
      <x:c r="AS14" s="58">
        <x:f>(($O14*AQ14)/100)+(AR14*12)</x:f>
      </x:c>
      <x:c r="AT14" s="47"/>
      <x:c r="AU14" s="60"/>
      <x:c r="AV14" s="58">
        <x:f>(($O14*AT14)/100)+(AU14*12)</x:f>
      </x:c>
      <x:c r="AW14" s="47"/>
      <x:c r="AX14" s="60"/>
      <x:c r="AY14" s="58">
        <x:f>(($O14*AW14)/100)+(AX14*12)</x:f>
      </x:c>
      <x:c r="AZ14" s="47"/>
      <x:c r="BA14" s="60"/>
      <x:c r="BB14" s="58">
        <x:f>(($O14*AZ14)/100)+(BA14*12)</x:f>
      </x:c>
      <x:c r="BC14" s="47"/>
      <x:c r="BD14" s="60"/>
      <x:c r="BE14" s="58">
        <x:f>(($O14*BC14)/100)+(BD14*12)</x:f>
      </x:c>
      <x:c r="BF14" s="47"/>
      <x:c r="BG14" s="60"/>
      <x:c r="BH14" s="58">
        <x:f>(($O14*BF14)/100)+(BG14*12)</x:f>
      </x:c>
      <x:c r="BI14" s="47"/>
      <x:c r="BJ14" s="60"/>
      <x:c r="BK14" s="58">
        <x:f>(($O14*BI14)/100)+(BJ14*12)</x:f>
      </x:c>
      <x:c r="BL14" s="47"/>
      <x:c r="BM14" s="60"/>
      <x:c r="BN14" s="58">
        <x:f>(($O14*BL14)/100)+(BM14*12)</x:f>
      </x:c>
      <x:c r="BO14" s="47"/>
      <x:c r="BP14" s="60"/>
      <x:c r="BQ14" s="58">
        <x:f>(($O14*BO14)/100)+(BP14*12)</x:f>
      </x:c>
      <x:c r="BR14" s="47"/>
      <x:c r="BS14" s="60"/>
      <x:c r="BT14" s="58">
        <x:f>(($O14*BR14)/100)+(BS14*12)</x:f>
      </x:c>
      <x:c r="BU14" s="47"/>
      <x:c r="BV14" s="60"/>
      <x:c r="BW14" s="58">
        <x:f>(($O14*BU14)/100)+(BV14*12)</x:f>
      </x:c>
      <x:c r="BX14" s="47"/>
      <x:c r="BY14" s="60"/>
      <x:c r="BZ14" s="58">
        <x:f>(($O14*BX14)/100)+(BY14*12)</x:f>
      </x:c>
      <x:c r="CA14" s="47"/>
      <x:c r="CB14" s="60"/>
      <x:c r="CC14" s="58">
        <x:f>(($O14*CA14)/100)+(CB14*12)</x:f>
      </x:c>
      <x:c r="CD14" s="47"/>
      <x:c r="CE14" s="60"/>
      <x:c r="CF14" s="58">
        <x:f>(($O14*CD14)/100)+(CE14*12)</x:f>
      </x:c>
      <x:c r="CG14" s="47"/>
      <x:c r="CH14" s="60"/>
      <x:c r="CI14" s="58">
        <x:f>(($O14*CG14)/100)+(CH14*12)</x:f>
      </x:c>
      <x:c r="CJ14" s="47"/>
      <x:c r="CK14" s="60"/>
      <x:c r="CL14" s="58">
        <x:f>(($O14*CJ14)/100)+(CK14*12)</x:f>
      </x:c>
      <x:c r="CM14" s="47"/>
      <x:c r="CN14" s="60"/>
      <x:c r="CO14" s="58">
        <x:f>(($O14*CM14)/100)+(CN14*12)</x:f>
      </x:c>
      <x:c r="CP14" s="47"/>
      <x:c r="CQ14" s="60"/>
      <x:c r="CR14" s="58">
        <x:f>(($O14*CP14)/100)+(CQ14*12)</x:f>
      </x:c>
      <x:c r="CS14" s="47"/>
      <x:c r="CT14" s="60"/>
      <x:c r="CU14" s="58">
        <x:f>(($O14*CS14)/100)+(CT14*12)</x:f>
      </x:c>
      <x:c r="CV14" s="47"/>
      <x:c r="CW14" s="60"/>
      <x:c r="CX14" s="58"/>
      <x:c r="CY14" s="47"/>
      <x:c r="CZ14" s="60"/>
      <x:c r="DA14" s="58"/>
      <x:c r="DB14" s="47"/>
      <x:c r="DC14" s="60"/>
      <x:c r="DD14" s="58"/>
      <x:c r="DE14" s="47"/>
      <x:c r="DF14" s="60"/>
      <x:c r="DG14" s="58"/>
      <x:c r="DH14" s="47"/>
      <x:c r="DI14" s="60"/>
      <x:c r="DJ14" s="58"/>
      <x:c r="DK14" s="47"/>
      <x:c r="DL14" s="60"/>
      <x:c r="DM14" s="58"/>
      <x:c r="DN14" s="11"/>
      <x:c r="DO14" s="61"/>
      <x:c r="DP14" s="62"/>
      <x:c r="DQ14" s="11"/>
      <x:c r="DR14" s="61"/>
      <x:c r="DS14" s="62"/>
      <x:c r="DT14" s="11"/>
      <x:c r="DU14" s="61"/>
      <x:c r="DV14" s="62"/>
    </x:row>
    <x:row r="15" spans="1:126" ht="15.75" customHeight="1" x14ac:dyDescent="0.3">
      <x:c r="A15" s="63"/>
      <x:c r="B15" s="48" t="s">
        <x:v>179</x:v>
      </x:c>
      <x:c r="C15" s="63" t="s">
        <x:v>154</x:v>
      </x:c>
      <x:c r="D15" s="63" t="s">
        <x:v>180</x:v>
      </x:c>
      <x:c r="E15" s="63" t="s">
        <x:v>154</x:v>
      </x:c>
      <x:c r="F15" s="63" t="s">
        <x:v>181</x:v>
      </x:c>
      <x:c r="G15" s="48" t="s">
        <x:v>157</x:v>
      </x:c>
      <x:c r="H15" s="48" t="s">
        <x:v>154</x:v>
      </x:c>
      <x:c r="I15" s="48" t="s">
        <x:v>158</x:v>
      </x:c>
      <x:c r="J15" s="48" t="s">
        <x:v>114</x:v>
      </x:c>
      <x:c r="K15" s="190" t="s">
        <x:v>182</x:v>
      </x:c>
      <x:c r="L15" s="191" t="s">
        <x:v>183</x:v>
      </x:c>
      <x:c r="M15" s="192">
        <x:f>IF(ISERROR(INDEX('Meter Type Data'!$B$2:$E$1165,SUMPRODUCT(--('Meter Type Data'!$B$2:$B$1165&lt;=Analysis!L15)*('Meter Type Data'!$C$2:$C$1165&gt;=Analysis!L15),ROW('Meter Type Data'!$B$2:$B$1165))-1,4))," ",INDEX('Meter Type Data'!$B$2:$E$1165,SUMPRODUCT(--('Meter Type Data'!$B$2:$B$1165&lt;=Analysis!L15)*('Meter Type Data'!$C$2:$C$1165&gt;=Analysis!L15),ROW('Meter Type Data'!$B$2:$B$1165))-1,4))</x:f>
      </x:c>
      <x:c r="N15" s="192">
        <x:v>0</x:v>
      </x:c>
      <x:c r="O15" s="194">
        <x:v>6.062</x:v>
      </x:c>
      <x:c r="P15" s="56">
        <x:v>0</x:v>
      </x:c>
      <x:c r="Q15" s="57"/>
      <x:c r="R15" s="58">
        <x:f>(($O15*P15)/100)+(Q15*12)</x:f>
      </x:c>
      <x:c r="S15" s="59"/>
      <x:c r="T15" s="59"/>
      <x:c r="U15" s="58">
        <x:f>(($O15*S15)/100)+(T15*12)</x:f>
      </x:c>
      <x:c r="V15" s="59"/>
      <x:c r="W15" s="59"/>
      <x:c r="X15" s="58">
        <x:f>(($O15*V15)/100)+(W15*12)</x:f>
      </x:c>
      <x:c r="Y15" s="59"/>
      <x:c r="Z15" s="59"/>
      <x:c r="AA15" s="58">
        <x:f>(($O15*Y15)/100)+(Z15*12)</x:f>
      </x:c>
      <x:c r="AB15" s="59"/>
      <x:c r="AC15" s="59"/>
      <x:c r="AD15" s="58">
        <x:f>(($O15*AB15)/100)+(AC15*12)</x:f>
      </x:c>
      <x:c r="AE15" s="47"/>
      <x:c r="AF15" s="60"/>
      <x:c r="AG15" s="58">
        <x:f>(($O15*AE15)/100)+(AF15*12)</x:f>
      </x:c>
      <x:c r="AH15" s="47"/>
      <x:c r="AI15" s="60"/>
      <x:c r="AJ15" s="58">
        <x:f>(($O15*AH15)/100)+(AI15*12)</x:f>
      </x:c>
      <x:c r="AK15" s="47"/>
      <x:c r="AL15" s="60"/>
      <x:c r="AM15" s="58">
        <x:f>(($O15*AK15)/100)+(AL15*12)</x:f>
      </x:c>
      <x:c r="AN15" s="47"/>
      <x:c r="AO15" s="60"/>
      <x:c r="AP15" s="58">
        <x:f>(($O15*AN15)/100)+(AO15*12)</x:f>
      </x:c>
      <x:c r="AQ15" s="47"/>
      <x:c r="AR15" s="60"/>
      <x:c r="AS15" s="58">
        <x:f>(($O15*AQ15)/100)+(AR15*12)</x:f>
      </x:c>
      <x:c r="AT15" s="47"/>
      <x:c r="AU15" s="60"/>
      <x:c r="AV15" s="58">
        <x:f>(($O15*AT15)/100)+(AU15*12)</x:f>
      </x:c>
      <x:c r="AW15" s="47"/>
      <x:c r="AX15" s="60"/>
      <x:c r="AY15" s="58">
        <x:f>(($O15*AW15)/100)+(AX15*12)</x:f>
      </x:c>
      <x:c r="AZ15" s="47"/>
      <x:c r="BA15" s="60"/>
      <x:c r="BB15" s="58">
        <x:f>(($O15*AZ15)/100)+(BA15*12)</x:f>
      </x:c>
      <x:c r="BC15" s="47"/>
      <x:c r="BD15" s="60"/>
      <x:c r="BE15" s="58">
        <x:f>(($O15*BC15)/100)+(BD15*12)</x:f>
      </x:c>
      <x:c r="BF15" s="47"/>
      <x:c r="BG15" s="60"/>
      <x:c r="BH15" s="58">
        <x:f>(($O15*BF15)/100)+(BG15*12)</x:f>
      </x:c>
      <x:c r="BI15" s="47"/>
      <x:c r="BJ15" s="60"/>
      <x:c r="BK15" s="58">
        <x:f>(($O15*BI15)/100)+(BJ15*12)</x:f>
      </x:c>
      <x:c r="BL15" s="47"/>
      <x:c r="BM15" s="60"/>
      <x:c r="BN15" s="58">
        <x:f>(($O15*BL15)/100)+(BM15*12)</x:f>
      </x:c>
      <x:c r="BO15" s="47"/>
      <x:c r="BP15" s="60"/>
      <x:c r="BQ15" s="58">
        <x:f>(($O15*BO15)/100)+(BP15*12)</x:f>
      </x:c>
      <x:c r="BR15" s="47"/>
      <x:c r="BS15" s="60"/>
      <x:c r="BT15" s="58">
        <x:f>(($O15*BR15)/100)+(BS15*12)</x:f>
      </x:c>
      <x:c r="BU15" s="47"/>
      <x:c r="BV15" s="60"/>
      <x:c r="BW15" s="58">
        <x:f>(($O15*BU15)/100)+(BV15*12)</x:f>
      </x:c>
      <x:c r="BX15" s="47"/>
      <x:c r="BY15" s="60"/>
      <x:c r="BZ15" s="58">
        <x:f>(($O15*BX15)/100)+(BY15*12)</x:f>
      </x:c>
      <x:c r="CA15" s="47"/>
      <x:c r="CB15" s="60"/>
      <x:c r="CC15" s="58">
        <x:f>(($O15*CA15)/100)+(CB15*12)</x:f>
      </x:c>
      <x:c r="CD15" s="47"/>
      <x:c r="CE15" s="60"/>
      <x:c r="CF15" s="58">
        <x:f>(($O15*CD15)/100)+(CE15*12)</x:f>
      </x:c>
      <x:c r="CG15" s="47"/>
      <x:c r="CH15" s="60"/>
      <x:c r="CI15" s="58">
        <x:f>(($O15*CG15)/100)+(CH15*12)</x:f>
      </x:c>
      <x:c r="CJ15" s="47"/>
      <x:c r="CK15" s="60"/>
      <x:c r="CL15" s="58">
        <x:f>(($O15*CJ15)/100)+(CK15*12)</x:f>
      </x:c>
      <x:c r="CM15" s="47"/>
      <x:c r="CN15" s="60"/>
      <x:c r="CO15" s="58">
        <x:f>(($O15*CM15)/100)+(CN15*12)</x:f>
      </x:c>
      <x:c r="CP15" s="47"/>
      <x:c r="CQ15" s="60"/>
      <x:c r="CR15" s="58">
        <x:f>(($O15*CP15)/100)+(CQ15*12)</x:f>
      </x:c>
      <x:c r="CS15" s="47"/>
      <x:c r="CT15" s="60"/>
      <x:c r="CU15" s="58">
        <x:f>(($O15*CS15)/100)+(CT15*12)</x:f>
      </x:c>
      <x:c r="CV15" s="47"/>
      <x:c r="CW15" s="60"/>
      <x:c r="CX15" s="58"/>
      <x:c r="CY15" s="47"/>
      <x:c r="CZ15" s="60"/>
      <x:c r="DA15" s="58"/>
      <x:c r="DB15" s="47"/>
      <x:c r="DC15" s="60"/>
      <x:c r="DD15" s="58"/>
      <x:c r="DE15" s="47"/>
      <x:c r="DF15" s="60"/>
      <x:c r="DG15" s="58"/>
      <x:c r="DH15" s="47"/>
      <x:c r="DI15" s="60"/>
      <x:c r="DJ15" s="58"/>
      <x:c r="DK15" s="47"/>
      <x:c r="DL15" s="60"/>
      <x:c r="DM15" s="58"/>
      <x:c r="DN15" s="11"/>
      <x:c r="DO15" s="61"/>
      <x:c r="DP15" s="62"/>
      <x:c r="DQ15" s="11"/>
      <x:c r="DR15" s="61"/>
      <x:c r="DS15" s="62"/>
      <x:c r="DT15" s="11"/>
      <x:c r="DU15" s="61"/>
      <x:c r="DV15" s="62"/>
    </x:row>
    <x:row r="16" spans="1:126" x14ac:dyDescent="0.3">
      <x:c r="A16" s="63"/>
      <x:c r="B16" s="48" t="s">
        <x:v>184</x:v>
      </x:c>
      <x:c r="C16" s="63" t="s">
        <x:v>154</x:v>
      </x:c>
      <x:c r="D16" s="63" t="s">
        <x:v>185</x:v>
      </x:c>
      <x:c r="E16" s="63" t="s">
        <x:v>154</x:v>
      </x:c>
      <x:c r="F16" s="63" t="s">
        <x:v>181</x:v>
      </x:c>
      <x:c r="G16" s="48" t="s">
        <x:v>157</x:v>
      </x:c>
      <x:c r="H16" s="48" t="s">
        <x:v>154</x:v>
      </x:c>
      <x:c r="I16" s="48" t="s">
        <x:v>158</x:v>
      </x:c>
      <x:c r="J16" s="48" t="s">
        <x:v>114</x:v>
      </x:c>
      <x:c r="K16" s="190" t="s">
        <x:v>186</x:v>
      </x:c>
      <x:c r="L16" s="191" t="s">
        <x:v>187</x:v>
      </x:c>
      <x:c r="M16" s="192">
        <x:f>IF(ISERROR(INDEX('Meter Type Data'!$B$2:$E$1165,SUMPRODUCT(--('Meter Type Data'!$B$2:$B$1165&lt;=Analysis!L16)*('Meter Type Data'!$C$2:$C$1165&gt;=Analysis!L16),ROW('Meter Type Data'!$B$2:$B$1165))-1,4))," ",INDEX('Meter Type Data'!$B$2:$E$1165,SUMPRODUCT(--('Meter Type Data'!$B$2:$B$1165&lt;=Analysis!L16)*('Meter Type Data'!$C$2:$C$1165&gt;=Analysis!L16),ROW('Meter Type Data'!$B$2:$B$1165))-1,4))</x:f>
      </x:c>
      <x:c r="N16" s="192">
        <x:v>0</x:v>
      </x:c>
      <x:c r="O16" s="194">
        <x:v>6.062</x:v>
      </x:c>
      <x:c r="P16" s="56">
        <x:v>0</x:v>
      </x:c>
      <x:c r="Q16" s="57"/>
      <x:c r="R16" s="58">
        <x:f>(($O16*P16)/100)+(Q16*12)</x:f>
      </x:c>
      <x:c r="S16" s="59"/>
      <x:c r="T16" s="59"/>
      <x:c r="U16" s="58">
        <x:f>(($O16*S16)/100)+(T16*12)</x:f>
      </x:c>
      <x:c r="V16" s="59"/>
      <x:c r="W16" s="59"/>
      <x:c r="X16" s="58">
        <x:f>(($O16*V16)/100)+(W16*12)</x:f>
      </x:c>
      <x:c r="Y16" s="59"/>
      <x:c r="Z16" s="59"/>
      <x:c r="AA16" s="58">
        <x:f>(($O16*Y16)/100)+(Z16*12)</x:f>
      </x:c>
      <x:c r="AB16" s="59"/>
      <x:c r="AC16" s="59"/>
      <x:c r="AD16" s="58">
        <x:f>(($O16*AB16)/100)+(AC16*12)</x:f>
      </x:c>
      <x:c r="AE16" s="47"/>
      <x:c r="AF16" s="60"/>
      <x:c r="AG16" s="58">
        <x:f>(($O16*AE16)/100)+(AF16*12)</x:f>
      </x:c>
      <x:c r="AH16" s="47"/>
      <x:c r="AI16" s="60"/>
      <x:c r="AJ16" s="58">
        <x:f>(($O16*AH16)/100)+(AI16*12)</x:f>
      </x:c>
      <x:c r="AK16" s="47"/>
      <x:c r="AL16" s="60"/>
      <x:c r="AM16" s="58">
        <x:f>(($O16*AK16)/100)+(AL16*12)</x:f>
      </x:c>
      <x:c r="AN16" s="47"/>
      <x:c r="AO16" s="60"/>
      <x:c r="AP16" s="58">
        <x:f>(($O16*AN16)/100)+(AO16*12)</x:f>
      </x:c>
      <x:c r="AQ16" s="47"/>
      <x:c r="AR16" s="60"/>
      <x:c r="AS16" s="58">
        <x:f>(($O16*AQ16)/100)+(AR16*12)</x:f>
      </x:c>
      <x:c r="AT16" s="47"/>
      <x:c r="AU16" s="60"/>
      <x:c r="AV16" s="58">
        <x:f>(($O16*AT16)/100)+(AU16*12)</x:f>
      </x:c>
      <x:c r="AW16" s="47"/>
      <x:c r="AX16" s="60"/>
      <x:c r="AY16" s="58">
        <x:f>(($O16*AW16)/100)+(AX16*12)</x:f>
      </x:c>
      <x:c r="AZ16" s="47"/>
      <x:c r="BA16" s="60"/>
      <x:c r="BB16" s="58">
        <x:f>(($O16*AZ16)/100)+(BA16*12)</x:f>
      </x:c>
      <x:c r="BC16" s="47"/>
      <x:c r="BD16" s="60"/>
      <x:c r="BE16" s="58">
        <x:f>(($O16*BC16)/100)+(BD16*12)</x:f>
      </x:c>
      <x:c r="BF16" s="47"/>
      <x:c r="BG16" s="60"/>
      <x:c r="BH16" s="58">
        <x:f>(($O16*BF16)/100)+(BG16*12)</x:f>
      </x:c>
      <x:c r="BI16" s="47"/>
      <x:c r="BJ16" s="60"/>
      <x:c r="BK16" s="58">
        <x:f>(($O16*BI16)/100)+(BJ16*12)</x:f>
      </x:c>
      <x:c r="BL16" s="47"/>
      <x:c r="BM16" s="60"/>
      <x:c r="BN16" s="58">
        <x:f>(($O16*BL16)/100)+(BM16*12)</x:f>
      </x:c>
      <x:c r="BO16" s="47"/>
      <x:c r="BP16" s="60"/>
      <x:c r="BQ16" s="58">
        <x:f>(($O16*BO16)/100)+(BP16*12)</x:f>
      </x:c>
      <x:c r="BR16" s="47"/>
      <x:c r="BS16" s="60"/>
      <x:c r="BT16" s="58">
        <x:f>(($O16*BR16)/100)+(BS16*12)</x:f>
      </x:c>
      <x:c r="BU16" s="47"/>
      <x:c r="BV16" s="60"/>
      <x:c r="BW16" s="58">
        <x:f>(($O16*BU16)/100)+(BV16*12)</x:f>
      </x:c>
      <x:c r="BX16" s="47"/>
      <x:c r="BY16" s="60"/>
      <x:c r="BZ16" s="58">
        <x:f>(($O16*BX16)/100)+(BY16*12)</x:f>
      </x:c>
      <x:c r="CA16" s="47"/>
      <x:c r="CB16" s="60"/>
      <x:c r="CC16" s="58">
        <x:f>(($O16*CA16)/100)+(CB16*12)</x:f>
      </x:c>
      <x:c r="CD16" s="47"/>
      <x:c r="CE16" s="60"/>
      <x:c r="CF16" s="58">
        <x:f>(($O16*CD16)/100)+(CE16*12)</x:f>
      </x:c>
      <x:c r="CG16" s="47"/>
      <x:c r="CH16" s="60"/>
      <x:c r="CI16" s="58">
        <x:f>(($O16*CG16)/100)+(CH16*12)</x:f>
      </x:c>
      <x:c r="CJ16" s="47"/>
      <x:c r="CK16" s="60"/>
      <x:c r="CL16" s="58">
        <x:f>(($O16*CJ16)/100)+(CK16*12)</x:f>
      </x:c>
      <x:c r="CM16" s="47"/>
      <x:c r="CN16" s="60"/>
      <x:c r="CO16" s="58">
        <x:f>(($O16*CM16)/100)+(CN16*12)</x:f>
      </x:c>
      <x:c r="CP16" s="47"/>
      <x:c r="CQ16" s="60"/>
      <x:c r="CR16" s="58">
        <x:f>(($O16*CP16)/100)+(CQ16*12)</x:f>
      </x:c>
      <x:c r="CS16" s="47"/>
      <x:c r="CT16" s="60"/>
      <x:c r="CU16" s="58">
        <x:f>(($O16*CS16)/100)+(CT16*12)</x:f>
      </x:c>
      <x:c r="CV16" s="47"/>
      <x:c r="CW16" s="60"/>
      <x:c r="CX16" s="58"/>
      <x:c r="CY16" s="47"/>
      <x:c r="CZ16" s="60"/>
      <x:c r="DA16" s="58"/>
      <x:c r="DB16" s="47"/>
      <x:c r="DC16" s="60"/>
      <x:c r="DD16" s="58"/>
      <x:c r="DE16" s="47"/>
      <x:c r="DF16" s="60"/>
      <x:c r="DG16" s="58"/>
      <x:c r="DH16" s="47"/>
      <x:c r="DI16" s="60"/>
      <x:c r="DJ16" s="58"/>
      <x:c r="DK16" s="47"/>
      <x:c r="DL16" s="60"/>
      <x:c r="DM16" s="58"/>
      <x:c r="DN16" s="11"/>
      <x:c r="DO16" s="61"/>
      <x:c r="DP16" s="62"/>
      <x:c r="DQ16" s="11"/>
      <x:c r="DR16" s="61"/>
      <x:c r="DS16" s="62"/>
      <x:c r="DT16" s="11"/>
      <x:c r="DU16" s="61"/>
      <x:c r="DV16" s="62"/>
    </x:row>
    <x:row r="17" spans="1:126" x14ac:dyDescent="0.3">
      <x:c r="A17" s="63"/>
      <x:c r="B17" s="63" t="s">
        <x:v>188</x:v>
      </x:c>
      <x:c r="C17" s="63" t="s">
        <x:v>154</x:v>
      </x:c>
      <x:c r="D17" s="63" t="s">
        <x:v>189</x:v>
      </x:c>
      <x:c r="E17" s="63" t="s">
        <x:v>154</x:v>
      </x:c>
      <x:c r="F17" s="63" t="s">
        <x:v>181</x:v>
      </x:c>
      <x:c r="G17" s="63" t="s">
        <x:v>157</x:v>
      </x:c>
      <x:c r="H17" s="48" t="s">
        <x:v>154</x:v>
      </x:c>
      <x:c r="I17" s="48" t="s">
        <x:v>158</x:v>
      </x:c>
      <x:c r="J17" s="48" t="s">
        <x:v>114</x:v>
      </x:c>
      <x:c r="K17" s="190" t="s">
        <x:v>190</x:v>
      </x:c>
      <x:c r="L17" s="191" t="s">
        <x:v>191</x:v>
      </x:c>
      <x:c r="M17" s="192">
        <x:f>IF(ISERROR(INDEX('Meter Type Data'!$B$2:$E$1165,SUMPRODUCT(--('Meter Type Data'!$B$2:$B$1165&lt;=Analysis!L17)*('Meter Type Data'!$C$2:$C$1165&gt;=Analysis!L17),ROW('Meter Type Data'!$B$2:$B$1165))-1,4))," ",INDEX('Meter Type Data'!$B$2:$E$1165,SUMPRODUCT(--('Meter Type Data'!$B$2:$B$1165&lt;=Analysis!L17)*('Meter Type Data'!$C$2:$C$1165&gt;=Analysis!L17),ROW('Meter Type Data'!$B$2:$B$1165))-1,4))</x:f>
      </x:c>
      <x:c r="N17" s="192">
        <x:v>0</x:v>
      </x:c>
      <x:c r="O17" s="69">
        <x:v>6.062</x:v>
      </x:c>
      <x:c r="P17" s="59">
        <x:v>0</x:v>
      </x:c>
      <x:c r="Q17" s="59"/>
      <x:c r="R17" s="58">
        <x:f>(($O17*P17)/100)+(Q17*12)</x:f>
      </x:c>
      <x:c r="S17" s="59"/>
      <x:c r="T17" s="59"/>
      <x:c r="U17" s="58">
        <x:f>(($O17*S17)/100)+(T17*12)</x:f>
      </x:c>
      <x:c r="V17" s="59"/>
      <x:c r="W17" s="59"/>
      <x:c r="X17" s="58">
        <x:f>(($O17*V17)/100)+(W17*12)</x:f>
      </x:c>
      <x:c r="Y17" s="59"/>
      <x:c r="Z17" s="59"/>
      <x:c r="AA17" s="58">
        <x:f>(($O17*Y17)/100)+(Z17*12)</x:f>
      </x:c>
      <x:c r="AB17" s="59"/>
      <x:c r="AC17" s="59"/>
      <x:c r="AD17" s="58">
        <x:f>(($O17*AB17)/100)+(AC17*12)</x:f>
      </x:c>
      <x:c r="AE17" s="47"/>
      <x:c r="AF17" s="60"/>
      <x:c r="AG17" s="58">
        <x:f>(($O17*AE17)/100)+(AF17*12)</x:f>
      </x:c>
      <x:c r="AH17" s="47"/>
      <x:c r="AI17" s="60"/>
      <x:c r="AJ17" s="58">
        <x:f>(($O17*AH17)/100)+(AI17*12)</x:f>
      </x:c>
      <x:c r="AK17" s="47"/>
      <x:c r="AL17" s="60"/>
      <x:c r="AM17" s="58">
        <x:f>(($O17*AK17)/100)+(AL17*12)</x:f>
      </x:c>
      <x:c r="AN17" s="47"/>
      <x:c r="AO17" s="60"/>
      <x:c r="AP17" s="58">
        <x:f>(($O17*AN17)/100)+(AO17*12)</x:f>
      </x:c>
      <x:c r="AQ17" s="47"/>
      <x:c r="AR17" s="60"/>
      <x:c r="AS17" s="58">
        <x:f>(($O17*AQ17)/100)+(AR17*12)</x:f>
      </x:c>
      <x:c r="AT17" s="47"/>
      <x:c r="AU17" s="60"/>
      <x:c r="AV17" s="58">
        <x:f>(($O17*AT17)/100)+(AU17*12)</x:f>
      </x:c>
      <x:c r="AW17" s="47"/>
      <x:c r="AX17" s="60"/>
      <x:c r="AY17" s="58">
        <x:f>(($O17*AW17)/100)+(AX17*12)</x:f>
      </x:c>
      <x:c r="AZ17" s="47"/>
      <x:c r="BA17" s="60"/>
      <x:c r="BB17" s="58">
        <x:f>(($O17*AZ17)/100)+(BA17*12)</x:f>
      </x:c>
      <x:c r="BC17" s="47"/>
      <x:c r="BD17" s="60"/>
      <x:c r="BE17" s="58">
        <x:f>(($O17*BC17)/100)+(BD17*12)</x:f>
      </x:c>
      <x:c r="BF17" s="47"/>
      <x:c r="BG17" s="60"/>
      <x:c r="BH17" s="58">
        <x:f>(($O17*BF17)/100)+(BG17*12)</x:f>
      </x:c>
      <x:c r="BI17" s="47"/>
      <x:c r="BJ17" s="60"/>
      <x:c r="BK17" s="58">
        <x:f>(($O17*BI17)/100)+(BJ17*12)</x:f>
      </x:c>
      <x:c r="BL17" s="47"/>
      <x:c r="BM17" s="60"/>
      <x:c r="BN17" s="58">
        <x:f>(($O17*BL17)/100)+(BM17*12)</x:f>
      </x:c>
      <x:c r="BO17" s="47"/>
      <x:c r="BP17" s="60"/>
      <x:c r="BQ17" s="58">
        <x:f>(($O17*BO17)/100)+(BP17*12)</x:f>
      </x:c>
      <x:c r="BR17" s="47"/>
      <x:c r="BS17" s="60"/>
      <x:c r="BT17" s="58">
        <x:f>(($O17*BR17)/100)+(BS17*12)</x:f>
      </x:c>
      <x:c r="BU17" s="47"/>
      <x:c r="BV17" s="60"/>
      <x:c r="BW17" s="58">
        <x:f>(($O17*BU17)/100)+(BV17*12)</x:f>
      </x:c>
      <x:c r="BX17" s="47"/>
      <x:c r="BY17" s="60"/>
      <x:c r="BZ17" s="58">
        <x:f>(($O17*BX17)/100)+(BY17*12)</x:f>
      </x:c>
      <x:c r="CA17" s="47"/>
      <x:c r="CB17" s="60"/>
      <x:c r="CC17" s="58">
        <x:f>(($O17*CA17)/100)+(CB17*12)</x:f>
      </x:c>
      <x:c r="CD17" s="47"/>
      <x:c r="CE17" s="60"/>
      <x:c r="CF17" s="58">
        <x:f>(($O17*CD17)/100)+(CE17*12)</x:f>
      </x:c>
      <x:c r="CG17" s="47"/>
      <x:c r="CH17" s="60"/>
      <x:c r="CI17" s="58">
        <x:f>(($O17*CG17)/100)+(CH17*12)</x:f>
      </x:c>
      <x:c r="CJ17" s="47"/>
      <x:c r="CK17" s="60"/>
      <x:c r="CL17" s="58">
        <x:f>(($O17*CJ17)/100)+(CK17*12)</x:f>
      </x:c>
      <x:c r="CM17" s="47"/>
      <x:c r="CN17" s="60"/>
      <x:c r="CO17" s="58">
        <x:f>(($O17*CM17)/100)+(CN17*12)</x:f>
      </x:c>
      <x:c r="CP17" s="47"/>
      <x:c r="CQ17" s="60"/>
      <x:c r="CR17" s="58">
        <x:f>(($O17*CP17)/100)+(CQ17*12)</x:f>
      </x:c>
      <x:c r="CS17" s="47"/>
      <x:c r="CT17" s="60"/>
      <x:c r="CU17" s="58">
        <x:f>(($O17*CS17)/100)+(CT17*12)</x:f>
      </x:c>
      <x:c r="CV17" s="47"/>
      <x:c r="CW17" s="60"/>
      <x:c r="CX17" s="58"/>
      <x:c r="CY17" s="47"/>
      <x:c r="CZ17" s="60"/>
      <x:c r="DA17" s="58"/>
      <x:c r="DB17" s="47"/>
      <x:c r="DC17" s="60"/>
      <x:c r="DD17" s="58"/>
      <x:c r="DE17" s="47"/>
      <x:c r="DF17" s="60"/>
      <x:c r="DG17" s="58"/>
      <x:c r="DH17" s="47"/>
      <x:c r="DI17" s="60"/>
      <x:c r="DJ17" s="58"/>
      <x:c r="DK17" s="47"/>
      <x:c r="DL17" s="60"/>
      <x:c r="DM17" s="58"/>
      <x:c r="DN17" s="11"/>
      <x:c r="DO17" s="61"/>
      <x:c r="DP17" s="62"/>
      <x:c r="DQ17" s="11"/>
      <x:c r="DR17" s="61"/>
      <x:c r="DS17" s="62"/>
      <x:c r="DT17" s="11"/>
      <x:c r="DU17" s="61"/>
      <x:c r="DV17" s="62"/>
    </x:row>
    <x:row r="18" spans="1:126" x14ac:dyDescent="0.3">
      <x:c r="A18" s="63"/>
      <x:c r="B18" s="63" t="s">
        <x:v>192</x:v>
      </x:c>
      <x:c r="C18" s="63" t="s">
        <x:v>154</x:v>
      </x:c>
      <x:c r="D18" s="63" t="s">
        <x:v>193</x:v>
      </x:c>
      <x:c r="E18" s="63" t="s">
        <x:v>154</x:v>
      </x:c>
      <x:c r="F18" s="63" t="s">
        <x:v>194</x:v>
      </x:c>
      <x:c r="G18" s="63" t="s">
        <x:v>157</x:v>
      </x:c>
      <x:c r="H18" s="63" t="s">
        <x:v>154</x:v>
      </x:c>
      <x:c r="I18" s="63" t="s">
        <x:v>158</x:v>
      </x:c>
      <x:c r="J18" s="63" t="s">
        <x:v>114</x:v>
      </x:c>
      <x:c r="K18" s="190" t="s">
        <x:v>195</x:v>
      </x:c>
      <x:c r="L18" s="191" t="s">
        <x:v>196</x:v>
      </x:c>
      <x:c r="M18" s="192">
        <x:f>IF(ISERROR(INDEX('Meter Type Data'!$B$2:$E$1165,SUMPRODUCT(--('Meter Type Data'!$B$2:$B$1165&lt;=Analysis!L18)*('Meter Type Data'!$C$2:$C$1165&gt;=Analysis!L18),ROW('Meter Type Data'!$B$2:$B$1165))-1,4))," ",INDEX('Meter Type Data'!$B$2:$E$1165,SUMPRODUCT(--('Meter Type Data'!$B$2:$B$1165&lt;=Analysis!L18)*('Meter Type Data'!$C$2:$C$1165&gt;=Analysis!L18),ROW('Meter Type Data'!$B$2:$B$1165))-1,4))</x:f>
      </x:c>
      <x:c r="N18" s="192">
        <x:v>0</x:v>
      </x:c>
      <x:c r="O18" s="69">
        <x:v>6.062</x:v>
      </x:c>
      <x:c r="P18" s="59">
        <x:v>0</x:v>
      </x:c>
      <x:c r="Q18" s="59"/>
      <x:c r="R18" s="58">
        <x:f>(($O18*P18)/100)+(Q18*12)</x:f>
      </x:c>
      <x:c r="S18" s="59"/>
      <x:c r="T18" s="59"/>
      <x:c r="U18" s="58">
        <x:f>(($O18*S18)/100)+(T18*12)</x:f>
      </x:c>
      <x:c r="V18" s="59"/>
      <x:c r="W18" s="59"/>
      <x:c r="X18" s="58">
        <x:f>(($O18*V18)/100)+(W18*12)</x:f>
      </x:c>
      <x:c r="Y18" s="59"/>
      <x:c r="Z18" s="59"/>
      <x:c r="AA18" s="58">
        <x:f>(($O18*Y18)/100)+(Z18*12)</x:f>
      </x:c>
      <x:c r="AB18" s="59"/>
      <x:c r="AC18" s="59"/>
      <x:c r="AD18" s="58">
        <x:f>(($O18*AB18)/100)+(AC18*12)</x:f>
      </x:c>
      <x:c r="AE18" s="47"/>
      <x:c r="AF18" s="60"/>
      <x:c r="AG18" s="58">
        <x:f>(($O18*AE18)/100)+(AF18*12)</x:f>
      </x:c>
      <x:c r="AH18" s="47"/>
      <x:c r="AI18" s="60"/>
      <x:c r="AJ18" s="58">
        <x:f>(($O18*AH18)/100)+(AI18*12)</x:f>
      </x:c>
      <x:c r="AK18" s="47"/>
      <x:c r="AL18" s="60"/>
      <x:c r="AM18" s="58">
        <x:f>(($O18*AK18)/100)+(AL18*12)</x:f>
      </x:c>
      <x:c r="AN18" s="47"/>
      <x:c r="AO18" s="60"/>
      <x:c r="AP18" s="58">
        <x:f>(($O18*AN18)/100)+(AO18*12)</x:f>
      </x:c>
      <x:c r="AQ18" s="47"/>
      <x:c r="AR18" s="60"/>
      <x:c r="AS18" s="58">
        <x:f>(($O18*AQ18)/100)+(AR18*12)</x:f>
      </x:c>
      <x:c r="AT18" s="47"/>
      <x:c r="AU18" s="60"/>
      <x:c r="AV18" s="58">
        <x:f>(($O18*AT18)/100)+(AU18*12)</x:f>
      </x:c>
      <x:c r="AW18" s="47"/>
      <x:c r="AX18" s="60"/>
      <x:c r="AY18" s="58">
        <x:f>(($O18*AW18)/100)+(AX18*12)</x:f>
      </x:c>
      <x:c r="AZ18" s="47"/>
      <x:c r="BA18" s="60"/>
      <x:c r="BB18" s="58">
        <x:f>(($O18*AZ18)/100)+(BA18*12)</x:f>
      </x:c>
      <x:c r="BC18" s="47"/>
      <x:c r="BD18" s="60"/>
      <x:c r="BE18" s="58">
        <x:f>(($O18*BC18)/100)+(BD18*12)</x:f>
      </x:c>
      <x:c r="BF18" s="47"/>
      <x:c r="BG18" s="60"/>
      <x:c r="BH18" s="58">
        <x:f>(($O18*BF18)/100)+(BG18*12)</x:f>
      </x:c>
      <x:c r="BI18" s="47"/>
      <x:c r="BJ18" s="60"/>
      <x:c r="BK18" s="58">
        <x:f>(($O18*BI18)/100)+(BJ18*12)</x:f>
      </x:c>
      <x:c r="BL18" s="47"/>
      <x:c r="BM18" s="60"/>
      <x:c r="BN18" s="58">
        <x:f>(($O18*BL18)/100)+(BM18*12)</x:f>
      </x:c>
      <x:c r="BO18" s="47"/>
      <x:c r="BP18" s="60"/>
      <x:c r="BQ18" s="58">
        <x:f>(($O18*BO18)/100)+(BP18*12)</x:f>
      </x:c>
      <x:c r="BR18" s="47"/>
      <x:c r="BS18" s="60"/>
      <x:c r="BT18" s="58">
        <x:f>(($O18*BR18)/100)+(BS18*12)</x:f>
      </x:c>
      <x:c r="BU18" s="47"/>
      <x:c r="BV18" s="60"/>
      <x:c r="BW18" s="58">
        <x:f>(($O18*BU18)/100)+(BV18*12)</x:f>
      </x:c>
      <x:c r="BX18" s="47"/>
      <x:c r="BY18" s="60"/>
      <x:c r="BZ18" s="58">
        <x:f>(($O18*BX18)/100)+(BY18*12)</x:f>
      </x:c>
      <x:c r="CA18" s="47"/>
      <x:c r="CB18" s="60"/>
      <x:c r="CC18" s="58">
        <x:f>(($O18*CA18)/100)+(CB18*12)</x:f>
      </x:c>
      <x:c r="CD18" s="47"/>
      <x:c r="CE18" s="60"/>
      <x:c r="CF18" s="58">
        <x:f>(($O18*CD18)/100)+(CE18*12)</x:f>
      </x:c>
      <x:c r="CG18" s="47"/>
      <x:c r="CH18" s="60"/>
      <x:c r="CI18" s="58">
        <x:f>(($O18*CG18)/100)+(CH18*12)</x:f>
      </x:c>
      <x:c r="CJ18" s="47"/>
      <x:c r="CK18" s="60"/>
      <x:c r="CL18" s="58">
        <x:f>(($O18*CJ18)/100)+(CK18*12)</x:f>
      </x:c>
      <x:c r="CM18" s="47"/>
      <x:c r="CN18" s="60"/>
      <x:c r="CO18" s="58">
        <x:f>(($O18*CM18)/100)+(CN18*12)</x:f>
      </x:c>
      <x:c r="CP18" s="47"/>
      <x:c r="CQ18" s="60"/>
      <x:c r="CR18" s="58">
        <x:f>(($O18*CP18)/100)+(CQ18*12)</x:f>
      </x:c>
      <x:c r="CS18" s="47"/>
      <x:c r="CT18" s="60"/>
      <x:c r="CU18" s="58">
        <x:f>(($O18*CS18)/100)+(CT18*12)</x:f>
      </x:c>
      <x:c r="CV18" s="47"/>
      <x:c r="CW18" s="60"/>
      <x:c r="CX18" s="58"/>
      <x:c r="CY18" s="47"/>
      <x:c r="CZ18" s="60"/>
      <x:c r="DA18" s="58"/>
      <x:c r="DB18" s="47"/>
      <x:c r="DC18" s="60"/>
      <x:c r="DD18" s="58"/>
      <x:c r="DE18" s="47"/>
      <x:c r="DF18" s="60"/>
      <x:c r="DG18" s="58"/>
      <x:c r="DH18" s="47"/>
      <x:c r="DI18" s="60"/>
      <x:c r="DJ18" s="58"/>
      <x:c r="DK18" s="47"/>
      <x:c r="DL18" s="60"/>
      <x:c r="DM18" s="58"/>
      <x:c r="DN18" s="11"/>
      <x:c r="DO18" s="61"/>
      <x:c r="DP18" s="62"/>
      <x:c r="DQ18" s="11"/>
      <x:c r="DR18" s="61"/>
      <x:c r="DS18" s="62"/>
      <x:c r="DT18" s="11"/>
      <x:c r="DU18" s="61"/>
      <x:c r="DV18" s="62"/>
    </x:row>
    <x:row r="19" spans="1:126" x14ac:dyDescent="0.3">
      <x:c r="A19" s="63"/>
      <x:c r="B19" s="63" t="s">
        <x:v>197</x:v>
      </x:c>
      <x:c r="C19" s="63" t="s">
        <x:v>154</x:v>
      </x:c>
      <x:c r="D19" s="63" t="s">
        <x:v>198</x:v>
      </x:c>
      <x:c r="E19" s="63" t="s">
        <x:v>154</x:v>
      </x:c>
      <x:c r="F19" s="63" t="s">
        <x:v>199</x:v>
      </x:c>
      <x:c r="G19" s="63" t="s">
        <x:v>157</x:v>
      </x:c>
      <x:c r="H19" s="63" t="s">
        <x:v>154</x:v>
      </x:c>
      <x:c r="I19" s="63" t="s">
        <x:v>158</x:v>
      </x:c>
      <x:c r="J19" s="63" t="s">
        <x:v>114</x:v>
      </x:c>
      <x:c r="K19" s="190" t="s">
        <x:v>200</x:v>
      </x:c>
      <x:c r="L19" s="191" t="s">
        <x:v>201</x:v>
      </x:c>
      <x:c r="M19" s="192">
        <x:f>IF(ISERROR(INDEX('Meter Type Data'!$B$2:$E$1165,SUMPRODUCT(--('Meter Type Data'!$B$2:$B$1165&lt;=Analysis!L19)*('Meter Type Data'!$C$2:$C$1165&gt;=Analysis!L19),ROW('Meter Type Data'!$B$2:$B$1165))-1,4))," ",INDEX('Meter Type Data'!$B$2:$E$1165,SUMPRODUCT(--('Meter Type Data'!$B$2:$B$1165&lt;=Analysis!L19)*('Meter Type Data'!$C$2:$C$1165&gt;=Analysis!L19),ROW('Meter Type Data'!$B$2:$B$1165))-1,4))</x:f>
      </x:c>
      <x:c r="N19" s="192">
        <x:v>0</x:v>
      </x:c>
      <x:c r="O19" s="69">
        <x:v>6.062</x:v>
      </x:c>
      <x:c r="P19" s="59">
        <x:v>0</x:v>
      </x:c>
      <x:c r="Q19" s="60"/>
      <x:c r="R19" s="58">
        <x:f>(($O19*P19)/100)+(Q19*12)</x:f>
      </x:c>
      <x:c r="S19" s="59"/>
      <x:c r="T19" s="59"/>
      <x:c r="U19" s="58">
        <x:f>(($O19*S19)/100)+(T19*12)</x:f>
      </x:c>
      <x:c r="V19" s="47"/>
      <x:c r="W19" s="60"/>
      <x:c r="X19" s="58">
        <x:f>(($O19*V19)/100)+(W19*12)</x:f>
      </x:c>
      <x:c r="Y19" s="59"/>
      <x:c r="Z19" s="59"/>
      <x:c r="AA19" s="58">
        <x:f>(($O19*Y19)/100)+(Z19*12)</x:f>
      </x:c>
      <x:c r="AB19" s="59"/>
      <x:c r="AC19" s="59"/>
      <x:c r="AD19" s="58">
        <x:f>(($O19*AB19)/100)+(AC19*12)</x:f>
      </x:c>
      <x:c r="AE19" s="47"/>
      <x:c r="AF19" s="60"/>
      <x:c r="AG19" s="58">
        <x:f>(($O19*AE19)/100)+(AF19*12)</x:f>
      </x:c>
      <x:c r="AH19" s="47"/>
      <x:c r="AI19" s="60"/>
      <x:c r="AJ19" s="58">
        <x:f>(($O19*AH19)/100)+(AI19*12)</x:f>
      </x:c>
      <x:c r="AK19" s="47"/>
      <x:c r="AL19" s="60"/>
      <x:c r="AM19" s="58">
        <x:f>(($O19*AK19)/100)+(AL19*12)</x:f>
      </x:c>
      <x:c r="AN19" s="47"/>
      <x:c r="AO19" s="60"/>
      <x:c r="AP19" s="58">
        <x:f>(($O19*AN19)/100)+(AO19*12)</x:f>
      </x:c>
      <x:c r="AQ19" s="47"/>
      <x:c r="AR19" s="60"/>
      <x:c r="AS19" s="58">
        <x:f>(($O19*AQ19)/100)+(AR19*12)</x:f>
      </x:c>
      <x:c r="AT19" s="47"/>
      <x:c r="AU19" s="60"/>
      <x:c r="AV19" s="58">
        <x:f>(($O19*AT19)/100)+(AU19*12)</x:f>
      </x:c>
      <x:c r="AW19" s="47"/>
      <x:c r="AX19" s="60"/>
      <x:c r="AY19" s="58">
        <x:f>(($O19*AW19)/100)+(AX19*12)</x:f>
      </x:c>
      <x:c r="AZ19" s="47"/>
      <x:c r="BA19" s="60"/>
      <x:c r="BB19" s="58">
        <x:f>(($O19*AZ19)/100)+(BA19*12)</x:f>
      </x:c>
      <x:c r="BC19" s="47"/>
      <x:c r="BD19" s="60"/>
      <x:c r="BE19" s="58">
        <x:f>(($O19*BC19)/100)+(BD19*12)</x:f>
      </x:c>
      <x:c r="BF19" s="47"/>
      <x:c r="BG19" s="60"/>
      <x:c r="BH19" s="58">
        <x:f>(($O19*BF19)/100)+(BG19*12)</x:f>
      </x:c>
      <x:c r="BI19" s="47"/>
      <x:c r="BJ19" s="60"/>
      <x:c r="BK19" s="58">
        <x:f>(($O19*BI19)/100)+(BJ19*12)</x:f>
      </x:c>
      <x:c r="BL19" s="47"/>
      <x:c r="BM19" s="60"/>
      <x:c r="BN19" s="58">
        <x:f>(($O19*BL19)/100)+(BM19*12)</x:f>
      </x:c>
      <x:c r="BO19" s="47"/>
      <x:c r="BP19" s="60"/>
      <x:c r="BQ19" s="58">
        <x:f>(($O19*BO19)/100)+(BP19*12)</x:f>
      </x:c>
      <x:c r="BR19" s="47"/>
      <x:c r="BS19" s="60"/>
      <x:c r="BT19" s="58">
        <x:f>(($O19*BR19)/100)+(BS19*12)</x:f>
      </x:c>
      <x:c r="BU19" s="47"/>
      <x:c r="BV19" s="60"/>
      <x:c r="BW19" s="58">
        <x:f>(($O19*BU19)/100)+(BV19*12)</x:f>
      </x:c>
      <x:c r="BX19" s="47"/>
      <x:c r="BY19" s="60"/>
      <x:c r="BZ19" s="58">
        <x:f>(($O19*BX19)/100)+(BY19*12)</x:f>
      </x:c>
      <x:c r="CA19" s="47"/>
      <x:c r="CB19" s="60"/>
      <x:c r="CC19" s="58">
        <x:f>(($O19*CA19)/100)+(CB19*12)</x:f>
      </x:c>
      <x:c r="CD19" s="47"/>
      <x:c r="CE19" s="60"/>
      <x:c r="CF19" s="58">
        <x:f>(($O19*CD19)/100)+(CE19*12)</x:f>
      </x:c>
      <x:c r="CG19" s="47"/>
      <x:c r="CH19" s="60"/>
      <x:c r="CI19" s="58">
        <x:f>(($O19*CG19)/100)+(CH19*12)</x:f>
      </x:c>
      <x:c r="CJ19" s="47"/>
      <x:c r="CK19" s="60"/>
      <x:c r="CL19" s="58">
        <x:f>(($O19*CJ19)/100)+(CK19*12)</x:f>
      </x:c>
      <x:c r="CM19" s="47"/>
      <x:c r="CN19" s="60"/>
      <x:c r="CO19" s="58">
        <x:f>(($O19*CM19)/100)+(CN19*12)</x:f>
      </x:c>
      <x:c r="CP19" s="47"/>
      <x:c r="CQ19" s="60"/>
      <x:c r="CR19" s="58">
        <x:f>(($O19*CP19)/100)+(CQ19*12)</x:f>
      </x:c>
      <x:c r="CS19" s="47"/>
      <x:c r="CT19" s="60"/>
      <x:c r="CU19" s="58">
        <x:f>(($O19*CS19)/100)+(CT19*12)</x:f>
      </x:c>
      <x:c r="CV19" s="47"/>
      <x:c r="CW19" s="60"/>
      <x:c r="CX19" s="58"/>
      <x:c r="CY19" s="47"/>
      <x:c r="CZ19" s="60"/>
      <x:c r="DA19" s="58"/>
      <x:c r="DB19" s="47"/>
      <x:c r="DC19" s="60"/>
      <x:c r="DD19" s="58"/>
      <x:c r="DE19" s="47"/>
      <x:c r="DF19" s="60"/>
      <x:c r="DG19" s="58"/>
      <x:c r="DH19" s="47"/>
      <x:c r="DI19" s="60"/>
      <x:c r="DJ19" s="58"/>
      <x:c r="DK19" s="47"/>
      <x:c r="DL19" s="60"/>
      <x:c r="DM19" s="58"/>
      <x:c r="DN19" s="11"/>
      <x:c r="DO19" s="61"/>
      <x:c r="DP19" s="62"/>
      <x:c r="DQ19" s="11"/>
      <x:c r="DR19" s="61"/>
      <x:c r="DS19" s="62"/>
      <x:c r="DT19" s="11"/>
      <x:c r="DU19" s="61"/>
      <x:c r="DV19" s="62"/>
    </x:row>
    <x:row r="20" spans="1:126" x14ac:dyDescent="0.3">
      <x:c r="A20" s="47"/>
      <x:c r="B20" s="70" t="s">
        <x:v>202</x:v>
      </x:c>
      <x:c r="C20" s="70" t="s">
        <x:v>154</x:v>
      </x:c>
      <x:c r="D20" s="70" t="s">
        <x:v>203</x:v>
      </x:c>
      <x:c r="E20" s="70" t="s">
        <x:v>154</x:v>
      </x:c>
      <x:c r="F20" s="70" t="s">
        <x:v>199</x:v>
      </x:c>
      <x:c r="G20" s="70" t="s">
        <x:v>157</x:v>
      </x:c>
      <x:c r="H20" s="70" t="s">
        <x:v>154</x:v>
      </x:c>
      <x:c r="I20" s="70" t="s">
        <x:v>158</x:v>
      </x:c>
      <x:c r="J20" s="70" t="s">
        <x:v>114</x:v>
      </x:c>
      <x:c r="K20" s="190" t="s">
        <x:v>204</x:v>
      </x:c>
      <x:c r="L20" s="191" t="s">
        <x:v>205</x:v>
      </x:c>
      <x:c r="M20" s="192">
        <x:f>IF(ISERROR(INDEX('Meter Type Data'!$B$2:$E$1165,SUMPRODUCT(--('Meter Type Data'!$B$2:$B$1165&lt;=Analysis!L20)*('Meter Type Data'!$C$2:$C$1165&gt;=Analysis!L20),ROW('Meter Type Data'!$B$2:$B$1165))-1,4))," ",INDEX('Meter Type Data'!$B$2:$E$1165,SUMPRODUCT(--('Meter Type Data'!$B$2:$B$1165&lt;=Analysis!L20)*('Meter Type Data'!$C$2:$C$1165&gt;=Analysis!L20),ROW('Meter Type Data'!$B$2:$B$1165))-1,4))</x:f>
      </x:c>
      <x:c r="N20" s="192">
        <x:v>0</x:v>
      </x:c>
      <x:c r="O20" s="69">
        <x:v>6.062</x:v>
      </x:c>
      <x:c r="P20" s="47">
        <x:v>0</x:v>
      </x:c>
      <x:c r="Q20" s="60"/>
      <x:c r="R20" s="58">
        <x:f>(($O20*P20)/100)+(Q20*12)</x:f>
      </x:c>
      <x:c r="S20" s="59"/>
      <x:c r="T20" s="59"/>
      <x:c r="U20" s="58">
        <x:f>(($O20*S20)/100)+(T20*12)</x:f>
      </x:c>
      <x:c r="V20" s="47"/>
      <x:c r="W20" s="60"/>
      <x:c r="X20" s="58">
        <x:f>(($O20*V20)/100)+(W20*12)</x:f>
      </x:c>
      <x:c r="Y20" s="47"/>
      <x:c r="Z20" s="60"/>
      <x:c r="AA20" s="58">
        <x:f>(($O20*Y20)/100)+(Z20*12)</x:f>
      </x:c>
      <x:c r="AB20" s="47"/>
      <x:c r="AC20" s="60"/>
      <x:c r="AD20" s="58">
        <x:f>(($O20*AB20)/100)+(AC20*12)</x:f>
      </x:c>
      <x:c r="AE20" s="47"/>
      <x:c r="AF20" s="60"/>
      <x:c r="AG20" s="58">
        <x:f>(($O20*AE20)/100)+(AF20*12)</x:f>
      </x:c>
      <x:c r="AH20" s="47"/>
      <x:c r="AI20" s="60"/>
      <x:c r="AJ20" s="58">
        <x:f>(($O20*AH20)/100)+(AI20*12)</x:f>
      </x:c>
      <x:c r="AK20" s="47"/>
      <x:c r="AL20" s="60"/>
      <x:c r="AM20" s="58">
        <x:f>(($O20*AK20)/100)+(AL20*12)</x:f>
      </x:c>
      <x:c r="AN20" s="47"/>
      <x:c r="AO20" s="60"/>
      <x:c r="AP20" s="58">
        <x:f>(($O20*AN20)/100)+(AO20*12)</x:f>
      </x:c>
      <x:c r="AQ20" s="47"/>
      <x:c r="AR20" s="60"/>
      <x:c r="AS20" s="58">
        <x:f>(($O20*AQ20)/100)+(AR20*12)</x:f>
      </x:c>
      <x:c r="AT20" s="47"/>
      <x:c r="AU20" s="60"/>
      <x:c r="AV20" s="58">
        <x:f>(($O20*AT20)/100)+(AU20*12)</x:f>
      </x:c>
      <x:c r="AW20" s="47"/>
      <x:c r="AX20" s="60"/>
      <x:c r="AY20" s="58">
        <x:f>(($O20*AW20)/100)+(AX20*12)</x:f>
      </x:c>
      <x:c r="AZ20" s="47"/>
      <x:c r="BA20" s="60"/>
      <x:c r="BB20" s="58">
        <x:f>(($O20*AZ20)/100)+(BA20*12)</x:f>
      </x:c>
      <x:c r="BC20" s="47"/>
      <x:c r="BD20" s="60"/>
      <x:c r="BE20" s="58">
        <x:f>(($O20*BC20)/100)+(BD20*12)</x:f>
      </x:c>
      <x:c r="BF20" s="47"/>
      <x:c r="BG20" s="60"/>
      <x:c r="BH20" s="58">
        <x:f>(($O20*BF20)/100)+(BG20*12)</x:f>
      </x:c>
      <x:c r="BI20" s="47"/>
      <x:c r="BJ20" s="60"/>
      <x:c r="BK20" s="58">
        <x:f>(($O20*BI20)/100)+(BJ20*12)</x:f>
      </x:c>
      <x:c r="BL20" s="47"/>
      <x:c r="BM20" s="60"/>
      <x:c r="BN20" s="58">
        <x:f>(($O20*BL20)/100)+(BM20*12)</x:f>
      </x:c>
      <x:c r="BO20" s="47"/>
      <x:c r="BP20" s="60"/>
      <x:c r="BQ20" s="58">
        <x:f>(($O20*BO20)/100)+(BP20*12)</x:f>
      </x:c>
      <x:c r="BR20" s="47"/>
      <x:c r="BS20" s="60"/>
      <x:c r="BT20" s="58">
        <x:f>(($O20*BR20)/100)+(BS20*12)</x:f>
      </x:c>
      <x:c r="BU20" s="47"/>
      <x:c r="BV20" s="60"/>
      <x:c r="BW20" s="58">
        <x:f>(($O20*BU20)/100)+(BV20*12)</x:f>
      </x:c>
      <x:c r="BX20" s="47"/>
      <x:c r="BY20" s="60"/>
      <x:c r="BZ20" s="58">
        <x:f>(($O20*BX20)/100)+(BY20*12)</x:f>
      </x:c>
      <x:c r="CA20" s="47"/>
      <x:c r="CB20" s="60"/>
      <x:c r="CC20" s="58">
        <x:f>(($O20*CA20)/100)+(CB20*12)</x:f>
      </x:c>
      <x:c r="CD20" s="47"/>
      <x:c r="CE20" s="60"/>
      <x:c r="CF20" s="58">
        <x:f>(($O20*CD20)/100)+(CE20*12)</x:f>
      </x:c>
      <x:c r="CG20" s="47"/>
      <x:c r="CH20" s="60"/>
      <x:c r="CI20" s="58">
        <x:f>(($O20*CG20)/100)+(CH20*12)</x:f>
      </x:c>
      <x:c r="CJ20" s="47"/>
      <x:c r="CK20" s="60"/>
      <x:c r="CL20" s="58">
        <x:f>(($O20*CJ20)/100)+(CK20*12)</x:f>
      </x:c>
      <x:c r="CM20" s="47"/>
      <x:c r="CN20" s="60"/>
      <x:c r="CO20" s="58">
        <x:f>(($O20*CM20)/100)+(CN20*12)</x:f>
      </x:c>
      <x:c r="CP20" s="47"/>
      <x:c r="CQ20" s="60"/>
      <x:c r="CR20" s="58">
        <x:f>(($O20*CP20)/100)+(CQ20*12)</x:f>
      </x:c>
      <x:c r="CS20" s="47"/>
      <x:c r="CT20" s="60"/>
      <x:c r="CU20" s="58">
        <x:f>(($O20*CS20)/100)+(CT20*12)</x:f>
      </x:c>
      <x:c r="CV20" s="47"/>
      <x:c r="CW20" s="60"/>
      <x:c r="CX20" s="58"/>
      <x:c r="CY20" s="47"/>
      <x:c r="CZ20" s="60"/>
      <x:c r="DA20" s="58"/>
      <x:c r="DB20" s="47"/>
      <x:c r="DC20" s="60"/>
      <x:c r="DD20" s="58"/>
      <x:c r="DE20" s="47"/>
      <x:c r="DF20" s="60"/>
      <x:c r="DG20" s="58"/>
      <x:c r="DH20" s="47"/>
      <x:c r="DI20" s="60"/>
      <x:c r="DJ20" s="58"/>
      <x:c r="DK20" s="47"/>
      <x:c r="DL20" s="60"/>
      <x:c r="DM20" s="58"/>
      <x:c r="DN20" s="11"/>
      <x:c r="DO20" s="61"/>
      <x:c r="DP20" s="62"/>
      <x:c r="DQ20" s="11"/>
      <x:c r="DR20" s="61"/>
      <x:c r="DS20" s="62"/>
      <x:c r="DT20" s="11"/>
      <x:c r="DU20" s="61"/>
      <x:c r="DV20" s="62"/>
    </x:row>
    <x:row r="21" spans="1:126" x14ac:dyDescent="0.3">
      <x:c r="A21" s="47"/>
      <x:c r="B21" s="70" t="s">
        <x:v>206</x:v>
      </x:c>
      <x:c r="C21" s="70" t="s">
        <x:v>154</x:v>
      </x:c>
      <x:c r="D21" s="70" t="s">
        <x:v>207</x:v>
      </x:c>
      <x:c r="E21" s="70" t="s">
        <x:v>154</x:v>
      </x:c>
      <x:c r="F21" s="70" t="s">
        <x:v>208</x:v>
      </x:c>
      <x:c r="G21" s="70" t="s">
        <x:v>157</x:v>
      </x:c>
      <x:c r="H21" s="70" t="s">
        <x:v>154</x:v>
      </x:c>
      <x:c r="I21" s="70" t="s">
        <x:v>158</x:v>
      </x:c>
      <x:c r="J21" s="70" t="s">
        <x:v>114</x:v>
      </x:c>
      <x:c r="K21" s="190" t="s">
        <x:v>209</x:v>
      </x:c>
      <x:c r="L21" s="191" t="s">
        <x:v>210</x:v>
      </x:c>
      <x:c r="M21" s="192">
        <x:f>IF(ISERROR(INDEX('Meter Type Data'!$B$2:$E$1165,SUMPRODUCT(--('Meter Type Data'!$B$2:$B$1165&lt;=Analysis!L21)*('Meter Type Data'!$C$2:$C$1165&gt;=Analysis!L21),ROW('Meter Type Data'!$B$2:$B$1165))-1,4))," ",INDEX('Meter Type Data'!$B$2:$E$1165,SUMPRODUCT(--('Meter Type Data'!$B$2:$B$1165&lt;=Analysis!L21)*('Meter Type Data'!$C$2:$C$1165&gt;=Analysis!L21),ROW('Meter Type Data'!$B$2:$B$1165))-1,4))</x:f>
      </x:c>
      <x:c r="N21" s="192">
        <x:v>0</x:v>
      </x:c>
      <x:c r="O21" s="69">
        <x:v>6.062</x:v>
      </x:c>
      <x:c r="P21" s="47">
        <x:v>0</x:v>
      </x:c>
      <x:c r="Q21" s="60"/>
      <x:c r="R21" s="58">
        <x:f>(($O21*P21)/100)+(Q21*12)</x:f>
      </x:c>
      <x:c r="S21" s="59"/>
      <x:c r="T21" s="59"/>
      <x:c r="U21" s="58">
        <x:f>(($O21*S21)/100)+(T21*12)</x:f>
      </x:c>
      <x:c r="V21" s="47"/>
      <x:c r="W21" s="60"/>
      <x:c r="X21" s="58">
        <x:f>(($O21*V21)/100)+(W21*12)</x:f>
      </x:c>
      <x:c r="Y21" s="47"/>
      <x:c r="Z21" s="60"/>
      <x:c r="AA21" s="58">
        <x:f>(($O21*Y21)/100)+(Z21*12)</x:f>
      </x:c>
      <x:c r="AB21" s="47"/>
      <x:c r="AC21" s="60"/>
      <x:c r="AD21" s="58">
        <x:f>(($O21*AB21)/100)+(AC21*12)</x:f>
      </x:c>
      <x:c r="AE21" s="47"/>
      <x:c r="AF21" s="60"/>
      <x:c r="AG21" s="58">
        <x:f>(($O21*AE21)/100)+(AF21*12)</x:f>
      </x:c>
      <x:c r="AH21" s="47"/>
      <x:c r="AI21" s="60"/>
      <x:c r="AJ21" s="58">
        <x:f>(($O21*AH21)/100)+(AI21*12)</x:f>
      </x:c>
      <x:c r="AK21" s="47"/>
      <x:c r="AL21" s="60"/>
      <x:c r="AM21" s="58">
        <x:f>(($O21*AK21)/100)+(AL21*12)</x:f>
      </x:c>
      <x:c r="AN21" s="47"/>
      <x:c r="AO21" s="60"/>
      <x:c r="AP21" s="58">
        <x:f>(($O21*AN21)/100)+(AO21*12)</x:f>
      </x:c>
      <x:c r="AQ21" s="47"/>
      <x:c r="AR21" s="60"/>
      <x:c r="AS21" s="58">
        <x:f>(($O21*AQ21)/100)+(AR21*12)</x:f>
      </x:c>
      <x:c r="AT21" s="47"/>
      <x:c r="AU21" s="60"/>
      <x:c r="AV21" s="58">
        <x:f>(($O21*AT21)/100)+(AU21*12)</x:f>
      </x:c>
      <x:c r="AW21" s="47"/>
      <x:c r="AX21" s="60"/>
      <x:c r="AY21" s="58">
        <x:f>(($O21*AW21)/100)+(AX21*12)</x:f>
      </x:c>
      <x:c r="AZ21" s="47"/>
      <x:c r="BA21" s="60"/>
      <x:c r="BB21" s="58">
        <x:f>(($O21*AZ21)/100)+(BA21*12)</x:f>
      </x:c>
      <x:c r="BC21" s="47"/>
      <x:c r="BD21" s="60"/>
      <x:c r="BE21" s="58">
        <x:f>(($O21*BC21)/100)+(BD21*12)</x:f>
      </x:c>
      <x:c r="BF21" s="47"/>
      <x:c r="BG21" s="60"/>
      <x:c r="BH21" s="58">
        <x:f>(($O21*BF21)/100)+(BG21*12)</x:f>
      </x:c>
      <x:c r="BI21" s="47"/>
      <x:c r="BJ21" s="60"/>
      <x:c r="BK21" s="58">
        <x:f>(($O21*BI21)/100)+(BJ21*12)</x:f>
      </x:c>
      <x:c r="BL21" s="47"/>
      <x:c r="BM21" s="60"/>
      <x:c r="BN21" s="58">
        <x:f>(($O21*BL21)/100)+(BM21*12)</x:f>
      </x:c>
      <x:c r="BO21" s="47"/>
      <x:c r="BP21" s="60"/>
      <x:c r="BQ21" s="58">
        <x:f>(($O21*BO21)/100)+(BP21*12)</x:f>
      </x:c>
      <x:c r="BR21" s="47"/>
      <x:c r="BS21" s="60"/>
      <x:c r="BT21" s="58">
        <x:f>(($O21*BR21)/100)+(BS21*12)</x:f>
      </x:c>
      <x:c r="BU21" s="47"/>
      <x:c r="BV21" s="60"/>
      <x:c r="BW21" s="58">
        <x:f>(($O21*BU21)/100)+(BV21*12)</x:f>
      </x:c>
      <x:c r="BX21" s="47"/>
      <x:c r="BY21" s="60"/>
      <x:c r="BZ21" s="58">
        <x:f>(($O21*BX21)/100)+(BY21*12)</x:f>
      </x:c>
      <x:c r="CA21" s="47"/>
      <x:c r="CB21" s="60"/>
      <x:c r="CC21" s="58">
        <x:f>(($O21*CA21)/100)+(CB21*12)</x:f>
      </x:c>
      <x:c r="CD21" s="47"/>
      <x:c r="CE21" s="60"/>
      <x:c r="CF21" s="58">
        <x:f>(($O21*CD21)/100)+(CE21*12)</x:f>
      </x:c>
      <x:c r="CG21" s="47"/>
      <x:c r="CH21" s="60"/>
      <x:c r="CI21" s="58">
        <x:f>(($O21*CG21)/100)+(CH21*12)</x:f>
      </x:c>
      <x:c r="CJ21" s="47"/>
      <x:c r="CK21" s="60"/>
      <x:c r="CL21" s="58">
        <x:f>(($O21*CJ21)/100)+(CK21*12)</x:f>
      </x:c>
      <x:c r="CM21" s="47"/>
      <x:c r="CN21" s="60"/>
      <x:c r="CO21" s="58">
        <x:f>(($O21*CM21)/100)+(CN21*12)</x:f>
      </x:c>
      <x:c r="CP21" s="47"/>
      <x:c r="CQ21" s="60"/>
      <x:c r="CR21" s="58">
        <x:f>(($O21*CP21)/100)+(CQ21*12)</x:f>
      </x:c>
      <x:c r="CS21" s="47"/>
      <x:c r="CT21" s="60"/>
      <x:c r="CU21" s="58">
        <x:f>(($O21*CS21)/100)+(CT21*12)</x:f>
      </x:c>
      <x:c r="CV21" s="47"/>
      <x:c r="CW21" s="60"/>
      <x:c r="CX21" s="58"/>
      <x:c r="CY21" s="47"/>
      <x:c r="CZ21" s="60"/>
      <x:c r="DA21" s="58"/>
      <x:c r="DB21" s="47"/>
      <x:c r="DC21" s="60"/>
      <x:c r="DD21" s="58"/>
      <x:c r="DE21" s="47"/>
      <x:c r="DF21" s="60"/>
      <x:c r="DG21" s="58"/>
      <x:c r="DH21" s="47"/>
      <x:c r="DI21" s="60"/>
      <x:c r="DJ21" s="58"/>
      <x:c r="DK21" s="47"/>
      <x:c r="DL21" s="60"/>
      <x:c r="DM21" s="58"/>
      <x:c r="DN21" s="11"/>
      <x:c r="DO21" s="61"/>
      <x:c r="DP21" s="62"/>
      <x:c r="DQ21" s="11"/>
      <x:c r="DR21" s="61"/>
      <x:c r="DS21" s="62"/>
      <x:c r="DT21" s="11"/>
      <x:c r="DU21" s="61"/>
      <x:c r="DV21" s="62"/>
    </x:row>
    <x:row r="22" spans="1:126" x14ac:dyDescent="0.3">
      <x:c r="A22" s="47"/>
      <x:c r="B22" s="70" t="s">
        <x:v>211</x:v>
      </x:c>
      <x:c r="C22" s="70" t="s">
        <x:v>154</x:v>
      </x:c>
      <x:c r="D22" s="70" t="s">
        <x:v>212</x:v>
      </x:c>
      <x:c r="E22" s="70" t="s">
        <x:v>154</x:v>
      </x:c>
      <x:c r="F22" s="70" t="s">
        <x:v>208</x:v>
      </x:c>
      <x:c r="G22" s="70" t="s">
        <x:v>157</x:v>
      </x:c>
      <x:c r="H22" s="70" t="s">
        <x:v>154</x:v>
      </x:c>
      <x:c r="I22" s="70" t="s">
        <x:v>158</x:v>
      </x:c>
      <x:c r="J22" s="70" t="s">
        <x:v>114</x:v>
      </x:c>
      <x:c r="K22" s="190" t="s">
        <x:v>213</x:v>
      </x:c>
      <x:c r="L22" s="191" t="s">
        <x:v>214</x:v>
      </x:c>
      <x:c r="M22" s="192">
        <x:f>IF(ISERROR(INDEX('Meter Type Data'!$B$2:$E$1165,SUMPRODUCT(--('Meter Type Data'!$B$2:$B$1165&lt;=Analysis!L22)*('Meter Type Data'!$C$2:$C$1165&gt;=Analysis!L22),ROW('Meter Type Data'!$B$2:$B$1165))-1,4))," ",INDEX('Meter Type Data'!$B$2:$E$1165,SUMPRODUCT(--('Meter Type Data'!$B$2:$B$1165&lt;=Analysis!L22)*('Meter Type Data'!$C$2:$C$1165&gt;=Analysis!L22),ROW('Meter Type Data'!$B$2:$B$1165))-1,4))</x:f>
      </x:c>
      <x:c r="N22" s="192">
        <x:v>0</x:v>
      </x:c>
      <x:c r="O22" s="69">
        <x:v>6.062</x:v>
      </x:c>
      <x:c r="P22" s="47">
        <x:v>0</x:v>
      </x:c>
      <x:c r="Q22" s="60"/>
      <x:c r="R22" s="58">
        <x:f>(($O22*P22)/100)+(Q22*12)</x:f>
      </x:c>
      <x:c r="S22" s="59"/>
      <x:c r="T22" s="59"/>
      <x:c r="U22" s="58">
        <x:f>(($O22*S22)/100)+(T22*12)</x:f>
      </x:c>
      <x:c r="V22" s="47"/>
      <x:c r="W22" s="60"/>
      <x:c r="X22" s="58">
        <x:f>(($O22*V22)/100)+(W22*12)</x:f>
      </x:c>
      <x:c r="Y22" s="47"/>
      <x:c r="Z22" s="60"/>
      <x:c r="AA22" s="58">
        <x:f>(($O22*Y22)/100)+(Z22*12)</x:f>
      </x:c>
      <x:c r="AB22" s="47"/>
      <x:c r="AC22" s="60"/>
      <x:c r="AD22" s="58">
        <x:f>(($O22*AB22)/100)+(AC22*12)</x:f>
      </x:c>
      <x:c r="AE22" s="47"/>
      <x:c r="AF22" s="60"/>
      <x:c r="AG22" s="58">
        <x:f>(($O22*AE22)/100)+(AF22*12)</x:f>
      </x:c>
      <x:c r="AH22" s="47"/>
      <x:c r="AI22" s="60"/>
      <x:c r="AJ22" s="58">
        <x:f>(($O22*AH22)/100)+(AI22*12)</x:f>
      </x:c>
      <x:c r="AK22" s="47"/>
      <x:c r="AL22" s="60"/>
      <x:c r="AM22" s="58">
        <x:f>(($O22*AK22)/100)+(AL22*12)</x:f>
      </x:c>
      <x:c r="AN22" s="47"/>
      <x:c r="AO22" s="60"/>
      <x:c r="AP22" s="58">
        <x:f>(($O22*AN22)/100)+(AO22*12)</x:f>
      </x:c>
      <x:c r="AQ22" s="47"/>
      <x:c r="AR22" s="60"/>
      <x:c r="AS22" s="58">
        <x:f>(($O22*AQ22)/100)+(AR22*12)</x:f>
      </x:c>
      <x:c r="AT22" s="47"/>
      <x:c r="AU22" s="60"/>
      <x:c r="AV22" s="58">
        <x:f>(($O22*AT22)/100)+(AU22*12)</x:f>
      </x:c>
      <x:c r="AW22" s="47"/>
      <x:c r="AX22" s="60"/>
      <x:c r="AY22" s="58">
        <x:f>(($O22*AW22)/100)+(AX22*12)</x:f>
      </x:c>
      <x:c r="AZ22" s="47"/>
      <x:c r="BA22" s="60"/>
      <x:c r="BB22" s="58">
        <x:f>(($O22*AZ22)/100)+(BA22*12)</x:f>
      </x:c>
      <x:c r="BC22" s="47"/>
      <x:c r="BD22" s="60"/>
      <x:c r="BE22" s="58">
        <x:f>(($O22*BC22)/100)+(BD22*12)</x:f>
      </x:c>
      <x:c r="BF22" s="47"/>
      <x:c r="BG22" s="60"/>
      <x:c r="BH22" s="58">
        <x:f>(($O22*BF22)/100)+(BG22*12)</x:f>
      </x:c>
      <x:c r="BI22" s="47"/>
      <x:c r="BJ22" s="60"/>
      <x:c r="BK22" s="58">
        <x:f>(($O22*BI22)/100)+(BJ22*12)</x:f>
      </x:c>
      <x:c r="BL22" s="47"/>
      <x:c r="BM22" s="60"/>
      <x:c r="BN22" s="58">
        <x:f>(($O22*BL22)/100)+(BM22*12)</x:f>
      </x:c>
      <x:c r="BO22" s="47"/>
      <x:c r="BP22" s="60"/>
      <x:c r="BQ22" s="58">
        <x:f>(($O22*BO22)/100)+(BP22*12)</x:f>
      </x:c>
      <x:c r="BR22" s="47"/>
      <x:c r="BS22" s="60"/>
      <x:c r="BT22" s="58">
        <x:f>(($O22*BR22)/100)+(BS22*12)</x:f>
      </x:c>
      <x:c r="BU22" s="47"/>
      <x:c r="BV22" s="60"/>
      <x:c r="BW22" s="58">
        <x:f>(($O22*BU22)/100)+(BV22*12)</x:f>
      </x:c>
      <x:c r="BX22" s="47"/>
      <x:c r="BY22" s="60"/>
      <x:c r="BZ22" s="58">
        <x:f>(($O22*BX22)/100)+(BY22*12)</x:f>
      </x:c>
      <x:c r="CA22" s="47"/>
      <x:c r="CB22" s="60"/>
      <x:c r="CC22" s="58">
        <x:f>(($O22*CA22)/100)+(CB22*12)</x:f>
      </x:c>
      <x:c r="CD22" s="47"/>
      <x:c r="CE22" s="60"/>
      <x:c r="CF22" s="58">
        <x:f>(($O22*CD22)/100)+(CE22*12)</x:f>
      </x:c>
      <x:c r="CG22" s="47"/>
      <x:c r="CH22" s="60"/>
      <x:c r="CI22" s="58">
        <x:f>(($O22*CG22)/100)+(CH22*12)</x:f>
      </x:c>
      <x:c r="CJ22" s="47"/>
      <x:c r="CK22" s="60"/>
      <x:c r="CL22" s="58">
        <x:f>(($O22*CJ22)/100)+(CK22*12)</x:f>
      </x:c>
      <x:c r="CM22" s="47"/>
      <x:c r="CN22" s="60"/>
      <x:c r="CO22" s="58">
        <x:f>(($O22*CM22)/100)+(CN22*12)</x:f>
      </x:c>
      <x:c r="CP22" s="47"/>
      <x:c r="CQ22" s="60"/>
      <x:c r="CR22" s="58">
        <x:f>(($O22*CP22)/100)+(CQ22*12)</x:f>
      </x:c>
      <x:c r="CS22" s="47"/>
      <x:c r="CT22" s="60"/>
      <x:c r="CU22" s="58">
        <x:f>(($O22*CS22)/100)+(CT22*12)</x:f>
      </x:c>
      <x:c r="CV22" s="47"/>
      <x:c r="CW22" s="60"/>
      <x:c r="CX22" s="58"/>
      <x:c r="CY22" s="47"/>
      <x:c r="CZ22" s="60"/>
      <x:c r="DA22" s="58"/>
      <x:c r="DB22" s="47"/>
      <x:c r="DC22" s="60"/>
      <x:c r="DD22" s="58"/>
      <x:c r="DE22" s="47"/>
      <x:c r="DF22" s="60"/>
      <x:c r="DG22" s="58"/>
      <x:c r="DH22" s="47"/>
      <x:c r="DI22" s="60"/>
      <x:c r="DJ22" s="58"/>
      <x:c r="DK22" s="47"/>
      <x:c r="DL22" s="60"/>
      <x:c r="DM22" s="58"/>
      <x:c r="DN22" s="11"/>
      <x:c r="DO22" s="61"/>
      <x:c r="DP22" s="62"/>
      <x:c r="DQ22" s="11"/>
      <x:c r="DR22" s="61"/>
      <x:c r="DS22" s="62"/>
      <x:c r="DT22" s="11"/>
      <x:c r="DU22" s="61"/>
      <x:c r="DV22" s="62"/>
    </x:row>
    <x:row r="23" spans="1:126" x14ac:dyDescent="0.3">
      <x:c r="A23" s="47"/>
      <x:c r="B23" s="70" t="s">
        <x:v>215</x:v>
      </x:c>
      <x:c r="C23" s="70" t="s">
        <x:v>154</x:v>
      </x:c>
      <x:c r="D23" s="70" t="s">
        <x:v>216</x:v>
      </x:c>
      <x:c r="E23" s="70" t="s">
        <x:v>154</x:v>
      </x:c>
      <x:c r="F23" s="70" t="s">
        <x:v>208</x:v>
      </x:c>
      <x:c r="G23" s="70" t="s">
        <x:v>157</x:v>
      </x:c>
      <x:c r="H23" s="70" t="s">
        <x:v>154</x:v>
      </x:c>
      <x:c r="I23" s="70" t="s">
        <x:v>158</x:v>
      </x:c>
      <x:c r="J23" s="70" t="s">
        <x:v>114</x:v>
      </x:c>
      <x:c r="K23" s="190" t="s">
        <x:v>217</x:v>
      </x:c>
      <x:c r="L23" s="191" t="s">
        <x:v>218</x:v>
      </x:c>
      <x:c r="M23" s="192">
        <x:f>IF(ISERROR(INDEX('Meter Type Data'!$B$2:$E$1165,SUMPRODUCT(--('Meter Type Data'!$B$2:$B$1165&lt;=Analysis!L23)*('Meter Type Data'!$C$2:$C$1165&gt;=Analysis!L23),ROW('Meter Type Data'!$B$2:$B$1165))-1,4))," ",INDEX('Meter Type Data'!$B$2:$E$1165,SUMPRODUCT(--('Meter Type Data'!$B$2:$B$1165&lt;=Analysis!L23)*('Meter Type Data'!$C$2:$C$1165&gt;=Analysis!L23),ROW('Meter Type Data'!$B$2:$B$1165))-1,4))</x:f>
      </x:c>
      <x:c r="N23" s="192">
        <x:v>0</x:v>
      </x:c>
      <x:c r="O23" s="69">
        <x:v>6.062</x:v>
      </x:c>
      <x:c r="P23" s="47">
        <x:v>0</x:v>
      </x:c>
      <x:c r="Q23" s="60"/>
      <x:c r="R23" s="58">
        <x:f>(($O23*P23)/100)+(Q23*12)</x:f>
      </x:c>
      <x:c r="S23" s="59"/>
      <x:c r="T23" s="59"/>
      <x:c r="U23" s="58">
        <x:f>(($O23*S23)/100)+(T23*12)</x:f>
      </x:c>
      <x:c r="V23" s="47"/>
      <x:c r="W23" s="60"/>
      <x:c r="X23" s="58">
        <x:f>(($O23*V23)/100)+(W23*12)</x:f>
      </x:c>
      <x:c r="Y23" s="47"/>
      <x:c r="Z23" s="60"/>
      <x:c r="AA23" s="58">
        <x:f>(($O23*Y23)/100)+(Z23*12)</x:f>
      </x:c>
      <x:c r="AB23" s="47"/>
      <x:c r="AC23" s="60"/>
      <x:c r="AD23" s="58">
        <x:f>(($O23*AB23)/100)+(AC23*12)</x:f>
      </x:c>
      <x:c r="AE23" s="47"/>
      <x:c r="AF23" s="60"/>
      <x:c r="AG23" s="58">
        <x:f>(($O23*AE23)/100)+(AF23*12)</x:f>
      </x:c>
      <x:c r="AH23" s="47"/>
      <x:c r="AI23" s="60"/>
      <x:c r="AJ23" s="58">
        <x:f>(($O23*AH23)/100)+(AI23*12)</x:f>
      </x:c>
      <x:c r="AK23" s="47"/>
      <x:c r="AL23" s="60"/>
      <x:c r="AM23" s="58">
        <x:f>(($O23*AK23)/100)+(AL23*12)</x:f>
      </x:c>
      <x:c r="AN23" s="47"/>
      <x:c r="AO23" s="60"/>
      <x:c r="AP23" s="58">
        <x:f>(($O23*AN23)/100)+(AO23*12)</x:f>
      </x:c>
      <x:c r="AQ23" s="47"/>
      <x:c r="AR23" s="60"/>
      <x:c r="AS23" s="58">
        <x:f>(($O23*AQ23)/100)+(AR23*12)</x:f>
      </x:c>
      <x:c r="AT23" s="47"/>
      <x:c r="AU23" s="60"/>
      <x:c r="AV23" s="58">
        <x:f>(($O23*AT23)/100)+(AU23*12)</x:f>
      </x:c>
      <x:c r="AW23" s="47"/>
      <x:c r="AX23" s="60"/>
      <x:c r="AY23" s="58">
        <x:f>(($O23*AW23)/100)+(AX23*12)</x:f>
      </x:c>
      <x:c r="AZ23" s="47"/>
      <x:c r="BA23" s="60"/>
      <x:c r="BB23" s="58">
        <x:f>(($O23*AZ23)/100)+(BA23*12)</x:f>
      </x:c>
      <x:c r="BC23" s="47"/>
      <x:c r="BD23" s="60"/>
      <x:c r="BE23" s="58">
        <x:f>(($O23*BC23)/100)+(BD23*12)</x:f>
      </x:c>
      <x:c r="BF23" s="47"/>
      <x:c r="BG23" s="60"/>
      <x:c r="BH23" s="58">
        <x:f>(($O23*BF23)/100)+(BG23*12)</x:f>
      </x:c>
      <x:c r="BI23" s="47"/>
      <x:c r="BJ23" s="60"/>
      <x:c r="BK23" s="58">
        <x:f>(($O23*BI23)/100)+(BJ23*12)</x:f>
      </x:c>
      <x:c r="BL23" s="47"/>
      <x:c r="BM23" s="60"/>
      <x:c r="BN23" s="58">
        <x:f>(($O23*BL23)/100)+(BM23*12)</x:f>
      </x:c>
      <x:c r="BO23" s="47"/>
      <x:c r="BP23" s="60"/>
      <x:c r="BQ23" s="58">
        <x:f>(($O23*BO23)/100)+(BP23*12)</x:f>
      </x:c>
      <x:c r="BR23" s="47"/>
      <x:c r="BS23" s="60"/>
      <x:c r="BT23" s="58">
        <x:f>(($O23*BR23)/100)+(BS23*12)</x:f>
      </x:c>
      <x:c r="BU23" s="47"/>
      <x:c r="BV23" s="60"/>
      <x:c r="BW23" s="58">
        <x:f>(($O23*BU23)/100)+(BV23*12)</x:f>
      </x:c>
      <x:c r="BX23" s="47"/>
      <x:c r="BY23" s="60"/>
      <x:c r="BZ23" s="58">
        <x:f>(($O23*BX23)/100)+(BY23*12)</x:f>
      </x:c>
      <x:c r="CA23" s="47"/>
      <x:c r="CB23" s="60"/>
      <x:c r="CC23" s="58">
        <x:f>(($O23*CA23)/100)+(CB23*12)</x:f>
      </x:c>
      <x:c r="CD23" s="47"/>
      <x:c r="CE23" s="60"/>
      <x:c r="CF23" s="58">
        <x:f>(($O23*CD23)/100)+(CE23*12)</x:f>
      </x:c>
      <x:c r="CG23" s="47"/>
      <x:c r="CH23" s="60"/>
      <x:c r="CI23" s="58">
        <x:f>(($O23*CG23)/100)+(CH23*12)</x:f>
      </x:c>
      <x:c r="CJ23" s="47"/>
      <x:c r="CK23" s="60"/>
      <x:c r="CL23" s="58">
        <x:f>(($O23*CJ23)/100)+(CK23*12)</x:f>
      </x:c>
      <x:c r="CM23" s="47"/>
      <x:c r="CN23" s="60"/>
      <x:c r="CO23" s="58">
        <x:f>(($O23*CM23)/100)+(CN23*12)</x:f>
      </x:c>
      <x:c r="CP23" s="47"/>
      <x:c r="CQ23" s="60"/>
      <x:c r="CR23" s="58">
        <x:f>(($O23*CP23)/100)+(CQ23*12)</x:f>
      </x:c>
      <x:c r="CS23" s="47"/>
      <x:c r="CT23" s="60"/>
      <x:c r="CU23" s="58">
        <x:f>(($O23*CS23)/100)+(CT23*12)</x:f>
      </x:c>
      <x:c r="CV23" s="47"/>
      <x:c r="CW23" s="60"/>
      <x:c r="CX23" s="58"/>
      <x:c r="CY23" s="47"/>
      <x:c r="CZ23" s="60"/>
      <x:c r="DA23" s="58"/>
      <x:c r="DB23" s="47"/>
      <x:c r="DC23" s="60"/>
      <x:c r="DD23" s="58"/>
      <x:c r="DE23" s="47"/>
      <x:c r="DF23" s="60"/>
      <x:c r="DG23" s="58"/>
      <x:c r="DH23" s="47"/>
      <x:c r="DI23" s="60"/>
      <x:c r="DJ23" s="58"/>
      <x:c r="DK23" s="47"/>
      <x:c r="DL23" s="60"/>
      <x:c r="DM23" s="58"/>
      <x:c r="DN23" s="11"/>
      <x:c r="DO23" s="61"/>
      <x:c r="DP23" s="62"/>
      <x:c r="DQ23" s="11"/>
      <x:c r="DR23" s="61"/>
      <x:c r="DS23" s="62"/>
      <x:c r="DT23" s="11"/>
      <x:c r="DU23" s="61"/>
      <x:c r="DV23" s="62"/>
    </x:row>
    <x:row r="24" spans="1:126" x14ac:dyDescent="0.3">
      <x:c r="A24" s="47"/>
      <x:c r="B24" s="70" t="s">
        <x:v>219</x:v>
      </x:c>
      <x:c r="C24" s="70" t="s">
        <x:v>154</x:v>
      </x:c>
      <x:c r="D24" s="70" t="s">
        <x:v>220</x:v>
      </x:c>
      <x:c r="E24" s="70" t="s">
        <x:v>154</x:v>
      </x:c>
      <x:c r="F24" s="70" t="s">
        <x:v>208</x:v>
      </x:c>
      <x:c r="G24" s="70" t="s">
        <x:v>157</x:v>
      </x:c>
      <x:c r="H24" s="70" t="s">
        <x:v>154</x:v>
      </x:c>
      <x:c r="I24" s="70" t="s">
        <x:v>158</x:v>
      </x:c>
      <x:c r="J24" s="70" t="s">
        <x:v>114</x:v>
      </x:c>
      <x:c r="K24" s="190" t="s">
        <x:v>221</x:v>
      </x:c>
      <x:c r="L24" s="191" t="s">
        <x:v>222</x:v>
      </x:c>
      <x:c r="M24" s="192">
        <x:f>IF(ISERROR(INDEX('Meter Type Data'!$B$2:$E$1165,SUMPRODUCT(--('Meter Type Data'!$B$2:$B$1165&lt;=Analysis!L24)*('Meter Type Data'!$C$2:$C$1165&gt;=Analysis!L24),ROW('Meter Type Data'!$B$2:$B$1165))-1,4))," ",INDEX('Meter Type Data'!$B$2:$E$1165,SUMPRODUCT(--('Meter Type Data'!$B$2:$B$1165&lt;=Analysis!L24)*('Meter Type Data'!$C$2:$C$1165&gt;=Analysis!L24),ROW('Meter Type Data'!$B$2:$B$1165))-1,4))</x:f>
      </x:c>
      <x:c r="N24" s="192">
        <x:v>0</x:v>
      </x:c>
      <x:c r="O24" s="69">
        <x:v>6.062</x:v>
      </x:c>
      <x:c r="P24" s="47">
        <x:v>0</x:v>
      </x:c>
      <x:c r="Q24" s="60"/>
      <x:c r="R24" s="58">
        <x:f>(($O24*P24)/100)+(Q24*12)</x:f>
      </x:c>
      <x:c r="S24" s="59"/>
      <x:c r="T24" s="59"/>
      <x:c r="U24" s="58">
        <x:f>(($O24*S24)/100)+(T24*12)</x:f>
      </x:c>
      <x:c r="V24" s="47"/>
      <x:c r="W24" s="60"/>
      <x:c r="X24" s="58">
        <x:f>(($O24*V24)/100)+(W24*12)</x:f>
      </x:c>
      <x:c r="Y24" s="47"/>
      <x:c r="Z24" s="60"/>
      <x:c r="AA24" s="58">
        <x:f>(($O24*Y24)/100)+(Z24*12)</x:f>
      </x:c>
      <x:c r="AB24" s="47"/>
      <x:c r="AC24" s="60"/>
      <x:c r="AD24" s="58">
        <x:f>(($O24*AB24)/100)+(AC24*12)</x:f>
      </x:c>
      <x:c r="AE24" s="47"/>
      <x:c r="AF24" s="60"/>
      <x:c r="AG24" s="58">
        <x:f>(($O24*AE24)/100)+(AF24*12)</x:f>
      </x:c>
      <x:c r="AH24" s="47"/>
      <x:c r="AI24" s="60"/>
      <x:c r="AJ24" s="58">
        <x:f>(($O24*AH24)/100)+(AI24*12)</x:f>
      </x:c>
      <x:c r="AK24" s="47"/>
      <x:c r="AL24" s="60"/>
      <x:c r="AM24" s="58">
        <x:f>(($O24*AK24)/100)+(AL24*12)</x:f>
      </x:c>
      <x:c r="AN24" s="47"/>
      <x:c r="AO24" s="60"/>
      <x:c r="AP24" s="58">
        <x:f>(($O24*AN24)/100)+(AO24*12)</x:f>
      </x:c>
      <x:c r="AQ24" s="47"/>
      <x:c r="AR24" s="60"/>
      <x:c r="AS24" s="58">
        <x:f>(($O24*AQ24)/100)+(AR24*12)</x:f>
      </x:c>
      <x:c r="AT24" s="47"/>
      <x:c r="AU24" s="60"/>
      <x:c r="AV24" s="58">
        <x:f>(($O24*AT24)/100)+(AU24*12)</x:f>
      </x:c>
      <x:c r="AW24" s="47"/>
      <x:c r="AX24" s="60"/>
      <x:c r="AY24" s="58">
        <x:f>(($O24*AW24)/100)+(AX24*12)</x:f>
      </x:c>
      <x:c r="AZ24" s="47"/>
      <x:c r="BA24" s="60"/>
      <x:c r="BB24" s="58">
        <x:f>(($O24*AZ24)/100)+(BA24*12)</x:f>
      </x:c>
      <x:c r="BC24" s="47"/>
      <x:c r="BD24" s="60"/>
      <x:c r="BE24" s="58">
        <x:f>(($O24*BC24)/100)+(BD24*12)</x:f>
      </x:c>
      <x:c r="BF24" s="47"/>
      <x:c r="BG24" s="60"/>
      <x:c r="BH24" s="58">
        <x:f>(($O24*BF24)/100)+(BG24*12)</x:f>
      </x:c>
      <x:c r="BI24" s="47"/>
      <x:c r="BJ24" s="60"/>
      <x:c r="BK24" s="58">
        <x:f>(($O24*BI24)/100)+(BJ24*12)</x:f>
      </x:c>
      <x:c r="BL24" s="47"/>
      <x:c r="BM24" s="60"/>
      <x:c r="BN24" s="58">
        <x:f>(($O24*BL24)/100)+(BM24*12)</x:f>
      </x:c>
      <x:c r="BO24" s="47"/>
      <x:c r="BP24" s="60"/>
      <x:c r="BQ24" s="58">
        <x:f>(($O24*BO24)/100)+(BP24*12)</x:f>
      </x:c>
      <x:c r="BR24" s="47"/>
      <x:c r="BS24" s="60"/>
      <x:c r="BT24" s="58">
        <x:f>(($O24*BR24)/100)+(BS24*12)</x:f>
      </x:c>
      <x:c r="BU24" s="47"/>
      <x:c r="BV24" s="60"/>
      <x:c r="BW24" s="58">
        <x:f>(($O24*BU24)/100)+(BV24*12)</x:f>
      </x:c>
      <x:c r="BX24" s="47"/>
      <x:c r="BY24" s="60"/>
      <x:c r="BZ24" s="58">
        <x:f>(($O24*BX24)/100)+(BY24*12)</x:f>
      </x:c>
      <x:c r="CA24" s="47"/>
      <x:c r="CB24" s="60"/>
      <x:c r="CC24" s="58">
        <x:f>(($O24*CA24)/100)+(CB24*12)</x:f>
      </x:c>
      <x:c r="CD24" s="47"/>
      <x:c r="CE24" s="60"/>
      <x:c r="CF24" s="58">
        <x:f>(($O24*CD24)/100)+(CE24*12)</x:f>
      </x:c>
      <x:c r="CG24" s="47"/>
      <x:c r="CH24" s="60"/>
      <x:c r="CI24" s="58">
        <x:f>(($O24*CG24)/100)+(CH24*12)</x:f>
      </x:c>
      <x:c r="CJ24" s="47"/>
      <x:c r="CK24" s="60"/>
      <x:c r="CL24" s="58">
        <x:f>(($O24*CJ24)/100)+(CK24*12)</x:f>
      </x:c>
      <x:c r="CM24" s="47"/>
      <x:c r="CN24" s="60"/>
      <x:c r="CO24" s="58">
        <x:f>(($O24*CM24)/100)+(CN24*12)</x:f>
      </x:c>
      <x:c r="CP24" s="47"/>
      <x:c r="CQ24" s="60"/>
      <x:c r="CR24" s="58">
        <x:f>(($O24*CP24)/100)+(CQ24*12)</x:f>
      </x:c>
      <x:c r="CS24" s="47"/>
      <x:c r="CT24" s="60"/>
      <x:c r="CU24" s="58">
        <x:f>(($O24*CS24)/100)+(CT24*12)</x:f>
      </x:c>
      <x:c r="CV24" s="47"/>
      <x:c r="CW24" s="60"/>
      <x:c r="CX24" s="58"/>
      <x:c r="CY24" s="47"/>
      <x:c r="CZ24" s="60"/>
      <x:c r="DA24" s="58"/>
      <x:c r="DB24" s="47"/>
      <x:c r="DC24" s="60"/>
      <x:c r="DD24" s="58"/>
      <x:c r="DE24" s="47"/>
      <x:c r="DF24" s="60"/>
      <x:c r="DG24" s="58"/>
      <x:c r="DH24" s="47"/>
      <x:c r="DI24" s="60"/>
      <x:c r="DJ24" s="58"/>
      <x:c r="DK24" s="47"/>
      <x:c r="DL24" s="60"/>
      <x:c r="DM24" s="58"/>
      <x:c r="DN24" s="11"/>
      <x:c r="DO24" s="61"/>
      <x:c r="DP24" s="62"/>
      <x:c r="DQ24" s="11"/>
      <x:c r="DR24" s="61"/>
      <x:c r="DS24" s="62"/>
      <x:c r="DT24" s="11"/>
      <x:c r="DU24" s="61"/>
      <x:c r="DV24" s="62"/>
    </x:row>
    <x:row r="25" spans="1:126" x14ac:dyDescent="0.3">
      <x:c r="A25" s="47"/>
      <x:c r="B25" s="70" t="s">
        <x:v>223</x:v>
      </x:c>
      <x:c r="C25" s="70" t="s">
        <x:v>154</x:v>
      </x:c>
      <x:c r="D25" s="70" t="s">
        <x:v>224</x:v>
      </x:c>
      <x:c r="E25" s="70" t="s">
        <x:v>154</x:v>
      </x:c>
      <x:c r="F25" s="70" t="s">
        <x:v>208</x:v>
      </x:c>
      <x:c r="G25" s="70" t="s">
        <x:v>157</x:v>
      </x:c>
      <x:c r="H25" s="70" t="s">
        <x:v>154</x:v>
      </x:c>
      <x:c r="I25" s="70" t="s">
        <x:v>158</x:v>
      </x:c>
      <x:c r="J25" s="70" t="s">
        <x:v>114</x:v>
      </x:c>
      <x:c r="K25" s="190" t="s">
        <x:v>225</x:v>
      </x:c>
      <x:c r="L25" s="191" t="s">
        <x:v>226</x:v>
      </x:c>
      <x:c r="M25" s="192">
        <x:f>IF(ISERROR(INDEX('Meter Type Data'!$B$2:$E$1165,SUMPRODUCT(--('Meter Type Data'!$B$2:$B$1165&lt;=Analysis!L25)*('Meter Type Data'!$C$2:$C$1165&gt;=Analysis!L25),ROW('Meter Type Data'!$B$2:$B$1165))-1,4))," ",INDEX('Meter Type Data'!$B$2:$E$1165,SUMPRODUCT(--('Meter Type Data'!$B$2:$B$1165&lt;=Analysis!L25)*('Meter Type Data'!$C$2:$C$1165&gt;=Analysis!L25),ROW('Meter Type Data'!$B$2:$B$1165))-1,4))</x:f>
      </x:c>
      <x:c r="N25" s="192">
        <x:v>0</x:v>
      </x:c>
      <x:c r="O25" s="69">
        <x:v>6.062</x:v>
      </x:c>
      <x:c r="P25" s="47">
        <x:v>0</x:v>
      </x:c>
      <x:c r="Q25" s="60"/>
      <x:c r="R25" s="58">
        <x:f>(($O25*P25)/100)+(Q25*12)</x:f>
      </x:c>
      <x:c r="S25" s="59"/>
      <x:c r="T25" s="59"/>
      <x:c r="U25" s="58">
        <x:f>(($O25*S25)/100)+(T25*12)</x:f>
      </x:c>
      <x:c r="V25" s="47"/>
      <x:c r="W25" s="60"/>
      <x:c r="X25" s="58">
        <x:f>(($O25*V25)/100)+(W25*12)</x:f>
      </x:c>
      <x:c r="Y25" s="47"/>
      <x:c r="Z25" s="60"/>
      <x:c r="AA25" s="58">
        <x:f>(($O25*Y25)/100)+(Z25*12)</x:f>
      </x:c>
      <x:c r="AB25" s="47"/>
      <x:c r="AC25" s="60"/>
      <x:c r="AD25" s="58">
        <x:f>(($O25*AB25)/100)+(AC25*12)</x:f>
      </x:c>
      <x:c r="AE25" s="47"/>
      <x:c r="AF25" s="60"/>
      <x:c r="AG25" s="58">
        <x:f>(($O25*AE25)/100)+(AF25*12)</x:f>
      </x:c>
      <x:c r="AH25" s="47"/>
      <x:c r="AI25" s="60"/>
      <x:c r="AJ25" s="58">
        <x:f>(($O25*AH25)/100)+(AI25*12)</x:f>
      </x:c>
      <x:c r="AK25" s="47"/>
      <x:c r="AL25" s="60"/>
      <x:c r="AM25" s="58">
        <x:f>(($O25*AK25)/100)+(AL25*12)</x:f>
      </x:c>
      <x:c r="AN25" s="47"/>
      <x:c r="AO25" s="60"/>
      <x:c r="AP25" s="58">
        <x:f>(($O25*AN25)/100)+(AO25*12)</x:f>
      </x:c>
      <x:c r="AQ25" s="47"/>
      <x:c r="AR25" s="60"/>
      <x:c r="AS25" s="58">
        <x:f>(($O25*AQ25)/100)+(AR25*12)</x:f>
      </x:c>
      <x:c r="AT25" s="47"/>
      <x:c r="AU25" s="60"/>
      <x:c r="AV25" s="58">
        <x:f>(($O25*AT25)/100)+(AU25*12)</x:f>
      </x:c>
      <x:c r="AW25" s="47"/>
      <x:c r="AX25" s="60"/>
      <x:c r="AY25" s="58">
        <x:f>(($O25*AW25)/100)+(AX25*12)</x:f>
      </x:c>
      <x:c r="AZ25" s="47"/>
      <x:c r="BA25" s="60"/>
      <x:c r="BB25" s="58">
        <x:f>(($O25*AZ25)/100)+(BA25*12)</x:f>
      </x:c>
      <x:c r="BC25" s="47"/>
      <x:c r="BD25" s="60"/>
      <x:c r="BE25" s="58">
        <x:f>(($O25*BC25)/100)+(BD25*12)</x:f>
      </x:c>
      <x:c r="BF25" s="47"/>
      <x:c r="BG25" s="60"/>
      <x:c r="BH25" s="58">
        <x:f>(($O25*BF25)/100)+(BG25*12)</x:f>
      </x:c>
      <x:c r="BI25" s="47"/>
      <x:c r="BJ25" s="60"/>
      <x:c r="BK25" s="58">
        <x:f>(($O25*BI25)/100)+(BJ25*12)</x:f>
      </x:c>
      <x:c r="BL25" s="47"/>
      <x:c r="BM25" s="60"/>
      <x:c r="BN25" s="58">
        <x:f>(($O25*BL25)/100)+(BM25*12)</x:f>
      </x:c>
      <x:c r="BO25" s="47"/>
      <x:c r="BP25" s="60"/>
      <x:c r="BQ25" s="58">
        <x:f>(($O25*BO25)/100)+(BP25*12)</x:f>
      </x:c>
      <x:c r="BR25" s="47"/>
      <x:c r="BS25" s="60"/>
      <x:c r="BT25" s="58">
        <x:f>(($O25*BR25)/100)+(BS25*12)</x:f>
      </x:c>
      <x:c r="BU25" s="47"/>
      <x:c r="BV25" s="60"/>
      <x:c r="BW25" s="58">
        <x:f>(($O25*BU25)/100)+(BV25*12)</x:f>
      </x:c>
      <x:c r="BX25" s="47"/>
      <x:c r="BY25" s="60"/>
      <x:c r="BZ25" s="58">
        <x:f>(($O25*BX25)/100)+(BY25*12)</x:f>
      </x:c>
      <x:c r="CA25" s="47"/>
      <x:c r="CB25" s="60"/>
      <x:c r="CC25" s="58">
        <x:f>(($O25*CA25)/100)+(CB25*12)</x:f>
      </x:c>
      <x:c r="CD25" s="47"/>
      <x:c r="CE25" s="60"/>
      <x:c r="CF25" s="58">
        <x:f>(($O25*CD25)/100)+(CE25*12)</x:f>
      </x:c>
      <x:c r="CG25" s="47"/>
      <x:c r="CH25" s="60"/>
      <x:c r="CI25" s="58">
        <x:f>(($O25*CG25)/100)+(CH25*12)</x:f>
      </x:c>
      <x:c r="CJ25" s="47"/>
      <x:c r="CK25" s="60"/>
      <x:c r="CL25" s="58">
        <x:f>(($O25*CJ25)/100)+(CK25*12)</x:f>
      </x:c>
      <x:c r="CM25" s="47"/>
      <x:c r="CN25" s="60"/>
      <x:c r="CO25" s="58">
        <x:f>(($O25*CM25)/100)+(CN25*12)</x:f>
      </x:c>
      <x:c r="CP25" s="47"/>
      <x:c r="CQ25" s="60"/>
      <x:c r="CR25" s="58">
        <x:f>(($O25*CP25)/100)+(CQ25*12)</x:f>
      </x:c>
      <x:c r="CS25" s="47"/>
      <x:c r="CT25" s="60"/>
      <x:c r="CU25" s="58">
        <x:f>(($O25*CS25)/100)+(CT25*12)</x:f>
      </x:c>
      <x:c r="CV25" s="47"/>
      <x:c r="CW25" s="60"/>
      <x:c r="CX25" s="58"/>
      <x:c r="CY25" s="47"/>
      <x:c r="CZ25" s="60"/>
      <x:c r="DA25" s="58"/>
      <x:c r="DB25" s="47"/>
      <x:c r="DC25" s="60"/>
      <x:c r="DD25" s="58"/>
      <x:c r="DE25" s="47"/>
      <x:c r="DF25" s="60"/>
      <x:c r="DG25" s="58"/>
      <x:c r="DH25" s="47"/>
      <x:c r="DI25" s="60"/>
      <x:c r="DJ25" s="58"/>
      <x:c r="DK25" s="47"/>
      <x:c r="DL25" s="60"/>
      <x:c r="DM25" s="58"/>
      <x:c r="DN25" s="11"/>
      <x:c r="DO25" s="61"/>
      <x:c r="DP25" s="62"/>
      <x:c r="DQ25" s="11"/>
      <x:c r="DR25" s="61"/>
      <x:c r="DS25" s="62"/>
      <x:c r="DT25" s="11"/>
      <x:c r="DU25" s="61"/>
      <x:c r="DV25" s="62"/>
    </x:row>
    <x:row r="26" spans="1:126" x14ac:dyDescent="0.3">
      <x:c r="A26" s="47"/>
      <x:c r="B26" s="70" t="s">
        <x:v>227</x:v>
      </x:c>
      <x:c r="C26" s="70" t="s">
        <x:v>154</x:v>
      </x:c>
      <x:c r="D26" s="70" t="s">
        <x:v>228</x:v>
      </x:c>
      <x:c r="E26" s="70" t="s">
        <x:v>154</x:v>
      </x:c>
      <x:c r="F26" s="70" t="s">
        <x:v>208</x:v>
      </x:c>
      <x:c r="G26" s="70" t="s">
        <x:v>157</x:v>
      </x:c>
      <x:c r="H26" s="70" t="s">
        <x:v>154</x:v>
      </x:c>
      <x:c r="I26" s="70" t="s">
        <x:v>158</x:v>
      </x:c>
      <x:c r="J26" s="70" t="s">
        <x:v>114</x:v>
      </x:c>
      <x:c r="K26" s="190" t="s">
        <x:v>229</x:v>
      </x:c>
      <x:c r="L26" s="191" t="s">
        <x:v>230</x:v>
      </x:c>
      <x:c r="M26" s="192">
        <x:f>IF(ISERROR(INDEX('Meter Type Data'!$B$2:$E$1165,SUMPRODUCT(--('Meter Type Data'!$B$2:$B$1165&lt;=Analysis!L26)*('Meter Type Data'!$C$2:$C$1165&gt;=Analysis!L26),ROW('Meter Type Data'!$B$2:$B$1165))-1,4))," ",INDEX('Meter Type Data'!$B$2:$E$1165,SUMPRODUCT(--('Meter Type Data'!$B$2:$B$1165&lt;=Analysis!L26)*('Meter Type Data'!$C$2:$C$1165&gt;=Analysis!L26),ROW('Meter Type Data'!$B$2:$B$1165))-1,4))</x:f>
      </x:c>
      <x:c r="N26" s="192">
        <x:v>0</x:v>
      </x:c>
      <x:c r="O26" s="69">
        <x:v>6.062</x:v>
      </x:c>
      <x:c r="P26" s="47">
        <x:v>0</x:v>
      </x:c>
      <x:c r="Q26" s="60"/>
      <x:c r="R26" s="58">
        <x:f>(($O26*P26)/100)+(Q26*12)</x:f>
      </x:c>
      <x:c r="S26" s="59"/>
      <x:c r="T26" s="59"/>
      <x:c r="U26" s="58">
        <x:f>(($O26*S26)/100)+(T26*12)</x:f>
      </x:c>
      <x:c r="V26" s="47"/>
      <x:c r="W26" s="60"/>
      <x:c r="X26" s="58">
        <x:f>(($O26*V26)/100)+(W26*12)</x:f>
      </x:c>
      <x:c r="Y26" s="47"/>
      <x:c r="Z26" s="60"/>
      <x:c r="AA26" s="58">
        <x:f>(($O26*Y26)/100)+(Z26*12)</x:f>
      </x:c>
      <x:c r="AB26" s="47"/>
      <x:c r="AC26" s="60"/>
      <x:c r="AD26" s="58">
        <x:f>(($O26*AB26)/100)+(AC26*12)</x:f>
      </x:c>
      <x:c r="AE26" s="47"/>
      <x:c r="AF26" s="60"/>
      <x:c r="AG26" s="58">
        <x:f>(($O26*AE26)/100)+(AF26*12)</x:f>
      </x:c>
      <x:c r="AH26" s="47"/>
      <x:c r="AI26" s="60"/>
      <x:c r="AJ26" s="58">
        <x:f>(($O26*AH26)/100)+(AI26*12)</x:f>
      </x:c>
      <x:c r="AK26" s="47"/>
      <x:c r="AL26" s="60"/>
      <x:c r="AM26" s="58">
        <x:f>(($O26*AK26)/100)+(AL26*12)</x:f>
      </x:c>
      <x:c r="AN26" s="47"/>
      <x:c r="AO26" s="60"/>
      <x:c r="AP26" s="58">
        <x:f>(($O26*AN26)/100)+(AO26*12)</x:f>
      </x:c>
      <x:c r="AQ26" s="47"/>
      <x:c r="AR26" s="60"/>
      <x:c r="AS26" s="58">
        <x:f>(($O26*AQ26)/100)+(AR26*12)</x:f>
      </x:c>
      <x:c r="AT26" s="47"/>
      <x:c r="AU26" s="60"/>
      <x:c r="AV26" s="58">
        <x:f>(($O26*AT26)/100)+(AU26*12)</x:f>
      </x:c>
      <x:c r="AW26" s="47"/>
      <x:c r="AX26" s="60"/>
      <x:c r="AY26" s="58">
        <x:f>(($O26*AW26)/100)+(AX26*12)</x:f>
      </x:c>
      <x:c r="AZ26" s="47"/>
      <x:c r="BA26" s="60"/>
      <x:c r="BB26" s="58">
        <x:f>(($O26*AZ26)/100)+(BA26*12)</x:f>
      </x:c>
      <x:c r="BC26" s="47"/>
      <x:c r="BD26" s="60"/>
      <x:c r="BE26" s="58">
        <x:f>(($O26*BC26)/100)+(BD26*12)</x:f>
      </x:c>
      <x:c r="BF26" s="47"/>
      <x:c r="BG26" s="60"/>
      <x:c r="BH26" s="58">
        <x:f>(($O26*BF26)/100)+(BG26*12)</x:f>
      </x:c>
      <x:c r="BI26" s="47"/>
      <x:c r="BJ26" s="60"/>
      <x:c r="BK26" s="58">
        <x:f>(($O26*BI26)/100)+(BJ26*12)</x:f>
      </x:c>
      <x:c r="BL26" s="47"/>
      <x:c r="BM26" s="60"/>
      <x:c r="BN26" s="58">
        <x:f>(($O26*BL26)/100)+(BM26*12)</x:f>
      </x:c>
      <x:c r="BO26" s="47"/>
      <x:c r="BP26" s="60"/>
      <x:c r="BQ26" s="58">
        <x:f>(($O26*BO26)/100)+(BP26*12)</x:f>
      </x:c>
      <x:c r="BR26" s="47"/>
      <x:c r="BS26" s="60"/>
      <x:c r="BT26" s="58">
        <x:f>(($O26*BR26)/100)+(BS26*12)</x:f>
      </x:c>
      <x:c r="BU26" s="47"/>
      <x:c r="BV26" s="60"/>
      <x:c r="BW26" s="58">
        <x:f>(($O26*BU26)/100)+(BV26*12)</x:f>
      </x:c>
      <x:c r="BX26" s="47"/>
      <x:c r="BY26" s="60"/>
      <x:c r="BZ26" s="58">
        <x:f>(($O26*BX26)/100)+(BY26*12)</x:f>
      </x:c>
      <x:c r="CA26" s="47"/>
      <x:c r="CB26" s="60"/>
      <x:c r="CC26" s="58">
        <x:f>(($O26*CA26)/100)+(CB26*12)</x:f>
      </x:c>
      <x:c r="CD26" s="47"/>
      <x:c r="CE26" s="60"/>
      <x:c r="CF26" s="58">
        <x:f>(($O26*CD26)/100)+(CE26*12)</x:f>
      </x:c>
      <x:c r="CG26" s="47"/>
      <x:c r="CH26" s="60"/>
      <x:c r="CI26" s="58">
        <x:f>(($O26*CG26)/100)+(CH26*12)</x:f>
      </x:c>
      <x:c r="CJ26" s="47"/>
      <x:c r="CK26" s="60"/>
      <x:c r="CL26" s="58">
        <x:f>(($O26*CJ26)/100)+(CK26*12)</x:f>
      </x:c>
      <x:c r="CM26" s="47"/>
      <x:c r="CN26" s="60"/>
      <x:c r="CO26" s="58">
        <x:f>(($O26*CM26)/100)+(CN26*12)</x:f>
      </x:c>
      <x:c r="CP26" s="47"/>
      <x:c r="CQ26" s="60"/>
      <x:c r="CR26" s="58">
        <x:f>(($O26*CP26)/100)+(CQ26*12)</x:f>
      </x:c>
      <x:c r="CS26" s="47"/>
      <x:c r="CT26" s="60"/>
      <x:c r="CU26" s="58">
        <x:f>(($O26*CS26)/100)+(CT26*12)</x:f>
      </x:c>
      <x:c r="CV26" s="47"/>
      <x:c r="CW26" s="60"/>
      <x:c r="CX26" s="58"/>
      <x:c r="CY26" s="47"/>
      <x:c r="CZ26" s="60"/>
      <x:c r="DA26" s="58"/>
      <x:c r="DB26" s="47"/>
      <x:c r="DC26" s="60"/>
      <x:c r="DD26" s="58"/>
      <x:c r="DE26" s="47"/>
      <x:c r="DF26" s="60"/>
      <x:c r="DG26" s="58"/>
      <x:c r="DH26" s="47"/>
      <x:c r="DI26" s="60"/>
      <x:c r="DJ26" s="58"/>
      <x:c r="DK26" s="47"/>
      <x:c r="DL26" s="60"/>
      <x:c r="DM26" s="58"/>
      <x:c r="DN26" s="11"/>
      <x:c r="DO26" s="61"/>
      <x:c r="DP26" s="62"/>
      <x:c r="DQ26" s="11"/>
      <x:c r="DR26" s="61"/>
      <x:c r="DS26" s="62"/>
      <x:c r="DT26" s="11"/>
      <x:c r="DU26" s="61"/>
      <x:c r="DV26" s="62"/>
    </x:row>
    <x:row r="27" spans="1:126" x14ac:dyDescent="0.3">
      <x:c r="A27" s="47"/>
      <x:c r="B27" s="70" t="s">
        <x:v>231</x:v>
      </x:c>
      <x:c r="C27" s="70" t="s">
        <x:v>154</x:v>
      </x:c>
      <x:c r="D27" s="70" t="s">
        <x:v>232</x:v>
      </x:c>
      <x:c r="E27" s="70" t="s">
        <x:v>154</x:v>
      </x:c>
      <x:c r="F27" s="70" t="s">
        <x:v>163</x:v>
      </x:c>
      <x:c r="G27" s="70" t="s">
        <x:v>157</x:v>
      </x:c>
      <x:c r="H27" s="70" t="s">
        <x:v>154</x:v>
      </x:c>
      <x:c r="I27" s="70" t="s">
        <x:v>158</x:v>
      </x:c>
      <x:c r="J27" s="70" t="s">
        <x:v>114</x:v>
      </x:c>
      <x:c r="K27" s="190" t="s">
        <x:v>233</x:v>
      </x:c>
      <x:c r="L27" s="191" t="s">
        <x:v>234</x:v>
      </x:c>
      <x:c r="M27" s="192">
        <x:f>IF(ISERROR(INDEX('Meter Type Data'!$B$2:$E$1165,SUMPRODUCT(--('Meter Type Data'!$B$2:$B$1165&lt;=Analysis!L27)*('Meter Type Data'!$C$2:$C$1165&gt;=Analysis!L27),ROW('Meter Type Data'!$B$2:$B$1165))-1,4))," ",INDEX('Meter Type Data'!$B$2:$E$1165,SUMPRODUCT(--('Meter Type Data'!$B$2:$B$1165&lt;=Analysis!L27)*('Meter Type Data'!$C$2:$C$1165&gt;=Analysis!L27),ROW('Meter Type Data'!$B$2:$B$1165))-1,4))</x:f>
      </x:c>
      <x:c r="N27" s="192">
        <x:v>0</x:v>
      </x:c>
      <x:c r="O27" s="69">
        <x:v>6.062</x:v>
      </x:c>
      <x:c r="P27" s="47">
        <x:v>0</x:v>
      </x:c>
      <x:c r="Q27" s="60"/>
      <x:c r="R27" s="58">
        <x:f>(($O27*P27)/100)+(Q27*12)</x:f>
      </x:c>
      <x:c r="S27" s="59"/>
      <x:c r="T27" s="59"/>
      <x:c r="U27" s="58">
        <x:f>(($O27*S27)/100)+(T27*12)</x:f>
      </x:c>
      <x:c r="V27" s="47"/>
      <x:c r="W27" s="60"/>
      <x:c r="X27" s="58">
        <x:f>(($O27*V27)/100)+(W27*12)</x:f>
      </x:c>
      <x:c r="Y27" s="47"/>
      <x:c r="Z27" s="60"/>
      <x:c r="AA27" s="58">
        <x:f>(($O27*Y27)/100)+(Z27*12)</x:f>
      </x:c>
      <x:c r="AB27" s="47"/>
      <x:c r="AC27" s="60"/>
      <x:c r="AD27" s="58">
        <x:f>(($O27*AB27)/100)+(AC27*12)</x:f>
      </x:c>
      <x:c r="AE27" s="47"/>
      <x:c r="AF27" s="60"/>
      <x:c r="AG27" s="58">
        <x:f>(($O27*AE27)/100)+(AF27*12)</x:f>
      </x:c>
      <x:c r="AH27" s="47"/>
      <x:c r="AI27" s="60"/>
      <x:c r="AJ27" s="58">
        <x:f>(($O27*AH27)/100)+(AI27*12)</x:f>
      </x:c>
      <x:c r="AK27" s="47"/>
      <x:c r="AL27" s="60"/>
      <x:c r="AM27" s="58">
        <x:f>(($O27*AK27)/100)+(AL27*12)</x:f>
      </x:c>
      <x:c r="AN27" s="47"/>
      <x:c r="AO27" s="60"/>
      <x:c r="AP27" s="58">
        <x:f>(($O27*AN27)/100)+(AO27*12)</x:f>
      </x:c>
      <x:c r="AQ27" s="47"/>
      <x:c r="AR27" s="60"/>
      <x:c r="AS27" s="58">
        <x:f>(($O27*AQ27)/100)+(AR27*12)</x:f>
      </x:c>
      <x:c r="AT27" s="47"/>
      <x:c r="AU27" s="60"/>
      <x:c r="AV27" s="58">
        <x:f>(($O27*AT27)/100)+(AU27*12)</x:f>
      </x:c>
      <x:c r="AW27" s="47"/>
      <x:c r="AX27" s="60"/>
      <x:c r="AY27" s="58">
        <x:f>(($O27*AW27)/100)+(AX27*12)</x:f>
      </x:c>
      <x:c r="AZ27" s="47"/>
      <x:c r="BA27" s="60"/>
      <x:c r="BB27" s="58">
        <x:f>(($O27*AZ27)/100)+(BA27*12)</x:f>
      </x:c>
      <x:c r="BC27" s="47"/>
      <x:c r="BD27" s="60"/>
      <x:c r="BE27" s="58">
        <x:f>(($O27*BC27)/100)+(BD27*12)</x:f>
      </x:c>
      <x:c r="BF27" s="47"/>
      <x:c r="BG27" s="60"/>
      <x:c r="BH27" s="58">
        <x:f>(($O27*BF27)/100)+(BG27*12)</x:f>
      </x:c>
      <x:c r="BI27" s="47"/>
      <x:c r="BJ27" s="60"/>
      <x:c r="BK27" s="58">
        <x:f>(($O27*BI27)/100)+(BJ27*12)</x:f>
      </x:c>
      <x:c r="BL27" s="47"/>
      <x:c r="BM27" s="60"/>
      <x:c r="BN27" s="58">
        <x:f>(($O27*BL27)/100)+(BM27*12)</x:f>
      </x:c>
      <x:c r="BO27" s="47"/>
      <x:c r="BP27" s="60"/>
      <x:c r="BQ27" s="58">
        <x:f>(($O27*BO27)/100)+(BP27*12)</x:f>
      </x:c>
      <x:c r="BR27" s="47"/>
      <x:c r="BS27" s="60"/>
      <x:c r="BT27" s="58">
        <x:f>(($O27*BR27)/100)+(BS27*12)</x:f>
      </x:c>
      <x:c r="BU27" s="47"/>
      <x:c r="BV27" s="60"/>
      <x:c r="BW27" s="58">
        <x:f>(($O27*BU27)/100)+(BV27*12)</x:f>
      </x:c>
      <x:c r="BX27" s="47"/>
      <x:c r="BY27" s="60"/>
      <x:c r="BZ27" s="58">
        <x:f>(($O27*BX27)/100)+(BY27*12)</x:f>
      </x:c>
      <x:c r="CA27" s="47"/>
      <x:c r="CB27" s="60"/>
      <x:c r="CC27" s="58">
        <x:f>(($O27*CA27)/100)+(CB27*12)</x:f>
      </x:c>
      <x:c r="CD27" s="47"/>
      <x:c r="CE27" s="60"/>
      <x:c r="CF27" s="58">
        <x:f>(($O27*CD27)/100)+(CE27*12)</x:f>
      </x:c>
      <x:c r="CG27" s="47"/>
      <x:c r="CH27" s="60"/>
      <x:c r="CI27" s="58">
        <x:f>(($O27*CG27)/100)+(CH27*12)</x:f>
      </x:c>
      <x:c r="CJ27" s="47"/>
      <x:c r="CK27" s="60"/>
      <x:c r="CL27" s="58">
        <x:f>(($O27*CJ27)/100)+(CK27*12)</x:f>
      </x:c>
      <x:c r="CM27" s="47"/>
      <x:c r="CN27" s="60"/>
      <x:c r="CO27" s="58">
        <x:f>(($O27*CM27)/100)+(CN27*12)</x:f>
      </x:c>
      <x:c r="CP27" s="47"/>
      <x:c r="CQ27" s="60"/>
      <x:c r="CR27" s="58">
        <x:f>(($O27*CP27)/100)+(CQ27*12)</x:f>
      </x:c>
      <x:c r="CS27" s="47"/>
      <x:c r="CT27" s="60"/>
      <x:c r="CU27" s="58">
        <x:f>(($O27*CS27)/100)+(CT27*12)</x:f>
      </x:c>
      <x:c r="CV27" s="47"/>
      <x:c r="CW27" s="60"/>
      <x:c r="CX27" s="58"/>
      <x:c r="CY27" s="47"/>
      <x:c r="CZ27" s="60"/>
      <x:c r="DA27" s="58"/>
      <x:c r="DB27" s="47"/>
      <x:c r="DC27" s="60"/>
      <x:c r="DD27" s="58"/>
      <x:c r="DE27" s="47"/>
      <x:c r="DF27" s="60"/>
      <x:c r="DG27" s="58"/>
      <x:c r="DH27" s="47"/>
      <x:c r="DI27" s="60"/>
      <x:c r="DJ27" s="58"/>
      <x:c r="DK27" s="47"/>
      <x:c r="DL27" s="60"/>
      <x:c r="DM27" s="58"/>
      <x:c r="DN27" s="11"/>
      <x:c r="DO27" s="61"/>
      <x:c r="DP27" s="62"/>
      <x:c r="DQ27" s="11"/>
      <x:c r="DR27" s="61"/>
      <x:c r="DS27" s="62"/>
      <x:c r="DT27" s="11"/>
      <x:c r="DU27" s="61"/>
      <x:c r="DV27" s="62"/>
    </x:row>
    <x:row r="28" spans="1:126" x14ac:dyDescent="0.3">
      <x:c r="A28" s="47"/>
      <x:c r="B28" s="70" t="s">
        <x:v>235</x:v>
      </x:c>
      <x:c r="C28" s="70" t="s">
        <x:v>154</x:v>
      </x:c>
      <x:c r="D28" s="70" t="s">
        <x:v>236</x:v>
      </x:c>
      <x:c r="E28" s="70" t="s">
        <x:v>154</x:v>
      </x:c>
      <x:c r="F28" s="70" t="s">
        <x:v>237</x:v>
      </x:c>
      <x:c r="G28" s="70" t="s">
        <x:v>157</x:v>
      </x:c>
      <x:c r="H28" s="70" t="s">
        <x:v>154</x:v>
      </x:c>
      <x:c r="I28" s="70" t="s">
        <x:v>158</x:v>
      </x:c>
      <x:c r="J28" s="70" t="s">
        <x:v>114</x:v>
      </x:c>
      <x:c r="K28" s="190" t="s">
        <x:v>238</x:v>
      </x:c>
      <x:c r="L28" s="191" t="s">
        <x:v>239</x:v>
      </x:c>
      <x:c r="M28" s="192">
        <x:f>IF(ISERROR(INDEX('Meter Type Data'!$B$2:$E$1165,SUMPRODUCT(--('Meter Type Data'!$B$2:$B$1165&lt;=Analysis!L28)*('Meter Type Data'!$C$2:$C$1165&gt;=Analysis!L28),ROW('Meter Type Data'!$B$2:$B$1165))-1,4))," ",INDEX('Meter Type Data'!$B$2:$E$1165,SUMPRODUCT(--('Meter Type Data'!$B$2:$B$1165&lt;=Analysis!L28)*('Meter Type Data'!$C$2:$C$1165&gt;=Analysis!L28),ROW('Meter Type Data'!$B$2:$B$1165))-1,4))</x:f>
      </x:c>
      <x:c r="N28" s="192">
        <x:v>0</x:v>
      </x:c>
      <x:c r="O28" s="69">
        <x:v>6.062</x:v>
      </x:c>
      <x:c r="P28" s="47">
        <x:v>0</x:v>
      </x:c>
      <x:c r="Q28" s="60"/>
      <x:c r="R28" s="58">
        <x:f>(($O28*P28)/100)+(Q28*12)</x:f>
      </x:c>
      <x:c r="S28" s="59"/>
      <x:c r="T28" s="59"/>
      <x:c r="U28" s="58">
        <x:f>(($O28*S28)/100)+(T28*12)</x:f>
      </x:c>
      <x:c r="V28" s="47"/>
      <x:c r="W28" s="60"/>
      <x:c r="X28" s="58">
        <x:f>(($O28*V28)/100)+(W28*12)</x:f>
      </x:c>
      <x:c r="Y28" s="47"/>
      <x:c r="Z28" s="60"/>
      <x:c r="AA28" s="58">
        <x:f>(($O28*Y28)/100)+(Z28*12)</x:f>
      </x:c>
      <x:c r="AB28" s="47"/>
      <x:c r="AC28" s="60"/>
      <x:c r="AD28" s="58">
        <x:f>(($O28*AB28)/100)+(AC28*12)</x:f>
      </x:c>
      <x:c r="AE28" s="47"/>
      <x:c r="AF28" s="60"/>
      <x:c r="AG28" s="58">
        <x:f>(($O28*AE28)/100)+(AF28*12)</x:f>
      </x:c>
      <x:c r="AH28" s="47"/>
      <x:c r="AI28" s="60"/>
      <x:c r="AJ28" s="58">
        <x:f>(($O28*AH28)/100)+(AI28*12)</x:f>
      </x:c>
      <x:c r="AK28" s="47"/>
      <x:c r="AL28" s="60"/>
      <x:c r="AM28" s="58">
        <x:f>(($O28*AK28)/100)+(AL28*12)</x:f>
      </x:c>
      <x:c r="AN28" s="47"/>
      <x:c r="AO28" s="60"/>
      <x:c r="AP28" s="58">
        <x:f>(($O28*AN28)/100)+(AO28*12)</x:f>
      </x:c>
      <x:c r="AQ28" s="47"/>
      <x:c r="AR28" s="60"/>
      <x:c r="AS28" s="58">
        <x:f>(($O28*AQ28)/100)+(AR28*12)</x:f>
      </x:c>
      <x:c r="AT28" s="47"/>
      <x:c r="AU28" s="60"/>
      <x:c r="AV28" s="58">
        <x:f>(($O28*AT28)/100)+(AU28*12)</x:f>
      </x:c>
      <x:c r="AW28" s="47"/>
      <x:c r="AX28" s="60"/>
      <x:c r="AY28" s="58">
        <x:f>(($O28*AW28)/100)+(AX28*12)</x:f>
      </x:c>
      <x:c r="AZ28" s="47"/>
      <x:c r="BA28" s="60"/>
      <x:c r="BB28" s="58">
        <x:f>(($O28*AZ28)/100)+(BA28*12)</x:f>
      </x:c>
      <x:c r="BC28" s="47"/>
      <x:c r="BD28" s="60"/>
      <x:c r="BE28" s="58">
        <x:f>(($O28*BC28)/100)+(BD28*12)</x:f>
      </x:c>
      <x:c r="BF28" s="47"/>
      <x:c r="BG28" s="60"/>
      <x:c r="BH28" s="58">
        <x:f>(($O28*BF28)/100)+(BG28*12)</x:f>
      </x:c>
      <x:c r="BI28" s="47"/>
      <x:c r="BJ28" s="60"/>
      <x:c r="BK28" s="58">
        <x:f>(($O28*BI28)/100)+(BJ28*12)</x:f>
      </x:c>
      <x:c r="BL28" s="47"/>
      <x:c r="BM28" s="60"/>
      <x:c r="BN28" s="58">
        <x:f>(($O28*BL28)/100)+(BM28*12)</x:f>
      </x:c>
      <x:c r="BO28" s="47"/>
      <x:c r="BP28" s="60"/>
      <x:c r="BQ28" s="58">
        <x:f>(($O28*BO28)/100)+(BP28*12)</x:f>
      </x:c>
      <x:c r="BR28" s="47"/>
      <x:c r="BS28" s="60"/>
      <x:c r="BT28" s="58">
        <x:f>(($O28*BR28)/100)+(BS28*12)</x:f>
      </x:c>
      <x:c r="BU28" s="47"/>
      <x:c r="BV28" s="60"/>
      <x:c r="BW28" s="58">
        <x:f>(($O28*BU28)/100)+(BV28*12)</x:f>
      </x:c>
      <x:c r="BX28" s="47"/>
      <x:c r="BY28" s="60"/>
      <x:c r="BZ28" s="58">
        <x:f>(($O28*BX28)/100)+(BY28*12)</x:f>
      </x:c>
      <x:c r="CA28" s="47"/>
      <x:c r="CB28" s="60"/>
      <x:c r="CC28" s="58">
        <x:f>(($O28*CA28)/100)+(CB28*12)</x:f>
      </x:c>
      <x:c r="CD28" s="47"/>
      <x:c r="CE28" s="60"/>
      <x:c r="CF28" s="58">
        <x:f>(($O28*CD28)/100)+(CE28*12)</x:f>
      </x:c>
      <x:c r="CG28" s="47"/>
      <x:c r="CH28" s="60"/>
      <x:c r="CI28" s="58">
        <x:f>(($O28*CG28)/100)+(CH28*12)</x:f>
      </x:c>
      <x:c r="CJ28" s="47"/>
      <x:c r="CK28" s="60"/>
      <x:c r="CL28" s="58">
        <x:f>(($O28*CJ28)/100)+(CK28*12)</x:f>
      </x:c>
      <x:c r="CM28" s="47"/>
      <x:c r="CN28" s="60"/>
      <x:c r="CO28" s="58">
        <x:f>(($O28*CM28)/100)+(CN28*12)</x:f>
      </x:c>
      <x:c r="CP28" s="47"/>
      <x:c r="CQ28" s="60"/>
      <x:c r="CR28" s="58">
        <x:f>(($O28*CP28)/100)+(CQ28*12)</x:f>
      </x:c>
      <x:c r="CS28" s="47"/>
      <x:c r="CT28" s="60"/>
      <x:c r="CU28" s="58">
        <x:f>(($O28*CS28)/100)+(CT28*12)</x:f>
      </x:c>
      <x:c r="CV28" s="47"/>
      <x:c r="CW28" s="60"/>
      <x:c r="CX28" s="58"/>
      <x:c r="CY28" s="47"/>
      <x:c r="CZ28" s="60"/>
      <x:c r="DA28" s="58"/>
      <x:c r="DB28" s="47"/>
      <x:c r="DC28" s="60"/>
      <x:c r="DD28" s="58"/>
      <x:c r="DE28" s="47"/>
      <x:c r="DF28" s="60"/>
      <x:c r="DG28" s="58"/>
      <x:c r="DH28" s="47"/>
      <x:c r="DI28" s="60"/>
      <x:c r="DJ28" s="58"/>
      <x:c r="DK28" s="47"/>
      <x:c r="DL28" s="60"/>
      <x:c r="DM28" s="58"/>
      <x:c r="DN28" s="11"/>
      <x:c r="DO28" s="61"/>
      <x:c r="DP28" s="62"/>
      <x:c r="DQ28" s="11"/>
      <x:c r="DR28" s="61"/>
      <x:c r="DS28" s="62"/>
      <x:c r="DT28" s="11"/>
      <x:c r="DU28" s="61"/>
      <x:c r="DV28" s="62"/>
    </x:row>
    <x:row r="29" spans="1:126" x14ac:dyDescent="0.3">
      <x:c r="A29" s="47"/>
      <x:c r="B29" s="70" t="s">
        <x:v>240</x:v>
      </x:c>
      <x:c r="C29" s="70" t="s">
        <x:v>154</x:v>
      </x:c>
      <x:c r="D29" s="70" t="s">
        <x:v>241</x:v>
      </x:c>
      <x:c r="E29" s="70" t="s">
        <x:v>154</x:v>
      </x:c>
      <x:c r="F29" s="70" t="s">
        <x:v>181</x:v>
      </x:c>
      <x:c r="G29" s="70" t="s">
        <x:v>157</x:v>
      </x:c>
      <x:c r="H29" s="70" t="s">
        <x:v>154</x:v>
      </x:c>
      <x:c r="I29" s="70" t="s">
        <x:v>158</x:v>
      </x:c>
      <x:c r="J29" s="70" t="s">
        <x:v>114</x:v>
      </x:c>
      <x:c r="K29" s="190" t="s">
        <x:v>242</x:v>
      </x:c>
      <x:c r="L29" s="191" t="s">
        <x:v>243</x:v>
      </x:c>
      <x:c r="M29" s="192">
        <x:f>IF(ISERROR(INDEX('Meter Type Data'!$B$2:$E$1165,SUMPRODUCT(--('Meter Type Data'!$B$2:$B$1165&lt;=Analysis!L29)*('Meter Type Data'!$C$2:$C$1165&gt;=Analysis!L29),ROW('Meter Type Data'!$B$2:$B$1165))-1,4))," ",INDEX('Meter Type Data'!$B$2:$E$1165,SUMPRODUCT(--('Meter Type Data'!$B$2:$B$1165&lt;=Analysis!L29)*('Meter Type Data'!$C$2:$C$1165&gt;=Analysis!L29),ROW('Meter Type Data'!$B$2:$B$1165))-1,4))</x:f>
      </x:c>
      <x:c r="N29" s="192">
        <x:v>0</x:v>
      </x:c>
      <x:c r="O29" s="69">
        <x:v>6.062</x:v>
      </x:c>
      <x:c r="P29" s="47">
        <x:v>0</x:v>
      </x:c>
      <x:c r="Q29" s="60"/>
      <x:c r="R29" s="58">
        <x:f>(($O29*P29)/100)+(Q29*12)</x:f>
      </x:c>
      <x:c r="S29" s="59"/>
      <x:c r="T29" s="59"/>
      <x:c r="U29" s="58">
        <x:f>(($O29*S29)/100)+(T29*12)</x:f>
      </x:c>
      <x:c r="V29" s="47"/>
      <x:c r="W29" s="60"/>
      <x:c r="X29" s="58">
        <x:f>(($O29*V29)/100)+(W29*12)</x:f>
      </x:c>
      <x:c r="Y29" s="47"/>
      <x:c r="Z29" s="60"/>
      <x:c r="AA29" s="58">
        <x:f>(($O29*Y29)/100)+(Z29*12)</x:f>
      </x:c>
      <x:c r="AB29" s="47"/>
      <x:c r="AC29" s="60"/>
      <x:c r="AD29" s="58">
        <x:f>(($O29*AB29)/100)+(AC29*12)</x:f>
      </x:c>
      <x:c r="AE29" s="47"/>
      <x:c r="AF29" s="60"/>
      <x:c r="AG29" s="58">
        <x:f>(($O29*AE29)/100)+(AF29*12)</x:f>
      </x:c>
      <x:c r="AH29" s="47"/>
      <x:c r="AI29" s="60"/>
      <x:c r="AJ29" s="58">
        <x:f>(($O29*AH29)/100)+(AI29*12)</x:f>
      </x:c>
      <x:c r="AK29" s="47"/>
      <x:c r="AL29" s="60"/>
      <x:c r="AM29" s="58">
        <x:f>(($O29*AK29)/100)+(AL29*12)</x:f>
      </x:c>
      <x:c r="AN29" s="47"/>
      <x:c r="AO29" s="60"/>
      <x:c r="AP29" s="58">
        <x:f>(($O29*AN29)/100)+(AO29*12)</x:f>
      </x:c>
      <x:c r="AQ29" s="47"/>
      <x:c r="AR29" s="60"/>
      <x:c r="AS29" s="58">
        <x:f>(($O29*AQ29)/100)+(AR29*12)</x:f>
      </x:c>
      <x:c r="AT29" s="47"/>
      <x:c r="AU29" s="60"/>
      <x:c r="AV29" s="58">
        <x:f>(($O29*AT29)/100)+(AU29*12)</x:f>
      </x:c>
      <x:c r="AW29" s="47"/>
      <x:c r="AX29" s="60"/>
      <x:c r="AY29" s="58">
        <x:f>(($O29*AW29)/100)+(AX29*12)</x:f>
      </x:c>
      <x:c r="AZ29" s="47"/>
      <x:c r="BA29" s="60"/>
      <x:c r="BB29" s="58">
        <x:f>(($O29*AZ29)/100)+(BA29*12)</x:f>
      </x:c>
      <x:c r="BC29" s="47"/>
      <x:c r="BD29" s="60"/>
      <x:c r="BE29" s="58">
        <x:f>(($O29*BC29)/100)+(BD29*12)</x:f>
      </x:c>
      <x:c r="BF29" s="47"/>
      <x:c r="BG29" s="60"/>
      <x:c r="BH29" s="58">
        <x:f>(($O29*BF29)/100)+(BG29*12)</x:f>
      </x:c>
      <x:c r="BI29" s="47"/>
      <x:c r="BJ29" s="60"/>
      <x:c r="BK29" s="58">
        <x:f>(($O29*BI29)/100)+(BJ29*12)</x:f>
      </x:c>
      <x:c r="BL29" s="47"/>
      <x:c r="BM29" s="60"/>
      <x:c r="BN29" s="58">
        <x:f>(($O29*BL29)/100)+(BM29*12)</x:f>
      </x:c>
      <x:c r="BO29" s="47"/>
      <x:c r="BP29" s="60"/>
      <x:c r="BQ29" s="58">
        <x:f>(($O29*BO29)/100)+(BP29*12)</x:f>
      </x:c>
      <x:c r="BR29" s="47"/>
      <x:c r="BS29" s="60"/>
      <x:c r="BT29" s="58">
        <x:f>(($O29*BR29)/100)+(BS29*12)</x:f>
      </x:c>
      <x:c r="BU29" s="47"/>
      <x:c r="BV29" s="60"/>
      <x:c r="BW29" s="58">
        <x:f>(($O29*BU29)/100)+(BV29*12)</x:f>
      </x:c>
      <x:c r="BX29" s="47"/>
      <x:c r="BY29" s="60"/>
      <x:c r="BZ29" s="58">
        <x:f>(($O29*BX29)/100)+(BY29*12)</x:f>
      </x:c>
      <x:c r="CA29" s="47"/>
      <x:c r="CB29" s="60"/>
      <x:c r="CC29" s="58">
        <x:f>(($O29*CA29)/100)+(CB29*12)</x:f>
      </x:c>
      <x:c r="CD29" s="47"/>
      <x:c r="CE29" s="60"/>
      <x:c r="CF29" s="58">
        <x:f>(($O29*CD29)/100)+(CE29*12)</x:f>
      </x:c>
      <x:c r="CG29" s="47"/>
      <x:c r="CH29" s="60"/>
      <x:c r="CI29" s="58">
        <x:f>(($O29*CG29)/100)+(CH29*12)</x:f>
      </x:c>
      <x:c r="CJ29" s="47"/>
      <x:c r="CK29" s="60"/>
      <x:c r="CL29" s="58">
        <x:f>(($O29*CJ29)/100)+(CK29*12)</x:f>
      </x:c>
      <x:c r="CM29" s="47"/>
      <x:c r="CN29" s="60"/>
      <x:c r="CO29" s="58">
        <x:f>(($O29*CM29)/100)+(CN29*12)</x:f>
      </x:c>
      <x:c r="CP29" s="47"/>
      <x:c r="CQ29" s="60"/>
      <x:c r="CR29" s="58">
        <x:f>(($O29*CP29)/100)+(CQ29*12)</x:f>
      </x:c>
      <x:c r="CS29" s="47"/>
      <x:c r="CT29" s="60"/>
      <x:c r="CU29" s="58">
        <x:f>(($O29*CS29)/100)+(CT29*12)</x:f>
      </x:c>
      <x:c r="CV29" s="47"/>
      <x:c r="CW29" s="60"/>
      <x:c r="CX29" s="58"/>
      <x:c r="CY29" s="47"/>
      <x:c r="CZ29" s="60"/>
      <x:c r="DA29" s="58"/>
      <x:c r="DB29" s="47"/>
      <x:c r="DC29" s="60"/>
      <x:c r="DD29" s="58"/>
      <x:c r="DE29" s="47"/>
      <x:c r="DF29" s="60"/>
      <x:c r="DG29" s="58"/>
      <x:c r="DH29" s="47"/>
      <x:c r="DI29" s="60"/>
      <x:c r="DJ29" s="58"/>
      <x:c r="DK29" s="47"/>
      <x:c r="DL29" s="60"/>
      <x:c r="DM29" s="58"/>
      <x:c r="DN29" s="11"/>
      <x:c r="DO29" s="61"/>
      <x:c r="DP29" s="62"/>
      <x:c r="DQ29" s="11"/>
      <x:c r="DR29" s="61"/>
      <x:c r="DS29" s="62"/>
      <x:c r="DT29" s="11"/>
      <x:c r="DU29" s="61"/>
      <x:c r="DV29" s="62"/>
    </x:row>
    <x:row r="30" spans="1:126" x14ac:dyDescent="0.3">
      <x:c r="A30" s="47"/>
      <x:c r="B30" s="70" t="s">
        <x:v>244</x:v>
      </x:c>
      <x:c r="C30" s="70" t="s">
        <x:v>154</x:v>
      </x:c>
      <x:c r="D30" s="70" t="s">
        <x:v>245</x:v>
      </x:c>
      <x:c r="E30" s="70" t="s">
        <x:v>154</x:v>
      </x:c>
      <x:c r="F30" s="70" t="s">
        <x:v>246</x:v>
      </x:c>
      <x:c r="G30" s="70" t="s">
        <x:v>157</x:v>
      </x:c>
      <x:c r="H30" s="70" t="s">
        <x:v>154</x:v>
      </x:c>
      <x:c r="I30" s="70" t="s">
        <x:v>158</x:v>
      </x:c>
      <x:c r="J30" s="70" t="s">
        <x:v>114</x:v>
      </x:c>
      <x:c r="K30" s="190" t="s">
        <x:v>247</x:v>
      </x:c>
      <x:c r="L30" s="191" t="s">
        <x:v>248</x:v>
      </x:c>
      <x:c r="M30" s="192">
        <x:f>IF(ISERROR(INDEX('Meter Type Data'!$B$2:$E$1165,SUMPRODUCT(--('Meter Type Data'!$B$2:$B$1165&lt;=Analysis!L30)*('Meter Type Data'!$C$2:$C$1165&gt;=Analysis!L30),ROW('Meter Type Data'!$B$2:$B$1165))-1,4))," ",INDEX('Meter Type Data'!$B$2:$E$1165,SUMPRODUCT(--('Meter Type Data'!$B$2:$B$1165&lt;=Analysis!L30)*('Meter Type Data'!$C$2:$C$1165&gt;=Analysis!L30),ROW('Meter Type Data'!$B$2:$B$1165))-1,4))</x:f>
      </x:c>
      <x:c r="N30" s="192">
        <x:v>0</x:v>
      </x:c>
      <x:c r="O30" s="69">
        <x:v>6.062</x:v>
      </x:c>
      <x:c r="P30" s="47">
        <x:v>0</x:v>
      </x:c>
      <x:c r="Q30" s="60"/>
      <x:c r="R30" s="58">
        <x:f>(($O30*P30)/100)+(Q30*12)</x:f>
      </x:c>
      <x:c r="S30" s="59"/>
      <x:c r="T30" s="59"/>
      <x:c r="U30" s="58">
        <x:f>(($O30*S30)/100)+(T30*12)</x:f>
      </x:c>
      <x:c r="V30" s="47"/>
      <x:c r="W30" s="60"/>
      <x:c r="X30" s="58">
        <x:f>(($O30*V30)/100)+(W30*12)</x:f>
      </x:c>
      <x:c r="Y30" s="47"/>
      <x:c r="Z30" s="60"/>
      <x:c r="AA30" s="58">
        <x:f>(($O30*Y30)/100)+(Z30*12)</x:f>
      </x:c>
      <x:c r="AB30" s="47"/>
      <x:c r="AC30" s="60"/>
      <x:c r="AD30" s="58">
        <x:f>(($O30*AB30)/100)+(AC30*12)</x:f>
      </x:c>
      <x:c r="AE30" s="47"/>
      <x:c r="AF30" s="60"/>
      <x:c r="AG30" s="58">
        <x:f>(($O30*AE30)/100)+(AF30*12)</x:f>
      </x:c>
      <x:c r="AH30" s="47"/>
      <x:c r="AI30" s="60"/>
      <x:c r="AJ30" s="58">
        <x:f>(($O30*AH30)/100)+(AI30*12)</x:f>
      </x:c>
      <x:c r="AK30" s="47"/>
      <x:c r="AL30" s="60"/>
      <x:c r="AM30" s="58">
        <x:f>(($O30*AK30)/100)+(AL30*12)</x:f>
      </x:c>
      <x:c r="AN30" s="47"/>
      <x:c r="AO30" s="60"/>
      <x:c r="AP30" s="58">
        <x:f>(($O30*AN30)/100)+(AO30*12)</x:f>
      </x:c>
      <x:c r="AQ30" s="47"/>
      <x:c r="AR30" s="60"/>
      <x:c r="AS30" s="58">
        <x:f>(($O30*AQ30)/100)+(AR30*12)</x:f>
      </x:c>
      <x:c r="AT30" s="47"/>
      <x:c r="AU30" s="60"/>
      <x:c r="AV30" s="58">
        <x:f>(($O30*AT30)/100)+(AU30*12)</x:f>
      </x:c>
      <x:c r="AW30" s="47"/>
      <x:c r="AX30" s="60"/>
      <x:c r="AY30" s="58">
        <x:f>(($O30*AW30)/100)+(AX30*12)</x:f>
      </x:c>
      <x:c r="AZ30" s="47"/>
      <x:c r="BA30" s="60"/>
      <x:c r="BB30" s="58">
        <x:f>(($O30*AZ30)/100)+(BA30*12)</x:f>
      </x:c>
      <x:c r="BC30" s="47"/>
      <x:c r="BD30" s="60"/>
      <x:c r="BE30" s="58">
        <x:f>(($O30*BC30)/100)+(BD30*12)</x:f>
      </x:c>
      <x:c r="BF30" s="47"/>
      <x:c r="BG30" s="60"/>
      <x:c r="BH30" s="58">
        <x:f>(($O30*BF30)/100)+(BG30*12)</x:f>
      </x:c>
      <x:c r="BI30" s="47"/>
      <x:c r="BJ30" s="60"/>
      <x:c r="BK30" s="58">
        <x:f>(($O30*BI30)/100)+(BJ30*12)</x:f>
      </x:c>
      <x:c r="BL30" s="47"/>
      <x:c r="BM30" s="60"/>
      <x:c r="BN30" s="58">
        <x:f>(($O30*BL30)/100)+(BM30*12)</x:f>
      </x:c>
      <x:c r="BO30" s="47"/>
      <x:c r="BP30" s="60"/>
      <x:c r="BQ30" s="58">
        <x:f>(($O30*BO30)/100)+(BP30*12)</x:f>
      </x:c>
      <x:c r="BR30" s="47"/>
      <x:c r="BS30" s="60"/>
      <x:c r="BT30" s="58">
        <x:f>(($O30*BR30)/100)+(BS30*12)</x:f>
      </x:c>
      <x:c r="BU30" s="47"/>
      <x:c r="BV30" s="60"/>
      <x:c r="BW30" s="58">
        <x:f>(($O30*BU30)/100)+(BV30*12)</x:f>
      </x:c>
      <x:c r="BX30" s="47"/>
      <x:c r="BY30" s="60"/>
      <x:c r="BZ30" s="58">
        <x:f>(($O30*BX30)/100)+(BY30*12)</x:f>
      </x:c>
      <x:c r="CA30" s="47"/>
      <x:c r="CB30" s="60"/>
      <x:c r="CC30" s="58">
        <x:f>(($O30*CA30)/100)+(CB30*12)</x:f>
      </x:c>
      <x:c r="CD30" s="47"/>
      <x:c r="CE30" s="60"/>
      <x:c r="CF30" s="58">
        <x:f>(($O30*CD30)/100)+(CE30*12)</x:f>
      </x:c>
      <x:c r="CG30" s="47"/>
      <x:c r="CH30" s="60"/>
      <x:c r="CI30" s="58">
        <x:f>(($O30*CG30)/100)+(CH30*12)</x:f>
      </x:c>
      <x:c r="CJ30" s="47"/>
      <x:c r="CK30" s="60"/>
      <x:c r="CL30" s="58">
        <x:f>(($O30*CJ30)/100)+(CK30*12)</x:f>
      </x:c>
      <x:c r="CM30" s="47"/>
      <x:c r="CN30" s="60"/>
      <x:c r="CO30" s="58">
        <x:f>(($O30*CM30)/100)+(CN30*12)</x:f>
      </x:c>
      <x:c r="CP30" s="47"/>
      <x:c r="CQ30" s="60"/>
      <x:c r="CR30" s="58">
        <x:f>(($O30*CP30)/100)+(CQ30*12)</x:f>
      </x:c>
      <x:c r="CS30" s="47"/>
      <x:c r="CT30" s="60"/>
      <x:c r="CU30" s="58">
        <x:f>(($O30*CS30)/100)+(CT30*12)</x:f>
      </x:c>
      <x:c r="CV30" s="47"/>
      <x:c r="CW30" s="60"/>
      <x:c r="CX30" s="58"/>
      <x:c r="CY30" s="47"/>
      <x:c r="CZ30" s="60"/>
      <x:c r="DA30" s="58"/>
      <x:c r="DB30" s="47"/>
      <x:c r="DC30" s="60"/>
      <x:c r="DD30" s="58"/>
      <x:c r="DE30" s="47"/>
      <x:c r="DF30" s="60"/>
      <x:c r="DG30" s="58"/>
      <x:c r="DH30" s="47"/>
      <x:c r="DI30" s="60"/>
      <x:c r="DJ30" s="58"/>
      <x:c r="DK30" s="47"/>
      <x:c r="DL30" s="60"/>
      <x:c r="DM30" s="58"/>
      <x:c r="DN30" s="11"/>
      <x:c r="DO30" s="61"/>
      <x:c r="DP30" s="62"/>
      <x:c r="DQ30" s="11"/>
      <x:c r="DR30" s="61"/>
      <x:c r="DS30" s="62"/>
      <x:c r="DT30" s="11"/>
      <x:c r="DU30" s="61"/>
      <x:c r="DV30" s="62"/>
    </x:row>
    <x:row r="31" spans="1:126" x14ac:dyDescent="0.3">
      <x:c r="A31" s="47"/>
      <x:c r="B31" s="70" t="s">
        <x:v>249</x:v>
      </x:c>
      <x:c r="C31" s="70" t="s">
        <x:v>154</x:v>
      </x:c>
      <x:c r="D31" s="70" t="s">
        <x:v>250</x:v>
      </x:c>
      <x:c r="E31" s="70" t="s">
        <x:v>154</x:v>
      </x:c>
      <x:c r="F31" s="70" t="s">
        <x:v>251</x:v>
      </x:c>
      <x:c r="G31" s="70" t="s">
        <x:v>157</x:v>
      </x:c>
      <x:c r="H31" s="70" t="s">
        <x:v>154</x:v>
      </x:c>
      <x:c r="I31" s="70" t="s">
        <x:v>158</x:v>
      </x:c>
      <x:c r="J31" s="70" t="s">
        <x:v>114</x:v>
      </x:c>
      <x:c r="K31" s="190" t="s">
        <x:v>252</x:v>
      </x:c>
      <x:c r="L31" s="191" t="s">
        <x:v>253</x:v>
      </x:c>
      <x:c r="M31" s="192">
        <x:f>IF(ISERROR(INDEX('Meter Type Data'!$B$2:$E$1165,SUMPRODUCT(--('Meter Type Data'!$B$2:$B$1165&lt;=Analysis!L31)*('Meter Type Data'!$C$2:$C$1165&gt;=Analysis!L31),ROW('Meter Type Data'!$B$2:$B$1165))-1,4))," ",INDEX('Meter Type Data'!$B$2:$E$1165,SUMPRODUCT(--('Meter Type Data'!$B$2:$B$1165&lt;=Analysis!L31)*('Meter Type Data'!$C$2:$C$1165&gt;=Analysis!L31),ROW('Meter Type Data'!$B$2:$B$1165))-1,4))</x:f>
      </x:c>
      <x:c r="N31" s="192">
        <x:v>0</x:v>
      </x:c>
      <x:c r="O31" s="69">
        <x:v>6.062</x:v>
      </x:c>
      <x:c r="P31" s="47">
        <x:v>0</x:v>
      </x:c>
      <x:c r="Q31" s="60"/>
      <x:c r="R31" s="58">
        <x:f>(($O31*P31)/100)+(Q31*12)</x:f>
      </x:c>
      <x:c r="S31" s="59"/>
      <x:c r="T31" s="59"/>
      <x:c r="U31" s="58">
        <x:f>(($O31*S31)/100)+(T31*12)</x:f>
      </x:c>
      <x:c r="V31" s="47"/>
      <x:c r="W31" s="60"/>
      <x:c r="X31" s="58">
        <x:f>(($O31*V31)/100)+(W31*12)</x:f>
      </x:c>
      <x:c r="Y31" s="47"/>
      <x:c r="Z31" s="60"/>
      <x:c r="AA31" s="58">
        <x:f>(($O31*Y31)/100)+(Z31*12)</x:f>
      </x:c>
      <x:c r="AB31" s="47"/>
      <x:c r="AC31" s="60"/>
      <x:c r="AD31" s="58">
        <x:f>(($O31*AB31)/100)+(AC31*12)</x:f>
      </x:c>
      <x:c r="AE31" s="47"/>
      <x:c r="AF31" s="60"/>
      <x:c r="AG31" s="58">
        <x:f>(($O31*AE31)/100)+(AF31*12)</x:f>
      </x:c>
      <x:c r="AH31" s="47"/>
      <x:c r="AI31" s="60"/>
      <x:c r="AJ31" s="58">
        <x:f>(($O31*AH31)/100)+(AI31*12)</x:f>
      </x:c>
      <x:c r="AK31" s="47"/>
      <x:c r="AL31" s="60"/>
      <x:c r="AM31" s="58">
        <x:f>(($O31*AK31)/100)+(AL31*12)</x:f>
      </x:c>
      <x:c r="AN31" s="47"/>
      <x:c r="AO31" s="60"/>
      <x:c r="AP31" s="58">
        <x:f>(($O31*AN31)/100)+(AO31*12)</x:f>
      </x:c>
      <x:c r="AQ31" s="47"/>
      <x:c r="AR31" s="60"/>
      <x:c r="AS31" s="58">
        <x:f>(($O31*AQ31)/100)+(AR31*12)</x:f>
      </x:c>
      <x:c r="AT31" s="47"/>
      <x:c r="AU31" s="60"/>
      <x:c r="AV31" s="58">
        <x:f>(($O31*AT31)/100)+(AU31*12)</x:f>
      </x:c>
      <x:c r="AW31" s="47"/>
      <x:c r="AX31" s="60"/>
      <x:c r="AY31" s="58">
        <x:f>(($O31*AW31)/100)+(AX31*12)</x:f>
      </x:c>
      <x:c r="AZ31" s="47"/>
      <x:c r="BA31" s="60"/>
      <x:c r="BB31" s="58">
        <x:f>(($O31*AZ31)/100)+(BA31*12)</x:f>
      </x:c>
      <x:c r="BC31" s="47"/>
      <x:c r="BD31" s="60"/>
      <x:c r="BE31" s="58">
        <x:f>(($O31*BC31)/100)+(BD31*12)</x:f>
      </x:c>
      <x:c r="BF31" s="47"/>
      <x:c r="BG31" s="60"/>
      <x:c r="BH31" s="58">
        <x:f>(($O31*BF31)/100)+(BG31*12)</x:f>
      </x:c>
      <x:c r="BI31" s="47"/>
      <x:c r="BJ31" s="60"/>
      <x:c r="BK31" s="58">
        <x:f>(($O31*BI31)/100)+(BJ31*12)</x:f>
      </x:c>
      <x:c r="BL31" s="47"/>
      <x:c r="BM31" s="60"/>
      <x:c r="BN31" s="58">
        <x:f>(($O31*BL31)/100)+(BM31*12)</x:f>
      </x:c>
      <x:c r="BO31" s="47"/>
      <x:c r="BP31" s="60"/>
      <x:c r="BQ31" s="58">
        <x:f>(($O31*BO31)/100)+(BP31*12)</x:f>
      </x:c>
      <x:c r="BR31" s="47"/>
      <x:c r="BS31" s="60"/>
      <x:c r="BT31" s="58">
        <x:f>(($O31*BR31)/100)+(BS31*12)</x:f>
      </x:c>
      <x:c r="BU31" s="47"/>
      <x:c r="BV31" s="60"/>
      <x:c r="BW31" s="58">
        <x:f>(($O31*BU31)/100)+(BV31*12)</x:f>
      </x:c>
      <x:c r="BX31" s="47"/>
      <x:c r="BY31" s="60"/>
      <x:c r="BZ31" s="58">
        <x:f>(($O31*BX31)/100)+(BY31*12)</x:f>
      </x:c>
      <x:c r="CA31" s="47"/>
      <x:c r="CB31" s="60"/>
      <x:c r="CC31" s="58">
        <x:f>(($O31*CA31)/100)+(CB31*12)</x:f>
      </x:c>
      <x:c r="CD31" s="47"/>
      <x:c r="CE31" s="60"/>
      <x:c r="CF31" s="58">
        <x:f>(($O31*CD31)/100)+(CE31*12)</x:f>
      </x:c>
      <x:c r="CG31" s="47"/>
      <x:c r="CH31" s="60"/>
      <x:c r="CI31" s="58">
        <x:f>(($O31*CG31)/100)+(CH31*12)</x:f>
      </x:c>
      <x:c r="CJ31" s="47"/>
      <x:c r="CK31" s="60"/>
      <x:c r="CL31" s="58">
        <x:f>(($O31*CJ31)/100)+(CK31*12)</x:f>
      </x:c>
      <x:c r="CM31" s="47"/>
      <x:c r="CN31" s="60"/>
      <x:c r="CO31" s="58">
        <x:f>(($O31*CM31)/100)+(CN31*12)</x:f>
      </x:c>
      <x:c r="CP31" s="47"/>
      <x:c r="CQ31" s="60"/>
      <x:c r="CR31" s="58">
        <x:f>(($O31*CP31)/100)+(CQ31*12)</x:f>
      </x:c>
      <x:c r="CS31" s="47"/>
      <x:c r="CT31" s="60"/>
      <x:c r="CU31" s="58">
        <x:f>(($O31*CS31)/100)+(CT31*12)</x:f>
      </x:c>
      <x:c r="CV31" s="47"/>
      <x:c r="CW31" s="60"/>
      <x:c r="CX31" s="58"/>
      <x:c r="CY31" s="47"/>
      <x:c r="CZ31" s="60"/>
      <x:c r="DA31" s="58"/>
      <x:c r="DB31" s="47"/>
      <x:c r="DC31" s="60"/>
      <x:c r="DD31" s="58"/>
      <x:c r="DE31" s="47"/>
      <x:c r="DF31" s="60"/>
      <x:c r="DG31" s="58"/>
      <x:c r="DH31" s="47"/>
      <x:c r="DI31" s="60"/>
      <x:c r="DJ31" s="58"/>
      <x:c r="DK31" s="47"/>
      <x:c r="DL31" s="60"/>
      <x:c r="DM31" s="58"/>
      <x:c r="DN31" s="11"/>
      <x:c r="DO31" s="61"/>
      <x:c r="DP31" s="62"/>
      <x:c r="DQ31" s="11"/>
      <x:c r="DR31" s="61"/>
      <x:c r="DS31" s="62"/>
      <x:c r="DT31" s="11"/>
      <x:c r="DU31" s="61"/>
      <x:c r="DV31" s="62"/>
    </x:row>
    <x:row r="32" spans="1:126" x14ac:dyDescent="0.3">
      <x:c r="A32" s="47"/>
      <x:c r="B32" s="70" t="s">
        <x:v>254</x:v>
      </x:c>
      <x:c r="C32" s="70" t="s">
        <x:v>154</x:v>
      </x:c>
      <x:c r="D32" s="70" t="s">
        <x:v>255</x:v>
      </x:c>
      <x:c r="E32" s="70" t="s">
        <x:v>154</x:v>
      </x:c>
      <x:c r="F32" s="70" t="s">
        <x:v>256</x:v>
      </x:c>
      <x:c r="G32" s="70" t="s">
        <x:v>157</x:v>
      </x:c>
      <x:c r="H32" s="70" t="s">
        <x:v>154</x:v>
      </x:c>
      <x:c r="I32" s="70" t="s">
        <x:v>158</x:v>
      </x:c>
      <x:c r="J32" s="70" t="s">
        <x:v>114</x:v>
      </x:c>
      <x:c r="K32" s="190" t="s">
        <x:v>257</x:v>
      </x:c>
      <x:c r="L32" s="191" t="s">
        <x:v>258</x:v>
      </x:c>
      <x:c r="M32" s="192">
        <x:f>IF(ISERROR(INDEX('Meter Type Data'!$B$2:$E$1165,SUMPRODUCT(--('Meter Type Data'!$B$2:$B$1165&lt;=Analysis!L32)*('Meter Type Data'!$C$2:$C$1165&gt;=Analysis!L32),ROW('Meter Type Data'!$B$2:$B$1165))-1,4))," ",INDEX('Meter Type Data'!$B$2:$E$1165,SUMPRODUCT(--('Meter Type Data'!$B$2:$B$1165&lt;=Analysis!L32)*('Meter Type Data'!$C$2:$C$1165&gt;=Analysis!L32),ROW('Meter Type Data'!$B$2:$B$1165))-1,4))</x:f>
      </x:c>
      <x:c r="N32" s="192">
        <x:v>0</x:v>
      </x:c>
      <x:c r="O32" s="69">
        <x:v>6.062</x:v>
      </x:c>
      <x:c r="P32" s="47">
        <x:v>0</x:v>
      </x:c>
      <x:c r="Q32" s="60"/>
      <x:c r="R32" s="58">
        <x:f>(($O32*P32)/100)+(Q32*12)</x:f>
      </x:c>
      <x:c r="S32" s="59"/>
      <x:c r="T32" s="59"/>
      <x:c r="U32" s="58">
        <x:f>(($O32*S32)/100)+(T32*12)</x:f>
      </x:c>
      <x:c r="V32" s="47"/>
      <x:c r="W32" s="60"/>
      <x:c r="X32" s="58">
        <x:f>(($O32*V32)/100)+(W32*12)</x:f>
      </x:c>
      <x:c r="Y32" s="47"/>
      <x:c r="Z32" s="60"/>
      <x:c r="AA32" s="58">
        <x:f>(($O32*Y32)/100)+(Z32*12)</x:f>
      </x:c>
      <x:c r="AB32" s="47"/>
      <x:c r="AC32" s="60"/>
      <x:c r="AD32" s="58">
        <x:f>(($O32*AB32)/100)+(AC32*12)</x:f>
      </x:c>
      <x:c r="AE32" s="47"/>
      <x:c r="AF32" s="60"/>
      <x:c r="AG32" s="58">
        <x:f>(($O32*AE32)/100)+(AF32*12)</x:f>
      </x:c>
      <x:c r="AH32" s="47"/>
      <x:c r="AI32" s="60"/>
      <x:c r="AJ32" s="58">
        <x:f>(($O32*AH32)/100)+(AI32*12)</x:f>
      </x:c>
      <x:c r="AK32" s="47"/>
      <x:c r="AL32" s="60"/>
      <x:c r="AM32" s="58">
        <x:f>(($O32*AK32)/100)+(AL32*12)</x:f>
      </x:c>
      <x:c r="AN32" s="47"/>
      <x:c r="AO32" s="60"/>
      <x:c r="AP32" s="58">
        <x:f>(($O32*AN32)/100)+(AO32*12)</x:f>
      </x:c>
      <x:c r="AQ32" s="47"/>
      <x:c r="AR32" s="60"/>
      <x:c r="AS32" s="58">
        <x:f>(($O32*AQ32)/100)+(AR32*12)</x:f>
      </x:c>
      <x:c r="AT32" s="47"/>
      <x:c r="AU32" s="60"/>
      <x:c r="AV32" s="58">
        <x:f>(($O32*AT32)/100)+(AU32*12)</x:f>
      </x:c>
      <x:c r="AW32" s="47"/>
      <x:c r="AX32" s="60"/>
      <x:c r="AY32" s="58">
        <x:f>(($O32*AW32)/100)+(AX32*12)</x:f>
      </x:c>
      <x:c r="AZ32" s="47"/>
      <x:c r="BA32" s="60"/>
      <x:c r="BB32" s="58">
        <x:f>(($O32*AZ32)/100)+(BA32*12)</x:f>
      </x:c>
      <x:c r="BC32" s="47"/>
      <x:c r="BD32" s="60"/>
      <x:c r="BE32" s="58">
        <x:f>(($O32*BC32)/100)+(BD32*12)</x:f>
      </x:c>
      <x:c r="BF32" s="47"/>
      <x:c r="BG32" s="60"/>
      <x:c r="BH32" s="58">
        <x:f>(($O32*BF32)/100)+(BG32*12)</x:f>
      </x:c>
      <x:c r="BI32" s="47"/>
      <x:c r="BJ32" s="60"/>
      <x:c r="BK32" s="58">
        <x:f>(($O32*BI32)/100)+(BJ32*12)</x:f>
      </x:c>
      <x:c r="BL32" s="47"/>
      <x:c r="BM32" s="60"/>
      <x:c r="BN32" s="58">
        <x:f>(($O32*BL32)/100)+(BM32*12)</x:f>
      </x:c>
      <x:c r="BO32" s="47"/>
      <x:c r="BP32" s="60"/>
      <x:c r="BQ32" s="58">
        <x:f>(($O32*BO32)/100)+(BP32*12)</x:f>
      </x:c>
      <x:c r="BR32" s="47"/>
      <x:c r="BS32" s="60"/>
      <x:c r="BT32" s="58">
        <x:f>(($O32*BR32)/100)+(BS32*12)</x:f>
      </x:c>
      <x:c r="BU32" s="47"/>
      <x:c r="BV32" s="60"/>
      <x:c r="BW32" s="58">
        <x:f>(($O32*BU32)/100)+(BV32*12)</x:f>
      </x:c>
      <x:c r="BX32" s="47"/>
      <x:c r="BY32" s="60"/>
      <x:c r="BZ32" s="58">
        <x:f>(($O32*BX32)/100)+(BY32*12)</x:f>
      </x:c>
      <x:c r="CA32" s="47"/>
      <x:c r="CB32" s="60"/>
      <x:c r="CC32" s="58">
        <x:f>(($O32*CA32)/100)+(CB32*12)</x:f>
      </x:c>
      <x:c r="CD32" s="47"/>
      <x:c r="CE32" s="60"/>
      <x:c r="CF32" s="58">
        <x:f>(($O32*CD32)/100)+(CE32*12)</x:f>
      </x:c>
      <x:c r="CG32" s="47"/>
      <x:c r="CH32" s="60"/>
      <x:c r="CI32" s="58">
        <x:f>(($O32*CG32)/100)+(CH32*12)</x:f>
      </x:c>
      <x:c r="CJ32" s="47"/>
      <x:c r="CK32" s="60"/>
      <x:c r="CL32" s="58">
        <x:f>(($O32*CJ32)/100)+(CK32*12)</x:f>
      </x:c>
      <x:c r="CM32" s="47"/>
      <x:c r="CN32" s="60"/>
      <x:c r="CO32" s="58">
        <x:f>(($O32*CM32)/100)+(CN32*12)</x:f>
      </x:c>
      <x:c r="CP32" s="47"/>
      <x:c r="CQ32" s="60"/>
      <x:c r="CR32" s="58">
        <x:f>(($O32*CP32)/100)+(CQ32*12)</x:f>
      </x:c>
      <x:c r="CS32" s="47"/>
      <x:c r="CT32" s="60"/>
      <x:c r="CU32" s="58">
        <x:f>(($O32*CS32)/100)+(CT32*12)</x:f>
      </x:c>
      <x:c r="CV32" s="47"/>
      <x:c r="CW32" s="60"/>
      <x:c r="CX32" s="58"/>
      <x:c r="CY32" s="47"/>
      <x:c r="CZ32" s="60"/>
      <x:c r="DA32" s="58"/>
      <x:c r="DB32" s="47"/>
      <x:c r="DC32" s="60"/>
      <x:c r="DD32" s="58"/>
      <x:c r="DE32" s="47"/>
      <x:c r="DF32" s="60"/>
      <x:c r="DG32" s="58"/>
      <x:c r="DH32" s="47"/>
      <x:c r="DI32" s="60"/>
      <x:c r="DJ32" s="58"/>
      <x:c r="DK32" s="47"/>
      <x:c r="DL32" s="60"/>
      <x:c r="DM32" s="58"/>
      <x:c r="DN32" s="11"/>
      <x:c r="DO32" s="61"/>
      <x:c r="DP32" s="62"/>
      <x:c r="DQ32" s="11"/>
      <x:c r="DR32" s="61"/>
      <x:c r="DS32" s="62"/>
      <x:c r="DT32" s="11"/>
      <x:c r="DU32" s="61"/>
      <x:c r="DV32" s="62"/>
    </x:row>
    <x:row r="33" spans="1:126" x14ac:dyDescent="0.3">
      <x:c r="A33" s="47"/>
      <x:c r="B33" s="70"/>
      <x:c r="C33" s="70"/>
      <x:c r="D33" s="70"/>
      <x:c r="E33" s="70"/>
      <x:c r="F33" s="70"/>
      <x:c r="G33" s="70"/>
      <x:c r="H33" s="70"/>
      <x:c r="I33" s="70"/>
      <x:c r="J33" s="70"/>
      <x:c r="K33" s="190"/>
      <x:c r="L33" s="191"/>
      <x:c r="M33" s="192">
        <x:f>IF(ISERROR(INDEX('Meter Type Data'!$B$2:$E$1165,SUMPRODUCT(--('Meter Type Data'!$B$2:$B$1165&lt;=Analysis!L33)*('Meter Type Data'!$C$2:$C$1165&gt;=Analysis!L33),ROW('Meter Type Data'!$B$2:$B$1165))-1,4))," ",INDEX('Meter Type Data'!$B$2:$E$1165,SUMPRODUCT(--('Meter Type Data'!$B$2:$B$1165&lt;=Analysis!L33)*('Meter Type Data'!$C$2:$C$1165&gt;=Analysis!L33),ROW('Meter Type Data'!$B$2:$B$1165))-1,4))</x:f>
      </x:c>
      <x:c r="N33" s="192">
        <x:f>IF(ISERROR(INDEX('Meter Type Data'!$B$2:$D$1165,SUMPRODUCT(--('Meter Type Data'!$B$2:$B$1165&lt;=Analysis!L33)*('Meter Type Data'!$C$2:$C$1165&gt;=Analysis!L33),ROW('Meter Type Data'!$B$2:$B$1165))-1,3))," ",INDEX('Meter Type Data'!$B$2:$D$1165,SUMPRODUCT(--('Meter Type Data'!$B$2:$B$1165&lt;=Analysis!L33)*('Meter Type Data'!$C$2:$C$1165&gt;=Analysis!L33),ROW('Meter Type Data'!$B$2:$B$1165))-1,3))</x:f>
      </x:c>
      <x:c r="O33" s="69"/>
      <x:c r="P33" s="47"/>
      <x:c r="Q33" s="60"/>
      <x:c r="R33" s="58">
        <x:f>(($O33*P33)/100)+(Q33*12)</x:f>
      </x:c>
      <x:c r="S33" s="59"/>
      <x:c r="T33" s="59"/>
      <x:c r="U33" s="58">
        <x:f>(($O33*S33)/100)+(T33*12)</x:f>
      </x:c>
      <x:c r="V33" s="47"/>
      <x:c r="W33" s="60"/>
      <x:c r="X33" s="58">
        <x:f>(($O33*V33)/100)+(W33*12)</x:f>
      </x:c>
      <x:c r="Y33" s="47"/>
      <x:c r="Z33" s="60"/>
      <x:c r="AA33" s="58">
        <x:f>(($O33*Y33)/100)+(Z33*12)</x:f>
      </x:c>
      <x:c r="AB33" s="47"/>
      <x:c r="AC33" s="60"/>
      <x:c r="AD33" s="58">
        <x:f>(($O33*AB33)/100)+(AC33*12)</x:f>
      </x:c>
      <x:c r="AE33" s="47"/>
      <x:c r="AF33" s="60"/>
      <x:c r="AG33" s="58">
        <x:f>(($O33*AE33)/100)+(AF33*12)</x:f>
      </x:c>
      <x:c r="AH33" s="47"/>
      <x:c r="AI33" s="60"/>
      <x:c r="AJ33" s="58">
        <x:f>(($O33*AH33)/100)+(AI33*12)</x:f>
      </x:c>
      <x:c r="AK33" s="47"/>
      <x:c r="AL33" s="60"/>
      <x:c r="AM33" s="58">
        <x:f>(($O33*AK33)/100)+(AL33*12)</x:f>
      </x:c>
      <x:c r="AN33" s="47"/>
      <x:c r="AO33" s="60"/>
      <x:c r="AP33" s="58">
        <x:f>(($O33*AN33)/100)+(AO33*12)</x:f>
      </x:c>
      <x:c r="AQ33" s="47"/>
      <x:c r="AR33" s="60"/>
      <x:c r="AS33" s="58">
        <x:f>(($O33*AQ33)/100)+(AR33*12)</x:f>
      </x:c>
      <x:c r="AT33" s="47"/>
      <x:c r="AU33" s="60"/>
      <x:c r="AV33" s="58">
        <x:f>(($O33*AT33)/100)+(AU33*12)</x:f>
      </x:c>
      <x:c r="AW33" s="47"/>
      <x:c r="AX33" s="60"/>
      <x:c r="AY33" s="58">
        <x:f>(($O33*AW33)/100)+(AX33*12)</x:f>
      </x:c>
      <x:c r="AZ33" s="47"/>
      <x:c r="BA33" s="60"/>
      <x:c r="BB33" s="58">
        <x:f>(($O33*AZ33)/100)+(BA33*12)</x:f>
      </x:c>
      <x:c r="BC33" s="47"/>
      <x:c r="BD33" s="60"/>
      <x:c r="BE33" s="58">
        <x:f>(($O33*BC33)/100)+(BD33*12)</x:f>
      </x:c>
      <x:c r="BF33" s="47"/>
      <x:c r="BG33" s="60"/>
      <x:c r="BH33" s="58">
        <x:f>(($O33*BF33)/100)+(BG33*12)</x:f>
      </x:c>
      <x:c r="BI33" s="47"/>
      <x:c r="BJ33" s="60"/>
      <x:c r="BK33" s="58">
        <x:f>(($O33*BI33)/100)+(BJ33*12)</x:f>
      </x:c>
      <x:c r="BL33" s="47"/>
      <x:c r="BM33" s="60"/>
      <x:c r="BN33" s="58">
        <x:f>(($O33*BL33)/100)+(BM33*12)</x:f>
      </x:c>
      <x:c r="BO33" s="47"/>
      <x:c r="BP33" s="60"/>
      <x:c r="BQ33" s="58">
        <x:f>(($O33*BO33)/100)+(BP33*12)</x:f>
      </x:c>
      <x:c r="BR33" s="47"/>
      <x:c r="BS33" s="60"/>
      <x:c r="BT33" s="58">
        <x:f>(($O33*BR33)/100)+(BS33*12)</x:f>
      </x:c>
      <x:c r="BU33" s="47"/>
      <x:c r="BV33" s="60"/>
      <x:c r="BW33" s="58">
        <x:f>(($O33*BU33)/100)+(BV33*12)</x:f>
      </x:c>
      <x:c r="BX33" s="47"/>
      <x:c r="BY33" s="60"/>
      <x:c r="BZ33" s="58">
        <x:f>(($O33*BX33)/100)+(BY33*12)</x:f>
      </x:c>
      <x:c r="CA33" s="47"/>
      <x:c r="CB33" s="60"/>
      <x:c r="CC33" s="58">
        <x:f>(($O33*CA33)/100)+(CB33*12)</x:f>
      </x:c>
      <x:c r="CD33" s="47"/>
      <x:c r="CE33" s="60"/>
      <x:c r="CF33" s="58">
        <x:f>(($O33*CD33)/100)+(CE33*12)</x:f>
      </x:c>
      <x:c r="CG33" s="47"/>
      <x:c r="CH33" s="60"/>
      <x:c r="CI33" s="58">
        <x:f>(($O33*CG33)/100)+(CH33*12)</x:f>
      </x:c>
      <x:c r="CJ33" s="47"/>
      <x:c r="CK33" s="60"/>
      <x:c r="CL33" s="58">
        <x:f>(($O33*CJ33)/100)+(CK33*12)</x:f>
      </x:c>
      <x:c r="CM33" s="47"/>
      <x:c r="CN33" s="60"/>
      <x:c r="CO33" s="58">
        <x:f>(($O33*CM33)/100)+(CN33*12)</x:f>
      </x:c>
      <x:c r="CP33" s="47"/>
      <x:c r="CQ33" s="60"/>
      <x:c r="CR33" s="58">
        <x:f>(($O33*CP33)/100)+(CQ33*12)</x:f>
      </x:c>
      <x:c r="CS33" s="47"/>
      <x:c r="CT33" s="60"/>
      <x:c r="CU33" s="58">
        <x:f>(($O33*CS33)/100)+(CT33*12)</x:f>
      </x:c>
      <x:c r="CV33" s="47"/>
      <x:c r="CW33" s="60"/>
      <x:c r="CX33" s="58"/>
      <x:c r="CY33" s="47"/>
      <x:c r="CZ33" s="60"/>
      <x:c r="DA33" s="58"/>
      <x:c r="DB33" s="47"/>
      <x:c r="DC33" s="60"/>
      <x:c r="DD33" s="58"/>
      <x:c r="DE33" s="47"/>
      <x:c r="DF33" s="60"/>
      <x:c r="DG33" s="58"/>
      <x:c r="DH33" s="47"/>
      <x:c r="DI33" s="60"/>
      <x:c r="DJ33" s="58"/>
      <x:c r="DK33" s="47"/>
      <x:c r="DL33" s="60"/>
      <x:c r="DM33" s="58"/>
      <x:c r="DN33" s="11"/>
      <x:c r="DO33" s="61"/>
      <x:c r="DP33" s="62"/>
      <x:c r="DQ33" s="11"/>
      <x:c r="DR33" s="61"/>
      <x:c r="DS33" s="62"/>
      <x:c r="DT33" s="11"/>
      <x:c r="DU33" s="61"/>
      <x:c r="DV33" s="62"/>
    </x:row>
    <x:row r="34" spans="1:126" x14ac:dyDescent="0.3">
      <x:c r="A34" s="47"/>
      <x:c r="B34" s="70"/>
      <x:c r="C34" s="70"/>
      <x:c r="D34" s="70"/>
      <x:c r="E34" s="70"/>
      <x:c r="F34" s="70"/>
      <x:c r="G34" s="70"/>
      <x:c r="H34" s="70"/>
      <x:c r="I34" s="70"/>
      <x:c r="J34" s="70"/>
      <x:c r="K34" s="190"/>
      <x:c r="L34" s="191"/>
      <x:c r="M34" s="192">
        <x:f>IF(ISERROR(INDEX('Meter Type Data'!$B$2:$E$1165,SUMPRODUCT(--('Meter Type Data'!$B$2:$B$1165&lt;=Analysis!L34)*('Meter Type Data'!$C$2:$C$1165&gt;=Analysis!L34),ROW('Meter Type Data'!$B$2:$B$1165))-1,4))," ",INDEX('Meter Type Data'!$B$2:$E$1165,SUMPRODUCT(--('Meter Type Data'!$B$2:$B$1165&lt;=Analysis!L34)*('Meter Type Data'!$C$2:$C$1165&gt;=Analysis!L34),ROW('Meter Type Data'!$B$2:$B$1165))-1,4))</x:f>
      </x:c>
      <x:c r="N34" s="192">
        <x:f>IF(ISERROR(INDEX('Meter Type Data'!$B$2:$D$1165,SUMPRODUCT(--('Meter Type Data'!$B$2:$B$1165&lt;=Analysis!L34)*('Meter Type Data'!$C$2:$C$1165&gt;=Analysis!L34),ROW('Meter Type Data'!$B$2:$B$1165))-1,3))," ",INDEX('Meter Type Data'!$B$2:$D$1165,SUMPRODUCT(--('Meter Type Data'!$B$2:$B$1165&lt;=Analysis!L34)*('Meter Type Data'!$C$2:$C$1165&gt;=Analysis!L34),ROW('Meter Type Data'!$B$2:$B$1165))-1,3))</x:f>
      </x:c>
      <x:c r="O34" s="69"/>
      <x:c r="P34" s="47"/>
      <x:c r="Q34" s="60"/>
      <x:c r="R34" s="58">
        <x:f>(($O34*P34)/100)+(Q34*12)</x:f>
      </x:c>
      <x:c r="S34" s="59"/>
      <x:c r="T34" s="59"/>
      <x:c r="U34" s="58">
        <x:f>(($O34*S34)/100)+(T34*12)</x:f>
      </x:c>
      <x:c r="V34" s="47"/>
      <x:c r="W34" s="60"/>
      <x:c r="X34" s="58">
        <x:f>(($O34*V34)/100)+(W34*12)</x:f>
      </x:c>
      <x:c r="Y34" s="47"/>
      <x:c r="Z34" s="60"/>
      <x:c r="AA34" s="58">
        <x:f>(($O34*Y34)/100)+(Z34*12)</x:f>
      </x:c>
      <x:c r="AB34" s="47"/>
      <x:c r="AC34" s="60"/>
      <x:c r="AD34" s="58">
        <x:f>(($O34*AB34)/100)+(AC34*12)</x:f>
      </x:c>
      <x:c r="AE34" s="47"/>
      <x:c r="AF34" s="60"/>
      <x:c r="AG34" s="58">
        <x:f>(($O34*AE34)/100)+(AF34*12)</x:f>
      </x:c>
      <x:c r="AH34" s="47"/>
      <x:c r="AI34" s="60"/>
      <x:c r="AJ34" s="58">
        <x:f>(($O34*AH34)/100)+(AI34*12)</x:f>
      </x:c>
      <x:c r="AK34" s="47"/>
      <x:c r="AL34" s="60"/>
      <x:c r="AM34" s="58">
        <x:f>(($O34*AK34)/100)+(AL34*12)</x:f>
      </x:c>
      <x:c r="AN34" s="47"/>
      <x:c r="AO34" s="60"/>
      <x:c r="AP34" s="58">
        <x:f>(($O34*AN34)/100)+(AO34*12)</x:f>
      </x:c>
      <x:c r="AQ34" s="47"/>
      <x:c r="AR34" s="60"/>
      <x:c r="AS34" s="58">
        <x:f>(($O34*AQ34)/100)+(AR34*12)</x:f>
      </x:c>
      <x:c r="AT34" s="47"/>
      <x:c r="AU34" s="60"/>
      <x:c r="AV34" s="58">
        <x:f>(($O34*AT34)/100)+(AU34*12)</x:f>
      </x:c>
      <x:c r="AW34" s="47"/>
      <x:c r="AX34" s="60"/>
      <x:c r="AY34" s="58">
        <x:f>(($O34*AW34)/100)+(AX34*12)</x:f>
      </x:c>
      <x:c r="AZ34" s="47"/>
      <x:c r="BA34" s="60"/>
      <x:c r="BB34" s="58">
        <x:f>(($O34*AZ34)/100)+(BA34*12)</x:f>
      </x:c>
      <x:c r="BC34" s="47"/>
      <x:c r="BD34" s="60"/>
      <x:c r="BE34" s="58">
        <x:f>(($O34*BC34)/100)+(BD34*12)</x:f>
      </x:c>
      <x:c r="BF34" s="47"/>
      <x:c r="BG34" s="60"/>
      <x:c r="BH34" s="58">
        <x:f>(($O34*BF34)/100)+(BG34*12)</x:f>
      </x:c>
      <x:c r="BI34" s="47"/>
      <x:c r="BJ34" s="60"/>
      <x:c r="BK34" s="58">
        <x:f>(($O34*BI34)/100)+(BJ34*12)</x:f>
      </x:c>
      <x:c r="BL34" s="47"/>
      <x:c r="BM34" s="60"/>
      <x:c r="BN34" s="58">
        <x:f>(($O34*BL34)/100)+(BM34*12)</x:f>
      </x:c>
      <x:c r="BO34" s="47"/>
      <x:c r="BP34" s="60"/>
      <x:c r="BQ34" s="58">
        <x:f>(($O34*BO34)/100)+(BP34*12)</x:f>
      </x:c>
      <x:c r="BR34" s="47"/>
      <x:c r="BS34" s="60"/>
      <x:c r="BT34" s="58">
        <x:f>(($O34*BR34)/100)+(BS34*12)</x:f>
      </x:c>
      <x:c r="BU34" s="47"/>
      <x:c r="BV34" s="60"/>
      <x:c r="BW34" s="58">
        <x:f>(($O34*BU34)/100)+(BV34*12)</x:f>
      </x:c>
      <x:c r="BX34" s="47"/>
      <x:c r="BY34" s="60"/>
      <x:c r="BZ34" s="58">
        <x:f>(($O34*BX34)/100)+(BY34*12)</x:f>
      </x:c>
      <x:c r="CA34" s="47"/>
      <x:c r="CB34" s="60"/>
      <x:c r="CC34" s="58">
        <x:f>(($O34*CA34)/100)+(CB34*12)</x:f>
      </x:c>
      <x:c r="CD34" s="47"/>
      <x:c r="CE34" s="60"/>
      <x:c r="CF34" s="58">
        <x:f>(($O34*CD34)/100)+(CE34*12)</x:f>
      </x:c>
      <x:c r="CG34" s="47"/>
      <x:c r="CH34" s="60"/>
      <x:c r="CI34" s="58">
        <x:f>(($O34*CG34)/100)+(CH34*12)</x:f>
      </x:c>
      <x:c r="CJ34" s="47"/>
      <x:c r="CK34" s="60"/>
      <x:c r="CL34" s="58">
        <x:f>(($O34*CJ34)/100)+(CK34*12)</x:f>
      </x:c>
      <x:c r="CM34" s="47"/>
      <x:c r="CN34" s="60"/>
      <x:c r="CO34" s="58">
        <x:f>(($O34*CM34)/100)+(CN34*12)</x:f>
      </x:c>
      <x:c r="CP34" s="47"/>
      <x:c r="CQ34" s="60"/>
      <x:c r="CR34" s="58">
        <x:f>(($O34*CP34)/100)+(CQ34*12)</x:f>
      </x:c>
      <x:c r="CS34" s="47"/>
      <x:c r="CT34" s="60"/>
      <x:c r="CU34" s="58">
        <x:f>(($O34*CS34)/100)+(CT34*12)</x:f>
      </x:c>
      <x:c r="CV34" s="47"/>
      <x:c r="CW34" s="60"/>
      <x:c r="CX34" s="58"/>
      <x:c r="CY34" s="47"/>
      <x:c r="CZ34" s="60"/>
      <x:c r="DA34" s="58"/>
      <x:c r="DB34" s="47"/>
      <x:c r="DC34" s="60"/>
      <x:c r="DD34" s="58"/>
      <x:c r="DE34" s="47"/>
      <x:c r="DF34" s="60"/>
      <x:c r="DG34" s="58"/>
      <x:c r="DH34" s="47"/>
      <x:c r="DI34" s="60"/>
      <x:c r="DJ34" s="58"/>
      <x:c r="DK34" s="47"/>
      <x:c r="DL34" s="60"/>
      <x:c r="DM34" s="58"/>
      <x:c r="DN34" s="11"/>
      <x:c r="DO34" s="61"/>
      <x:c r="DP34" s="62"/>
      <x:c r="DQ34" s="11"/>
      <x:c r="DR34" s="61"/>
      <x:c r="DS34" s="62"/>
      <x:c r="DT34" s="11"/>
      <x:c r="DU34" s="61"/>
      <x:c r="DV34" s="62"/>
    </x:row>
    <x:row r="35" spans="1:126" x14ac:dyDescent="0.3">
      <x:c r="A35" s="47"/>
      <x:c r="B35" s="70"/>
      <x:c r="C35" s="70"/>
      <x:c r="D35" s="70"/>
      <x:c r="E35" s="70"/>
      <x:c r="F35" s="70"/>
      <x:c r="G35" s="70"/>
      <x:c r="H35" s="70"/>
      <x:c r="I35" s="70"/>
      <x:c r="J35" s="70"/>
      <x:c r="K35" s="190"/>
      <x:c r="L35" s="191"/>
      <x:c r="M35" s="192">
        <x:f>IF(ISERROR(INDEX('Meter Type Data'!$B$2:$E$1165,SUMPRODUCT(--('Meter Type Data'!$B$2:$B$1165&lt;=Analysis!L35)*('Meter Type Data'!$C$2:$C$1165&gt;=Analysis!L35),ROW('Meter Type Data'!$B$2:$B$1165))-1,4))," ",INDEX('Meter Type Data'!$B$2:$E$1165,SUMPRODUCT(--('Meter Type Data'!$B$2:$B$1165&lt;=Analysis!L35)*('Meter Type Data'!$C$2:$C$1165&gt;=Analysis!L35),ROW('Meter Type Data'!$B$2:$B$1165))-1,4))</x:f>
      </x:c>
      <x:c r="N35" s="192">
        <x:f>IF(ISERROR(INDEX('Meter Type Data'!$B$2:$D$1165,SUMPRODUCT(--('Meter Type Data'!$B$2:$B$1165&lt;=Analysis!L35)*('Meter Type Data'!$C$2:$C$1165&gt;=Analysis!L35),ROW('Meter Type Data'!$B$2:$B$1165))-1,3))," ",INDEX('Meter Type Data'!$B$2:$D$1165,SUMPRODUCT(--('Meter Type Data'!$B$2:$B$1165&lt;=Analysis!L35)*('Meter Type Data'!$C$2:$C$1165&gt;=Analysis!L35),ROW('Meter Type Data'!$B$2:$B$1165))-1,3))</x:f>
      </x:c>
      <x:c r="O35" s="69"/>
      <x:c r="P35" s="47"/>
      <x:c r="Q35" s="60"/>
      <x:c r="R35" s="58">
        <x:f>(($O35*P35)/100)+(Q35*12)</x:f>
      </x:c>
      <x:c r="S35" s="59"/>
      <x:c r="T35" s="59"/>
      <x:c r="U35" s="58">
        <x:f>(($O35*S35)/100)+(T35*12)</x:f>
      </x:c>
      <x:c r="V35" s="47"/>
      <x:c r="W35" s="60"/>
      <x:c r="X35" s="58">
        <x:f>(($O35*V35)/100)+(W35*12)</x:f>
      </x:c>
      <x:c r="Y35" s="47"/>
      <x:c r="Z35" s="60"/>
      <x:c r="AA35" s="58">
        <x:f>(($O35*Y35)/100)+(Z35*12)</x:f>
      </x:c>
      <x:c r="AB35" s="47"/>
      <x:c r="AC35" s="60"/>
      <x:c r="AD35" s="58">
        <x:f>(($O35*AB35)/100)+(AC35*12)</x:f>
      </x:c>
      <x:c r="AE35" s="47"/>
      <x:c r="AF35" s="60"/>
      <x:c r="AG35" s="58">
        <x:f>(($O35*AE35)/100)+(AF35*12)</x:f>
      </x:c>
      <x:c r="AH35" s="47"/>
      <x:c r="AI35" s="60"/>
      <x:c r="AJ35" s="58">
        <x:f>(($O35*AH35)/100)+(AI35*12)</x:f>
      </x:c>
      <x:c r="AK35" s="47"/>
      <x:c r="AL35" s="60"/>
      <x:c r="AM35" s="58">
        <x:f>(($O35*AK35)/100)+(AL35*12)</x:f>
      </x:c>
      <x:c r="AN35" s="47"/>
      <x:c r="AO35" s="60"/>
      <x:c r="AP35" s="58">
        <x:f>(($O35*AN35)/100)+(AO35*12)</x:f>
      </x:c>
      <x:c r="AQ35" s="47"/>
      <x:c r="AR35" s="60"/>
      <x:c r="AS35" s="58">
        <x:f>(($O35*AQ35)/100)+(AR35*12)</x:f>
      </x:c>
      <x:c r="AT35" s="47"/>
      <x:c r="AU35" s="60"/>
      <x:c r="AV35" s="58">
        <x:f>(($O35*AT35)/100)+(AU35*12)</x:f>
      </x:c>
      <x:c r="AW35" s="47"/>
      <x:c r="AX35" s="60"/>
      <x:c r="AY35" s="58">
        <x:f>(($O35*AW35)/100)+(AX35*12)</x:f>
      </x:c>
      <x:c r="AZ35" s="47"/>
      <x:c r="BA35" s="60"/>
      <x:c r="BB35" s="58">
        <x:f>(($O35*AZ35)/100)+(BA35*12)</x:f>
      </x:c>
      <x:c r="BC35" s="47"/>
      <x:c r="BD35" s="60"/>
      <x:c r="BE35" s="58">
        <x:f>(($O35*BC35)/100)+(BD35*12)</x:f>
      </x:c>
      <x:c r="BF35" s="47"/>
      <x:c r="BG35" s="60"/>
      <x:c r="BH35" s="58">
        <x:f>(($O35*BF35)/100)+(BG35*12)</x:f>
      </x:c>
      <x:c r="BI35" s="47"/>
      <x:c r="BJ35" s="60"/>
      <x:c r="BK35" s="58">
        <x:f>(($O35*BI35)/100)+(BJ35*12)</x:f>
      </x:c>
      <x:c r="BL35" s="47"/>
      <x:c r="BM35" s="60"/>
      <x:c r="BN35" s="58">
        <x:f>(($O35*BL35)/100)+(BM35*12)</x:f>
      </x:c>
      <x:c r="BO35" s="47"/>
      <x:c r="BP35" s="60"/>
      <x:c r="BQ35" s="58">
        <x:f>(($O35*BO35)/100)+(BP35*12)</x:f>
      </x:c>
      <x:c r="BR35" s="47"/>
      <x:c r="BS35" s="60"/>
      <x:c r="BT35" s="58">
        <x:f>(($O35*BR35)/100)+(BS35*12)</x:f>
      </x:c>
      <x:c r="BU35" s="47"/>
      <x:c r="BV35" s="60"/>
      <x:c r="BW35" s="58">
        <x:f>(($O35*BU35)/100)+(BV35*12)</x:f>
      </x:c>
      <x:c r="BX35" s="47"/>
      <x:c r="BY35" s="60"/>
      <x:c r="BZ35" s="58">
        <x:f>(($O35*BX35)/100)+(BY35*12)</x:f>
      </x:c>
      <x:c r="CA35" s="47"/>
      <x:c r="CB35" s="60"/>
      <x:c r="CC35" s="58">
        <x:f>(($O35*CA35)/100)+(CB35*12)</x:f>
      </x:c>
      <x:c r="CD35" s="47"/>
      <x:c r="CE35" s="60"/>
      <x:c r="CF35" s="58">
        <x:f>(($O35*CD35)/100)+(CE35*12)</x:f>
      </x:c>
      <x:c r="CG35" s="47"/>
      <x:c r="CH35" s="60"/>
      <x:c r="CI35" s="58">
        <x:f>(($O35*CG35)/100)+(CH35*12)</x:f>
      </x:c>
      <x:c r="CJ35" s="47"/>
      <x:c r="CK35" s="60"/>
      <x:c r="CL35" s="58">
        <x:f>(($O35*CJ35)/100)+(CK35*12)</x:f>
      </x:c>
      <x:c r="CM35" s="47"/>
      <x:c r="CN35" s="60"/>
      <x:c r="CO35" s="58">
        <x:f>(($O35*CM35)/100)+(CN35*12)</x:f>
      </x:c>
      <x:c r="CP35" s="47"/>
      <x:c r="CQ35" s="60"/>
      <x:c r="CR35" s="58">
        <x:f>(($O35*CP35)/100)+(CQ35*12)</x:f>
      </x:c>
      <x:c r="CS35" s="47"/>
      <x:c r="CT35" s="60"/>
      <x:c r="CU35" s="58">
        <x:f>(($O35*CS35)/100)+(CT35*12)</x:f>
      </x:c>
      <x:c r="CV35" s="47"/>
      <x:c r="CW35" s="60"/>
      <x:c r="CX35" s="58"/>
      <x:c r="CY35" s="47"/>
      <x:c r="CZ35" s="60"/>
      <x:c r="DA35" s="58"/>
      <x:c r="DB35" s="47"/>
      <x:c r="DC35" s="60"/>
      <x:c r="DD35" s="58"/>
      <x:c r="DE35" s="47"/>
      <x:c r="DF35" s="60"/>
      <x:c r="DG35" s="58"/>
      <x:c r="DH35" s="47"/>
      <x:c r="DI35" s="60"/>
      <x:c r="DJ35" s="58"/>
      <x:c r="DK35" s="47"/>
      <x:c r="DL35" s="60"/>
      <x:c r="DM35" s="58"/>
      <x:c r="DN35" s="11"/>
      <x:c r="DO35" s="61"/>
      <x:c r="DP35" s="62"/>
      <x:c r="DQ35" s="11"/>
      <x:c r="DR35" s="61"/>
      <x:c r="DS35" s="62"/>
      <x:c r="DT35" s="11"/>
      <x:c r="DU35" s="61"/>
      <x:c r="DV35" s="62"/>
    </x:row>
    <x:row r="36" spans="1:126" x14ac:dyDescent="0.3">
      <x:c r="A36" s="47"/>
      <x:c r="B36" s="70"/>
      <x:c r="C36" s="70"/>
      <x:c r="D36" s="70"/>
      <x:c r="E36" s="70"/>
      <x:c r="F36" s="70"/>
      <x:c r="G36" s="70"/>
      <x:c r="H36" s="70"/>
      <x:c r="I36" s="70"/>
      <x:c r="J36" s="70"/>
      <x:c r="K36" s="190"/>
      <x:c r="L36" s="191"/>
      <x:c r="M36" s="192">
        <x:f>IF(ISERROR(INDEX('Meter Type Data'!$B$2:$E$1165,SUMPRODUCT(--('Meter Type Data'!$B$2:$B$1165&lt;=Analysis!L36)*('Meter Type Data'!$C$2:$C$1165&gt;=Analysis!L36),ROW('Meter Type Data'!$B$2:$B$1165))-1,4))," ",INDEX('Meter Type Data'!$B$2:$E$1165,SUMPRODUCT(--('Meter Type Data'!$B$2:$B$1165&lt;=Analysis!L36)*('Meter Type Data'!$C$2:$C$1165&gt;=Analysis!L36),ROW('Meter Type Data'!$B$2:$B$1165))-1,4))</x:f>
      </x:c>
      <x:c r="N36" s="192">
        <x:f>IF(ISERROR(INDEX('Meter Type Data'!$B$2:$D$1165,SUMPRODUCT(--('Meter Type Data'!$B$2:$B$1165&lt;=Analysis!L36)*('Meter Type Data'!$C$2:$C$1165&gt;=Analysis!L36),ROW('Meter Type Data'!$B$2:$B$1165))-1,3))," ",INDEX('Meter Type Data'!$B$2:$D$1165,SUMPRODUCT(--('Meter Type Data'!$B$2:$B$1165&lt;=Analysis!L36)*('Meter Type Data'!$C$2:$C$1165&gt;=Analysis!L36),ROW('Meter Type Data'!$B$2:$B$1165))-1,3))</x:f>
      </x:c>
      <x:c r="O36" s="69"/>
      <x:c r="P36" s="47"/>
      <x:c r="Q36" s="60"/>
      <x:c r="R36" s="58">
        <x:f>(($O36*P36)/100)+(Q36*12)</x:f>
      </x:c>
      <x:c r="S36" s="59"/>
      <x:c r="T36" s="59"/>
      <x:c r="U36" s="58">
        <x:f>(($O36*S36)/100)+(T36*12)</x:f>
      </x:c>
      <x:c r="V36" s="47"/>
      <x:c r="W36" s="60"/>
      <x:c r="X36" s="58">
        <x:f>(($O36*V36)/100)+(W36*12)</x:f>
      </x:c>
      <x:c r="Y36" s="47"/>
      <x:c r="Z36" s="60"/>
      <x:c r="AA36" s="58">
        <x:f>(($O36*Y36)/100)+(Z36*12)</x:f>
      </x:c>
      <x:c r="AB36" s="47"/>
      <x:c r="AC36" s="60"/>
      <x:c r="AD36" s="58">
        <x:f>(($O36*AB36)/100)+(AC36*12)</x:f>
      </x:c>
      <x:c r="AE36" s="47"/>
      <x:c r="AF36" s="60"/>
      <x:c r="AG36" s="58">
        <x:f>(($O36*AE36)/100)+(AF36*12)</x:f>
      </x:c>
      <x:c r="AH36" s="47"/>
      <x:c r="AI36" s="60"/>
      <x:c r="AJ36" s="58">
        <x:f>(($O36*AH36)/100)+(AI36*12)</x:f>
      </x:c>
      <x:c r="AK36" s="47"/>
      <x:c r="AL36" s="60"/>
      <x:c r="AM36" s="58">
        <x:f>(($O36*AK36)/100)+(AL36*12)</x:f>
      </x:c>
      <x:c r="AN36" s="47"/>
      <x:c r="AO36" s="60"/>
      <x:c r="AP36" s="58">
        <x:f>(($O36*AN36)/100)+(AO36*12)</x:f>
      </x:c>
      <x:c r="AQ36" s="47"/>
      <x:c r="AR36" s="60"/>
      <x:c r="AS36" s="58">
        <x:f>(($O36*AQ36)/100)+(AR36*12)</x:f>
      </x:c>
      <x:c r="AT36" s="47"/>
      <x:c r="AU36" s="60"/>
      <x:c r="AV36" s="58">
        <x:f>(($O36*AT36)/100)+(AU36*12)</x:f>
      </x:c>
      <x:c r="AW36" s="47"/>
      <x:c r="AX36" s="60"/>
      <x:c r="AY36" s="58">
        <x:f>(($O36*AW36)/100)+(AX36*12)</x:f>
      </x:c>
      <x:c r="AZ36" s="47"/>
      <x:c r="BA36" s="60"/>
      <x:c r="BB36" s="58">
        <x:f>(($O36*AZ36)/100)+(BA36*12)</x:f>
      </x:c>
      <x:c r="BC36" s="47"/>
      <x:c r="BD36" s="60"/>
      <x:c r="BE36" s="58">
        <x:f>(($O36*BC36)/100)+(BD36*12)</x:f>
      </x:c>
      <x:c r="BF36" s="47"/>
      <x:c r="BG36" s="60"/>
      <x:c r="BH36" s="58">
        <x:f>(($O36*BF36)/100)+(BG36*12)</x:f>
      </x:c>
      <x:c r="BI36" s="47"/>
      <x:c r="BJ36" s="60"/>
      <x:c r="BK36" s="58">
        <x:f>(($O36*BI36)/100)+(BJ36*12)</x:f>
      </x:c>
      <x:c r="BL36" s="47"/>
      <x:c r="BM36" s="60"/>
      <x:c r="BN36" s="58">
        <x:f>(($O36*BL36)/100)+(BM36*12)</x:f>
      </x:c>
      <x:c r="BO36" s="47"/>
      <x:c r="BP36" s="60"/>
      <x:c r="BQ36" s="58">
        <x:f>(($O36*BO36)/100)+(BP36*12)</x:f>
      </x:c>
      <x:c r="BR36" s="47"/>
      <x:c r="BS36" s="60"/>
      <x:c r="BT36" s="58">
        <x:f>(($O36*BR36)/100)+(BS36*12)</x:f>
      </x:c>
      <x:c r="BU36" s="47"/>
      <x:c r="BV36" s="60"/>
      <x:c r="BW36" s="58">
        <x:f>(($O36*BU36)/100)+(BV36*12)</x:f>
      </x:c>
      <x:c r="BX36" s="47"/>
      <x:c r="BY36" s="60"/>
      <x:c r="BZ36" s="58">
        <x:f>(($O36*BX36)/100)+(BY36*12)</x:f>
      </x:c>
      <x:c r="CA36" s="47"/>
      <x:c r="CB36" s="60"/>
      <x:c r="CC36" s="58">
        <x:f>(($O36*CA36)/100)+(CB36*12)</x:f>
      </x:c>
      <x:c r="CD36" s="47"/>
      <x:c r="CE36" s="60"/>
      <x:c r="CF36" s="58">
        <x:f>(($O36*CD36)/100)+(CE36*12)</x:f>
      </x:c>
      <x:c r="CG36" s="47"/>
      <x:c r="CH36" s="60"/>
      <x:c r="CI36" s="58">
        <x:f>(($O36*CG36)/100)+(CH36*12)</x:f>
      </x:c>
      <x:c r="CJ36" s="47"/>
      <x:c r="CK36" s="60"/>
      <x:c r="CL36" s="58">
        <x:f>(($O36*CJ36)/100)+(CK36*12)</x:f>
      </x:c>
      <x:c r="CM36" s="47"/>
      <x:c r="CN36" s="60"/>
      <x:c r="CO36" s="58">
        <x:f>(($O36*CM36)/100)+(CN36*12)</x:f>
      </x:c>
      <x:c r="CP36" s="47"/>
      <x:c r="CQ36" s="60"/>
      <x:c r="CR36" s="58">
        <x:f>(($O36*CP36)/100)+(CQ36*12)</x:f>
      </x:c>
      <x:c r="CS36" s="47"/>
      <x:c r="CT36" s="60"/>
      <x:c r="CU36" s="58">
        <x:f>(($O36*CS36)/100)+(CT36*12)</x:f>
      </x:c>
      <x:c r="CV36" s="47"/>
      <x:c r="CW36" s="60"/>
      <x:c r="CX36" s="58"/>
      <x:c r="CY36" s="47"/>
      <x:c r="CZ36" s="60"/>
      <x:c r="DA36" s="58"/>
      <x:c r="DB36" s="47"/>
      <x:c r="DC36" s="60"/>
      <x:c r="DD36" s="58"/>
      <x:c r="DE36" s="47"/>
      <x:c r="DF36" s="60"/>
      <x:c r="DG36" s="58"/>
      <x:c r="DH36" s="47"/>
      <x:c r="DI36" s="60"/>
      <x:c r="DJ36" s="58"/>
      <x:c r="DK36" s="47"/>
      <x:c r="DL36" s="60"/>
      <x:c r="DM36" s="58"/>
      <x:c r="DN36" s="11"/>
      <x:c r="DO36" s="61"/>
      <x:c r="DP36" s="62"/>
      <x:c r="DQ36" s="11"/>
      <x:c r="DR36" s="61"/>
      <x:c r="DS36" s="62"/>
      <x:c r="DT36" s="11"/>
      <x:c r="DU36" s="61"/>
      <x:c r="DV36" s="62"/>
    </x:row>
    <x:row r="37" spans="1:126" x14ac:dyDescent="0.3">
      <x:c r="A37" s="47"/>
      <x:c r="B37" s="70"/>
      <x:c r="C37" s="70"/>
      <x:c r="D37" s="70"/>
      <x:c r="E37" s="70"/>
      <x:c r="F37" s="70"/>
      <x:c r="G37" s="70"/>
      <x:c r="H37" s="70"/>
      <x:c r="I37" s="70"/>
      <x:c r="J37" s="70"/>
      <x:c r="K37" s="190"/>
      <x:c r="L37" s="191"/>
      <x:c r="M37" s="192">
        <x:f>IF(ISERROR(INDEX('Meter Type Data'!$B$2:$E$1165,SUMPRODUCT(--('Meter Type Data'!$B$2:$B$1165&lt;=Analysis!L37)*('Meter Type Data'!$C$2:$C$1165&gt;=Analysis!L37),ROW('Meter Type Data'!$B$2:$B$1165))-1,4))," ",INDEX('Meter Type Data'!$B$2:$E$1165,SUMPRODUCT(--('Meter Type Data'!$B$2:$B$1165&lt;=Analysis!L37)*('Meter Type Data'!$C$2:$C$1165&gt;=Analysis!L37),ROW('Meter Type Data'!$B$2:$B$1165))-1,4))</x:f>
      </x:c>
      <x:c r="N37" s="192">
        <x:f>IF(ISERROR(INDEX('Meter Type Data'!$B$2:$D$1165,SUMPRODUCT(--('Meter Type Data'!$B$2:$B$1165&lt;=Analysis!L37)*('Meter Type Data'!$C$2:$C$1165&gt;=Analysis!L37),ROW('Meter Type Data'!$B$2:$B$1165))-1,3))," ",INDEX('Meter Type Data'!$B$2:$D$1165,SUMPRODUCT(--('Meter Type Data'!$B$2:$B$1165&lt;=Analysis!L37)*('Meter Type Data'!$C$2:$C$1165&gt;=Analysis!L37),ROW('Meter Type Data'!$B$2:$B$1165))-1,3))</x:f>
      </x:c>
      <x:c r="O37" s="69"/>
      <x:c r="P37" s="47"/>
      <x:c r="Q37" s="60"/>
      <x:c r="R37" s="58">
        <x:f>(($O37*P37)/100)+(Q37*12)</x:f>
      </x:c>
      <x:c r="S37" s="59"/>
      <x:c r="T37" s="59"/>
      <x:c r="U37" s="58">
        <x:f>(($O37*S37)/100)+(T37*12)</x:f>
      </x:c>
      <x:c r="V37" s="47"/>
      <x:c r="W37" s="60"/>
      <x:c r="X37" s="58">
        <x:f>(($O37*V37)/100)+(W37*12)</x:f>
      </x:c>
      <x:c r="Y37" s="47"/>
      <x:c r="Z37" s="60"/>
      <x:c r="AA37" s="58">
        <x:f>(($O37*Y37)/100)+(Z37*12)</x:f>
      </x:c>
      <x:c r="AB37" s="47"/>
      <x:c r="AC37" s="60"/>
      <x:c r="AD37" s="58">
        <x:f>(($O37*AB37)/100)+(AC37*12)</x:f>
      </x:c>
      <x:c r="AE37" s="47"/>
      <x:c r="AF37" s="60"/>
      <x:c r="AG37" s="58">
        <x:f>(($O37*AE37)/100)+(AF37*12)</x:f>
      </x:c>
      <x:c r="AH37" s="47"/>
      <x:c r="AI37" s="60"/>
      <x:c r="AJ37" s="58">
        <x:f>(($O37*AH37)/100)+(AI37*12)</x:f>
      </x:c>
      <x:c r="AK37" s="47"/>
      <x:c r="AL37" s="60"/>
      <x:c r="AM37" s="58">
        <x:f>(($O37*AK37)/100)+(AL37*12)</x:f>
      </x:c>
      <x:c r="AN37" s="47"/>
      <x:c r="AO37" s="60"/>
      <x:c r="AP37" s="58">
        <x:f>(($O37*AN37)/100)+(AO37*12)</x:f>
      </x:c>
      <x:c r="AQ37" s="47"/>
      <x:c r="AR37" s="60"/>
      <x:c r="AS37" s="58">
        <x:f>(($O37*AQ37)/100)+(AR37*12)</x:f>
      </x:c>
      <x:c r="AT37" s="47"/>
      <x:c r="AU37" s="60"/>
      <x:c r="AV37" s="58">
        <x:f>(($O37*AT37)/100)+(AU37*12)</x:f>
      </x:c>
      <x:c r="AW37" s="47"/>
      <x:c r="AX37" s="60"/>
      <x:c r="AY37" s="58">
        <x:f>(($O37*AW37)/100)+(AX37*12)</x:f>
      </x:c>
      <x:c r="AZ37" s="47"/>
      <x:c r="BA37" s="60"/>
      <x:c r="BB37" s="58">
        <x:f>(($O37*AZ37)/100)+(BA37*12)</x:f>
      </x:c>
      <x:c r="BC37" s="47"/>
      <x:c r="BD37" s="60"/>
      <x:c r="BE37" s="58">
        <x:f>(($O37*BC37)/100)+(BD37*12)</x:f>
      </x:c>
      <x:c r="BF37" s="47"/>
      <x:c r="BG37" s="60"/>
      <x:c r="BH37" s="58">
        <x:f>(($O37*BF37)/100)+(BG37*12)</x:f>
      </x:c>
      <x:c r="BI37" s="47"/>
      <x:c r="BJ37" s="60"/>
      <x:c r="BK37" s="58">
        <x:f>(($O37*BI37)/100)+(BJ37*12)</x:f>
      </x:c>
      <x:c r="BL37" s="47"/>
      <x:c r="BM37" s="60"/>
      <x:c r="BN37" s="58">
        <x:f>(($O37*BL37)/100)+(BM37*12)</x:f>
      </x:c>
      <x:c r="BO37" s="47"/>
      <x:c r="BP37" s="60"/>
      <x:c r="BQ37" s="58">
        <x:f>(($O37*BO37)/100)+(BP37*12)</x:f>
      </x:c>
      <x:c r="BR37" s="47"/>
      <x:c r="BS37" s="60"/>
      <x:c r="BT37" s="58">
        <x:f>(($O37*BR37)/100)+(BS37*12)</x:f>
      </x:c>
      <x:c r="BU37" s="47"/>
      <x:c r="BV37" s="60"/>
      <x:c r="BW37" s="58">
        <x:f>(($O37*BU37)/100)+(BV37*12)</x:f>
      </x:c>
      <x:c r="BX37" s="47"/>
      <x:c r="BY37" s="60"/>
      <x:c r="BZ37" s="58">
        <x:f>(($O37*BX37)/100)+(BY37*12)</x:f>
      </x:c>
      <x:c r="CA37" s="47"/>
      <x:c r="CB37" s="60"/>
      <x:c r="CC37" s="58">
        <x:f>(($O37*CA37)/100)+(CB37*12)</x:f>
      </x:c>
      <x:c r="CD37" s="47"/>
      <x:c r="CE37" s="60"/>
      <x:c r="CF37" s="58">
        <x:f>(($O37*CD37)/100)+(CE37*12)</x:f>
      </x:c>
      <x:c r="CG37" s="47"/>
      <x:c r="CH37" s="60"/>
      <x:c r="CI37" s="58">
        <x:f>(($O37*CG37)/100)+(CH37*12)</x:f>
      </x:c>
      <x:c r="CJ37" s="47"/>
      <x:c r="CK37" s="60"/>
      <x:c r="CL37" s="58">
        <x:f>(($O37*CJ37)/100)+(CK37*12)</x:f>
      </x:c>
      <x:c r="CM37" s="47"/>
      <x:c r="CN37" s="60"/>
      <x:c r="CO37" s="58">
        <x:f>(($O37*CM37)/100)+(CN37*12)</x:f>
      </x:c>
      <x:c r="CP37" s="47"/>
      <x:c r="CQ37" s="60"/>
      <x:c r="CR37" s="58">
        <x:f>(($O37*CP37)/100)+(CQ37*12)</x:f>
      </x:c>
      <x:c r="CS37" s="47"/>
      <x:c r="CT37" s="60"/>
      <x:c r="CU37" s="58">
        <x:f>(($O37*CS37)/100)+(CT37*12)</x:f>
      </x:c>
      <x:c r="CV37" s="47"/>
      <x:c r="CW37" s="60"/>
      <x:c r="CX37" s="58"/>
      <x:c r="CY37" s="47"/>
      <x:c r="CZ37" s="60"/>
      <x:c r="DA37" s="58"/>
      <x:c r="DB37" s="47"/>
      <x:c r="DC37" s="60"/>
      <x:c r="DD37" s="58"/>
      <x:c r="DE37" s="47"/>
      <x:c r="DF37" s="60"/>
      <x:c r="DG37" s="58"/>
      <x:c r="DH37" s="47"/>
      <x:c r="DI37" s="60"/>
      <x:c r="DJ37" s="58"/>
      <x:c r="DK37" s="47"/>
      <x:c r="DL37" s="60"/>
      <x:c r="DM37" s="58"/>
      <x:c r="DN37" s="11"/>
      <x:c r="DO37" s="61"/>
      <x:c r="DP37" s="62"/>
      <x:c r="DQ37" s="11"/>
      <x:c r="DR37" s="61"/>
      <x:c r="DS37" s="62"/>
      <x:c r="DT37" s="11"/>
      <x:c r="DU37" s="61"/>
      <x:c r="DV37" s="62"/>
    </x:row>
    <x:row r="38" spans="1:126" x14ac:dyDescent="0.3">
      <x:c r="A38" s="47"/>
      <x:c r="B38" s="70"/>
      <x:c r="C38" s="70"/>
      <x:c r="D38" s="70"/>
      <x:c r="E38" s="70"/>
      <x:c r="F38" s="70"/>
      <x:c r="G38" s="70"/>
      <x:c r="H38" s="70"/>
      <x:c r="I38" s="70"/>
      <x:c r="J38" s="70"/>
      <x:c r="K38" s="190"/>
      <x:c r="L38" s="191"/>
      <x:c r="M38" s="192">
        <x:f>IF(ISERROR(INDEX('Meter Type Data'!$B$2:$E$1165,SUMPRODUCT(--('Meter Type Data'!$B$2:$B$1165&lt;=Analysis!L38)*('Meter Type Data'!$C$2:$C$1165&gt;=Analysis!L38),ROW('Meter Type Data'!$B$2:$B$1165))-1,4))," ",INDEX('Meter Type Data'!$B$2:$E$1165,SUMPRODUCT(--('Meter Type Data'!$B$2:$B$1165&lt;=Analysis!L38)*('Meter Type Data'!$C$2:$C$1165&gt;=Analysis!L38),ROW('Meter Type Data'!$B$2:$B$1165))-1,4))</x:f>
      </x:c>
      <x:c r="N38" s="192">
        <x:f>IF(ISERROR(INDEX('Meter Type Data'!$B$2:$D$1165,SUMPRODUCT(--('Meter Type Data'!$B$2:$B$1165&lt;=Analysis!L38)*('Meter Type Data'!$C$2:$C$1165&gt;=Analysis!L38),ROW('Meter Type Data'!$B$2:$B$1165))-1,3))," ",INDEX('Meter Type Data'!$B$2:$D$1165,SUMPRODUCT(--('Meter Type Data'!$B$2:$B$1165&lt;=Analysis!L38)*('Meter Type Data'!$C$2:$C$1165&gt;=Analysis!L38),ROW('Meter Type Data'!$B$2:$B$1165))-1,3))</x:f>
      </x:c>
      <x:c r="O38" s="69"/>
      <x:c r="P38" s="47"/>
      <x:c r="Q38" s="60"/>
      <x:c r="R38" s="58">
        <x:f>(($O38*P38)/100)+(Q38*12)</x:f>
      </x:c>
      <x:c r="S38" s="59"/>
      <x:c r="T38" s="59"/>
      <x:c r="U38" s="58">
        <x:f>(($O38*S38)/100)+(T38*12)</x:f>
      </x:c>
      <x:c r="V38" s="47"/>
      <x:c r="W38" s="60"/>
      <x:c r="X38" s="58">
        <x:f>(($O38*V38)/100)+(W38*12)</x:f>
      </x:c>
      <x:c r="Y38" s="47"/>
      <x:c r="Z38" s="60"/>
      <x:c r="AA38" s="58">
        <x:f>(($O38*Y38)/100)+(Z38*12)</x:f>
      </x:c>
      <x:c r="AB38" s="47"/>
      <x:c r="AC38" s="60"/>
      <x:c r="AD38" s="58">
        <x:f>(($O38*AB38)/100)+(AC38*12)</x:f>
      </x:c>
      <x:c r="AE38" s="47"/>
      <x:c r="AF38" s="60"/>
      <x:c r="AG38" s="58">
        <x:f>(($O38*AE38)/100)+(AF38*12)</x:f>
      </x:c>
      <x:c r="AH38" s="47"/>
      <x:c r="AI38" s="60"/>
      <x:c r="AJ38" s="58">
        <x:f>(($O38*AH38)/100)+(AI38*12)</x:f>
      </x:c>
      <x:c r="AK38" s="47"/>
      <x:c r="AL38" s="60"/>
      <x:c r="AM38" s="58">
        <x:f>(($O38*AK38)/100)+(AL38*12)</x:f>
      </x:c>
      <x:c r="AN38" s="47"/>
      <x:c r="AO38" s="60"/>
      <x:c r="AP38" s="58">
        <x:f>(($O38*AN38)/100)+(AO38*12)</x:f>
      </x:c>
      <x:c r="AQ38" s="47"/>
      <x:c r="AR38" s="60"/>
      <x:c r="AS38" s="58">
        <x:f>(($O38*AQ38)/100)+(AR38*12)</x:f>
      </x:c>
      <x:c r="AT38" s="47"/>
      <x:c r="AU38" s="60"/>
      <x:c r="AV38" s="58">
        <x:f>(($O38*AT38)/100)+(AU38*12)</x:f>
      </x:c>
      <x:c r="AW38" s="47"/>
      <x:c r="AX38" s="60"/>
      <x:c r="AY38" s="58">
        <x:f>(($O38*AW38)/100)+(AX38*12)</x:f>
      </x:c>
      <x:c r="AZ38" s="47"/>
      <x:c r="BA38" s="60"/>
      <x:c r="BB38" s="58">
        <x:f>(($O38*AZ38)/100)+(BA38*12)</x:f>
      </x:c>
      <x:c r="BC38" s="47"/>
      <x:c r="BD38" s="60"/>
      <x:c r="BE38" s="58">
        <x:f>(($O38*BC38)/100)+(BD38*12)</x:f>
      </x:c>
      <x:c r="BF38" s="47"/>
      <x:c r="BG38" s="60"/>
      <x:c r="BH38" s="58">
        <x:f>(($O38*BF38)/100)+(BG38*12)</x:f>
      </x:c>
      <x:c r="BI38" s="47"/>
      <x:c r="BJ38" s="60"/>
      <x:c r="BK38" s="58">
        <x:f>(($O38*BI38)/100)+(BJ38*12)</x:f>
      </x:c>
      <x:c r="BL38" s="47"/>
      <x:c r="BM38" s="60"/>
      <x:c r="BN38" s="58">
        <x:f>(($O38*BL38)/100)+(BM38*12)</x:f>
      </x:c>
      <x:c r="BO38" s="47"/>
      <x:c r="BP38" s="60"/>
      <x:c r="BQ38" s="58">
        <x:f>(($O38*BO38)/100)+(BP38*12)</x:f>
      </x:c>
      <x:c r="BR38" s="47"/>
      <x:c r="BS38" s="60"/>
      <x:c r="BT38" s="58">
        <x:f>(($O38*BR38)/100)+(BS38*12)</x:f>
      </x:c>
      <x:c r="BU38" s="47"/>
      <x:c r="BV38" s="60"/>
      <x:c r="BW38" s="58">
        <x:f>(($O38*BU38)/100)+(BV38*12)</x:f>
      </x:c>
      <x:c r="BX38" s="47"/>
      <x:c r="BY38" s="60"/>
      <x:c r="BZ38" s="58">
        <x:f>(($O38*BX38)/100)+(BY38*12)</x:f>
      </x:c>
      <x:c r="CA38" s="47"/>
      <x:c r="CB38" s="60"/>
      <x:c r="CC38" s="58">
        <x:f>(($O38*CA38)/100)+(CB38*12)</x:f>
      </x:c>
      <x:c r="CD38" s="47"/>
      <x:c r="CE38" s="60"/>
      <x:c r="CF38" s="58">
        <x:f>(($O38*CD38)/100)+(CE38*12)</x:f>
      </x:c>
      <x:c r="CG38" s="47"/>
      <x:c r="CH38" s="60"/>
      <x:c r="CI38" s="58">
        <x:f>(($O38*CG38)/100)+(CH38*12)</x:f>
      </x:c>
      <x:c r="CJ38" s="47"/>
      <x:c r="CK38" s="60"/>
      <x:c r="CL38" s="58">
        <x:f>(($O38*CJ38)/100)+(CK38*12)</x:f>
      </x:c>
      <x:c r="CM38" s="47"/>
      <x:c r="CN38" s="60"/>
      <x:c r="CO38" s="58">
        <x:f>(($O38*CM38)/100)+(CN38*12)</x:f>
      </x:c>
      <x:c r="CP38" s="47"/>
      <x:c r="CQ38" s="60"/>
      <x:c r="CR38" s="58">
        <x:f>(($O38*CP38)/100)+(CQ38*12)</x:f>
      </x:c>
      <x:c r="CS38" s="47"/>
      <x:c r="CT38" s="60"/>
      <x:c r="CU38" s="58">
        <x:f>(($O38*CS38)/100)+(CT38*12)</x:f>
      </x:c>
      <x:c r="CV38" s="47"/>
      <x:c r="CW38" s="60"/>
      <x:c r="CX38" s="58"/>
      <x:c r="CY38" s="47"/>
      <x:c r="CZ38" s="60"/>
      <x:c r="DA38" s="58"/>
      <x:c r="DB38" s="47"/>
      <x:c r="DC38" s="60"/>
      <x:c r="DD38" s="58"/>
      <x:c r="DE38" s="47"/>
      <x:c r="DF38" s="60"/>
      <x:c r="DG38" s="58"/>
      <x:c r="DH38" s="47"/>
      <x:c r="DI38" s="60"/>
      <x:c r="DJ38" s="58"/>
      <x:c r="DK38" s="47"/>
      <x:c r="DL38" s="60"/>
      <x:c r="DM38" s="58"/>
      <x:c r="DN38" s="11"/>
      <x:c r="DO38" s="61"/>
      <x:c r="DP38" s="62"/>
      <x:c r="DQ38" s="11"/>
      <x:c r="DR38" s="61"/>
      <x:c r="DS38" s="62"/>
      <x:c r="DT38" s="11"/>
      <x:c r="DU38" s="61"/>
      <x:c r="DV38" s="62"/>
    </x:row>
    <x:row r="39" spans="1:126" x14ac:dyDescent="0.3">
      <x:c r="A39" s="47"/>
      <x:c r="B39" s="70"/>
      <x:c r="C39" s="70"/>
      <x:c r="D39" s="70"/>
      <x:c r="E39" s="70"/>
      <x:c r="F39" s="70"/>
      <x:c r="G39" s="70"/>
      <x:c r="H39" s="70"/>
      <x:c r="I39" s="70"/>
      <x:c r="J39" s="70"/>
      <x:c r="K39" s="190"/>
      <x:c r="L39" s="191"/>
      <x:c r="M39" s="192">
        <x:f>IF(ISERROR(INDEX('Meter Type Data'!$B$2:$E$1165,SUMPRODUCT(--('Meter Type Data'!$B$2:$B$1165&lt;=Analysis!L39)*('Meter Type Data'!$C$2:$C$1165&gt;=Analysis!L39),ROW('Meter Type Data'!$B$2:$B$1165))-1,4))," ",INDEX('Meter Type Data'!$B$2:$E$1165,SUMPRODUCT(--('Meter Type Data'!$B$2:$B$1165&lt;=Analysis!L39)*('Meter Type Data'!$C$2:$C$1165&gt;=Analysis!L39),ROW('Meter Type Data'!$B$2:$B$1165))-1,4))</x:f>
      </x:c>
      <x:c r="N39" s="192">
        <x:f>IF(ISERROR(INDEX('Meter Type Data'!$B$2:$D$1165,SUMPRODUCT(--('Meter Type Data'!$B$2:$B$1165&lt;=Analysis!L39)*('Meter Type Data'!$C$2:$C$1165&gt;=Analysis!L39),ROW('Meter Type Data'!$B$2:$B$1165))-1,3))," ",INDEX('Meter Type Data'!$B$2:$D$1165,SUMPRODUCT(--('Meter Type Data'!$B$2:$B$1165&lt;=Analysis!L39)*('Meter Type Data'!$C$2:$C$1165&gt;=Analysis!L39),ROW('Meter Type Data'!$B$2:$B$1165))-1,3))</x:f>
      </x:c>
      <x:c r="O39" s="69"/>
      <x:c r="P39" s="47"/>
      <x:c r="Q39" s="60"/>
      <x:c r="R39" s="58">
        <x:f>(($O39*P39)/100)+(Q39*12)</x:f>
      </x:c>
      <x:c r="S39" s="59"/>
      <x:c r="T39" s="59"/>
      <x:c r="U39" s="58">
        <x:f>(($O39*S39)/100)+(T39*12)</x:f>
      </x:c>
      <x:c r="V39" s="47"/>
      <x:c r="W39" s="60"/>
      <x:c r="X39" s="58">
        <x:f>(($O39*V39)/100)+(W39*12)</x:f>
      </x:c>
      <x:c r="Y39" s="47"/>
      <x:c r="Z39" s="60"/>
      <x:c r="AA39" s="58">
        <x:f>(($O39*Y39)/100)+(Z39*12)</x:f>
      </x:c>
      <x:c r="AB39" s="47"/>
      <x:c r="AC39" s="60"/>
      <x:c r="AD39" s="58">
        <x:f>(($O39*AB39)/100)+(AC39*12)</x:f>
      </x:c>
      <x:c r="AE39" s="47"/>
      <x:c r="AF39" s="60"/>
      <x:c r="AG39" s="58">
        <x:f>(($O39*AE39)/100)+(AF39*12)</x:f>
      </x:c>
      <x:c r="AH39" s="47"/>
      <x:c r="AI39" s="60"/>
      <x:c r="AJ39" s="58">
        <x:f>(($O39*AH39)/100)+(AI39*12)</x:f>
      </x:c>
      <x:c r="AK39" s="47"/>
      <x:c r="AL39" s="60"/>
      <x:c r="AM39" s="58">
        <x:f>(($O39*AK39)/100)+(AL39*12)</x:f>
      </x:c>
      <x:c r="AN39" s="47"/>
      <x:c r="AO39" s="60"/>
      <x:c r="AP39" s="58">
        <x:f>(($O39*AN39)/100)+(AO39*12)</x:f>
      </x:c>
      <x:c r="AQ39" s="47"/>
      <x:c r="AR39" s="60"/>
      <x:c r="AS39" s="58">
        <x:f>(($O39*AQ39)/100)+(AR39*12)</x:f>
      </x:c>
      <x:c r="AT39" s="47"/>
      <x:c r="AU39" s="60"/>
      <x:c r="AV39" s="58">
        <x:f>(($O39*AT39)/100)+(AU39*12)</x:f>
      </x:c>
      <x:c r="AW39" s="47"/>
      <x:c r="AX39" s="60"/>
      <x:c r="AY39" s="58">
        <x:f>(($O39*AW39)/100)+(AX39*12)</x:f>
      </x:c>
      <x:c r="AZ39" s="47"/>
      <x:c r="BA39" s="60"/>
      <x:c r="BB39" s="58">
        <x:f>(($O39*AZ39)/100)+(BA39*12)</x:f>
      </x:c>
      <x:c r="BC39" s="47"/>
      <x:c r="BD39" s="60"/>
      <x:c r="BE39" s="58">
        <x:f>(($O39*BC39)/100)+(BD39*12)</x:f>
      </x:c>
      <x:c r="BF39" s="47"/>
      <x:c r="BG39" s="60"/>
      <x:c r="BH39" s="58">
        <x:f>(($O39*BF39)/100)+(BG39*12)</x:f>
      </x:c>
      <x:c r="BI39" s="47"/>
      <x:c r="BJ39" s="60"/>
      <x:c r="BK39" s="58">
        <x:f>(($O39*BI39)/100)+(BJ39*12)</x:f>
      </x:c>
      <x:c r="BL39" s="47"/>
      <x:c r="BM39" s="60"/>
      <x:c r="BN39" s="58">
        <x:f>(($O39*BL39)/100)+(BM39*12)</x:f>
      </x:c>
      <x:c r="BO39" s="47"/>
      <x:c r="BP39" s="60"/>
      <x:c r="BQ39" s="58">
        <x:f>(($O39*BO39)/100)+(BP39*12)</x:f>
      </x:c>
      <x:c r="BR39" s="47"/>
      <x:c r="BS39" s="60"/>
      <x:c r="BT39" s="58">
        <x:f>(($O39*BR39)/100)+(BS39*12)</x:f>
      </x:c>
      <x:c r="BU39" s="47"/>
      <x:c r="BV39" s="60"/>
      <x:c r="BW39" s="58">
        <x:f>(($O39*BU39)/100)+(BV39*12)</x:f>
      </x:c>
      <x:c r="BX39" s="47"/>
      <x:c r="BY39" s="60"/>
      <x:c r="BZ39" s="58">
        <x:f>(($O39*BX39)/100)+(BY39*12)</x:f>
      </x:c>
      <x:c r="CA39" s="47"/>
      <x:c r="CB39" s="60"/>
      <x:c r="CC39" s="58">
        <x:f>(($O39*CA39)/100)+(CB39*12)</x:f>
      </x:c>
      <x:c r="CD39" s="47"/>
      <x:c r="CE39" s="60"/>
      <x:c r="CF39" s="58">
        <x:f>(($O39*CD39)/100)+(CE39*12)</x:f>
      </x:c>
      <x:c r="CG39" s="47"/>
      <x:c r="CH39" s="60"/>
      <x:c r="CI39" s="58">
        <x:f>(($O39*CG39)/100)+(CH39*12)</x:f>
      </x:c>
      <x:c r="CJ39" s="47"/>
      <x:c r="CK39" s="60"/>
      <x:c r="CL39" s="58">
        <x:f>(($O39*CJ39)/100)+(CK39*12)</x:f>
      </x:c>
      <x:c r="CM39" s="47"/>
      <x:c r="CN39" s="60"/>
      <x:c r="CO39" s="58">
        <x:f>(($O39*CM39)/100)+(CN39*12)</x:f>
      </x:c>
      <x:c r="CP39" s="47"/>
      <x:c r="CQ39" s="60"/>
      <x:c r="CR39" s="58">
        <x:f>(($O39*CP39)/100)+(CQ39*12)</x:f>
      </x:c>
      <x:c r="CS39" s="47"/>
      <x:c r="CT39" s="60"/>
      <x:c r="CU39" s="58">
        <x:f>(($O39*CS39)/100)+(CT39*12)</x:f>
      </x:c>
      <x:c r="CV39" s="47"/>
      <x:c r="CW39" s="60"/>
      <x:c r="CX39" s="58"/>
      <x:c r="CY39" s="47"/>
      <x:c r="CZ39" s="60"/>
      <x:c r="DA39" s="58"/>
      <x:c r="DB39" s="47"/>
      <x:c r="DC39" s="60"/>
      <x:c r="DD39" s="58"/>
      <x:c r="DE39" s="47"/>
      <x:c r="DF39" s="60"/>
      <x:c r="DG39" s="58"/>
      <x:c r="DH39" s="47"/>
      <x:c r="DI39" s="60"/>
      <x:c r="DJ39" s="58"/>
      <x:c r="DK39" s="47"/>
      <x:c r="DL39" s="60"/>
      <x:c r="DM39" s="58"/>
      <x:c r="DN39" s="11"/>
      <x:c r="DO39" s="61"/>
      <x:c r="DP39" s="62"/>
      <x:c r="DQ39" s="11"/>
      <x:c r="DR39" s="61"/>
      <x:c r="DS39" s="62"/>
      <x:c r="DT39" s="11"/>
      <x:c r="DU39" s="61"/>
      <x:c r="DV39" s="62"/>
    </x:row>
    <x:row r="40" spans="1:126" x14ac:dyDescent="0.3">
      <x:c r="A40" s="47"/>
      <x:c r="B40" s="70"/>
      <x:c r="C40" s="70"/>
      <x:c r="D40" s="70"/>
      <x:c r="E40" s="70"/>
      <x:c r="F40" s="70"/>
      <x:c r="G40" s="70"/>
      <x:c r="H40" s="70"/>
      <x:c r="I40" s="70"/>
      <x:c r="J40" s="70"/>
      <x:c r="K40" s="190"/>
      <x:c r="L40" s="191"/>
      <x:c r="M40" s="192">
        <x:f>IF(ISERROR(INDEX('Meter Type Data'!$B$2:$E$1165,SUMPRODUCT(--('Meter Type Data'!$B$2:$B$1165&lt;=Analysis!L40)*('Meter Type Data'!$C$2:$C$1165&gt;=Analysis!L40),ROW('Meter Type Data'!$B$2:$B$1165))-1,4))," ",INDEX('Meter Type Data'!$B$2:$E$1165,SUMPRODUCT(--('Meter Type Data'!$B$2:$B$1165&lt;=Analysis!L40)*('Meter Type Data'!$C$2:$C$1165&gt;=Analysis!L40),ROW('Meter Type Data'!$B$2:$B$1165))-1,4))</x:f>
      </x:c>
      <x:c r="N40" s="192">
        <x:f>IF(ISERROR(INDEX('Meter Type Data'!$B$2:$D$1165,SUMPRODUCT(--('Meter Type Data'!$B$2:$B$1165&lt;=Analysis!L40)*('Meter Type Data'!$C$2:$C$1165&gt;=Analysis!L40),ROW('Meter Type Data'!$B$2:$B$1165))-1,3))," ",INDEX('Meter Type Data'!$B$2:$D$1165,SUMPRODUCT(--('Meter Type Data'!$B$2:$B$1165&lt;=Analysis!L40)*('Meter Type Data'!$C$2:$C$1165&gt;=Analysis!L40),ROW('Meter Type Data'!$B$2:$B$1165))-1,3))</x:f>
      </x:c>
      <x:c r="O40" s="69"/>
      <x:c r="P40" s="47"/>
      <x:c r="Q40" s="60"/>
      <x:c r="R40" s="58">
        <x:f>(($O40*P40)/100)+(Q40*12)</x:f>
      </x:c>
      <x:c r="S40" s="59"/>
      <x:c r="T40" s="59"/>
      <x:c r="U40" s="58">
        <x:f>(($O40*S40)/100)+(T40*12)</x:f>
      </x:c>
      <x:c r="V40" s="47"/>
      <x:c r="W40" s="60"/>
      <x:c r="X40" s="58">
        <x:f>(($O40*V40)/100)+(W40*12)</x:f>
      </x:c>
      <x:c r="Y40" s="47"/>
      <x:c r="Z40" s="60"/>
      <x:c r="AA40" s="58">
        <x:f>(($O40*Y40)/100)+(Z40*12)</x:f>
      </x:c>
      <x:c r="AB40" s="47"/>
      <x:c r="AC40" s="60"/>
      <x:c r="AD40" s="58">
        <x:f>(($O40*AB40)/100)+(AC40*12)</x:f>
      </x:c>
      <x:c r="AE40" s="47"/>
      <x:c r="AF40" s="60"/>
      <x:c r="AG40" s="58">
        <x:f>(($O40*AE40)/100)+(AF40*12)</x:f>
      </x:c>
      <x:c r="AH40" s="47"/>
      <x:c r="AI40" s="60"/>
      <x:c r="AJ40" s="58">
        <x:f>(($O40*AH40)/100)+(AI40*12)</x:f>
      </x:c>
      <x:c r="AK40" s="47"/>
      <x:c r="AL40" s="60"/>
      <x:c r="AM40" s="58">
        <x:f>(($O40*AK40)/100)+(AL40*12)</x:f>
      </x:c>
      <x:c r="AN40" s="47"/>
      <x:c r="AO40" s="60"/>
      <x:c r="AP40" s="58">
        <x:f>(($O40*AN40)/100)+(AO40*12)</x:f>
      </x:c>
      <x:c r="AQ40" s="47"/>
      <x:c r="AR40" s="60"/>
      <x:c r="AS40" s="58">
        <x:f>(($O40*AQ40)/100)+(AR40*12)</x:f>
      </x:c>
      <x:c r="AT40" s="47"/>
      <x:c r="AU40" s="60"/>
      <x:c r="AV40" s="58">
        <x:f>(($O40*AT40)/100)+(AU40*12)</x:f>
      </x:c>
      <x:c r="AW40" s="47"/>
      <x:c r="AX40" s="60"/>
      <x:c r="AY40" s="58">
        <x:f>(($O40*AW40)/100)+(AX40*12)</x:f>
      </x:c>
      <x:c r="AZ40" s="47"/>
      <x:c r="BA40" s="60"/>
      <x:c r="BB40" s="58">
        <x:f>(($O40*AZ40)/100)+(BA40*12)</x:f>
      </x:c>
      <x:c r="BC40" s="47"/>
      <x:c r="BD40" s="60"/>
      <x:c r="BE40" s="58">
        <x:f>(($O40*BC40)/100)+(BD40*12)</x:f>
      </x:c>
      <x:c r="BF40" s="47"/>
      <x:c r="BG40" s="60"/>
      <x:c r="BH40" s="58">
        <x:f>(($O40*BF40)/100)+(BG40*12)</x:f>
      </x:c>
      <x:c r="BI40" s="47"/>
      <x:c r="BJ40" s="60"/>
      <x:c r="BK40" s="58">
        <x:f>(($O40*BI40)/100)+(BJ40*12)</x:f>
      </x:c>
      <x:c r="BL40" s="47"/>
      <x:c r="BM40" s="60"/>
      <x:c r="BN40" s="58">
        <x:f>(($O40*BL40)/100)+(BM40*12)</x:f>
      </x:c>
      <x:c r="BO40" s="47"/>
      <x:c r="BP40" s="60"/>
      <x:c r="BQ40" s="58">
        <x:f>(($O40*BO40)/100)+(BP40*12)</x:f>
      </x:c>
      <x:c r="BR40" s="47"/>
      <x:c r="BS40" s="60"/>
      <x:c r="BT40" s="58">
        <x:f>(($O40*BR40)/100)+(BS40*12)</x:f>
      </x:c>
      <x:c r="BU40" s="47"/>
      <x:c r="BV40" s="60"/>
      <x:c r="BW40" s="58">
        <x:f>(($O40*BU40)/100)+(BV40*12)</x:f>
      </x:c>
      <x:c r="BX40" s="47"/>
      <x:c r="BY40" s="60"/>
      <x:c r="BZ40" s="58">
        <x:f>(($O40*BX40)/100)+(BY40*12)</x:f>
      </x:c>
      <x:c r="CA40" s="47"/>
      <x:c r="CB40" s="60"/>
      <x:c r="CC40" s="58">
        <x:f>(($O40*CA40)/100)+(CB40*12)</x:f>
      </x:c>
      <x:c r="CD40" s="47"/>
      <x:c r="CE40" s="60"/>
      <x:c r="CF40" s="58">
        <x:f>(($O40*CD40)/100)+(CE40*12)</x:f>
      </x:c>
      <x:c r="CG40" s="47"/>
      <x:c r="CH40" s="60"/>
      <x:c r="CI40" s="58">
        <x:f>(($O40*CG40)/100)+(CH40*12)</x:f>
      </x:c>
      <x:c r="CJ40" s="47"/>
      <x:c r="CK40" s="60"/>
      <x:c r="CL40" s="58">
        <x:f>(($O40*CJ40)/100)+(CK40*12)</x:f>
      </x:c>
      <x:c r="CM40" s="47"/>
      <x:c r="CN40" s="60"/>
      <x:c r="CO40" s="58">
        <x:f>(($O40*CM40)/100)+(CN40*12)</x:f>
      </x:c>
      <x:c r="CP40" s="47"/>
      <x:c r="CQ40" s="60"/>
      <x:c r="CR40" s="58">
        <x:f>(($O40*CP40)/100)+(CQ40*12)</x:f>
      </x:c>
      <x:c r="CS40" s="47"/>
      <x:c r="CT40" s="60"/>
      <x:c r="CU40" s="58">
        <x:f>(($O40*CS40)/100)+(CT40*12)</x:f>
      </x:c>
      <x:c r="CV40" s="47"/>
      <x:c r="CW40" s="60"/>
      <x:c r="CX40" s="58"/>
      <x:c r="CY40" s="47"/>
      <x:c r="CZ40" s="60"/>
      <x:c r="DA40" s="58"/>
      <x:c r="DB40" s="47"/>
      <x:c r="DC40" s="60"/>
      <x:c r="DD40" s="58"/>
      <x:c r="DE40" s="47"/>
      <x:c r="DF40" s="60"/>
      <x:c r="DG40" s="58"/>
      <x:c r="DH40" s="47"/>
      <x:c r="DI40" s="60"/>
      <x:c r="DJ40" s="58"/>
      <x:c r="DK40" s="47"/>
      <x:c r="DL40" s="60"/>
      <x:c r="DM40" s="58"/>
      <x:c r="DN40" s="11"/>
      <x:c r="DO40" s="61"/>
      <x:c r="DP40" s="62"/>
      <x:c r="DQ40" s="11"/>
      <x:c r="DR40" s="61"/>
      <x:c r="DS40" s="62"/>
      <x:c r="DT40" s="11"/>
      <x:c r="DU40" s="61"/>
      <x:c r="DV40" s="62"/>
    </x:row>
    <x:row r="41" spans="1:126" x14ac:dyDescent="0.3">
      <x:c r="A41" s="47"/>
      <x:c r="B41" s="70"/>
      <x:c r="C41" s="70"/>
      <x:c r="D41" s="70"/>
      <x:c r="E41" s="70"/>
      <x:c r="F41" s="70"/>
      <x:c r="G41" s="70"/>
      <x:c r="H41" s="70"/>
      <x:c r="I41" s="70"/>
      <x:c r="J41" s="70"/>
      <x:c r="K41" s="190"/>
      <x:c r="L41" s="191"/>
      <x:c r="M41" s="192">
        <x:f>IF(ISERROR(INDEX('Meter Type Data'!$B$2:$E$1165,SUMPRODUCT(--('Meter Type Data'!$B$2:$B$1165&lt;=Analysis!L41)*('Meter Type Data'!$C$2:$C$1165&gt;=Analysis!L41),ROW('Meter Type Data'!$B$2:$B$1165))-1,4))," ",INDEX('Meter Type Data'!$B$2:$E$1165,SUMPRODUCT(--('Meter Type Data'!$B$2:$B$1165&lt;=Analysis!L41)*('Meter Type Data'!$C$2:$C$1165&gt;=Analysis!L41),ROW('Meter Type Data'!$B$2:$B$1165))-1,4))</x:f>
      </x:c>
      <x:c r="N41" s="192">
        <x:f>IF(ISERROR(INDEX('Meter Type Data'!$B$2:$D$1165,SUMPRODUCT(--('Meter Type Data'!$B$2:$B$1165&lt;=Analysis!L41)*('Meter Type Data'!$C$2:$C$1165&gt;=Analysis!L41),ROW('Meter Type Data'!$B$2:$B$1165))-1,3))," ",INDEX('Meter Type Data'!$B$2:$D$1165,SUMPRODUCT(--('Meter Type Data'!$B$2:$B$1165&lt;=Analysis!L41)*('Meter Type Data'!$C$2:$C$1165&gt;=Analysis!L41),ROW('Meter Type Data'!$B$2:$B$1165))-1,3))</x:f>
      </x:c>
      <x:c r="O41" s="69"/>
      <x:c r="P41" s="47"/>
      <x:c r="Q41" s="60"/>
      <x:c r="R41" s="58">
        <x:f>(($O41*P41)/100)+(Q41*12)</x:f>
      </x:c>
      <x:c r="S41" s="59"/>
      <x:c r="T41" s="59"/>
      <x:c r="U41" s="58">
        <x:f>(($O41*S41)/100)+(T41*12)</x:f>
      </x:c>
      <x:c r="V41" s="47"/>
      <x:c r="W41" s="60"/>
      <x:c r="X41" s="58">
        <x:f>(($O41*V41)/100)+(W41*12)</x:f>
      </x:c>
      <x:c r="Y41" s="47"/>
      <x:c r="Z41" s="60"/>
      <x:c r="AA41" s="58">
        <x:f>(($O41*Y41)/100)+(Z41*12)</x:f>
      </x:c>
      <x:c r="AB41" s="47"/>
      <x:c r="AC41" s="60"/>
      <x:c r="AD41" s="58">
        <x:f>(($O41*AB41)/100)+(AC41*12)</x:f>
      </x:c>
      <x:c r="AE41" s="47"/>
      <x:c r="AF41" s="60"/>
      <x:c r="AG41" s="58">
        <x:f>(($O41*AE41)/100)+(AF41*12)</x:f>
      </x:c>
      <x:c r="AH41" s="47"/>
      <x:c r="AI41" s="60"/>
      <x:c r="AJ41" s="58">
        <x:f>(($O41*AH41)/100)+(AI41*12)</x:f>
      </x:c>
      <x:c r="AK41" s="47"/>
      <x:c r="AL41" s="60"/>
      <x:c r="AM41" s="58">
        <x:f>(($O41*AK41)/100)+(AL41*12)</x:f>
      </x:c>
      <x:c r="AN41" s="47"/>
      <x:c r="AO41" s="60"/>
      <x:c r="AP41" s="58">
        <x:f>(($O41*AN41)/100)+(AO41*12)</x:f>
      </x:c>
      <x:c r="AQ41" s="47"/>
      <x:c r="AR41" s="60"/>
      <x:c r="AS41" s="58">
        <x:f>(($O41*AQ41)/100)+(AR41*12)</x:f>
      </x:c>
      <x:c r="AT41" s="47"/>
      <x:c r="AU41" s="60"/>
      <x:c r="AV41" s="58">
        <x:f>(($O41*AT41)/100)+(AU41*12)</x:f>
      </x:c>
      <x:c r="AW41" s="47"/>
      <x:c r="AX41" s="60"/>
      <x:c r="AY41" s="58">
        <x:f>(($O41*AW41)/100)+(AX41*12)</x:f>
      </x:c>
      <x:c r="AZ41" s="47"/>
      <x:c r="BA41" s="60"/>
      <x:c r="BB41" s="58">
        <x:f>(($O41*AZ41)/100)+(BA41*12)</x:f>
      </x:c>
      <x:c r="BC41" s="47"/>
      <x:c r="BD41" s="60"/>
      <x:c r="BE41" s="58">
        <x:f>(($O41*BC41)/100)+(BD41*12)</x:f>
      </x:c>
      <x:c r="BF41" s="47"/>
      <x:c r="BG41" s="60"/>
      <x:c r="BH41" s="58">
        <x:f>(($O41*BF41)/100)+(BG41*12)</x:f>
      </x:c>
      <x:c r="BI41" s="47"/>
      <x:c r="BJ41" s="60"/>
      <x:c r="BK41" s="58">
        <x:f>(($O41*BI41)/100)+(BJ41*12)</x:f>
      </x:c>
      <x:c r="BL41" s="47"/>
      <x:c r="BM41" s="60"/>
      <x:c r="BN41" s="58">
        <x:f>(($O41*BL41)/100)+(BM41*12)</x:f>
      </x:c>
      <x:c r="BO41" s="47"/>
      <x:c r="BP41" s="60"/>
      <x:c r="BQ41" s="58">
        <x:f>(($O41*BO41)/100)+(BP41*12)</x:f>
      </x:c>
      <x:c r="BR41" s="47"/>
      <x:c r="BS41" s="60"/>
      <x:c r="BT41" s="58">
        <x:f>(($O41*BR41)/100)+(BS41*12)</x:f>
      </x:c>
      <x:c r="BU41" s="47"/>
      <x:c r="BV41" s="60"/>
      <x:c r="BW41" s="58">
        <x:f>(($O41*BU41)/100)+(BV41*12)</x:f>
      </x:c>
      <x:c r="BX41" s="47"/>
      <x:c r="BY41" s="60"/>
      <x:c r="BZ41" s="58">
        <x:f>(($O41*BX41)/100)+(BY41*12)</x:f>
      </x:c>
      <x:c r="CA41" s="47"/>
      <x:c r="CB41" s="60"/>
      <x:c r="CC41" s="58">
        <x:f>(($O41*CA41)/100)+(CB41*12)</x:f>
      </x:c>
      <x:c r="CD41" s="47"/>
      <x:c r="CE41" s="60"/>
      <x:c r="CF41" s="58">
        <x:f>(($O41*CD41)/100)+(CE41*12)</x:f>
      </x:c>
      <x:c r="CG41" s="47"/>
      <x:c r="CH41" s="60"/>
      <x:c r="CI41" s="58">
        <x:f>(($O41*CG41)/100)+(CH41*12)</x:f>
      </x:c>
      <x:c r="CJ41" s="47"/>
      <x:c r="CK41" s="60"/>
      <x:c r="CL41" s="58">
        <x:f>(($O41*CJ41)/100)+(CK41*12)</x:f>
      </x:c>
      <x:c r="CM41" s="47"/>
      <x:c r="CN41" s="60"/>
      <x:c r="CO41" s="58">
        <x:f>(($O41*CM41)/100)+(CN41*12)</x:f>
      </x:c>
      <x:c r="CP41" s="47"/>
      <x:c r="CQ41" s="60"/>
      <x:c r="CR41" s="58">
        <x:f>(($O41*CP41)/100)+(CQ41*12)</x:f>
      </x:c>
      <x:c r="CS41" s="47"/>
      <x:c r="CT41" s="60"/>
      <x:c r="CU41" s="58">
        <x:f>(($O41*CS41)/100)+(CT41*12)</x:f>
      </x:c>
      <x:c r="CV41" s="47"/>
      <x:c r="CW41" s="60"/>
      <x:c r="CX41" s="58"/>
      <x:c r="CY41" s="47"/>
      <x:c r="CZ41" s="60"/>
      <x:c r="DA41" s="58"/>
      <x:c r="DB41" s="47"/>
      <x:c r="DC41" s="60"/>
      <x:c r="DD41" s="58"/>
      <x:c r="DE41" s="47"/>
      <x:c r="DF41" s="60"/>
      <x:c r="DG41" s="58"/>
      <x:c r="DH41" s="47"/>
      <x:c r="DI41" s="60"/>
      <x:c r="DJ41" s="58"/>
      <x:c r="DK41" s="47"/>
      <x:c r="DL41" s="60"/>
      <x:c r="DM41" s="58"/>
      <x:c r="DN41" s="11"/>
      <x:c r="DO41" s="61"/>
      <x:c r="DP41" s="62"/>
      <x:c r="DQ41" s="11"/>
      <x:c r="DR41" s="61"/>
      <x:c r="DS41" s="62"/>
      <x:c r="DT41" s="11"/>
      <x:c r="DU41" s="61"/>
      <x:c r="DV41" s="62"/>
    </x:row>
    <x:row r="42" spans="1:126" x14ac:dyDescent="0.3">
      <x:c r="A42" s="47"/>
      <x:c r="B42" s="70"/>
      <x:c r="C42" s="70"/>
      <x:c r="D42" s="70"/>
      <x:c r="E42" s="70"/>
      <x:c r="F42" s="70"/>
      <x:c r="G42" s="70"/>
      <x:c r="H42" s="70"/>
      <x:c r="I42" s="70"/>
      <x:c r="J42" s="70"/>
      <x:c r="K42" s="190"/>
      <x:c r="L42" s="191"/>
      <x:c r="M42" s="192">
        <x:f>IF(ISERROR(INDEX('Meter Type Data'!$B$2:$E$1165,SUMPRODUCT(--('Meter Type Data'!$B$2:$B$1165&lt;=Analysis!L42)*('Meter Type Data'!$C$2:$C$1165&gt;=Analysis!L42),ROW('Meter Type Data'!$B$2:$B$1165))-1,4))," ",INDEX('Meter Type Data'!$B$2:$E$1165,SUMPRODUCT(--('Meter Type Data'!$B$2:$B$1165&lt;=Analysis!L42)*('Meter Type Data'!$C$2:$C$1165&gt;=Analysis!L42),ROW('Meter Type Data'!$B$2:$B$1165))-1,4))</x:f>
      </x:c>
      <x:c r="N42" s="192">
        <x:f>IF(ISERROR(INDEX('Meter Type Data'!$B$2:$D$1165,SUMPRODUCT(--('Meter Type Data'!$B$2:$B$1165&lt;=Analysis!L42)*('Meter Type Data'!$C$2:$C$1165&gt;=Analysis!L42),ROW('Meter Type Data'!$B$2:$B$1165))-1,3))," ",INDEX('Meter Type Data'!$B$2:$D$1165,SUMPRODUCT(--('Meter Type Data'!$B$2:$B$1165&lt;=Analysis!L42)*('Meter Type Data'!$C$2:$C$1165&gt;=Analysis!L42),ROW('Meter Type Data'!$B$2:$B$1165))-1,3))</x:f>
      </x:c>
      <x:c r="O42" s="69"/>
      <x:c r="P42" s="47"/>
      <x:c r="Q42" s="60"/>
      <x:c r="R42" s="58">
        <x:f>(($O42*P42)/100)+(Q42*12)</x:f>
      </x:c>
      <x:c r="S42" s="59"/>
      <x:c r="T42" s="59"/>
      <x:c r="U42" s="58">
        <x:f>(($O42*S42)/100)+(T42*12)</x:f>
      </x:c>
      <x:c r="V42" s="47"/>
      <x:c r="W42" s="60"/>
      <x:c r="X42" s="58">
        <x:f>(($O42*V42)/100)+(W42*12)</x:f>
      </x:c>
      <x:c r="Y42" s="47"/>
      <x:c r="Z42" s="60"/>
      <x:c r="AA42" s="58">
        <x:f>(($O42*Y42)/100)+(Z42*12)</x:f>
      </x:c>
      <x:c r="AB42" s="47"/>
      <x:c r="AC42" s="60"/>
      <x:c r="AD42" s="58">
        <x:f>(($O42*AB42)/100)+(AC42*12)</x:f>
      </x:c>
      <x:c r="AE42" s="47"/>
      <x:c r="AF42" s="60"/>
      <x:c r="AG42" s="58">
        <x:f>(($O42*AE42)/100)+(AF42*12)</x:f>
      </x:c>
      <x:c r="AH42" s="47"/>
      <x:c r="AI42" s="60"/>
      <x:c r="AJ42" s="58">
        <x:f>(($O42*AH42)/100)+(AI42*12)</x:f>
      </x:c>
      <x:c r="AK42" s="47"/>
      <x:c r="AL42" s="60"/>
      <x:c r="AM42" s="58">
        <x:f>(($O42*AK42)/100)+(AL42*12)</x:f>
      </x:c>
      <x:c r="AN42" s="47"/>
      <x:c r="AO42" s="60"/>
      <x:c r="AP42" s="58">
        <x:f>(($O42*AN42)/100)+(AO42*12)</x:f>
      </x:c>
      <x:c r="AQ42" s="47"/>
      <x:c r="AR42" s="60"/>
      <x:c r="AS42" s="58">
        <x:f>(($O42*AQ42)/100)+(AR42*12)</x:f>
      </x:c>
      <x:c r="AT42" s="47"/>
      <x:c r="AU42" s="60"/>
      <x:c r="AV42" s="58">
        <x:f>(($O42*AT42)/100)+(AU42*12)</x:f>
      </x:c>
      <x:c r="AW42" s="47"/>
      <x:c r="AX42" s="60"/>
      <x:c r="AY42" s="58">
        <x:f>(($O42*AW42)/100)+(AX42*12)</x:f>
      </x:c>
      <x:c r="AZ42" s="47"/>
      <x:c r="BA42" s="60"/>
      <x:c r="BB42" s="58">
        <x:f>(($O42*AZ42)/100)+(BA42*12)</x:f>
      </x:c>
      <x:c r="BC42" s="47"/>
      <x:c r="BD42" s="60"/>
      <x:c r="BE42" s="58">
        <x:f>(($O42*BC42)/100)+(BD42*12)</x:f>
      </x:c>
      <x:c r="BF42" s="47"/>
      <x:c r="BG42" s="60"/>
      <x:c r="BH42" s="58">
        <x:f>(($O42*BF42)/100)+(BG42*12)</x:f>
      </x:c>
      <x:c r="BI42" s="47"/>
      <x:c r="BJ42" s="60"/>
      <x:c r="BK42" s="58">
        <x:f>(($O42*BI42)/100)+(BJ42*12)</x:f>
      </x:c>
      <x:c r="BL42" s="47"/>
      <x:c r="BM42" s="60"/>
      <x:c r="BN42" s="58">
        <x:f>(($O42*BL42)/100)+(BM42*12)</x:f>
      </x:c>
      <x:c r="BO42" s="47"/>
      <x:c r="BP42" s="60"/>
      <x:c r="BQ42" s="58">
        <x:f>(($O42*BO42)/100)+(BP42*12)</x:f>
      </x:c>
      <x:c r="BR42" s="47"/>
      <x:c r="BS42" s="60"/>
      <x:c r="BT42" s="58">
        <x:f>(($O42*BR42)/100)+(BS42*12)</x:f>
      </x:c>
      <x:c r="BU42" s="47"/>
      <x:c r="BV42" s="60"/>
      <x:c r="BW42" s="58">
        <x:f>(($O42*BU42)/100)+(BV42*12)</x:f>
      </x:c>
      <x:c r="BX42" s="47"/>
      <x:c r="BY42" s="60"/>
      <x:c r="BZ42" s="58">
        <x:f>(($O42*BX42)/100)+(BY42*12)</x:f>
      </x:c>
      <x:c r="CA42" s="47"/>
      <x:c r="CB42" s="60"/>
      <x:c r="CC42" s="58">
        <x:f>(($O42*CA42)/100)+(CB42*12)</x:f>
      </x:c>
      <x:c r="CD42" s="47"/>
      <x:c r="CE42" s="60"/>
      <x:c r="CF42" s="58">
        <x:f>(($O42*CD42)/100)+(CE42*12)</x:f>
      </x:c>
      <x:c r="CG42" s="47"/>
      <x:c r="CH42" s="60"/>
      <x:c r="CI42" s="58">
        <x:f>(($O42*CG42)/100)+(CH42*12)</x:f>
      </x:c>
      <x:c r="CJ42" s="47"/>
      <x:c r="CK42" s="60"/>
      <x:c r="CL42" s="58">
        <x:f>(($O42*CJ42)/100)+(CK42*12)</x:f>
      </x:c>
      <x:c r="CM42" s="47"/>
      <x:c r="CN42" s="60"/>
      <x:c r="CO42" s="58">
        <x:f>(($O42*CM42)/100)+(CN42*12)</x:f>
      </x:c>
      <x:c r="CP42" s="47"/>
      <x:c r="CQ42" s="60"/>
      <x:c r="CR42" s="58">
        <x:f>(($O42*CP42)/100)+(CQ42*12)</x:f>
      </x:c>
      <x:c r="CS42" s="47"/>
      <x:c r="CT42" s="60"/>
      <x:c r="CU42" s="58">
        <x:f>(($O42*CS42)/100)+(CT42*12)</x:f>
      </x:c>
      <x:c r="CV42" s="47"/>
      <x:c r="CW42" s="60"/>
      <x:c r="CX42" s="58"/>
      <x:c r="CY42" s="47"/>
      <x:c r="CZ42" s="60"/>
      <x:c r="DA42" s="58"/>
      <x:c r="DB42" s="47"/>
      <x:c r="DC42" s="60"/>
      <x:c r="DD42" s="58"/>
      <x:c r="DE42" s="47"/>
      <x:c r="DF42" s="60"/>
      <x:c r="DG42" s="58"/>
      <x:c r="DH42" s="47"/>
      <x:c r="DI42" s="60"/>
      <x:c r="DJ42" s="58"/>
      <x:c r="DK42" s="47"/>
      <x:c r="DL42" s="60"/>
      <x:c r="DM42" s="58"/>
      <x:c r="DN42" s="11"/>
      <x:c r="DO42" s="61"/>
      <x:c r="DP42" s="62"/>
      <x:c r="DQ42" s="11"/>
      <x:c r="DR42" s="61"/>
      <x:c r="DS42" s="62"/>
      <x:c r="DT42" s="11"/>
      <x:c r="DU42" s="61"/>
      <x:c r="DV42" s="62"/>
    </x:row>
    <x:row r="43" spans="1:126" x14ac:dyDescent="0.3">
      <x:c r="A43" s="47"/>
      <x:c r="B43" s="70"/>
      <x:c r="C43" s="70"/>
      <x:c r="D43" s="70"/>
      <x:c r="E43" s="70"/>
      <x:c r="F43" s="70"/>
      <x:c r="G43" s="70"/>
      <x:c r="H43" s="70"/>
      <x:c r="I43" s="70"/>
      <x:c r="J43" s="70"/>
      <x:c r="K43" s="190"/>
      <x:c r="L43" s="191"/>
      <x:c r="M43" s="192">
        <x:f>IF(ISERROR(INDEX('Meter Type Data'!$B$2:$E$1165,SUMPRODUCT(--('Meter Type Data'!$B$2:$B$1165&lt;=Analysis!L43)*('Meter Type Data'!$C$2:$C$1165&gt;=Analysis!L43),ROW('Meter Type Data'!$B$2:$B$1165))-1,4))," ",INDEX('Meter Type Data'!$B$2:$E$1165,SUMPRODUCT(--('Meter Type Data'!$B$2:$B$1165&lt;=Analysis!L43)*('Meter Type Data'!$C$2:$C$1165&gt;=Analysis!L43),ROW('Meter Type Data'!$B$2:$B$1165))-1,4))</x:f>
      </x:c>
      <x:c r="N43" s="192">
        <x:f>IF(ISERROR(INDEX('Meter Type Data'!$B$2:$D$1165,SUMPRODUCT(--('Meter Type Data'!$B$2:$B$1165&lt;=Analysis!L43)*('Meter Type Data'!$C$2:$C$1165&gt;=Analysis!L43),ROW('Meter Type Data'!$B$2:$B$1165))-1,3))," ",INDEX('Meter Type Data'!$B$2:$D$1165,SUMPRODUCT(--('Meter Type Data'!$B$2:$B$1165&lt;=Analysis!L43)*('Meter Type Data'!$C$2:$C$1165&gt;=Analysis!L43),ROW('Meter Type Data'!$B$2:$B$1165))-1,3))</x:f>
      </x:c>
      <x:c r="O43" s="69"/>
      <x:c r="P43" s="47"/>
      <x:c r="Q43" s="60"/>
      <x:c r="R43" s="58">
        <x:f>(($O43*P43)/100)+(Q43*12)</x:f>
      </x:c>
      <x:c r="S43" s="59"/>
      <x:c r="T43" s="59"/>
      <x:c r="U43" s="58">
        <x:f>(($O43*S43)/100)+(T43*12)</x:f>
      </x:c>
      <x:c r="V43" s="47"/>
      <x:c r="W43" s="60"/>
      <x:c r="X43" s="58">
        <x:f>(($O43*V43)/100)+(W43*12)</x:f>
      </x:c>
      <x:c r="Y43" s="47"/>
      <x:c r="Z43" s="60"/>
      <x:c r="AA43" s="58">
        <x:f>(($O43*Y43)/100)+(Z43*12)</x:f>
      </x:c>
      <x:c r="AB43" s="47"/>
      <x:c r="AC43" s="60"/>
      <x:c r="AD43" s="58">
        <x:f>(($O43*AB43)/100)+(AC43*12)</x:f>
      </x:c>
      <x:c r="AE43" s="47"/>
      <x:c r="AF43" s="60"/>
      <x:c r="AG43" s="58">
        <x:f>(($O43*AE43)/100)+(AF43*12)</x:f>
      </x:c>
      <x:c r="AH43" s="47"/>
      <x:c r="AI43" s="60"/>
      <x:c r="AJ43" s="58">
        <x:f>(($O43*AH43)/100)+(AI43*12)</x:f>
      </x:c>
      <x:c r="AK43" s="47"/>
      <x:c r="AL43" s="60"/>
      <x:c r="AM43" s="58">
        <x:f>(($O43*AK43)/100)+(AL43*12)</x:f>
      </x:c>
      <x:c r="AN43" s="47"/>
      <x:c r="AO43" s="60"/>
      <x:c r="AP43" s="58">
        <x:f>(($O43*AN43)/100)+(AO43*12)</x:f>
      </x:c>
      <x:c r="AQ43" s="47"/>
      <x:c r="AR43" s="60"/>
      <x:c r="AS43" s="58">
        <x:f>(($O43*AQ43)/100)+(AR43*12)</x:f>
      </x:c>
      <x:c r="AT43" s="47"/>
      <x:c r="AU43" s="60"/>
      <x:c r="AV43" s="58">
        <x:f>(($O43*AT43)/100)+(AU43*12)</x:f>
      </x:c>
      <x:c r="AW43" s="47"/>
      <x:c r="AX43" s="60"/>
      <x:c r="AY43" s="58">
        <x:f>(($O43*AW43)/100)+(AX43*12)</x:f>
      </x:c>
      <x:c r="AZ43" s="47"/>
      <x:c r="BA43" s="60"/>
      <x:c r="BB43" s="58">
        <x:f>(($O43*AZ43)/100)+(BA43*12)</x:f>
      </x:c>
      <x:c r="BC43" s="47"/>
      <x:c r="BD43" s="60"/>
      <x:c r="BE43" s="58">
        <x:f>(($O43*BC43)/100)+(BD43*12)</x:f>
      </x:c>
      <x:c r="BF43" s="47"/>
      <x:c r="BG43" s="60"/>
      <x:c r="BH43" s="58">
        <x:f>(($O43*BF43)/100)+(BG43*12)</x:f>
      </x:c>
      <x:c r="BI43" s="47"/>
      <x:c r="BJ43" s="60"/>
      <x:c r="BK43" s="58">
        <x:f>(($O43*BI43)/100)+(BJ43*12)</x:f>
      </x:c>
      <x:c r="BL43" s="47"/>
      <x:c r="BM43" s="60"/>
      <x:c r="BN43" s="58">
        <x:f>(($O43*BL43)/100)+(BM43*12)</x:f>
      </x:c>
      <x:c r="BO43" s="47"/>
      <x:c r="BP43" s="60"/>
      <x:c r="BQ43" s="58">
        <x:f>(($O43*BO43)/100)+(BP43*12)</x:f>
      </x:c>
      <x:c r="BR43" s="47"/>
      <x:c r="BS43" s="60"/>
      <x:c r="BT43" s="58">
        <x:f>(($O43*BR43)/100)+(BS43*12)</x:f>
      </x:c>
      <x:c r="BU43" s="47"/>
      <x:c r="BV43" s="60"/>
      <x:c r="BW43" s="58">
        <x:f>(($O43*BU43)/100)+(BV43*12)</x:f>
      </x:c>
      <x:c r="BX43" s="47"/>
      <x:c r="BY43" s="60"/>
      <x:c r="BZ43" s="58">
        <x:f>(($O43*BX43)/100)+(BY43*12)</x:f>
      </x:c>
      <x:c r="CA43" s="47"/>
      <x:c r="CB43" s="60"/>
      <x:c r="CC43" s="58">
        <x:f>(($O43*CA43)/100)+(CB43*12)</x:f>
      </x:c>
      <x:c r="CD43" s="47"/>
      <x:c r="CE43" s="60"/>
      <x:c r="CF43" s="58">
        <x:f>(($O43*CD43)/100)+(CE43*12)</x:f>
      </x:c>
      <x:c r="CG43" s="47"/>
      <x:c r="CH43" s="60"/>
      <x:c r="CI43" s="58">
        <x:f>(($O43*CG43)/100)+(CH43*12)</x:f>
      </x:c>
      <x:c r="CJ43" s="47"/>
      <x:c r="CK43" s="60"/>
      <x:c r="CL43" s="58">
        <x:f>(($O43*CJ43)/100)+(CK43*12)</x:f>
      </x:c>
      <x:c r="CM43" s="47"/>
      <x:c r="CN43" s="60"/>
      <x:c r="CO43" s="58">
        <x:f>(($O43*CM43)/100)+(CN43*12)</x:f>
      </x:c>
      <x:c r="CP43" s="47"/>
      <x:c r="CQ43" s="60"/>
      <x:c r="CR43" s="58">
        <x:f>(($O43*CP43)/100)+(CQ43*12)</x:f>
      </x:c>
      <x:c r="CS43" s="47"/>
      <x:c r="CT43" s="60"/>
      <x:c r="CU43" s="58">
        <x:f>(($O43*CS43)/100)+(CT43*12)</x:f>
      </x:c>
      <x:c r="CV43" s="47"/>
      <x:c r="CW43" s="60"/>
      <x:c r="CX43" s="58"/>
      <x:c r="CY43" s="47"/>
      <x:c r="CZ43" s="60"/>
      <x:c r="DA43" s="58"/>
      <x:c r="DB43" s="47"/>
      <x:c r="DC43" s="60"/>
      <x:c r="DD43" s="58"/>
      <x:c r="DE43" s="47"/>
      <x:c r="DF43" s="60"/>
      <x:c r="DG43" s="58"/>
      <x:c r="DH43" s="47"/>
      <x:c r="DI43" s="60"/>
      <x:c r="DJ43" s="58"/>
      <x:c r="DK43" s="47"/>
      <x:c r="DL43" s="60"/>
      <x:c r="DM43" s="58"/>
      <x:c r="DN43" s="11"/>
      <x:c r="DO43" s="61"/>
      <x:c r="DP43" s="62"/>
      <x:c r="DQ43" s="11"/>
      <x:c r="DR43" s="61"/>
      <x:c r="DS43" s="62"/>
      <x:c r="DT43" s="11"/>
      <x:c r="DU43" s="61"/>
      <x:c r="DV43" s="62"/>
    </x:row>
    <x:row r="44" spans="1:126" x14ac:dyDescent="0.3">
      <x:c r="A44" s="47"/>
      <x:c r="B44" s="70"/>
      <x:c r="C44" s="70"/>
      <x:c r="D44" s="70"/>
      <x:c r="E44" s="70"/>
      <x:c r="F44" s="70"/>
      <x:c r="G44" s="70"/>
      <x:c r="H44" s="70"/>
      <x:c r="I44" s="70"/>
      <x:c r="J44" s="70"/>
      <x:c r="K44" s="190"/>
      <x:c r="L44" s="191"/>
      <x:c r="M44" s="192">
        <x:f>IF(ISERROR(INDEX('Meter Type Data'!$B$2:$E$1165,SUMPRODUCT(--('Meter Type Data'!$B$2:$B$1165&lt;=Analysis!L44)*('Meter Type Data'!$C$2:$C$1165&gt;=Analysis!L44),ROW('Meter Type Data'!$B$2:$B$1165))-1,4))," ",INDEX('Meter Type Data'!$B$2:$E$1165,SUMPRODUCT(--('Meter Type Data'!$B$2:$B$1165&lt;=Analysis!L44)*('Meter Type Data'!$C$2:$C$1165&gt;=Analysis!L44),ROW('Meter Type Data'!$B$2:$B$1165))-1,4))</x:f>
      </x:c>
      <x:c r="N44" s="192">
        <x:f>IF(ISERROR(INDEX('Meter Type Data'!$B$2:$D$1165,SUMPRODUCT(--('Meter Type Data'!$B$2:$B$1165&lt;=Analysis!L44)*('Meter Type Data'!$C$2:$C$1165&gt;=Analysis!L44),ROW('Meter Type Data'!$B$2:$B$1165))-1,3))," ",INDEX('Meter Type Data'!$B$2:$D$1165,SUMPRODUCT(--('Meter Type Data'!$B$2:$B$1165&lt;=Analysis!L44)*('Meter Type Data'!$C$2:$C$1165&gt;=Analysis!L44),ROW('Meter Type Data'!$B$2:$B$1165))-1,3))</x:f>
      </x:c>
      <x:c r="O44" s="69"/>
      <x:c r="P44" s="47"/>
      <x:c r="Q44" s="60"/>
      <x:c r="R44" s="58">
        <x:f>(($O44*P44)/100)+(Q44*12)</x:f>
      </x:c>
      <x:c r="S44" s="59"/>
      <x:c r="T44" s="59"/>
      <x:c r="U44" s="58">
        <x:f>(($O44*S44)/100)+(T44*12)</x:f>
      </x:c>
      <x:c r="V44" s="47"/>
      <x:c r="W44" s="60"/>
      <x:c r="X44" s="58">
        <x:f>(($O44*V44)/100)+(W44*12)</x:f>
      </x:c>
      <x:c r="Y44" s="47"/>
      <x:c r="Z44" s="60"/>
      <x:c r="AA44" s="58">
        <x:f>(($O44*Y44)/100)+(Z44*12)</x:f>
      </x:c>
      <x:c r="AB44" s="47"/>
      <x:c r="AC44" s="60"/>
      <x:c r="AD44" s="58">
        <x:f>(($O44*AB44)/100)+(AC44*12)</x:f>
      </x:c>
      <x:c r="AE44" s="47"/>
      <x:c r="AF44" s="60"/>
      <x:c r="AG44" s="58">
        <x:f>(($O44*AE44)/100)+(AF44*12)</x:f>
      </x:c>
      <x:c r="AH44" s="47"/>
      <x:c r="AI44" s="60"/>
      <x:c r="AJ44" s="58">
        <x:f>(($O44*AH44)/100)+(AI44*12)</x:f>
      </x:c>
      <x:c r="AK44" s="47"/>
      <x:c r="AL44" s="60"/>
      <x:c r="AM44" s="58">
        <x:f>(($O44*AK44)/100)+(AL44*12)</x:f>
      </x:c>
      <x:c r="AN44" s="47"/>
      <x:c r="AO44" s="60"/>
      <x:c r="AP44" s="58">
        <x:f>(($O44*AN44)/100)+(AO44*12)</x:f>
      </x:c>
      <x:c r="AQ44" s="47"/>
      <x:c r="AR44" s="60"/>
      <x:c r="AS44" s="58">
        <x:f>(($O44*AQ44)/100)+(AR44*12)</x:f>
      </x:c>
      <x:c r="AT44" s="47"/>
      <x:c r="AU44" s="60"/>
      <x:c r="AV44" s="58">
        <x:f>(($O44*AT44)/100)+(AU44*12)</x:f>
      </x:c>
      <x:c r="AW44" s="47"/>
      <x:c r="AX44" s="60"/>
      <x:c r="AY44" s="58">
        <x:f>(($O44*AW44)/100)+(AX44*12)</x:f>
      </x:c>
      <x:c r="AZ44" s="47"/>
      <x:c r="BA44" s="60"/>
      <x:c r="BB44" s="58">
        <x:f>(($O44*AZ44)/100)+(BA44*12)</x:f>
      </x:c>
      <x:c r="BC44" s="47"/>
      <x:c r="BD44" s="60"/>
      <x:c r="BE44" s="58">
        <x:f>(($O44*BC44)/100)+(BD44*12)</x:f>
      </x:c>
      <x:c r="BF44" s="47"/>
      <x:c r="BG44" s="60"/>
      <x:c r="BH44" s="58">
        <x:f>(($O44*BF44)/100)+(BG44*12)</x:f>
      </x:c>
      <x:c r="BI44" s="47"/>
      <x:c r="BJ44" s="60"/>
      <x:c r="BK44" s="58">
        <x:f>(($O44*BI44)/100)+(BJ44*12)</x:f>
      </x:c>
      <x:c r="BL44" s="47"/>
      <x:c r="BM44" s="60"/>
      <x:c r="BN44" s="58">
        <x:f>(($O44*BL44)/100)+(BM44*12)</x:f>
      </x:c>
      <x:c r="BO44" s="47"/>
      <x:c r="BP44" s="60"/>
      <x:c r="BQ44" s="58">
        <x:f>(($O44*BO44)/100)+(BP44*12)</x:f>
      </x:c>
      <x:c r="BR44" s="47"/>
      <x:c r="BS44" s="60"/>
      <x:c r="BT44" s="58">
        <x:f>(($O44*BR44)/100)+(BS44*12)</x:f>
      </x:c>
      <x:c r="BU44" s="47"/>
      <x:c r="BV44" s="60"/>
      <x:c r="BW44" s="58">
        <x:f>(($O44*BU44)/100)+(BV44*12)</x:f>
      </x:c>
      <x:c r="BX44" s="47"/>
      <x:c r="BY44" s="60"/>
      <x:c r="BZ44" s="58">
        <x:f>(($O44*BX44)/100)+(BY44*12)</x:f>
      </x:c>
      <x:c r="CA44" s="47"/>
      <x:c r="CB44" s="60"/>
      <x:c r="CC44" s="58">
        <x:f>(($O44*CA44)/100)+(CB44*12)</x:f>
      </x:c>
      <x:c r="CD44" s="47"/>
      <x:c r="CE44" s="60"/>
      <x:c r="CF44" s="58">
        <x:f>(($O44*CD44)/100)+(CE44*12)</x:f>
      </x:c>
      <x:c r="CG44" s="47"/>
      <x:c r="CH44" s="60"/>
      <x:c r="CI44" s="58">
        <x:f>(($O44*CG44)/100)+(CH44*12)</x:f>
      </x:c>
      <x:c r="CJ44" s="47"/>
      <x:c r="CK44" s="60"/>
      <x:c r="CL44" s="58">
        <x:f>(($O44*CJ44)/100)+(CK44*12)</x:f>
      </x:c>
      <x:c r="CM44" s="47"/>
      <x:c r="CN44" s="60"/>
      <x:c r="CO44" s="58">
        <x:f>(($O44*CM44)/100)+(CN44*12)</x:f>
      </x:c>
      <x:c r="CP44" s="47"/>
      <x:c r="CQ44" s="60"/>
      <x:c r="CR44" s="58">
        <x:f>(($O44*CP44)/100)+(CQ44*12)</x:f>
      </x:c>
      <x:c r="CS44" s="47"/>
      <x:c r="CT44" s="60"/>
      <x:c r="CU44" s="58">
        <x:f>(($O44*CS44)/100)+(CT44*12)</x:f>
      </x:c>
      <x:c r="CV44" s="47"/>
      <x:c r="CW44" s="60"/>
      <x:c r="CX44" s="58"/>
      <x:c r="CY44" s="47"/>
      <x:c r="CZ44" s="60"/>
      <x:c r="DA44" s="58"/>
      <x:c r="DB44" s="47"/>
      <x:c r="DC44" s="60"/>
      <x:c r="DD44" s="58"/>
      <x:c r="DE44" s="47"/>
      <x:c r="DF44" s="60"/>
      <x:c r="DG44" s="58"/>
      <x:c r="DH44" s="47"/>
      <x:c r="DI44" s="60"/>
      <x:c r="DJ44" s="58"/>
      <x:c r="DK44" s="47"/>
      <x:c r="DL44" s="60"/>
      <x:c r="DM44" s="58"/>
      <x:c r="DN44" s="11"/>
      <x:c r="DO44" s="61"/>
      <x:c r="DP44" s="62"/>
      <x:c r="DQ44" s="11"/>
      <x:c r="DR44" s="61"/>
      <x:c r="DS44" s="62"/>
      <x:c r="DT44" s="11"/>
      <x:c r="DU44" s="61"/>
      <x:c r="DV44" s="62"/>
    </x:row>
    <x:row r="45" spans="1:126" x14ac:dyDescent="0.3">
      <x:c r="A45" s="47"/>
      <x:c r="B45" s="70"/>
      <x:c r="C45" s="70"/>
      <x:c r="D45" s="70"/>
      <x:c r="E45" s="70"/>
      <x:c r="F45" s="70"/>
      <x:c r="G45" s="70"/>
      <x:c r="H45" s="70"/>
      <x:c r="I45" s="70"/>
      <x:c r="J45" s="70"/>
      <x:c r="K45" s="190"/>
      <x:c r="L45" s="191"/>
      <x:c r="M45" s="192">
        <x:f>IF(ISERROR(INDEX('Meter Type Data'!$B$2:$E$1165,SUMPRODUCT(--('Meter Type Data'!$B$2:$B$1165&lt;=Analysis!L45)*('Meter Type Data'!$C$2:$C$1165&gt;=Analysis!L45),ROW('Meter Type Data'!$B$2:$B$1165))-1,4))," ",INDEX('Meter Type Data'!$B$2:$E$1165,SUMPRODUCT(--('Meter Type Data'!$B$2:$B$1165&lt;=Analysis!L45)*('Meter Type Data'!$C$2:$C$1165&gt;=Analysis!L45),ROW('Meter Type Data'!$B$2:$B$1165))-1,4))</x:f>
      </x:c>
      <x:c r="N45" s="192">
        <x:f>IF(ISERROR(INDEX('Meter Type Data'!$B$2:$D$1165,SUMPRODUCT(--('Meter Type Data'!$B$2:$B$1165&lt;=Analysis!L45)*('Meter Type Data'!$C$2:$C$1165&gt;=Analysis!L45),ROW('Meter Type Data'!$B$2:$B$1165))-1,3))," ",INDEX('Meter Type Data'!$B$2:$D$1165,SUMPRODUCT(--('Meter Type Data'!$B$2:$B$1165&lt;=Analysis!L45)*('Meter Type Data'!$C$2:$C$1165&gt;=Analysis!L45),ROW('Meter Type Data'!$B$2:$B$1165))-1,3))</x:f>
      </x:c>
      <x:c r="O45" s="69"/>
      <x:c r="P45" s="47"/>
      <x:c r="Q45" s="60"/>
      <x:c r="R45" s="58">
        <x:f>(($O45*P45)/100)+(Q45*12)</x:f>
      </x:c>
      <x:c r="S45" s="59"/>
      <x:c r="T45" s="59"/>
      <x:c r="U45" s="58">
        <x:f>(($O45*S45)/100)+(T45*12)</x:f>
      </x:c>
      <x:c r="V45" s="47"/>
      <x:c r="W45" s="60"/>
      <x:c r="X45" s="58">
        <x:f>(($O45*V45)/100)+(W45*12)</x:f>
      </x:c>
      <x:c r="Y45" s="47"/>
      <x:c r="Z45" s="60"/>
      <x:c r="AA45" s="58">
        <x:f>(($O45*Y45)/100)+(Z45*12)</x:f>
      </x:c>
      <x:c r="AB45" s="47"/>
      <x:c r="AC45" s="60"/>
      <x:c r="AD45" s="58">
        <x:f>(($O45*AB45)/100)+(AC45*12)</x:f>
      </x:c>
      <x:c r="AE45" s="47"/>
      <x:c r="AF45" s="60"/>
      <x:c r="AG45" s="58">
        <x:f>(($O45*AE45)/100)+(AF45*12)</x:f>
      </x:c>
      <x:c r="AH45" s="47"/>
      <x:c r="AI45" s="60"/>
      <x:c r="AJ45" s="58">
        <x:f>(($O45*AH45)/100)+(AI45*12)</x:f>
      </x:c>
      <x:c r="AK45" s="47"/>
      <x:c r="AL45" s="60"/>
      <x:c r="AM45" s="58">
        <x:f>(($O45*AK45)/100)+(AL45*12)</x:f>
      </x:c>
      <x:c r="AN45" s="47"/>
      <x:c r="AO45" s="60"/>
      <x:c r="AP45" s="58">
        <x:f>(($O45*AN45)/100)+(AO45*12)</x:f>
      </x:c>
      <x:c r="AQ45" s="47"/>
      <x:c r="AR45" s="60"/>
      <x:c r="AS45" s="58">
        <x:f>(($O45*AQ45)/100)+(AR45*12)</x:f>
      </x:c>
      <x:c r="AT45" s="47"/>
      <x:c r="AU45" s="60"/>
      <x:c r="AV45" s="58">
        <x:f>(($O45*AT45)/100)+(AU45*12)</x:f>
      </x:c>
      <x:c r="AW45" s="47"/>
      <x:c r="AX45" s="60"/>
      <x:c r="AY45" s="58">
        <x:f>(($O45*AW45)/100)+(AX45*12)</x:f>
      </x:c>
      <x:c r="AZ45" s="47"/>
      <x:c r="BA45" s="60"/>
      <x:c r="BB45" s="58">
        <x:f>(($O45*AZ45)/100)+(BA45*12)</x:f>
      </x:c>
      <x:c r="BC45" s="47"/>
      <x:c r="BD45" s="60"/>
      <x:c r="BE45" s="58">
        <x:f>(($O45*BC45)/100)+(BD45*12)</x:f>
      </x:c>
      <x:c r="BF45" s="47"/>
      <x:c r="BG45" s="60"/>
      <x:c r="BH45" s="58">
        <x:f>(($O45*BF45)/100)+(BG45*12)</x:f>
      </x:c>
      <x:c r="BI45" s="47"/>
      <x:c r="BJ45" s="60"/>
      <x:c r="BK45" s="58">
        <x:f>(($O45*BI45)/100)+(BJ45*12)</x:f>
      </x:c>
      <x:c r="BL45" s="47"/>
      <x:c r="BM45" s="60"/>
      <x:c r="BN45" s="58">
        <x:f>(($O45*BL45)/100)+(BM45*12)</x:f>
      </x:c>
      <x:c r="BO45" s="47"/>
      <x:c r="BP45" s="60"/>
      <x:c r="BQ45" s="58">
        <x:f>(($O45*BO45)/100)+(BP45*12)</x:f>
      </x:c>
      <x:c r="BR45" s="47"/>
      <x:c r="BS45" s="60"/>
      <x:c r="BT45" s="58">
        <x:f>(($O45*BR45)/100)+(BS45*12)</x:f>
      </x:c>
      <x:c r="BU45" s="47"/>
      <x:c r="BV45" s="60"/>
      <x:c r="BW45" s="58">
        <x:f>(($O45*BU45)/100)+(BV45*12)</x:f>
      </x:c>
      <x:c r="BX45" s="47"/>
      <x:c r="BY45" s="60"/>
      <x:c r="BZ45" s="58">
        <x:f>(($O45*BX45)/100)+(BY45*12)</x:f>
      </x:c>
      <x:c r="CA45" s="47"/>
      <x:c r="CB45" s="60"/>
      <x:c r="CC45" s="58">
        <x:f>(($O45*CA45)/100)+(CB45*12)</x:f>
      </x:c>
      <x:c r="CD45" s="47"/>
      <x:c r="CE45" s="60"/>
      <x:c r="CF45" s="58">
        <x:f>(($O45*CD45)/100)+(CE45*12)</x:f>
      </x:c>
      <x:c r="CG45" s="47"/>
      <x:c r="CH45" s="60"/>
      <x:c r="CI45" s="58">
        <x:f>(($O45*CG45)/100)+(CH45*12)</x:f>
      </x:c>
      <x:c r="CJ45" s="47"/>
      <x:c r="CK45" s="60"/>
      <x:c r="CL45" s="58">
        <x:f>(($O45*CJ45)/100)+(CK45*12)</x:f>
      </x:c>
      <x:c r="CM45" s="47"/>
      <x:c r="CN45" s="60"/>
      <x:c r="CO45" s="58">
        <x:f>(($O45*CM45)/100)+(CN45*12)</x:f>
      </x:c>
      <x:c r="CP45" s="47"/>
      <x:c r="CQ45" s="60"/>
      <x:c r="CR45" s="58">
        <x:f>(($O45*CP45)/100)+(CQ45*12)</x:f>
      </x:c>
      <x:c r="CS45" s="47"/>
      <x:c r="CT45" s="60"/>
      <x:c r="CU45" s="58">
        <x:f>(($O45*CS45)/100)+(CT45*12)</x:f>
      </x:c>
      <x:c r="CV45" s="47"/>
      <x:c r="CW45" s="60"/>
      <x:c r="CX45" s="58"/>
      <x:c r="CY45" s="47"/>
      <x:c r="CZ45" s="60"/>
      <x:c r="DA45" s="58"/>
      <x:c r="DB45" s="47"/>
      <x:c r="DC45" s="60"/>
      <x:c r="DD45" s="58"/>
      <x:c r="DE45" s="47"/>
      <x:c r="DF45" s="60"/>
      <x:c r="DG45" s="58"/>
      <x:c r="DH45" s="47"/>
      <x:c r="DI45" s="60"/>
      <x:c r="DJ45" s="58"/>
      <x:c r="DK45" s="47"/>
      <x:c r="DL45" s="60"/>
      <x:c r="DM45" s="58"/>
      <x:c r="DN45" s="11"/>
      <x:c r="DO45" s="61"/>
      <x:c r="DP45" s="62"/>
      <x:c r="DQ45" s="11"/>
      <x:c r="DR45" s="61"/>
      <x:c r="DS45" s="62"/>
      <x:c r="DT45" s="11"/>
      <x:c r="DU45" s="61"/>
      <x:c r="DV45" s="62"/>
    </x:row>
    <x:row r="46" spans="1:126" x14ac:dyDescent="0.3">
      <x:c r="A46" s="47"/>
      <x:c r="B46" s="48"/>
      <x:c r="C46" s="49"/>
      <x:c r="D46" s="48"/>
      <x:c r="E46" s="49"/>
      <x:c r="F46" s="48"/>
      <x:c r="H46" s="49"/>
      <x:c r="I46" s="49"/>
      <x:c r="J46" s="49"/>
      <x:c r="K46" s="190"/>
      <x:c r="L46" s="191"/>
      <x:c r="M46" s="192">
        <x:f>IF(ISERROR(INDEX('Meter Type Data'!$B$2:$E$1165,SUMPRODUCT(--('Meter Type Data'!$B$2:$B$1165&lt;=Analysis!L46)*('Meter Type Data'!$C$2:$C$1165&gt;=Analysis!L46),ROW('Meter Type Data'!$B$2:$B$1165))-1,4))," ",INDEX('Meter Type Data'!$B$2:$E$1165,SUMPRODUCT(--('Meter Type Data'!$B$2:$B$1165&lt;=Analysis!L46)*('Meter Type Data'!$C$2:$C$1165&gt;=Analysis!L46),ROW('Meter Type Data'!$B$2:$B$1165))-1,4))</x:f>
      </x:c>
      <x:c r="N46" s="192">
        <x:f>IF(ISERROR(INDEX('Meter Type Data'!$B$2:$D$1165,SUMPRODUCT(--('Meter Type Data'!$B$2:$B$1165&lt;=Analysis!L46)*('Meter Type Data'!$C$2:$C$1165&gt;=Analysis!L46),ROW('Meter Type Data'!$B$2:$B$1165))-1,3))," ",INDEX('Meter Type Data'!$B$2:$D$1165,SUMPRODUCT(--('Meter Type Data'!$B$2:$B$1165&lt;=Analysis!L46)*('Meter Type Data'!$C$2:$C$1165&gt;=Analysis!L46),ROW('Meter Type Data'!$B$2:$B$1165))-1,3))</x:f>
      </x:c>
      <x:c r="O46" s="193"/>
      <x:c r="P46" s="56"/>
      <x:c r="Q46" s="57"/>
      <x:c r="R46" s="58">
        <x:f>(($O46*P46)/100)+(Q46*12)</x:f>
      </x:c>
      <x:c r="S46" s="59"/>
      <x:c r="T46" s="59"/>
      <x:c r="U46" s="58">
        <x:f>(($O46*S46)/100)+(T46*12)</x:f>
      </x:c>
      <x:c r="V46" s="59"/>
      <x:c r="W46" s="59"/>
      <x:c r="X46" s="58">
        <x:f>(($O46*V46)/100)+(W46*12)</x:f>
      </x:c>
      <x:c r="Y46" s="59"/>
      <x:c r="Z46" s="59"/>
      <x:c r="AA46" s="58">
        <x:f>(($O46*Y46)/100)+(Z46*12)</x:f>
      </x:c>
      <x:c r="AB46" s="59"/>
      <x:c r="AC46" s="59"/>
      <x:c r="AD46" s="58">
        <x:f>(($O46*AB46)/100)+(AC46*12)</x:f>
      </x:c>
      <x:c r="AE46" s="47"/>
      <x:c r="AF46" s="60"/>
      <x:c r="AG46" s="58">
        <x:f>(($O46*AE46)/100)+(AF46*12)</x:f>
      </x:c>
      <x:c r="AH46" s="47"/>
      <x:c r="AI46" s="60"/>
      <x:c r="AJ46" s="58">
        <x:f>(($O46*AH46)/100)+(AI46*12)</x:f>
      </x:c>
      <x:c r="AK46" s="47"/>
      <x:c r="AL46" s="60"/>
      <x:c r="AM46" s="58">
        <x:f>(($O46*AK46)/100)+(AL46*12)</x:f>
      </x:c>
      <x:c r="AN46" s="47"/>
      <x:c r="AO46" s="60"/>
      <x:c r="AP46" s="58">
        <x:f>(($O46*AN46)/100)+(AO46*12)</x:f>
      </x:c>
      <x:c r="AQ46" s="47"/>
      <x:c r="AR46" s="60"/>
      <x:c r="AS46" s="58">
        <x:f>(($O46*AQ46)/100)+(AR46*12)</x:f>
      </x:c>
      <x:c r="AT46" s="47"/>
      <x:c r="AU46" s="60"/>
      <x:c r="AV46" s="58">
        <x:f>(($O46*AT46)/100)+(AU46*12)</x:f>
      </x:c>
      <x:c r="AW46" s="47"/>
      <x:c r="AX46" s="60"/>
      <x:c r="AY46" s="58">
        <x:f>(($O46*AW46)/100)+(AX46*12)</x:f>
      </x:c>
      <x:c r="AZ46" s="47"/>
      <x:c r="BA46" s="60"/>
      <x:c r="BB46" s="58">
        <x:f>(($O46*AZ46)/100)+(BA46*12)</x:f>
      </x:c>
      <x:c r="BC46" s="47"/>
      <x:c r="BD46" s="60"/>
      <x:c r="BE46" s="58">
        <x:f>(($O46*BC46)/100)+(BD46*12)</x:f>
      </x:c>
      <x:c r="BF46" s="47"/>
      <x:c r="BG46" s="60"/>
      <x:c r="BH46" s="58">
        <x:f>(($O46*BF46)/100)+(BG46*12)</x:f>
      </x:c>
      <x:c r="BI46" s="47"/>
      <x:c r="BJ46" s="60"/>
      <x:c r="BK46" s="58">
        <x:f>(($O46*BI46)/100)+(BJ46*12)</x:f>
      </x:c>
      <x:c r="BL46" s="47"/>
      <x:c r="BM46" s="60"/>
      <x:c r="BN46" s="58">
        <x:f>(($O46*BL46)/100)+(BM46*12)</x:f>
      </x:c>
      <x:c r="BO46" s="47"/>
      <x:c r="BP46" s="60"/>
      <x:c r="BQ46" s="58">
        <x:f>(($O46*BO46)/100)+(BP46*12)</x:f>
      </x:c>
      <x:c r="BR46" s="47"/>
      <x:c r="BS46" s="60"/>
      <x:c r="BT46" s="58">
        <x:f>(($O46*BR46)/100)+(BS46*12)</x:f>
      </x:c>
      <x:c r="BU46" s="47"/>
      <x:c r="BV46" s="60"/>
      <x:c r="BW46" s="58">
        <x:f>(($O46*BU46)/100)+(BV46*12)</x:f>
      </x:c>
      <x:c r="BX46" s="47"/>
      <x:c r="BY46" s="60"/>
      <x:c r="BZ46" s="58">
        <x:f>(($O46*BX46)/100)+(BY46*12)</x:f>
      </x:c>
      <x:c r="CA46" s="47"/>
      <x:c r="CB46" s="60"/>
      <x:c r="CC46" s="58">
        <x:f>(($O46*CA46)/100)+(CB46*12)</x:f>
      </x:c>
      <x:c r="CD46" s="47"/>
      <x:c r="CE46" s="60"/>
      <x:c r="CF46" s="58">
        <x:f>(($O46*CD46)/100)+(CE46*12)</x:f>
      </x:c>
      <x:c r="CG46" s="47"/>
      <x:c r="CH46" s="60"/>
      <x:c r="CI46" s="58">
        <x:f>(($O46*CG46)/100)+(CH46*12)</x:f>
      </x:c>
      <x:c r="CJ46" s="47"/>
      <x:c r="CK46" s="60"/>
      <x:c r="CL46" s="58">
        <x:f>(($O46*CJ46)/100)+(CK46*12)</x:f>
      </x:c>
      <x:c r="CM46" s="47"/>
      <x:c r="CN46" s="60"/>
      <x:c r="CO46" s="58">
        <x:f>(($O46*CM46)/100)+(CN46*12)</x:f>
      </x:c>
      <x:c r="CP46" s="47"/>
      <x:c r="CQ46" s="60"/>
      <x:c r="CR46" s="58">
        <x:f>(($O46*CP46)/100)+(CQ46*12)</x:f>
      </x:c>
      <x:c r="CS46" s="47"/>
      <x:c r="CT46" s="60"/>
      <x:c r="CU46" s="58">
        <x:f>(($O46*CS46)/100)+(CT46*12)</x:f>
      </x:c>
      <x:c r="CV46" s="47"/>
      <x:c r="CW46" s="60"/>
      <x:c r="CX46" s="58"/>
      <x:c r="CY46" s="47"/>
      <x:c r="CZ46" s="60"/>
      <x:c r="DA46" s="58"/>
      <x:c r="DB46" s="47"/>
      <x:c r="DC46" s="60"/>
      <x:c r="DD46" s="58"/>
      <x:c r="DE46" s="47"/>
      <x:c r="DF46" s="60"/>
      <x:c r="DG46" s="58"/>
      <x:c r="DH46" s="47"/>
      <x:c r="DI46" s="60"/>
      <x:c r="DJ46" s="58"/>
      <x:c r="DK46" s="47"/>
      <x:c r="DL46" s="60"/>
      <x:c r="DM46" s="58"/>
      <x:c r="DN46" s="11"/>
      <x:c r="DO46" s="61"/>
      <x:c r="DP46" s="62"/>
      <x:c r="DQ46" s="11"/>
      <x:c r="DR46" s="61"/>
      <x:c r="DS46" s="62"/>
      <x:c r="DT46" s="11"/>
      <x:c r="DU46" s="61"/>
      <x:c r="DV46" s="62"/>
    </x:row>
    <x:row r="47" spans="1:126" x14ac:dyDescent="0.3">
      <x:c r="A47" s="63"/>
      <x:c r="B47" s="64"/>
      <x:c r="C47" s="65"/>
      <x:c r="D47" s="64"/>
      <x:c r="E47" s="65"/>
      <x:c r="F47" s="65"/>
      <x:c r="G47" s="65"/>
      <x:c r="H47" s="65"/>
      <x:c r="I47" s="65"/>
      <x:c r="J47" s="65"/>
      <x:c r="K47" s="190"/>
      <x:c r="L47" s="191"/>
      <x:c r="M47" s="192">
        <x:f>IF(ISERROR(INDEX('Meter Type Data'!$B$2:$E$1165,SUMPRODUCT(--('Meter Type Data'!$B$2:$B$1165&lt;=Analysis!L47)*('Meter Type Data'!$C$2:$C$1165&gt;=Analysis!L47),ROW('Meter Type Data'!$B$2:$B$1165))-1,4))," ",INDEX('Meter Type Data'!$B$2:$E$1165,SUMPRODUCT(--('Meter Type Data'!$B$2:$B$1165&lt;=Analysis!L47)*('Meter Type Data'!$C$2:$C$1165&gt;=Analysis!L47),ROW('Meter Type Data'!$B$2:$B$1165))-1,4))</x:f>
      </x:c>
      <x:c r="N47" s="192">
        <x:f>IF(ISERROR(INDEX('Meter Type Data'!$B$2:$D$1165,SUMPRODUCT(--('Meter Type Data'!$B$2:$B$1165&lt;=Analysis!L47)*('Meter Type Data'!$C$2:$C$1165&gt;=Analysis!L47),ROW('Meter Type Data'!$B$2:$B$1165))-1,3))," ",INDEX('Meter Type Data'!$B$2:$D$1165,SUMPRODUCT(--('Meter Type Data'!$B$2:$B$1165&lt;=Analysis!L47)*('Meter Type Data'!$C$2:$C$1165&gt;=Analysis!L47),ROW('Meter Type Data'!$B$2:$B$1165))-1,3))</x:f>
      </x:c>
      <x:c r="O47" s="194"/>
      <x:c r="P47" s="56"/>
      <x:c r="Q47" s="57"/>
      <x:c r="R47" s="58">
        <x:f>(($O47*P47)/100)+(Q47*12)</x:f>
      </x:c>
      <x:c r="S47" s="59"/>
      <x:c r="T47" s="59"/>
      <x:c r="U47" s="58">
        <x:f>(($O47*S47)/100)+(T47*12)</x:f>
      </x:c>
      <x:c r="V47" s="59"/>
      <x:c r="W47" s="59"/>
      <x:c r="X47" s="58">
        <x:f>(($O47*V47)/100)+(W47*12)</x:f>
      </x:c>
      <x:c r="Y47" s="59"/>
      <x:c r="Z47" s="59"/>
      <x:c r="AA47" s="58">
        <x:f>(($O47*Y47)/100)+(Z47*12)</x:f>
      </x:c>
      <x:c r="AB47" s="59"/>
      <x:c r="AC47" s="59"/>
      <x:c r="AD47" s="58">
        <x:f>(($O47*AB47)/100)+(AC47*12)</x:f>
      </x:c>
      <x:c r="AE47" s="47"/>
      <x:c r="AF47" s="60"/>
      <x:c r="AG47" s="58">
        <x:f>(($O47*AE47)/100)+(AF47*12)</x:f>
      </x:c>
      <x:c r="AH47" s="47"/>
      <x:c r="AI47" s="60"/>
      <x:c r="AJ47" s="58">
        <x:f>(($O47*AH47)/100)+(AI47*12)</x:f>
      </x:c>
      <x:c r="AK47" s="47"/>
      <x:c r="AL47" s="60"/>
      <x:c r="AM47" s="58">
        <x:f>(($O47*AK47)/100)+(AL47*12)</x:f>
      </x:c>
      <x:c r="AN47" s="47"/>
      <x:c r="AO47" s="60"/>
      <x:c r="AP47" s="58">
        <x:f>(($O47*AN47)/100)+(AO47*12)</x:f>
      </x:c>
      <x:c r="AQ47" s="47"/>
      <x:c r="AR47" s="60"/>
      <x:c r="AS47" s="58">
        <x:f>(($O47*AQ47)/100)+(AR47*12)</x:f>
      </x:c>
      <x:c r="AT47" s="47"/>
      <x:c r="AU47" s="60"/>
      <x:c r="AV47" s="58">
        <x:f>(($O47*AT47)/100)+(AU47*12)</x:f>
      </x:c>
      <x:c r="AW47" s="47"/>
      <x:c r="AX47" s="60"/>
      <x:c r="AY47" s="58">
        <x:f>(($O47*AW47)/100)+(AX47*12)</x:f>
      </x:c>
      <x:c r="AZ47" s="47"/>
      <x:c r="BA47" s="60"/>
      <x:c r="BB47" s="58">
        <x:f>(($O47*AZ47)/100)+(BA47*12)</x:f>
      </x:c>
      <x:c r="BC47" s="47"/>
      <x:c r="BD47" s="60"/>
      <x:c r="BE47" s="58">
        <x:f>(($O47*BC47)/100)+(BD47*12)</x:f>
      </x:c>
      <x:c r="BF47" s="47"/>
      <x:c r="BG47" s="60"/>
      <x:c r="BH47" s="58">
        <x:f>(($O47*BF47)/100)+(BG47*12)</x:f>
      </x:c>
      <x:c r="BI47" s="47"/>
      <x:c r="BJ47" s="60"/>
      <x:c r="BK47" s="58">
        <x:f>(($O47*BI47)/100)+(BJ47*12)</x:f>
      </x:c>
      <x:c r="BL47" s="47"/>
      <x:c r="BM47" s="60"/>
      <x:c r="BN47" s="58">
        <x:f>(($O47*BL47)/100)+(BM47*12)</x:f>
      </x:c>
      <x:c r="BO47" s="47"/>
      <x:c r="BP47" s="60"/>
      <x:c r="BQ47" s="58">
        <x:f>(($O47*BO47)/100)+(BP47*12)</x:f>
      </x:c>
      <x:c r="BR47" s="47"/>
      <x:c r="BS47" s="60"/>
      <x:c r="BT47" s="58">
        <x:f>(($O47*BR47)/100)+(BS47*12)</x:f>
      </x:c>
      <x:c r="BU47" s="47"/>
      <x:c r="BV47" s="60"/>
      <x:c r="BW47" s="58">
        <x:f>(($O47*BU47)/100)+(BV47*12)</x:f>
      </x:c>
      <x:c r="BX47" s="47"/>
      <x:c r="BY47" s="60"/>
      <x:c r="BZ47" s="58">
        <x:f>(($O47*BX47)/100)+(BY47*12)</x:f>
      </x:c>
      <x:c r="CA47" s="47"/>
      <x:c r="CB47" s="60"/>
      <x:c r="CC47" s="58">
        <x:f>(($O47*CA47)/100)+(CB47*12)</x:f>
      </x:c>
      <x:c r="CD47" s="47"/>
      <x:c r="CE47" s="60"/>
      <x:c r="CF47" s="58">
        <x:f>(($O47*CD47)/100)+(CE47*12)</x:f>
      </x:c>
      <x:c r="CG47" s="47"/>
      <x:c r="CH47" s="60"/>
      <x:c r="CI47" s="58">
        <x:f>(($O47*CG47)/100)+(CH47*12)</x:f>
      </x:c>
      <x:c r="CJ47" s="47"/>
      <x:c r="CK47" s="60"/>
      <x:c r="CL47" s="58">
        <x:f>(($O47*CJ47)/100)+(CK47*12)</x:f>
      </x:c>
      <x:c r="CM47" s="47"/>
      <x:c r="CN47" s="60"/>
      <x:c r="CO47" s="58">
        <x:f>(($O47*CM47)/100)+(CN47*12)</x:f>
      </x:c>
      <x:c r="CP47" s="47"/>
      <x:c r="CQ47" s="60"/>
      <x:c r="CR47" s="58">
        <x:f>(($O47*CP47)/100)+(CQ47*12)</x:f>
      </x:c>
      <x:c r="CS47" s="47"/>
      <x:c r="CT47" s="60"/>
      <x:c r="CU47" s="58">
        <x:f>(($O47*CS47)/100)+(CT47*12)</x:f>
      </x:c>
      <x:c r="CV47" s="47"/>
      <x:c r="CW47" s="60"/>
      <x:c r="CX47" s="58"/>
      <x:c r="CY47" s="47"/>
      <x:c r="CZ47" s="60"/>
      <x:c r="DA47" s="58"/>
      <x:c r="DB47" s="47"/>
      <x:c r="DC47" s="60"/>
      <x:c r="DD47" s="58"/>
      <x:c r="DE47" s="47"/>
      <x:c r="DF47" s="60"/>
      <x:c r="DG47" s="58"/>
      <x:c r="DH47" s="47"/>
      <x:c r="DI47" s="60"/>
      <x:c r="DJ47" s="58"/>
      <x:c r="DK47" s="47"/>
      <x:c r="DL47" s="60"/>
      <x:c r="DM47" s="58"/>
      <x:c r="DN47" s="11"/>
      <x:c r="DO47" s="61"/>
      <x:c r="DP47" s="62"/>
      <x:c r="DQ47" s="11"/>
      <x:c r="DR47" s="61"/>
      <x:c r="DS47" s="62"/>
      <x:c r="DT47" s="11"/>
      <x:c r="DU47" s="61"/>
      <x:c r="DV47" s="62"/>
    </x:row>
    <x:row r="48" spans="1:126" x14ac:dyDescent="0.3">
      <x:c r="A48" s="63"/>
      <x:c r="B48" s="64"/>
      <x:c r="C48" s="65"/>
      <x:c r="D48" s="64"/>
      <x:c r="E48" s="65"/>
      <x:c r="F48" s="65"/>
      <x:c r="G48" s="65"/>
      <x:c r="H48" s="65"/>
      <x:c r="I48" s="65"/>
      <x:c r="J48" s="65"/>
      <x:c r="K48" s="190"/>
      <x:c r="L48" s="191"/>
      <x:c r="M48" s="192">
        <x:f>IF(ISERROR(INDEX('Meter Type Data'!$B$2:$E$1165,SUMPRODUCT(--('Meter Type Data'!$B$2:$B$1165&lt;=Analysis!L48)*('Meter Type Data'!$C$2:$C$1165&gt;=Analysis!L48),ROW('Meter Type Data'!$B$2:$B$1165))-1,4))," ",INDEX('Meter Type Data'!$B$2:$E$1165,SUMPRODUCT(--('Meter Type Data'!$B$2:$B$1165&lt;=Analysis!L48)*('Meter Type Data'!$C$2:$C$1165&gt;=Analysis!L48),ROW('Meter Type Data'!$B$2:$B$1165))-1,4))</x:f>
      </x:c>
      <x:c r="N48" s="192">
        <x:f>IF(ISERROR(INDEX('Meter Type Data'!$B$2:$D$1165,SUMPRODUCT(--('Meter Type Data'!$B$2:$B$1165&lt;=Analysis!L48)*('Meter Type Data'!$C$2:$C$1165&gt;=Analysis!L48),ROW('Meter Type Data'!$B$2:$B$1165))-1,3))," ",INDEX('Meter Type Data'!$B$2:$D$1165,SUMPRODUCT(--('Meter Type Data'!$B$2:$B$1165&lt;=Analysis!L48)*('Meter Type Data'!$C$2:$C$1165&gt;=Analysis!L48),ROW('Meter Type Data'!$B$2:$B$1165))-1,3))</x:f>
      </x:c>
      <x:c r="O48" s="194"/>
      <x:c r="P48" s="56"/>
      <x:c r="Q48" s="57"/>
      <x:c r="R48" s="58">
        <x:f>(($O48*P48)/100)+(Q48*12)</x:f>
      </x:c>
      <x:c r="S48" s="59"/>
      <x:c r="T48" s="59"/>
      <x:c r="U48" s="58">
        <x:f>(($O48*S48)/100)+(T48*12)</x:f>
      </x:c>
      <x:c r="V48" s="59"/>
      <x:c r="W48" s="59"/>
      <x:c r="X48" s="58">
        <x:f>(($O48*V48)/100)+(W48*12)</x:f>
      </x:c>
      <x:c r="Y48" s="59"/>
      <x:c r="Z48" s="59"/>
      <x:c r="AA48" s="58">
        <x:f>(($O48*Y48)/100)+(Z48*12)</x:f>
      </x:c>
      <x:c r="AB48" s="59"/>
      <x:c r="AC48" s="59"/>
      <x:c r="AD48" s="58">
        <x:f>(($O48*AB48)/100)+(AC48*12)</x:f>
      </x:c>
      <x:c r="AE48" s="47"/>
      <x:c r="AF48" s="60"/>
      <x:c r="AG48" s="58">
        <x:f>(($O48*AE48)/100)+(AF48*12)</x:f>
      </x:c>
      <x:c r="AH48" s="47"/>
      <x:c r="AI48" s="60"/>
      <x:c r="AJ48" s="58">
        <x:f>(($O48*AH48)/100)+(AI48*12)</x:f>
      </x:c>
      <x:c r="AK48" s="47"/>
      <x:c r="AL48" s="60"/>
      <x:c r="AM48" s="58">
        <x:f>(($O48*AK48)/100)+(AL48*12)</x:f>
      </x:c>
      <x:c r="AN48" s="47"/>
      <x:c r="AO48" s="60"/>
      <x:c r="AP48" s="58">
        <x:f>(($O48*AN48)/100)+(AO48*12)</x:f>
      </x:c>
      <x:c r="AQ48" s="47"/>
      <x:c r="AR48" s="60"/>
      <x:c r="AS48" s="58">
        <x:f>(($O48*AQ48)/100)+(AR48*12)</x:f>
      </x:c>
      <x:c r="AT48" s="47"/>
      <x:c r="AU48" s="60"/>
      <x:c r="AV48" s="58">
        <x:f>(($O48*AT48)/100)+(AU48*12)</x:f>
      </x:c>
      <x:c r="AW48" s="47"/>
      <x:c r="AX48" s="60"/>
      <x:c r="AY48" s="58">
        <x:f>(($O48*AW48)/100)+(AX48*12)</x:f>
      </x:c>
      <x:c r="AZ48" s="47"/>
      <x:c r="BA48" s="60"/>
      <x:c r="BB48" s="58">
        <x:f>(($O48*AZ48)/100)+(BA48*12)</x:f>
      </x:c>
      <x:c r="BC48" s="47"/>
      <x:c r="BD48" s="60"/>
      <x:c r="BE48" s="58">
        <x:f>(($O48*BC48)/100)+(BD48*12)</x:f>
      </x:c>
      <x:c r="BF48" s="47"/>
      <x:c r="BG48" s="60"/>
      <x:c r="BH48" s="58">
        <x:f>(($O48*BF48)/100)+(BG48*12)</x:f>
      </x:c>
      <x:c r="BI48" s="47"/>
      <x:c r="BJ48" s="60"/>
      <x:c r="BK48" s="58">
        <x:f>(($O48*BI48)/100)+(BJ48*12)</x:f>
      </x:c>
      <x:c r="BL48" s="47"/>
      <x:c r="BM48" s="60"/>
      <x:c r="BN48" s="58">
        <x:f>(($O48*BL48)/100)+(BM48*12)</x:f>
      </x:c>
      <x:c r="BO48" s="47"/>
      <x:c r="BP48" s="60"/>
      <x:c r="BQ48" s="58">
        <x:f>(($O48*BO48)/100)+(BP48*12)</x:f>
      </x:c>
      <x:c r="BR48" s="47"/>
      <x:c r="BS48" s="60"/>
      <x:c r="BT48" s="58">
        <x:f>(($O48*BR48)/100)+(BS48*12)</x:f>
      </x:c>
      <x:c r="BU48" s="47"/>
      <x:c r="BV48" s="60"/>
      <x:c r="BW48" s="58">
        <x:f>(($O48*BU48)/100)+(BV48*12)</x:f>
      </x:c>
      <x:c r="BX48" s="47"/>
      <x:c r="BY48" s="60"/>
      <x:c r="BZ48" s="58">
        <x:f>(($O48*BX48)/100)+(BY48*12)</x:f>
      </x:c>
      <x:c r="CA48" s="47"/>
      <x:c r="CB48" s="60"/>
      <x:c r="CC48" s="58">
        <x:f>(($O48*CA48)/100)+(CB48*12)</x:f>
      </x:c>
      <x:c r="CD48" s="47"/>
      <x:c r="CE48" s="60"/>
      <x:c r="CF48" s="58">
        <x:f>(($O48*CD48)/100)+(CE48*12)</x:f>
      </x:c>
      <x:c r="CG48" s="47"/>
      <x:c r="CH48" s="60"/>
      <x:c r="CI48" s="58">
        <x:f>(($O48*CG48)/100)+(CH48*12)</x:f>
      </x:c>
      <x:c r="CJ48" s="47"/>
      <x:c r="CK48" s="60"/>
      <x:c r="CL48" s="58">
        <x:f>(($O48*CJ48)/100)+(CK48*12)</x:f>
      </x:c>
      <x:c r="CM48" s="47"/>
      <x:c r="CN48" s="60"/>
      <x:c r="CO48" s="58">
        <x:f>(($O48*CM48)/100)+(CN48*12)</x:f>
      </x:c>
      <x:c r="CP48" s="47"/>
      <x:c r="CQ48" s="60"/>
      <x:c r="CR48" s="58">
        <x:f>(($O48*CP48)/100)+(CQ48*12)</x:f>
      </x:c>
      <x:c r="CS48" s="47"/>
      <x:c r="CT48" s="60"/>
      <x:c r="CU48" s="58">
        <x:f>(($O48*CS48)/100)+(CT48*12)</x:f>
      </x:c>
      <x:c r="CV48" s="47"/>
      <x:c r="CW48" s="60"/>
      <x:c r="CX48" s="58"/>
      <x:c r="CY48" s="47"/>
      <x:c r="CZ48" s="60"/>
      <x:c r="DA48" s="58"/>
      <x:c r="DB48" s="47"/>
      <x:c r="DC48" s="60"/>
      <x:c r="DD48" s="58"/>
      <x:c r="DE48" s="47"/>
      <x:c r="DF48" s="60"/>
      <x:c r="DG48" s="58"/>
      <x:c r="DH48" s="47"/>
      <x:c r="DI48" s="60"/>
      <x:c r="DJ48" s="58"/>
      <x:c r="DK48" s="47"/>
      <x:c r="DL48" s="60"/>
      <x:c r="DM48" s="58"/>
      <x:c r="DN48" s="11"/>
      <x:c r="DO48" s="61"/>
      <x:c r="DP48" s="62"/>
      <x:c r="DQ48" s="11"/>
      <x:c r="DR48" s="61"/>
      <x:c r="DS48" s="62"/>
      <x:c r="DT48" s="11"/>
      <x:c r="DU48" s="61"/>
      <x:c r="DV48" s="62"/>
    </x:row>
    <x:row r="49" spans="1:126" x14ac:dyDescent="0.3">
      <x:c r="A49" s="63"/>
      <x:c r="B49" s="64"/>
      <x:c r="C49" s="65"/>
      <x:c r="D49" s="64"/>
      <x:c r="E49" s="65"/>
      <x:c r="F49" s="65"/>
      <x:c r="G49" s="65"/>
      <x:c r="H49" s="65"/>
      <x:c r="I49" s="65"/>
      <x:c r="J49" s="65"/>
      <x:c r="K49" s="190"/>
      <x:c r="L49" s="191"/>
      <x:c r="M49" s="192">
        <x:f>IF(ISERROR(INDEX('Meter Type Data'!$B$2:$E$1165,SUMPRODUCT(--('Meter Type Data'!$B$2:$B$1165&lt;=Analysis!L49)*('Meter Type Data'!$C$2:$C$1165&gt;=Analysis!L49),ROW('Meter Type Data'!$B$2:$B$1165))-1,4))," ",INDEX('Meter Type Data'!$B$2:$E$1165,SUMPRODUCT(--('Meter Type Data'!$B$2:$B$1165&lt;=Analysis!L49)*('Meter Type Data'!$C$2:$C$1165&gt;=Analysis!L49),ROW('Meter Type Data'!$B$2:$B$1165))-1,4))</x:f>
      </x:c>
      <x:c r="N49" s="192">
        <x:f>IF(ISERROR(INDEX('Meter Type Data'!$B$2:$D$1165,SUMPRODUCT(--('Meter Type Data'!$B$2:$B$1165&lt;=Analysis!L49)*('Meter Type Data'!$C$2:$C$1165&gt;=Analysis!L49),ROW('Meter Type Data'!$B$2:$B$1165))-1,3))," ",INDEX('Meter Type Data'!$B$2:$D$1165,SUMPRODUCT(--('Meter Type Data'!$B$2:$B$1165&lt;=Analysis!L49)*('Meter Type Data'!$C$2:$C$1165&gt;=Analysis!L49),ROW('Meter Type Data'!$B$2:$B$1165))-1,3))</x:f>
      </x:c>
      <x:c r="O49" s="194"/>
      <x:c r="P49" s="56"/>
      <x:c r="Q49" s="57"/>
      <x:c r="R49" s="58">
        <x:f>(($O49*P49)/100)+(Q49*12)</x:f>
      </x:c>
      <x:c r="S49" s="59"/>
      <x:c r="T49" s="59"/>
      <x:c r="U49" s="58">
        <x:f>(($O49*S49)/100)+(T49*12)</x:f>
      </x:c>
      <x:c r="V49" s="59"/>
      <x:c r="W49" s="59"/>
      <x:c r="X49" s="58">
        <x:f>(($O49*V49)/100)+(W49*12)</x:f>
      </x:c>
      <x:c r="Y49" s="59"/>
      <x:c r="Z49" s="59"/>
      <x:c r="AA49" s="58">
        <x:f>(($O49*Y49)/100)+(Z49*12)</x:f>
      </x:c>
      <x:c r="AB49" s="59"/>
      <x:c r="AC49" s="59"/>
      <x:c r="AD49" s="58">
        <x:f>(($O49*AB49)/100)+(AC49*12)</x:f>
      </x:c>
      <x:c r="AE49" s="47"/>
      <x:c r="AF49" s="60"/>
      <x:c r="AG49" s="58">
        <x:f>(($O49*AE49)/100)+(AF49*12)</x:f>
      </x:c>
      <x:c r="AH49" s="47"/>
      <x:c r="AI49" s="60"/>
      <x:c r="AJ49" s="58">
        <x:f>(($O49*AH49)/100)+(AI49*12)</x:f>
      </x:c>
      <x:c r="AK49" s="47"/>
      <x:c r="AL49" s="60"/>
      <x:c r="AM49" s="58">
        <x:f>(($O49*AK49)/100)+(AL49*12)</x:f>
      </x:c>
      <x:c r="AN49" s="47"/>
      <x:c r="AO49" s="60"/>
      <x:c r="AP49" s="58">
        <x:f>(($O49*AN49)/100)+(AO49*12)</x:f>
      </x:c>
      <x:c r="AQ49" s="47"/>
      <x:c r="AR49" s="60"/>
      <x:c r="AS49" s="58">
        <x:f>(($O49*AQ49)/100)+(AR49*12)</x:f>
      </x:c>
      <x:c r="AT49" s="47"/>
      <x:c r="AU49" s="60"/>
      <x:c r="AV49" s="58">
        <x:f>(($O49*AT49)/100)+(AU49*12)</x:f>
      </x:c>
      <x:c r="AW49" s="47"/>
      <x:c r="AX49" s="60"/>
      <x:c r="AY49" s="58">
        <x:f>(($O49*AW49)/100)+(AX49*12)</x:f>
      </x:c>
      <x:c r="AZ49" s="47"/>
      <x:c r="BA49" s="60"/>
      <x:c r="BB49" s="58">
        <x:f>(($O49*AZ49)/100)+(BA49*12)</x:f>
      </x:c>
      <x:c r="BC49" s="47"/>
      <x:c r="BD49" s="60"/>
      <x:c r="BE49" s="58">
        <x:f>(($O49*BC49)/100)+(BD49*12)</x:f>
      </x:c>
      <x:c r="BF49" s="47"/>
      <x:c r="BG49" s="60"/>
      <x:c r="BH49" s="58">
        <x:f>(($O49*BF49)/100)+(BG49*12)</x:f>
      </x:c>
      <x:c r="BI49" s="47"/>
      <x:c r="BJ49" s="60"/>
      <x:c r="BK49" s="58">
        <x:f>(($O49*BI49)/100)+(BJ49*12)</x:f>
      </x:c>
      <x:c r="BL49" s="47"/>
      <x:c r="BM49" s="60"/>
      <x:c r="BN49" s="58">
        <x:f>(($O49*BL49)/100)+(BM49*12)</x:f>
      </x:c>
      <x:c r="BO49" s="47"/>
      <x:c r="BP49" s="60"/>
      <x:c r="BQ49" s="58">
        <x:f>(($O49*BO49)/100)+(BP49*12)</x:f>
      </x:c>
      <x:c r="BR49" s="47"/>
      <x:c r="BS49" s="60"/>
      <x:c r="BT49" s="58">
        <x:f>(($O49*BR49)/100)+(BS49*12)</x:f>
      </x:c>
      <x:c r="BU49" s="47"/>
      <x:c r="BV49" s="60"/>
      <x:c r="BW49" s="58">
        <x:f>(($O49*BU49)/100)+(BV49*12)</x:f>
      </x:c>
      <x:c r="BX49" s="47"/>
      <x:c r="BY49" s="60"/>
      <x:c r="BZ49" s="58">
        <x:f>(($O49*BX49)/100)+(BY49*12)</x:f>
      </x:c>
      <x:c r="CA49" s="47"/>
      <x:c r="CB49" s="60"/>
      <x:c r="CC49" s="58">
        <x:f>(($O49*CA49)/100)+(CB49*12)</x:f>
      </x:c>
      <x:c r="CD49" s="47"/>
      <x:c r="CE49" s="60"/>
      <x:c r="CF49" s="58">
        <x:f>(($O49*CD49)/100)+(CE49*12)</x:f>
      </x:c>
      <x:c r="CG49" s="47"/>
      <x:c r="CH49" s="60"/>
      <x:c r="CI49" s="58">
        <x:f>(($O49*CG49)/100)+(CH49*12)</x:f>
      </x:c>
      <x:c r="CJ49" s="47"/>
      <x:c r="CK49" s="60"/>
      <x:c r="CL49" s="58">
        <x:f>(($O49*CJ49)/100)+(CK49*12)</x:f>
      </x:c>
      <x:c r="CM49" s="47"/>
      <x:c r="CN49" s="60"/>
      <x:c r="CO49" s="58">
        <x:f>(($O49*CM49)/100)+(CN49*12)</x:f>
      </x:c>
      <x:c r="CP49" s="47"/>
      <x:c r="CQ49" s="60"/>
      <x:c r="CR49" s="58">
        <x:f>(($O49*CP49)/100)+(CQ49*12)</x:f>
      </x:c>
      <x:c r="CS49" s="47"/>
      <x:c r="CT49" s="60"/>
      <x:c r="CU49" s="58">
        <x:f>(($O49*CS49)/100)+(CT49*12)</x:f>
      </x:c>
      <x:c r="CV49" s="47"/>
      <x:c r="CW49" s="60"/>
      <x:c r="CX49" s="58"/>
      <x:c r="CY49" s="47"/>
      <x:c r="CZ49" s="60"/>
      <x:c r="DA49" s="58"/>
      <x:c r="DB49" s="47"/>
      <x:c r="DC49" s="60"/>
      <x:c r="DD49" s="58"/>
      <x:c r="DE49" s="47"/>
      <x:c r="DF49" s="60"/>
      <x:c r="DG49" s="58"/>
      <x:c r="DH49" s="47"/>
      <x:c r="DI49" s="60"/>
      <x:c r="DJ49" s="58"/>
      <x:c r="DK49" s="47"/>
      <x:c r="DL49" s="60"/>
      <x:c r="DM49" s="58"/>
      <x:c r="DN49" s="11"/>
      <x:c r="DO49" s="61"/>
      <x:c r="DP49" s="62"/>
      <x:c r="DQ49" s="11"/>
      <x:c r="DR49" s="61"/>
      <x:c r="DS49" s="62"/>
      <x:c r="DT49" s="11"/>
      <x:c r="DU49" s="61"/>
      <x:c r="DV49" s="62"/>
    </x:row>
    <x:row r="50" spans="1:126" x14ac:dyDescent="0.3">
      <x:c r="A50" s="63"/>
      <x:c r="B50" s="64"/>
      <x:c r="C50" s="64"/>
      <x:c r="D50" s="65"/>
      <x:c r="E50" s="65"/>
      <x:c r="F50" s="65"/>
      <x:c r="G50" s="65"/>
      <x:c r="H50" s="65"/>
      <x:c r="I50" s="65"/>
      <x:c r="J50" s="65"/>
      <x:c r="K50" s="190"/>
      <x:c r="L50" s="191"/>
      <x:c r="M50" s="192">
        <x:f>IF(ISERROR(INDEX('Meter Type Data'!$B$2:$E$1165,SUMPRODUCT(--('Meter Type Data'!$B$2:$B$1165&lt;=Analysis!L50)*('Meter Type Data'!$C$2:$C$1165&gt;=Analysis!L50),ROW('Meter Type Data'!$B$2:$B$1165))-1,4))," ",INDEX('Meter Type Data'!$B$2:$E$1165,SUMPRODUCT(--('Meter Type Data'!$B$2:$B$1165&lt;=Analysis!L50)*('Meter Type Data'!$C$2:$C$1165&gt;=Analysis!L50),ROW('Meter Type Data'!$B$2:$B$1165))-1,4))</x:f>
      </x:c>
      <x:c r="N50" s="192">
        <x:f>IF(ISERROR(INDEX('Meter Type Data'!$B$2:$D$1165,SUMPRODUCT(--('Meter Type Data'!$B$2:$B$1165&lt;=Analysis!L50)*('Meter Type Data'!$C$2:$C$1165&gt;=Analysis!L50),ROW('Meter Type Data'!$B$2:$B$1165))-1,3))," ",INDEX('Meter Type Data'!$B$2:$D$1165,SUMPRODUCT(--('Meter Type Data'!$B$2:$B$1165&lt;=Analysis!L50)*('Meter Type Data'!$C$2:$C$1165&gt;=Analysis!L50),ROW('Meter Type Data'!$B$2:$B$1165))-1,3))</x:f>
      </x:c>
      <x:c r="O50" s="193"/>
      <x:c r="P50" s="56"/>
      <x:c r="Q50" s="57"/>
      <x:c r="R50" s="58">
        <x:f>(($O50*P50)/100)+(Q50*12)</x:f>
      </x:c>
      <x:c r="S50" s="59"/>
      <x:c r="T50" s="59"/>
      <x:c r="U50" s="58">
        <x:f>(($O50*S50)/100)+(T50*12)</x:f>
      </x:c>
      <x:c r="V50" s="59"/>
      <x:c r="W50" s="59"/>
      <x:c r="X50" s="58">
        <x:f>(($O50*V50)/100)+(W50*12)</x:f>
      </x:c>
      <x:c r="Y50" s="59"/>
      <x:c r="Z50" s="59"/>
      <x:c r="AA50" s="58">
        <x:f>(($O50*Y50)/100)+(Z50*12)</x:f>
      </x:c>
      <x:c r="AB50" s="59"/>
      <x:c r="AC50" s="59"/>
      <x:c r="AD50" s="58">
        <x:f>(($O50*AB50)/100)+(AC50*12)</x:f>
      </x:c>
      <x:c r="AE50" s="47"/>
      <x:c r="AF50" s="60"/>
      <x:c r="AG50" s="58">
        <x:f>(($O50*AE50)/100)+(AF50*12)</x:f>
      </x:c>
      <x:c r="AH50" s="47"/>
      <x:c r="AI50" s="60"/>
      <x:c r="AJ50" s="58">
        <x:f>(($O50*AH50)/100)+(AI50*12)</x:f>
      </x:c>
      <x:c r="AK50" s="47"/>
      <x:c r="AL50" s="60"/>
      <x:c r="AM50" s="58">
        <x:f>(($O50*AK50)/100)+(AL50*12)</x:f>
      </x:c>
      <x:c r="AN50" s="47"/>
      <x:c r="AO50" s="60"/>
      <x:c r="AP50" s="58">
        <x:f>(($O50*AN50)/100)+(AO50*12)</x:f>
      </x:c>
      <x:c r="AQ50" s="47"/>
      <x:c r="AR50" s="60"/>
      <x:c r="AS50" s="58">
        <x:f>(($O50*AQ50)/100)+(AR50*12)</x:f>
      </x:c>
      <x:c r="AT50" s="47"/>
      <x:c r="AU50" s="60"/>
      <x:c r="AV50" s="58">
        <x:f>(($O50*AT50)/100)+(AU50*12)</x:f>
      </x:c>
      <x:c r="AW50" s="47"/>
      <x:c r="AX50" s="60"/>
      <x:c r="AY50" s="58">
        <x:f>(($O50*AW50)/100)+(AX50*12)</x:f>
      </x:c>
      <x:c r="AZ50" s="47"/>
      <x:c r="BA50" s="60"/>
      <x:c r="BB50" s="58">
        <x:f>(($O50*AZ50)/100)+(BA50*12)</x:f>
      </x:c>
      <x:c r="BC50" s="47"/>
      <x:c r="BD50" s="60"/>
      <x:c r="BE50" s="58">
        <x:f>(($O50*BC50)/100)+(BD50*12)</x:f>
      </x:c>
      <x:c r="BF50" s="47"/>
      <x:c r="BG50" s="60"/>
      <x:c r="BH50" s="58">
        <x:f>(($O50*BF50)/100)+(BG50*12)</x:f>
      </x:c>
      <x:c r="BI50" s="47"/>
      <x:c r="BJ50" s="60"/>
      <x:c r="BK50" s="58">
        <x:f>(($O50*BI50)/100)+(BJ50*12)</x:f>
      </x:c>
      <x:c r="BL50" s="47"/>
      <x:c r="BM50" s="60"/>
      <x:c r="BN50" s="58">
        <x:f>(($O50*BL50)/100)+(BM50*12)</x:f>
      </x:c>
      <x:c r="BO50" s="47"/>
      <x:c r="BP50" s="60"/>
      <x:c r="BQ50" s="58">
        <x:f>(($O50*BO50)/100)+(BP50*12)</x:f>
      </x:c>
      <x:c r="BR50" s="47"/>
      <x:c r="BS50" s="60"/>
      <x:c r="BT50" s="58">
        <x:f>(($O50*BR50)/100)+(BS50*12)</x:f>
      </x:c>
      <x:c r="BU50" s="47"/>
      <x:c r="BV50" s="60"/>
      <x:c r="BW50" s="58">
        <x:f>(($O50*BU50)/100)+(BV50*12)</x:f>
      </x:c>
      <x:c r="BX50" s="47"/>
      <x:c r="BY50" s="60"/>
      <x:c r="BZ50" s="58">
        <x:f>(($O50*BX50)/100)+(BY50*12)</x:f>
      </x:c>
      <x:c r="CA50" s="47"/>
      <x:c r="CB50" s="60"/>
      <x:c r="CC50" s="58">
        <x:f>(($O50*CA50)/100)+(CB50*12)</x:f>
      </x:c>
      <x:c r="CD50" s="47"/>
      <x:c r="CE50" s="60"/>
      <x:c r="CF50" s="58">
        <x:f>(($O50*CD50)/100)+(CE50*12)</x:f>
      </x:c>
      <x:c r="CG50" s="47"/>
      <x:c r="CH50" s="60"/>
      <x:c r="CI50" s="58">
        <x:f>(($O50*CG50)/100)+(CH50*12)</x:f>
      </x:c>
      <x:c r="CJ50" s="47"/>
      <x:c r="CK50" s="60"/>
      <x:c r="CL50" s="58">
        <x:f>(($O50*CJ50)/100)+(CK50*12)</x:f>
      </x:c>
      <x:c r="CM50" s="47"/>
      <x:c r="CN50" s="60"/>
      <x:c r="CO50" s="58">
        <x:f>(($O50*CM50)/100)+(CN50*12)</x:f>
      </x:c>
      <x:c r="CP50" s="47"/>
      <x:c r="CQ50" s="60"/>
      <x:c r="CR50" s="58">
        <x:f>(($O50*CP50)/100)+(CQ50*12)</x:f>
      </x:c>
      <x:c r="CS50" s="47"/>
      <x:c r="CT50" s="60"/>
      <x:c r="CU50" s="58">
        <x:f>(($O50*CS50)/100)+(CT50*12)</x:f>
      </x:c>
      <x:c r="CV50" s="47"/>
      <x:c r="CW50" s="60"/>
      <x:c r="CX50" s="58"/>
      <x:c r="CY50" s="47"/>
      <x:c r="CZ50" s="60"/>
      <x:c r="DA50" s="58"/>
      <x:c r="DB50" s="47"/>
      <x:c r="DC50" s="60"/>
      <x:c r="DD50" s="58"/>
      <x:c r="DE50" s="47"/>
      <x:c r="DF50" s="60"/>
      <x:c r="DG50" s="58"/>
      <x:c r="DH50" s="47"/>
      <x:c r="DI50" s="60"/>
      <x:c r="DJ50" s="58"/>
      <x:c r="DK50" s="47"/>
      <x:c r="DL50" s="60"/>
      <x:c r="DM50" s="58"/>
      <x:c r="DN50" s="11"/>
      <x:c r="DO50" s="61"/>
      <x:c r="DP50" s="62"/>
      <x:c r="DQ50" s="11"/>
      <x:c r="DR50" s="61"/>
      <x:c r="DS50" s="62"/>
      <x:c r="DT50" s="11"/>
      <x:c r="DU50" s="61"/>
      <x:c r="DV50" s="62"/>
    </x:row>
    <x:row r="51" spans="1:126" ht="15.75" customHeight="1" x14ac:dyDescent="0.3">
      <x:c r="A51" s="63"/>
      <x:c r="B51" s="48"/>
      <x:c r="C51" s="63"/>
      <x:c r="D51" s="63"/>
      <x:c r="E51" s="63"/>
      <x:c r="F51" s="63"/>
      <x:c r="G51" s="48"/>
      <x:c r="H51" s="48"/>
      <x:c r="I51" s="48"/>
      <x:c r="J51" s="48"/>
      <x:c r="K51" s="190"/>
      <x:c r="L51" s="191"/>
      <x:c r="M51" s="192">
        <x:f>IF(ISERROR(INDEX('Meter Type Data'!$B$2:$E$1165,SUMPRODUCT(--('Meter Type Data'!$B$2:$B$1165&lt;=Analysis!L51)*('Meter Type Data'!$C$2:$C$1165&gt;=Analysis!L51),ROW('Meter Type Data'!$B$2:$B$1165))-1,4))," ",INDEX('Meter Type Data'!$B$2:$E$1165,SUMPRODUCT(--('Meter Type Data'!$B$2:$B$1165&lt;=Analysis!L51)*('Meter Type Data'!$C$2:$C$1165&gt;=Analysis!L51),ROW('Meter Type Data'!$B$2:$B$1165))-1,4))</x:f>
      </x:c>
      <x:c r="N51" s="192">
        <x:f>IF(ISERROR(INDEX('Meter Type Data'!$B$2:$D$1165,SUMPRODUCT(--('Meter Type Data'!$B$2:$B$1165&lt;=Analysis!L51)*('Meter Type Data'!$C$2:$C$1165&gt;=Analysis!L51),ROW('Meter Type Data'!$B$2:$B$1165))-1,3))," ",INDEX('Meter Type Data'!$B$2:$D$1165,SUMPRODUCT(--('Meter Type Data'!$B$2:$B$1165&lt;=Analysis!L51)*('Meter Type Data'!$C$2:$C$1165&gt;=Analysis!L51),ROW('Meter Type Data'!$B$2:$B$1165))-1,3))</x:f>
      </x:c>
      <x:c r="O51" s="194"/>
      <x:c r="P51" s="56"/>
      <x:c r="Q51" s="57"/>
      <x:c r="R51" s="58">
        <x:f>(($O51*P51)/100)+(Q51*12)</x:f>
      </x:c>
      <x:c r="S51" s="59"/>
      <x:c r="T51" s="59"/>
      <x:c r="U51" s="58">
        <x:f>(($O51*S51)/100)+(T51*12)</x:f>
      </x:c>
      <x:c r="V51" s="59"/>
      <x:c r="W51" s="59"/>
      <x:c r="X51" s="58">
        <x:f>(($O51*V51)/100)+(W51*12)</x:f>
      </x:c>
      <x:c r="Y51" s="59"/>
      <x:c r="Z51" s="59"/>
      <x:c r="AA51" s="58">
        <x:f>(($O51*Y51)/100)+(Z51*12)</x:f>
      </x:c>
      <x:c r="AB51" s="59"/>
      <x:c r="AC51" s="59"/>
      <x:c r="AD51" s="58">
        <x:f>(($O51*AB51)/100)+(AC51*12)</x:f>
      </x:c>
      <x:c r="AE51" s="47"/>
      <x:c r="AF51" s="60"/>
      <x:c r="AG51" s="58">
        <x:f>(($O51*AE51)/100)+(AF51*12)</x:f>
      </x:c>
      <x:c r="AH51" s="47"/>
      <x:c r="AI51" s="60"/>
      <x:c r="AJ51" s="58">
        <x:f>(($O51*AH51)/100)+(AI51*12)</x:f>
      </x:c>
      <x:c r="AK51" s="47"/>
      <x:c r="AL51" s="60"/>
      <x:c r="AM51" s="58">
        <x:f>(($O51*AK51)/100)+(AL51*12)</x:f>
      </x:c>
      <x:c r="AN51" s="47"/>
      <x:c r="AO51" s="60"/>
      <x:c r="AP51" s="58">
        <x:f>(($O51*AN51)/100)+(AO51*12)</x:f>
      </x:c>
      <x:c r="AQ51" s="47"/>
      <x:c r="AR51" s="60"/>
      <x:c r="AS51" s="58">
        <x:f>(($O51*AQ51)/100)+(AR51*12)</x:f>
      </x:c>
      <x:c r="AT51" s="47"/>
      <x:c r="AU51" s="60"/>
      <x:c r="AV51" s="58">
        <x:f>(($O51*AT51)/100)+(AU51*12)</x:f>
      </x:c>
      <x:c r="AW51" s="47"/>
      <x:c r="AX51" s="60"/>
      <x:c r="AY51" s="58">
        <x:f>(($O51*AW51)/100)+(AX51*12)</x:f>
      </x:c>
      <x:c r="AZ51" s="47"/>
      <x:c r="BA51" s="60"/>
      <x:c r="BB51" s="58">
        <x:f>(($O51*AZ51)/100)+(BA51*12)</x:f>
      </x:c>
      <x:c r="BC51" s="47"/>
      <x:c r="BD51" s="60"/>
      <x:c r="BE51" s="58">
        <x:f>(($O51*BC51)/100)+(BD51*12)</x:f>
      </x:c>
      <x:c r="BF51" s="47"/>
      <x:c r="BG51" s="60"/>
      <x:c r="BH51" s="58">
        <x:f>(($O51*BF51)/100)+(BG51*12)</x:f>
      </x:c>
      <x:c r="BI51" s="47"/>
      <x:c r="BJ51" s="60"/>
      <x:c r="BK51" s="58">
        <x:f>(($O51*BI51)/100)+(BJ51*12)</x:f>
      </x:c>
      <x:c r="BL51" s="47"/>
      <x:c r="BM51" s="60"/>
      <x:c r="BN51" s="58">
        <x:f>(($O51*BL51)/100)+(BM51*12)</x:f>
      </x:c>
      <x:c r="BO51" s="47"/>
      <x:c r="BP51" s="60"/>
      <x:c r="BQ51" s="58">
        <x:f>(($O51*BO51)/100)+(BP51*12)</x:f>
      </x:c>
      <x:c r="BR51" s="47"/>
      <x:c r="BS51" s="60"/>
      <x:c r="BT51" s="58">
        <x:f>(($O51*BR51)/100)+(BS51*12)</x:f>
      </x:c>
      <x:c r="BU51" s="47"/>
      <x:c r="BV51" s="60"/>
      <x:c r="BW51" s="58">
        <x:f>(($O51*BU51)/100)+(BV51*12)</x:f>
      </x:c>
      <x:c r="BX51" s="47"/>
      <x:c r="BY51" s="60"/>
      <x:c r="BZ51" s="58">
        <x:f>(($O51*BX51)/100)+(BY51*12)</x:f>
      </x:c>
      <x:c r="CA51" s="47"/>
      <x:c r="CB51" s="60"/>
      <x:c r="CC51" s="58">
        <x:f>(($O51*CA51)/100)+(CB51*12)</x:f>
      </x:c>
      <x:c r="CD51" s="47"/>
      <x:c r="CE51" s="60"/>
      <x:c r="CF51" s="58">
        <x:f>(($O51*CD51)/100)+(CE51*12)</x:f>
      </x:c>
      <x:c r="CG51" s="47"/>
      <x:c r="CH51" s="60"/>
      <x:c r="CI51" s="58">
        <x:f>(($O51*CG51)/100)+(CH51*12)</x:f>
      </x:c>
      <x:c r="CJ51" s="47"/>
      <x:c r="CK51" s="60"/>
      <x:c r="CL51" s="58">
        <x:f>(($O51*CJ51)/100)+(CK51*12)</x:f>
      </x:c>
      <x:c r="CM51" s="47"/>
      <x:c r="CN51" s="60"/>
      <x:c r="CO51" s="58">
        <x:f>(($O51*CM51)/100)+(CN51*12)</x:f>
      </x:c>
      <x:c r="CP51" s="47"/>
      <x:c r="CQ51" s="60"/>
      <x:c r="CR51" s="58">
        <x:f>(($O51*CP51)/100)+(CQ51*12)</x:f>
      </x:c>
      <x:c r="CS51" s="47"/>
      <x:c r="CT51" s="60"/>
      <x:c r="CU51" s="58">
        <x:f>(($O51*CS51)/100)+(CT51*12)</x:f>
      </x:c>
      <x:c r="CV51" s="47"/>
      <x:c r="CW51" s="60"/>
      <x:c r="CX51" s="58"/>
      <x:c r="CY51" s="47"/>
      <x:c r="CZ51" s="60"/>
      <x:c r="DA51" s="58"/>
      <x:c r="DB51" s="47"/>
      <x:c r="DC51" s="60"/>
      <x:c r="DD51" s="58"/>
      <x:c r="DE51" s="47"/>
      <x:c r="DF51" s="60"/>
      <x:c r="DG51" s="58"/>
      <x:c r="DH51" s="47"/>
      <x:c r="DI51" s="60"/>
      <x:c r="DJ51" s="58"/>
      <x:c r="DK51" s="47"/>
      <x:c r="DL51" s="60"/>
      <x:c r="DM51" s="58"/>
      <x:c r="DN51" s="11"/>
      <x:c r="DO51" s="61"/>
      <x:c r="DP51" s="62"/>
      <x:c r="DQ51" s="11"/>
      <x:c r="DR51" s="61"/>
      <x:c r="DS51" s="62"/>
      <x:c r="DT51" s="11"/>
      <x:c r="DU51" s="61"/>
      <x:c r="DV51" s="62"/>
    </x:row>
    <x:row r="52" spans="1:126" x14ac:dyDescent="0.3">
      <x:c r="A52" s="63"/>
      <x:c r="B52" s="48"/>
      <x:c r="C52" s="63"/>
      <x:c r="D52" s="63"/>
      <x:c r="E52" s="63"/>
      <x:c r="F52" s="63"/>
      <x:c r="G52" s="48"/>
      <x:c r="H52" s="48"/>
      <x:c r="I52" s="48"/>
      <x:c r="J52" s="48"/>
      <x:c r="K52" s="190"/>
      <x:c r="L52" s="191"/>
      <x:c r="M52" s="192">
        <x:f>IF(ISERROR(INDEX('Meter Type Data'!$B$2:$E$1165,SUMPRODUCT(--('Meter Type Data'!$B$2:$B$1165&lt;=Analysis!L52)*('Meter Type Data'!$C$2:$C$1165&gt;=Analysis!L52),ROW('Meter Type Data'!$B$2:$B$1165))-1,4))," ",INDEX('Meter Type Data'!$B$2:$E$1165,SUMPRODUCT(--('Meter Type Data'!$B$2:$B$1165&lt;=Analysis!L52)*('Meter Type Data'!$C$2:$C$1165&gt;=Analysis!L52),ROW('Meter Type Data'!$B$2:$B$1165))-1,4))</x:f>
      </x:c>
      <x:c r="N52" s="192">
        <x:f>IF(ISERROR(INDEX('Meter Type Data'!$B$2:$D$1165,SUMPRODUCT(--('Meter Type Data'!$B$2:$B$1165&lt;=Analysis!L52)*('Meter Type Data'!$C$2:$C$1165&gt;=Analysis!L52),ROW('Meter Type Data'!$B$2:$B$1165))-1,3))," ",INDEX('Meter Type Data'!$B$2:$D$1165,SUMPRODUCT(--('Meter Type Data'!$B$2:$B$1165&lt;=Analysis!L52)*('Meter Type Data'!$C$2:$C$1165&gt;=Analysis!L52),ROW('Meter Type Data'!$B$2:$B$1165))-1,3))</x:f>
      </x:c>
      <x:c r="O52" s="194"/>
      <x:c r="P52" s="56"/>
      <x:c r="Q52" s="57"/>
      <x:c r="R52" s="58">
        <x:f>(($O52*P52)/100)+(Q52*12)</x:f>
      </x:c>
      <x:c r="S52" s="59"/>
      <x:c r="T52" s="59"/>
      <x:c r="U52" s="58">
        <x:f>(($O52*S52)/100)+(T52*12)</x:f>
      </x:c>
      <x:c r="V52" s="59"/>
      <x:c r="W52" s="59"/>
      <x:c r="X52" s="58">
        <x:f>(($O52*V52)/100)+(W52*12)</x:f>
      </x:c>
      <x:c r="Y52" s="59"/>
      <x:c r="Z52" s="59"/>
      <x:c r="AA52" s="58">
        <x:f>(($O52*Y52)/100)+(Z52*12)</x:f>
      </x:c>
      <x:c r="AB52" s="59"/>
      <x:c r="AC52" s="59"/>
      <x:c r="AD52" s="58">
        <x:f>(($O52*AB52)/100)+(AC52*12)</x:f>
      </x:c>
      <x:c r="AE52" s="47"/>
      <x:c r="AF52" s="60"/>
      <x:c r="AG52" s="58">
        <x:f>(($O52*AE52)/100)+(AF52*12)</x:f>
      </x:c>
      <x:c r="AH52" s="47"/>
      <x:c r="AI52" s="60"/>
      <x:c r="AJ52" s="58">
        <x:f>(($O52*AH52)/100)+(AI52*12)</x:f>
      </x:c>
      <x:c r="AK52" s="47"/>
      <x:c r="AL52" s="60"/>
      <x:c r="AM52" s="58">
        <x:f>(($O52*AK52)/100)+(AL52*12)</x:f>
      </x:c>
      <x:c r="AN52" s="47"/>
      <x:c r="AO52" s="60"/>
      <x:c r="AP52" s="58">
        <x:f>(($O52*AN52)/100)+(AO52*12)</x:f>
      </x:c>
      <x:c r="AQ52" s="47"/>
      <x:c r="AR52" s="60"/>
      <x:c r="AS52" s="58">
        <x:f>(($O52*AQ52)/100)+(AR52*12)</x:f>
      </x:c>
      <x:c r="AT52" s="47"/>
      <x:c r="AU52" s="60"/>
      <x:c r="AV52" s="58">
        <x:f>(($O52*AT52)/100)+(AU52*12)</x:f>
      </x:c>
      <x:c r="AW52" s="47"/>
      <x:c r="AX52" s="60"/>
      <x:c r="AY52" s="58">
        <x:f>(($O52*AW52)/100)+(AX52*12)</x:f>
      </x:c>
      <x:c r="AZ52" s="47"/>
      <x:c r="BA52" s="60"/>
      <x:c r="BB52" s="58">
        <x:f>(($O52*AZ52)/100)+(BA52*12)</x:f>
      </x:c>
      <x:c r="BC52" s="47"/>
      <x:c r="BD52" s="60"/>
      <x:c r="BE52" s="58">
        <x:f>(($O52*BC52)/100)+(BD52*12)</x:f>
      </x:c>
      <x:c r="BF52" s="47"/>
      <x:c r="BG52" s="60"/>
      <x:c r="BH52" s="58">
        <x:f>(($O52*BF52)/100)+(BG52*12)</x:f>
      </x:c>
      <x:c r="BI52" s="47"/>
      <x:c r="BJ52" s="60"/>
      <x:c r="BK52" s="58">
        <x:f>(($O52*BI52)/100)+(BJ52*12)</x:f>
      </x:c>
      <x:c r="BL52" s="47"/>
      <x:c r="BM52" s="60"/>
      <x:c r="BN52" s="58">
        <x:f>(($O52*BL52)/100)+(BM52*12)</x:f>
      </x:c>
      <x:c r="BO52" s="47"/>
      <x:c r="BP52" s="60"/>
      <x:c r="BQ52" s="58">
        <x:f>(($O52*BO52)/100)+(BP52*12)</x:f>
      </x:c>
      <x:c r="BR52" s="47"/>
      <x:c r="BS52" s="60"/>
      <x:c r="BT52" s="58">
        <x:f>(($O52*BR52)/100)+(BS52*12)</x:f>
      </x:c>
      <x:c r="BU52" s="47"/>
      <x:c r="BV52" s="60"/>
      <x:c r="BW52" s="58">
        <x:f>(($O52*BU52)/100)+(BV52*12)</x:f>
      </x:c>
      <x:c r="BX52" s="47"/>
      <x:c r="BY52" s="60"/>
      <x:c r="BZ52" s="58">
        <x:f>(($O52*BX52)/100)+(BY52*12)</x:f>
      </x:c>
      <x:c r="CA52" s="47"/>
      <x:c r="CB52" s="60"/>
      <x:c r="CC52" s="58">
        <x:f>(($O52*CA52)/100)+(CB52*12)</x:f>
      </x:c>
      <x:c r="CD52" s="47"/>
      <x:c r="CE52" s="60"/>
      <x:c r="CF52" s="58">
        <x:f>(($O52*CD52)/100)+(CE52*12)</x:f>
      </x:c>
      <x:c r="CG52" s="47"/>
      <x:c r="CH52" s="60"/>
      <x:c r="CI52" s="58">
        <x:f>(($O52*CG52)/100)+(CH52*12)</x:f>
      </x:c>
      <x:c r="CJ52" s="47"/>
      <x:c r="CK52" s="60"/>
      <x:c r="CL52" s="58">
        <x:f>(($O52*CJ52)/100)+(CK52*12)</x:f>
      </x:c>
      <x:c r="CM52" s="47"/>
      <x:c r="CN52" s="60"/>
      <x:c r="CO52" s="58">
        <x:f>(($O52*CM52)/100)+(CN52*12)</x:f>
      </x:c>
      <x:c r="CP52" s="47"/>
      <x:c r="CQ52" s="60"/>
      <x:c r="CR52" s="58">
        <x:f>(($O52*CP52)/100)+(CQ52*12)</x:f>
      </x:c>
      <x:c r="CS52" s="47"/>
      <x:c r="CT52" s="60"/>
      <x:c r="CU52" s="58">
        <x:f>(($O52*CS52)/100)+(CT52*12)</x:f>
      </x:c>
      <x:c r="CV52" s="47"/>
      <x:c r="CW52" s="60"/>
      <x:c r="CX52" s="58"/>
      <x:c r="CY52" s="47"/>
      <x:c r="CZ52" s="60"/>
      <x:c r="DA52" s="58"/>
      <x:c r="DB52" s="47"/>
      <x:c r="DC52" s="60"/>
      <x:c r="DD52" s="58"/>
      <x:c r="DE52" s="47"/>
      <x:c r="DF52" s="60"/>
      <x:c r="DG52" s="58"/>
      <x:c r="DH52" s="47"/>
      <x:c r="DI52" s="60"/>
      <x:c r="DJ52" s="58"/>
      <x:c r="DK52" s="47"/>
      <x:c r="DL52" s="60"/>
      <x:c r="DM52" s="58"/>
      <x:c r="DN52" s="11"/>
      <x:c r="DO52" s="61"/>
      <x:c r="DP52" s="62"/>
      <x:c r="DQ52" s="11"/>
      <x:c r="DR52" s="61"/>
      <x:c r="DS52" s="62"/>
      <x:c r="DT52" s="11"/>
      <x:c r="DU52" s="61"/>
      <x:c r="DV52" s="62"/>
    </x:row>
    <x:row r="53" spans="1:126" x14ac:dyDescent="0.3">
      <x:c r="A53" s="63"/>
      <x:c r="B53" s="63"/>
      <x:c r="C53" s="63"/>
      <x:c r="D53" s="63"/>
      <x:c r="E53" s="63"/>
      <x:c r="F53" s="63"/>
      <x:c r="G53" s="63"/>
      <x:c r="H53" s="48"/>
      <x:c r="I53" s="48"/>
      <x:c r="J53" s="48"/>
      <x:c r="K53" s="190"/>
      <x:c r="L53" s="191"/>
      <x:c r="M53" s="192">
        <x:f>IF(ISERROR(INDEX('Meter Type Data'!$B$2:$E$1165,SUMPRODUCT(--('Meter Type Data'!$B$2:$B$1165&lt;=Analysis!L53)*('Meter Type Data'!$C$2:$C$1165&gt;=Analysis!L53),ROW('Meter Type Data'!$B$2:$B$1165))-1,4))," ",INDEX('Meter Type Data'!$B$2:$E$1165,SUMPRODUCT(--('Meter Type Data'!$B$2:$B$1165&lt;=Analysis!L53)*('Meter Type Data'!$C$2:$C$1165&gt;=Analysis!L53),ROW('Meter Type Data'!$B$2:$B$1165))-1,4))</x:f>
      </x:c>
      <x:c r="N53" s="192">
        <x:f>IF(ISERROR(INDEX('Meter Type Data'!$B$2:$D$1165,SUMPRODUCT(--('Meter Type Data'!$B$2:$B$1165&lt;=Analysis!L53)*('Meter Type Data'!$C$2:$C$1165&gt;=Analysis!L53),ROW('Meter Type Data'!$B$2:$B$1165))-1,3))," ",INDEX('Meter Type Data'!$B$2:$D$1165,SUMPRODUCT(--('Meter Type Data'!$B$2:$B$1165&lt;=Analysis!L53)*('Meter Type Data'!$C$2:$C$1165&gt;=Analysis!L53),ROW('Meter Type Data'!$B$2:$B$1165))-1,3))</x:f>
      </x:c>
      <x:c r="O53" s="69"/>
      <x:c r="P53" s="59"/>
      <x:c r="Q53" s="59"/>
      <x:c r="R53" s="58">
        <x:f>(($O53*P53)/100)+(Q53*12)</x:f>
      </x:c>
      <x:c r="S53" s="59"/>
      <x:c r="T53" s="59"/>
      <x:c r="U53" s="58">
        <x:f>(($O53*S53)/100)+(T53*12)</x:f>
      </x:c>
      <x:c r="V53" s="59"/>
      <x:c r="W53" s="59"/>
      <x:c r="X53" s="58">
        <x:f>(($O53*V53)/100)+(W53*12)</x:f>
      </x:c>
      <x:c r="Y53" s="59"/>
      <x:c r="Z53" s="59"/>
      <x:c r="AA53" s="58">
        <x:f>(($O53*Y53)/100)+(Z53*12)</x:f>
      </x:c>
      <x:c r="AB53" s="59"/>
      <x:c r="AC53" s="59"/>
      <x:c r="AD53" s="58">
        <x:f>(($O53*AB53)/100)+(AC53*12)</x:f>
      </x:c>
      <x:c r="AE53" s="47"/>
      <x:c r="AF53" s="60"/>
      <x:c r="AG53" s="58">
        <x:f>(($O53*AE53)/100)+(AF53*12)</x:f>
      </x:c>
      <x:c r="AH53" s="47"/>
      <x:c r="AI53" s="60"/>
      <x:c r="AJ53" s="58">
        <x:f>(($O53*AH53)/100)+(AI53*12)</x:f>
      </x:c>
      <x:c r="AK53" s="47"/>
      <x:c r="AL53" s="60"/>
      <x:c r="AM53" s="58">
        <x:f>(($O53*AK53)/100)+(AL53*12)</x:f>
      </x:c>
      <x:c r="AN53" s="47"/>
      <x:c r="AO53" s="60"/>
      <x:c r="AP53" s="58">
        <x:f>(($O53*AN53)/100)+(AO53*12)</x:f>
      </x:c>
      <x:c r="AQ53" s="47"/>
      <x:c r="AR53" s="60"/>
      <x:c r="AS53" s="58">
        <x:f>(($O53*AQ53)/100)+(AR53*12)</x:f>
      </x:c>
      <x:c r="AT53" s="47"/>
      <x:c r="AU53" s="60"/>
      <x:c r="AV53" s="58">
        <x:f>(($O53*AT53)/100)+(AU53*12)</x:f>
      </x:c>
      <x:c r="AW53" s="47"/>
      <x:c r="AX53" s="60"/>
      <x:c r="AY53" s="58">
        <x:f>(($O53*AW53)/100)+(AX53*12)</x:f>
      </x:c>
      <x:c r="AZ53" s="47"/>
      <x:c r="BA53" s="60"/>
      <x:c r="BB53" s="58">
        <x:f>(($O53*AZ53)/100)+(BA53*12)</x:f>
      </x:c>
      <x:c r="BC53" s="47"/>
      <x:c r="BD53" s="60"/>
      <x:c r="BE53" s="58">
        <x:f>(($O53*BC53)/100)+(BD53*12)</x:f>
      </x:c>
      <x:c r="BF53" s="47"/>
      <x:c r="BG53" s="60"/>
      <x:c r="BH53" s="58">
        <x:f>(($O53*BF53)/100)+(BG53*12)</x:f>
      </x:c>
      <x:c r="BI53" s="47"/>
      <x:c r="BJ53" s="60"/>
      <x:c r="BK53" s="58">
        <x:f>(($O53*BI53)/100)+(BJ53*12)</x:f>
      </x:c>
      <x:c r="BL53" s="47"/>
      <x:c r="BM53" s="60"/>
      <x:c r="BN53" s="58">
        <x:f>(($O53*BL53)/100)+(BM53*12)</x:f>
      </x:c>
      <x:c r="BO53" s="47"/>
      <x:c r="BP53" s="60"/>
      <x:c r="BQ53" s="58">
        <x:f>(($O53*BO53)/100)+(BP53*12)</x:f>
      </x:c>
      <x:c r="BR53" s="47"/>
      <x:c r="BS53" s="60"/>
      <x:c r="BT53" s="58">
        <x:f>(($O53*BR53)/100)+(BS53*12)</x:f>
      </x:c>
      <x:c r="BU53" s="47"/>
      <x:c r="BV53" s="60"/>
      <x:c r="BW53" s="58">
        <x:f>(($O53*BU53)/100)+(BV53*12)</x:f>
      </x:c>
      <x:c r="BX53" s="47"/>
      <x:c r="BY53" s="60"/>
      <x:c r="BZ53" s="58">
        <x:f>(($O53*BX53)/100)+(BY53*12)</x:f>
      </x:c>
      <x:c r="CA53" s="47"/>
      <x:c r="CB53" s="60"/>
      <x:c r="CC53" s="58">
        <x:f>(($O53*CA53)/100)+(CB53*12)</x:f>
      </x:c>
      <x:c r="CD53" s="47"/>
      <x:c r="CE53" s="60"/>
      <x:c r="CF53" s="58">
        <x:f>(($O53*CD53)/100)+(CE53*12)</x:f>
      </x:c>
      <x:c r="CG53" s="47"/>
      <x:c r="CH53" s="60"/>
      <x:c r="CI53" s="58">
        <x:f>(($O53*CG53)/100)+(CH53*12)</x:f>
      </x:c>
      <x:c r="CJ53" s="47"/>
      <x:c r="CK53" s="60"/>
      <x:c r="CL53" s="58">
        <x:f>(($O53*CJ53)/100)+(CK53*12)</x:f>
      </x:c>
      <x:c r="CM53" s="47"/>
      <x:c r="CN53" s="60"/>
      <x:c r="CO53" s="58">
        <x:f>(($O53*CM53)/100)+(CN53*12)</x:f>
      </x:c>
      <x:c r="CP53" s="47"/>
      <x:c r="CQ53" s="60"/>
      <x:c r="CR53" s="58">
        <x:f>(($O53*CP53)/100)+(CQ53*12)</x:f>
      </x:c>
      <x:c r="CS53" s="47"/>
      <x:c r="CT53" s="60"/>
      <x:c r="CU53" s="58">
        <x:f>(($O53*CS53)/100)+(CT53*12)</x:f>
      </x:c>
      <x:c r="CV53" s="47"/>
      <x:c r="CW53" s="60"/>
      <x:c r="CX53" s="58"/>
      <x:c r="CY53" s="47"/>
      <x:c r="CZ53" s="60"/>
      <x:c r="DA53" s="58"/>
      <x:c r="DB53" s="47"/>
      <x:c r="DC53" s="60"/>
      <x:c r="DD53" s="58"/>
      <x:c r="DE53" s="47"/>
      <x:c r="DF53" s="60"/>
      <x:c r="DG53" s="58"/>
      <x:c r="DH53" s="47"/>
      <x:c r="DI53" s="60"/>
      <x:c r="DJ53" s="58"/>
      <x:c r="DK53" s="47"/>
      <x:c r="DL53" s="60"/>
      <x:c r="DM53" s="58"/>
      <x:c r="DN53" s="11"/>
      <x:c r="DO53" s="61"/>
      <x:c r="DP53" s="62"/>
      <x:c r="DQ53" s="11"/>
      <x:c r="DR53" s="61"/>
      <x:c r="DS53" s="62"/>
      <x:c r="DT53" s="11"/>
      <x:c r="DU53" s="61"/>
      <x:c r="DV53" s="62"/>
    </x:row>
    <x:row r="54" spans="1:126" x14ac:dyDescent="0.3">
      <x:c r="A54" s="63"/>
      <x:c r="B54" s="63"/>
      <x:c r="C54" s="63"/>
      <x:c r="D54" s="63"/>
      <x:c r="E54" s="63"/>
      <x:c r="F54" s="63"/>
      <x:c r="G54" s="63"/>
      <x:c r="H54" s="63"/>
      <x:c r="I54" s="63"/>
      <x:c r="J54" s="63"/>
      <x:c r="K54" s="190"/>
      <x:c r="L54" s="191"/>
      <x:c r="M54" s="192">
        <x:f>IF(ISERROR(INDEX('Meter Type Data'!$B$2:$E$1165,SUMPRODUCT(--('Meter Type Data'!$B$2:$B$1165&lt;=Analysis!L54)*('Meter Type Data'!$C$2:$C$1165&gt;=Analysis!L54),ROW('Meter Type Data'!$B$2:$B$1165))-1,4))," ",INDEX('Meter Type Data'!$B$2:$E$1165,SUMPRODUCT(--('Meter Type Data'!$B$2:$B$1165&lt;=Analysis!L54)*('Meter Type Data'!$C$2:$C$1165&gt;=Analysis!L54),ROW('Meter Type Data'!$B$2:$B$1165))-1,4))</x:f>
      </x:c>
      <x:c r="N54" s="192">
        <x:f>IF(ISERROR(INDEX('Meter Type Data'!$B$2:$D$1165,SUMPRODUCT(--('Meter Type Data'!$B$2:$B$1165&lt;=Analysis!L54)*('Meter Type Data'!$C$2:$C$1165&gt;=Analysis!L54),ROW('Meter Type Data'!$B$2:$B$1165))-1,3))," ",INDEX('Meter Type Data'!$B$2:$D$1165,SUMPRODUCT(--('Meter Type Data'!$B$2:$B$1165&lt;=Analysis!L54)*('Meter Type Data'!$C$2:$C$1165&gt;=Analysis!L54),ROW('Meter Type Data'!$B$2:$B$1165))-1,3))</x:f>
      </x:c>
      <x:c r="O54" s="69"/>
      <x:c r="P54" s="59"/>
      <x:c r="Q54" s="59"/>
      <x:c r="R54" s="58">
        <x:f>(($O54*P54)/100)+(Q54*12)</x:f>
      </x:c>
      <x:c r="S54" s="59"/>
      <x:c r="T54" s="59"/>
      <x:c r="U54" s="58">
        <x:f>(($O54*S54)/100)+(T54*12)</x:f>
      </x:c>
      <x:c r="V54" s="59"/>
      <x:c r="W54" s="59"/>
      <x:c r="X54" s="58">
        <x:f>(($O54*V54)/100)+(W54*12)</x:f>
      </x:c>
      <x:c r="Y54" s="59"/>
      <x:c r="Z54" s="59"/>
      <x:c r="AA54" s="58">
        <x:f>(($O54*Y54)/100)+(Z54*12)</x:f>
      </x:c>
      <x:c r="AB54" s="59"/>
      <x:c r="AC54" s="59"/>
      <x:c r="AD54" s="58">
        <x:f>(($O54*AB54)/100)+(AC54*12)</x:f>
      </x:c>
      <x:c r="AE54" s="47"/>
      <x:c r="AF54" s="60"/>
      <x:c r="AG54" s="58">
        <x:f>(($O54*AE54)/100)+(AF54*12)</x:f>
      </x:c>
      <x:c r="AH54" s="47"/>
      <x:c r="AI54" s="60"/>
      <x:c r="AJ54" s="58">
        <x:f>(($O54*AH54)/100)+(AI54*12)</x:f>
      </x:c>
      <x:c r="AK54" s="47"/>
      <x:c r="AL54" s="60"/>
      <x:c r="AM54" s="58">
        <x:f>(($O54*AK54)/100)+(AL54*12)</x:f>
      </x:c>
      <x:c r="AN54" s="47"/>
      <x:c r="AO54" s="60"/>
      <x:c r="AP54" s="58">
        <x:f>(($O54*AN54)/100)+(AO54*12)</x:f>
      </x:c>
      <x:c r="AQ54" s="47"/>
      <x:c r="AR54" s="60"/>
      <x:c r="AS54" s="58">
        <x:f>(($O54*AQ54)/100)+(AR54*12)</x:f>
      </x:c>
      <x:c r="AT54" s="47"/>
      <x:c r="AU54" s="60"/>
      <x:c r="AV54" s="58">
        <x:f>(($O54*AT54)/100)+(AU54*12)</x:f>
      </x:c>
      <x:c r="AW54" s="47"/>
      <x:c r="AX54" s="60"/>
      <x:c r="AY54" s="58">
        <x:f>(($O54*AW54)/100)+(AX54*12)</x:f>
      </x:c>
      <x:c r="AZ54" s="47"/>
      <x:c r="BA54" s="60"/>
      <x:c r="BB54" s="58">
        <x:f>(($O54*AZ54)/100)+(BA54*12)</x:f>
      </x:c>
      <x:c r="BC54" s="47"/>
      <x:c r="BD54" s="60"/>
      <x:c r="BE54" s="58">
        <x:f>(($O54*BC54)/100)+(BD54*12)</x:f>
      </x:c>
      <x:c r="BF54" s="47"/>
      <x:c r="BG54" s="60"/>
      <x:c r="BH54" s="58">
        <x:f>(($O54*BF54)/100)+(BG54*12)</x:f>
      </x:c>
      <x:c r="BI54" s="47"/>
      <x:c r="BJ54" s="60"/>
      <x:c r="BK54" s="58">
        <x:f>(($O54*BI54)/100)+(BJ54*12)</x:f>
      </x:c>
      <x:c r="BL54" s="47"/>
      <x:c r="BM54" s="60"/>
      <x:c r="BN54" s="58">
        <x:f>(($O54*BL54)/100)+(BM54*12)</x:f>
      </x:c>
      <x:c r="BO54" s="47"/>
      <x:c r="BP54" s="60"/>
      <x:c r="BQ54" s="58">
        <x:f>(($O54*BO54)/100)+(BP54*12)</x:f>
      </x:c>
      <x:c r="BR54" s="47"/>
      <x:c r="BS54" s="60"/>
      <x:c r="BT54" s="58">
        <x:f>(($O54*BR54)/100)+(BS54*12)</x:f>
      </x:c>
      <x:c r="BU54" s="47"/>
      <x:c r="BV54" s="60"/>
      <x:c r="BW54" s="58">
        <x:f>(($O54*BU54)/100)+(BV54*12)</x:f>
      </x:c>
      <x:c r="BX54" s="47"/>
      <x:c r="BY54" s="60"/>
      <x:c r="BZ54" s="58">
        <x:f>(($O54*BX54)/100)+(BY54*12)</x:f>
      </x:c>
      <x:c r="CA54" s="47"/>
      <x:c r="CB54" s="60"/>
      <x:c r="CC54" s="58">
        <x:f>(($O54*CA54)/100)+(CB54*12)</x:f>
      </x:c>
      <x:c r="CD54" s="47"/>
      <x:c r="CE54" s="60"/>
      <x:c r="CF54" s="58">
        <x:f>(($O54*CD54)/100)+(CE54*12)</x:f>
      </x:c>
      <x:c r="CG54" s="47"/>
      <x:c r="CH54" s="60"/>
      <x:c r="CI54" s="58">
        <x:f>(($O54*CG54)/100)+(CH54*12)</x:f>
      </x:c>
      <x:c r="CJ54" s="47"/>
      <x:c r="CK54" s="60"/>
      <x:c r="CL54" s="58">
        <x:f>(($O54*CJ54)/100)+(CK54*12)</x:f>
      </x:c>
      <x:c r="CM54" s="47"/>
      <x:c r="CN54" s="60"/>
      <x:c r="CO54" s="58">
        <x:f>(($O54*CM54)/100)+(CN54*12)</x:f>
      </x:c>
      <x:c r="CP54" s="47"/>
      <x:c r="CQ54" s="60"/>
      <x:c r="CR54" s="58">
        <x:f>(($O54*CP54)/100)+(CQ54*12)</x:f>
      </x:c>
      <x:c r="CS54" s="47"/>
      <x:c r="CT54" s="60"/>
      <x:c r="CU54" s="58">
        <x:f>(($O54*CS54)/100)+(CT54*12)</x:f>
      </x:c>
      <x:c r="CV54" s="47"/>
      <x:c r="CW54" s="60"/>
      <x:c r="CX54" s="58"/>
      <x:c r="CY54" s="47"/>
      <x:c r="CZ54" s="60"/>
      <x:c r="DA54" s="58"/>
      <x:c r="DB54" s="47"/>
      <x:c r="DC54" s="60"/>
      <x:c r="DD54" s="58"/>
      <x:c r="DE54" s="47"/>
      <x:c r="DF54" s="60"/>
      <x:c r="DG54" s="58"/>
      <x:c r="DH54" s="47"/>
      <x:c r="DI54" s="60"/>
      <x:c r="DJ54" s="58"/>
      <x:c r="DK54" s="47"/>
      <x:c r="DL54" s="60"/>
      <x:c r="DM54" s="58"/>
      <x:c r="DN54" s="11"/>
      <x:c r="DO54" s="61"/>
      <x:c r="DP54" s="62"/>
      <x:c r="DQ54" s="11"/>
      <x:c r="DR54" s="61"/>
      <x:c r="DS54" s="62"/>
      <x:c r="DT54" s="11"/>
      <x:c r="DU54" s="61"/>
      <x:c r="DV54" s="62"/>
    </x:row>
    <x:row r="55" spans="1:126" x14ac:dyDescent="0.3">
      <x:c r="A55" s="63"/>
      <x:c r="B55" s="63"/>
      <x:c r="C55" s="63"/>
      <x:c r="D55" s="63"/>
      <x:c r="E55" s="63"/>
      <x:c r="F55" s="63"/>
      <x:c r="G55" s="63"/>
      <x:c r="H55" s="63"/>
      <x:c r="I55" s="63"/>
      <x:c r="J55" s="63"/>
      <x:c r="K55" s="190"/>
      <x:c r="L55" s="191"/>
      <x:c r="M55" s="192">
        <x:f>IF(ISERROR(INDEX('Meter Type Data'!$B$2:$E$1165,SUMPRODUCT(--('Meter Type Data'!$B$2:$B$1165&lt;=Analysis!L55)*('Meter Type Data'!$C$2:$C$1165&gt;=Analysis!L55),ROW('Meter Type Data'!$B$2:$B$1165))-1,4))," ",INDEX('Meter Type Data'!$B$2:$E$1165,SUMPRODUCT(--('Meter Type Data'!$B$2:$B$1165&lt;=Analysis!L55)*('Meter Type Data'!$C$2:$C$1165&gt;=Analysis!L55),ROW('Meter Type Data'!$B$2:$B$1165))-1,4))</x:f>
      </x:c>
      <x:c r="N55" s="192">
        <x:f>IF(ISERROR(INDEX('Meter Type Data'!$B$2:$D$1165,SUMPRODUCT(--('Meter Type Data'!$B$2:$B$1165&lt;=Analysis!L55)*('Meter Type Data'!$C$2:$C$1165&gt;=Analysis!L55),ROW('Meter Type Data'!$B$2:$B$1165))-1,3))," ",INDEX('Meter Type Data'!$B$2:$D$1165,SUMPRODUCT(--('Meter Type Data'!$B$2:$B$1165&lt;=Analysis!L55)*('Meter Type Data'!$C$2:$C$1165&gt;=Analysis!L55),ROW('Meter Type Data'!$B$2:$B$1165))-1,3))</x:f>
      </x:c>
      <x:c r="O55" s="69"/>
      <x:c r="P55" s="59"/>
      <x:c r="Q55" s="60"/>
      <x:c r="R55" s="58">
        <x:f>(($O55*P55)/100)+(Q55*12)</x:f>
      </x:c>
      <x:c r="S55" s="59"/>
      <x:c r="T55" s="59"/>
      <x:c r="U55" s="58">
        <x:f>(($O55*S55)/100)+(T55*12)</x:f>
      </x:c>
      <x:c r="V55" s="47"/>
      <x:c r="W55" s="60"/>
      <x:c r="X55" s="58">
        <x:f>(($O55*V55)/100)+(W55*12)</x:f>
      </x:c>
      <x:c r="Y55" s="59"/>
      <x:c r="Z55" s="59"/>
      <x:c r="AA55" s="58">
        <x:f>(($O55*Y55)/100)+(Z55*12)</x:f>
      </x:c>
      <x:c r="AB55" s="59"/>
      <x:c r="AC55" s="59"/>
      <x:c r="AD55" s="58">
        <x:f>(($O55*AB55)/100)+(AC55*12)</x:f>
      </x:c>
      <x:c r="AE55" s="47"/>
      <x:c r="AF55" s="60"/>
      <x:c r="AG55" s="58">
        <x:f>(($O55*AE55)/100)+(AF55*12)</x:f>
      </x:c>
      <x:c r="AH55" s="47"/>
      <x:c r="AI55" s="60"/>
      <x:c r="AJ55" s="58">
        <x:f>(($O55*AH55)/100)+(AI55*12)</x:f>
      </x:c>
      <x:c r="AK55" s="47"/>
      <x:c r="AL55" s="60"/>
      <x:c r="AM55" s="58">
        <x:f>(($O55*AK55)/100)+(AL55*12)</x:f>
      </x:c>
      <x:c r="AN55" s="47"/>
      <x:c r="AO55" s="60"/>
      <x:c r="AP55" s="58">
        <x:f>(($O55*AN55)/100)+(AO55*12)</x:f>
      </x:c>
      <x:c r="AQ55" s="47"/>
      <x:c r="AR55" s="60"/>
      <x:c r="AS55" s="58">
        <x:f>(($O55*AQ55)/100)+(AR55*12)</x:f>
      </x:c>
      <x:c r="AT55" s="47"/>
      <x:c r="AU55" s="60"/>
      <x:c r="AV55" s="58">
        <x:f>(($O55*AT55)/100)+(AU55*12)</x:f>
      </x:c>
      <x:c r="AW55" s="47"/>
      <x:c r="AX55" s="60"/>
      <x:c r="AY55" s="58">
        <x:f>(($O55*AW55)/100)+(AX55*12)</x:f>
      </x:c>
      <x:c r="AZ55" s="47"/>
      <x:c r="BA55" s="60"/>
      <x:c r="BB55" s="58">
        <x:f>(($O55*AZ55)/100)+(BA55*12)</x:f>
      </x:c>
      <x:c r="BC55" s="47"/>
      <x:c r="BD55" s="60"/>
      <x:c r="BE55" s="58">
        <x:f>(($O55*BC55)/100)+(BD55*12)</x:f>
      </x:c>
      <x:c r="BF55" s="47"/>
      <x:c r="BG55" s="60"/>
      <x:c r="BH55" s="58">
        <x:f>(($O55*BF55)/100)+(BG55*12)</x:f>
      </x:c>
      <x:c r="BI55" s="47"/>
      <x:c r="BJ55" s="60"/>
      <x:c r="BK55" s="58">
        <x:f>(($O55*BI55)/100)+(BJ55*12)</x:f>
      </x:c>
      <x:c r="BL55" s="47"/>
      <x:c r="BM55" s="60"/>
      <x:c r="BN55" s="58">
        <x:f>(($O55*BL55)/100)+(BM55*12)</x:f>
      </x:c>
      <x:c r="BO55" s="47"/>
      <x:c r="BP55" s="60"/>
      <x:c r="BQ55" s="58">
        <x:f>(($O55*BO55)/100)+(BP55*12)</x:f>
      </x:c>
      <x:c r="BR55" s="47"/>
      <x:c r="BS55" s="60"/>
      <x:c r="BT55" s="58">
        <x:f>(($O55*BR55)/100)+(BS55*12)</x:f>
      </x:c>
      <x:c r="BU55" s="47"/>
      <x:c r="BV55" s="60"/>
      <x:c r="BW55" s="58">
        <x:f>(($O55*BU55)/100)+(BV55*12)</x:f>
      </x:c>
      <x:c r="BX55" s="47"/>
      <x:c r="BY55" s="60"/>
      <x:c r="BZ55" s="58">
        <x:f>(($O55*BX55)/100)+(BY55*12)</x:f>
      </x:c>
      <x:c r="CA55" s="47"/>
      <x:c r="CB55" s="60"/>
      <x:c r="CC55" s="58">
        <x:f>(($O55*CA55)/100)+(CB55*12)</x:f>
      </x:c>
      <x:c r="CD55" s="47"/>
      <x:c r="CE55" s="60"/>
      <x:c r="CF55" s="58">
        <x:f>(($O55*CD55)/100)+(CE55*12)</x:f>
      </x:c>
      <x:c r="CG55" s="47"/>
      <x:c r="CH55" s="60"/>
      <x:c r="CI55" s="58">
        <x:f>(($O55*CG55)/100)+(CH55*12)</x:f>
      </x:c>
      <x:c r="CJ55" s="47"/>
      <x:c r="CK55" s="60"/>
      <x:c r="CL55" s="58">
        <x:f>(($O55*CJ55)/100)+(CK55*12)</x:f>
      </x:c>
      <x:c r="CM55" s="47"/>
      <x:c r="CN55" s="60"/>
      <x:c r="CO55" s="58">
        <x:f>(($O55*CM55)/100)+(CN55*12)</x:f>
      </x:c>
      <x:c r="CP55" s="47"/>
      <x:c r="CQ55" s="60"/>
      <x:c r="CR55" s="58">
        <x:f>(($O55*CP55)/100)+(CQ55*12)</x:f>
      </x:c>
      <x:c r="CS55" s="47"/>
      <x:c r="CT55" s="60"/>
      <x:c r="CU55" s="58">
        <x:f>(($O55*CS55)/100)+(CT55*12)</x:f>
      </x:c>
      <x:c r="CV55" s="47"/>
      <x:c r="CW55" s="60"/>
      <x:c r="CX55" s="58"/>
      <x:c r="CY55" s="47"/>
      <x:c r="CZ55" s="60"/>
      <x:c r="DA55" s="58"/>
      <x:c r="DB55" s="47"/>
      <x:c r="DC55" s="60"/>
      <x:c r="DD55" s="58"/>
      <x:c r="DE55" s="47"/>
      <x:c r="DF55" s="60"/>
      <x:c r="DG55" s="58"/>
      <x:c r="DH55" s="47"/>
      <x:c r="DI55" s="60"/>
      <x:c r="DJ55" s="58"/>
      <x:c r="DK55" s="47"/>
      <x:c r="DL55" s="60"/>
      <x:c r="DM55" s="58"/>
      <x:c r="DN55" s="11"/>
      <x:c r="DO55" s="61"/>
      <x:c r="DP55" s="62"/>
      <x:c r="DQ55" s="11"/>
      <x:c r="DR55" s="61"/>
      <x:c r="DS55" s="62"/>
      <x:c r="DT55" s="11"/>
      <x:c r="DU55" s="61"/>
      <x:c r="DV55" s="62"/>
    </x:row>
    <x:row r="56" spans="1:126" x14ac:dyDescent="0.3">
      <x:c r="A56" s="47"/>
      <x:c r="B56" s="70"/>
      <x:c r="C56" s="70"/>
      <x:c r="D56" s="70"/>
      <x:c r="E56" s="70"/>
      <x:c r="F56" s="70"/>
      <x:c r="G56" s="70"/>
      <x:c r="H56" s="70"/>
      <x:c r="I56" s="70"/>
      <x:c r="J56" s="70"/>
      <x:c r="K56" s="190"/>
      <x:c r="L56" s="191"/>
      <x:c r="M56" s="192">
        <x:f>IF(ISERROR(INDEX('Meter Type Data'!$B$2:$E$1165,SUMPRODUCT(--('Meter Type Data'!$B$2:$B$1165&lt;=Analysis!L56)*('Meter Type Data'!$C$2:$C$1165&gt;=Analysis!L56),ROW('Meter Type Data'!$B$2:$B$1165))-1,4))," ",INDEX('Meter Type Data'!$B$2:$E$1165,SUMPRODUCT(--('Meter Type Data'!$B$2:$B$1165&lt;=Analysis!L56)*('Meter Type Data'!$C$2:$C$1165&gt;=Analysis!L56),ROW('Meter Type Data'!$B$2:$B$1165))-1,4))</x:f>
      </x:c>
      <x:c r="N56" s="192">
        <x:f>IF(ISERROR(INDEX('Meter Type Data'!$B$2:$D$1165,SUMPRODUCT(--('Meter Type Data'!$B$2:$B$1165&lt;=Analysis!L56)*('Meter Type Data'!$C$2:$C$1165&gt;=Analysis!L56),ROW('Meter Type Data'!$B$2:$B$1165))-1,3))," ",INDEX('Meter Type Data'!$B$2:$D$1165,SUMPRODUCT(--('Meter Type Data'!$B$2:$B$1165&lt;=Analysis!L56)*('Meter Type Data'!$C$2:$C$1165&gt;=Analysis!L56),ROW('Meter Type Data'!$B$2:$B$1165))-1,3))</x:f>
      </x:c>
      <x:c r="O56" s="69"/>
      <x:c r="P56" s="47"/>
      <x:c r="Q56" s="60"/>
      <x:c r="R56" s="58">
        <x:f>(($O56*P56)/100)+(Q56*12)</x:f>
      </x:c>
      <x:c r="S56" s="59"/>
      <x:c r="T56" s="59"/>
      <x:c r="U56" s="58">
        <x:f>(($O56*S56)/100)+(T56*12)</x:f>
      </x:c>
      <x:c r="V56" s="47"/>
      <x:c r="W56" s="60"/>
      <x:c r="X56" s="58">
        <x:f>(($O56*V56)/100)+(W56*12)</x:f>
      </x:c>
      <x:c r="Y56" s="47"/>
      <x:c r="Z56" s="60"/>
      <x:c r="AA56" s="58">
        <x:f>(($O56*Y56)/100)+(Z56*12)</x:f>
      </x:c>
      <x:c r="AB56" s="47"/>
      <x:c r="AC56" s="60"/>
      <x:c r="AD56" s="58">
        <x:f>(($O56*AB56)/100)+(AC56*12)</x:f>
      </x:c>
      <x:c r="AE56" s="47"/>
      <x:c r="AF56" s="60"/>
      <x:c r="AG56" s="58">
        <x:f>(($O56*AE56)/100)+(AF56*12)</x:f>
      </x:c>
      <x:c r="AH56" s="47"/>
      <x:c r="AI56" s="60"/>
      <x:c r="AJ56" s="58">
        <x:f>(($O56*AH56)/100)+(AI56*12)</x:f>
      </x:c>
      <x:c r="AK56" s="47"/>
      <x:c r="AL56" s="60"/>
      <x:c r="AM56" s="58">
        <x:f>(($O56*AK56)/100)+(AL56*12)</x:f>
      </x:c>
      <x:c r="AN56" s="47"/>
      <x:c r="AO56" s="60"/>
      <x:c r="AP56" s="58">
        <x:f>(($O56*AN56)/100)+(AO56*12)</x:f>
      </x:c>
      <x:c r="AQ56" s="47"/>
      <x:c r="AR56" s="60"/>
      <x:c r="AS56" s="58">
        <x:f>(($O56*AQ56)/100)+(AR56*12)</x:f>
      </x:c>
      <x:c r="AT56" s="47"/>
      <x:c r="AU56" s="60"/>
      <x:c r="AV56" s="58">
        <x:f>(($O56*AT56)/100)+(AU56*12)</x:f>
      </x:c>
      <x:c r="AW56" s="47"/>
      <x:c r="AX56" s="60"/>
      <x:c r="AY56" s="58">
        <x:f>(($O56*AW56)/100)+(AX56*12)</x:f>
      </x:c>
      <x:c r="AZ56" s="47"/>
      <x:c r="BA56" s="60"/>
      <x:c r="BB56" s="58">
        <x:f>(($O56*AZ56)/100)+(BA56*12)</x:f>
      </x:c>
      <x:c r="BC56" s="47"/>
      <x:c r="BD56" s="60"/>
      <x:c r="BE56" s="58">
        <x:f>(($O56*BC56)/100)+(BD56*12)</x:f>
      </x:c>
      <x:c r="BF56" s="47"/>
      <x:c r="BG56" s="60"/>
      <x:c r="BH56" s="58">
        <x:f>(($O56*BF56)/100)+(BG56*12)</x:f>
      </x:c>
      <x:c r="BI56" s="47"/>
      <x:c r="BJ56" s="60"/>
      <x:c r="BK56" s="58">
        <x:f>(($O56*BI56)/100)+(BJ56*12)</x:f>
      </x:c>
      <x:c r="BL56" s="47"/>
      <x:c r="BM56" s="60"/>
      <x:c r="BN56" s="58">
        <x:f>(($O56*BL56)/100)+(BM56*12)</x:f>
      </x:c>
      <x:c r="BO56" s="47"/>
      <x:c r="BP56" s="60"/>
      <x:c r="BQ56" s="58">
        <x:f>(($O56*BO56)/100)+(BP56*12)</x:f>
      </x:c>
      <x:c r="BR56" s="47"/>
      <x:c r="BS56" s="60"/>
      <x:c r="BT56" s="58">
        <x:f>(($O56*BR56)/100)+(BS56*12)</x:f>
      </x:c>
      <x:c r="BU56" s="47"/>
      <x:c r="BV56" s="60"/>
      <x:c r="BW56" s="58">
        <x:f>(($O56*BU56)/100)+(BV56*12)</x:f>
      </x:c>
      <x:c r="BX56" s="47"/>
      <x:c r="BY56" s="60"/>
      <x:c r="BZ56" s="58">
        <x:f>(($O56*BX56)/100)+(BY56*12)</x:f>
      </x:c>
      <x:c r="CA56" s="47"/>
      <x:c r="CB56" s="60"/>
      <x:c r="CC56" s="58">
        <x:f>(($O56*CA56)/100)+(CB56*12)</x:f>
      </x:c>
      <x:c r="CD56" s="47"/>
      <x:c r="CE56" s="60"/>
      <x:c r="CF56" s="58">
        <x:f>(($O56*CD56)/100)+(CE56*12)</x:f>
      </x:c>
      <x:c r="CG56" s="47"/>
      <x:c r="CH56" s="60"/>
      <x:c r="CI56" s="58">
        <x:f>(($O56*CG56)/100)+(CH56*12)</x:f>
      </x:c>
      <x:c r="CJ56" s="47"/>
      <x:c r="CK56" s="60"/>
      <x:c r="CL56" s="58">
        <x:f>(($O56*CJ56)/100)+(CK56*12)</x:f>
      </x:c>
      <x:c r="CM56" s="47"/>
      <x:c r="CN56" s="60"/>
      <x:c r="CO56" s="58">
        <x:f>(($O56*CM56)/100)+(CN56*12)</x:f>
      </x:c>
      <x:c r="CP56" s="47"/>
      <x:c r="CQ56" s="60"/>
      <x:c r="CR56" s="58">
        <x:f>(($O56*CP56)/100)+(CQ56*12)</x:f>
      </x:c>
      <x:c r="CS56" s="47"/>
      <x:c r="CT56" s="60"/>
      <x:c r="CU56" s="58">
        <x:f>(($O56*CS56)/100)+(CT56*12)</x:f>
      </x:c>
      <x:c r="CV56" s="47"/>
      <x:c r="CW56" s="60"/>
      <x:c r="CX56" s="58"/>
      <x:c r="CY56" s="47"/>
      <x:c r="CZ56" s="60"/>
      <x:c r="DA56" s="58"/>
      <x:c r="DB56" s="47"/>
      <x:c r="DC56" s="60"/>
      <x:c r="DD56" s="58"/>
      <x:c r="DE56" s="47"/>
      <x:c r="DF56" s="60"/>
      <x:c r="DG56" s="58"/>
      <x:c r="DH56" s="47"/>
      <x:c r="DI56" s="60"/>
      <x:c r="DJ56" s="58"/>
      <x:c r="DK56" s="47"/>
      <x:c r="DL56" s="60"/>
      <x:c r="DM56" s="58"/>
      <x:c r="DN56" s="11"/>
      <x:c r="DO56" s="61"/>
      <x:c r="DP56" s="62"/>
      <x:c r="DQ56" s="11"/>
      <x:c r="DR56" s="61"/>
      <x:c r="DS56" s="62"/>
      <x:c r="DT56" s="11"/>
      <x:c r="DU56" s="61"/>
      <x:c r="DV56" s="62"/>
    </x:row>
    <x:row r="57" spans="1:126" x14ac:dyDescent="0.3">
      <x:c r="A57" s="47"/>
      <x:c r="B57" s="70"/>
      <x:c r="C57" s="70"/>
      <x:c r="D57" s="70"/>
      <x:c r="E57" s="70"/>
      <x:c r="F57" s="70"/>
      <x:c r="G57" s="70"/>
      <x:c r="H57" s="70"/>
      <x:c r="I57" s="70"/>
      <x:c r="J57" s="70"/>
      <x:c r="K57" s="190"/>
      <x:c r="L57" s="191"/>
      <x:c r="M57" s="192">
        <x:f>IF(ISERROR(INDEX('Meter Type Data'!$B$2:$E$1165,SUMPRODUCT(--('Meter Type Data'!$B$2:$B$1165&lt;=Analysis!L57)*('Meter Type Data'!$C$2:$C$1165&gt;=Analysis!L57),ROW('Meter Type Data'!$B$2:$B$1165))-1,4))," ",INDEX('Meter Type Data'!$B$2:$E$1165,SUMPRODUCT(--('Meter Type Data'!$B$2:$B$1165&lt;=Analysis!L57)*('Meter Type Data'!$C$2:$C$1165&gt;=Analysis!L57),ROW('Meter Type Data'!$B$2:$B$1165))-1,4))</x:f>
      </x:c>
      <x:c r="N57" s="192">
        <x:f>IF(ISERROR(INDEX('Meter Type Data'!$B$2:$D$1165,SUMPRODUCT(--('Meter Type Data'!$B$2:$B$1165&lt;=Analysis!L57)*('Meter Type Data'!$C$2:$C$1165&gt;=Analysis!L57),ROW('Meter Type Data'!$B$2:$B$1165))-1,3))," ",INDEX('Meter Type Data'!$B$2:$D$1165,SUMPRODUCT(--('Meter Type Data'!$B$2:$B$1165&lt;=Analysis!L57)*('Meter Type Data'!$C$2:$C$1165&gt;=Analysis!L57),ROW('Meter Type Data'!$B$2:$B$1165))-1,3))</x:f>
      </x:c>
      <x:c r="O57" s="69"/>
      <x:c r="P57" s="47"/>
      <x:c r="Q57" s="60"/>
      <x:c r="R57" s="58">
        <x:f>(($O57*P57)/100)+(Q57*12)</x:f>
      </x:c>
      <x:c r="S57" s="59"/>
      <x:c r="T57" s="59"/>
      <x:c r="U57" s="58">
        <x:f>(($O57*S57)/100)+(T57*12)</x:f>
      </x:c>
      <x:c r="V57" s="47"/>
      <x:c r="W57" s="60"/>
      <x:c r="X57" s="58">
        <x:f>(($O57*V57)/100)+(W57*12)</x:f>
      </x:c>
      <x:c r="Y57" s="47"/>
      <x:c r="Z57" s="60"/>
      <x:c r="AA57" s="58">
        <x:f>(($O57*Y57)/100)+(Z57*12)</x:f>
      </x:c>
      <x:c r="AB57" s="47"/>
      <x:c r="AC57" s="60"/>
      <x:c r="AD57" s="58">
        <x:f>(($O57*AB57)/100)+(AC57*12)</x:f>
      </x:c>
      <x:c r="AE57" s="47"/>
      <x:c r="AF57" s="60"/>
      <x:c r="AG57" s="58">
        <x:f>(($O57*AE57)/100)+(AF57*12)</x:f>
      </x:c>
      <x:c r="AH57" s="47"/>
      <x:c r="AI57" s="60"/>
      <x:c r="AJ57" s="58">
        <x:f>(($O57*AH57)/100)+(AI57*12)</x:f>
      </x:c>
      <x:c r="AK57" s="47"/>
      <x:c r="AL57" s="60"/>
      <x:c r="AM57" s="58">
        <x:f>(($O57*AK57)/100)+(AL57*12)</x:f>
      </x:c>
      <x:c r="AN57" s="47"/>
      <x:c r="AO57" s="60"/>
      <x:c r="AP57" s="58">
        <x:f>(($O57*AN57)/100)+(AO57*12)</x:f>
      </x:c>
      <x:c r="AQ57" s="47"/>
      <x:c r="AR57" s="60"/>
      <x:c r="AS57" s="58">
        <x:f>(($O57*AQ57)/100)+(AR57*12)</x:f>
      </x:c>
      <x:c r="AT57" s="47"/>
      <x:c r="AU57" s="60"/>
      <x:c r="AV57" s="58">
        <x:f>(($O57*AT57)/100)+(AU57*12)</x:f>
      </x:c>
      <x:c r="AW57" s="47"/>
      <x:c r="AX57" s="60"/>
      <x:c r="AY57" s="58">
        <x:f>(($O57*AW57)/100)+(AX57*12)</x:f>
      </x:c>
      <x:c r="AZ57" s="47"/>
      <x:c r="BA57" s="60"/>
      <x:c r="BB57" s="58">
        <x:f>(($O57*AZ57)/100)+(BA57*12)</x:f>
      </x:c>
      <x:c r="BC57" s="47"/>
      <x:c r="BD57" s="60"/>
      <x:c r="BE57" s="58">
        <x:f>(($O57*BC57)/100)+(BD57*12)</x:f>
      </x:c>
      <x:c r="BF57" s="47"/>
      <x:c r="BG57" s="60"/>
      <x:c r="BH57" s="58">
        <x:f>(($O57*BF57)/100)+(BG57*12)</x:f>
      </x:c>
      <x:c r="BI57" s="47"/>
      <x:c r="BJ57" s="60"/>
      <x:c r="BK57" s="58">
        <x:f>(($O57*BI57)/100)+(BJ57*12)</x:f>
      </x:c>
      <x:c r="BL57" s="47"/>
      <x:c r="BM57" s="60"/>
      <x:c r="BN57" s="58">
        <x:f>(($O57*BL57)/100)+(BM57*12)</x:f>
      </x:c>
      <x:c r="BO57" s="47"/>
      <x:c r="BP57" s="60"/>
      <x:c r="BQ57" s="58">
        <x:f>(($O57*BO57)/100)+(BP57*12)</x:f>
      </x:c>
      <x:c r="BR57" s="47"/>
      <x:c r="BS57" s="60"/>
      <x:c r="BT57" s="58">
        <x:f>(($O57*BR57)/100)+(BS57*12)</x:f>
      </x:c>
      <x:c r="BU57" s="47"/>
      <x:c r="BV57" s="60"/>
      <x:c r="BW57" s="58">
        <x:f>(($O57*BU57)/100)+(BV57*12)</x:f>
      </x:c>
      <x:c r="BX57" s="47"/>
      <x:c r="BY57" s="60"/>
      <x:c r="BZ57" s="58">
        <x:f>(($O57*BX57)/100)+(BY57*12)</x:f>
      </x:c>
      <x:c r="CA57" s="47"/>
      <x:c r="CB57" s="60"/>
      <x:c r="CC57" s="58">
        <x:f>(($O57*CA57)/100)+(CB57*12)</x:f>
      </x:c>
      <x:c r="CD57" s="47"/>
      <x:c r="CE57" s="60"/>
      <x:c r="CF57" s="58">
        <x:f>(($O57*CD57)/100)+(CE57*12)</x:f>
      </x:c>
      <x:c r="CG57" s="47"/>
      <x:c r="CH57" s="60"/>
      <x:c r="CI57" s="58">
        <x:f>(($O57*CG57)/100)+(CH57*12)</x:f>
      </x:c>
      <x:c r="CJ57" s="47"/>
      <x:c r="CK57" s="60"/>
      <x:c r="CL57" s="58">
        <x:f>(($O57*CJ57)/100)+(CK57*12)</x:f>
      </x:c>
      <x:c r="CM57" s="47"/>
      <x:c r="CN57" s="60"/>
      <x:c r="CO57" s="58">
        <x:f>(($O57*CM57)/100)+(CN57*12)</x:f>
      </x:c>
      <x:c r="CP57" s="47"/>
      <x:c r="CQ57" s="60"/>
      <x:c r="CR57" s="58">
        <x:f>(($O57*CP57)/100)+(CQ57*12)</x:f>
      </x:c>
      <x:c r="CS57" s="47"/>
      <x:c r="CT57" s="60"/>
      <x:c r="CU57" s="58">
        <x:f>(($O57*CS57)/100)+(CT57*12)</x:f>
      </x:c>
      <x:c r="CV57" s="47"/>
      <x:c r="CW57" s="60"/>
      <x:c r="CX57" s="58"/>
      <x:c r="CY57" s="47"/>
      <x:c r="CZ57" s="60"/>
      <x:c r="DA57" s="58"/>
      <x:c r="DB57" s="47"/>
      <x:c r="DC57" s="60"/>
      <x:c r="DD57" s="58"/>
      <x:c r="DE57" s="47"/>
      <x:c r="DF57" s="60"/>
      <x:c r="DG57" s="58"/>
      <x:c r="DH57" s="47"/>
      <x:c r="DI57" s="60"/>
      <x:c r="DJ57" s="58"/>
      <x:c r="DK57" s="47"/>
      <x:c r="DL57" s="60"/>
      <x:c r="DM57" s="58"/>
      <x:c r="DN57" s="11"/>
      <x:c r="DO57" s="61"/>
      <x:c r="DP57" s="62"/>
      <x:c r="DQ57" s="11"/>
      <x:c r="DR57" s="61"/>
      <x:c r="DS57" s="62"/>
      <x:c r="DT57" s="11"/>
      <x:c r="DU57" s="61"/>
      <x:c r="DV57" s="62"/>
    </x:row>
    <x:row r="58" spans="1:126" x14ac:dyDescent="0.3">
      <x:c r="A58" s="47"/>
      <x:c r="B58" s="70"/>
      <x:c r="C58" s="70"/>
      <x:c r="D58" s="70"/>
      <x:c r="E58" s="70"/>
      <x:c r="F58" s="70"/>
      <x:c r="G58" s="70"/>
      <x:c r="H58" s="70"/>
      <x:c r="I58" s="70"/>
      <x:c r="J58" s="70"/>
      <x:c r="K58" s="190"/>
      <x:c r="L58" s="191"/>
      <x:c r="M58" s="192">
        <x:f>IF(ISERROR(INDEX('Meter Type Data'!$B$2:$E$1165,SUMPRODUCT(--('Meter Type Data'!$B$2:$B$1165&lt;=Analysis!L58)*('Meter Type Data'!$C$2:$C$1165&gt;=Analysis!L58),ROW('Meter Type Data'!$B$2:$B$1165))-1,4))," ",INDEX('Meter Type Data'!$B$2:$E$1165,SUMPRODUCT(--('Meter Type Data'!$B$2:$B$1165&lt;=Analysis!L58)*('Meter Type Data'!$C$2:$C$1165&gt;=Analysis!L58),ROW('Meter Type Data'!$B$2:$B$1165))-1,4))</x:f>
      </x:c>
      <x:c r="N58" s="192">
        <x:f>IF(ISERROR(INDEX('Meter Type Data'!$B$2:$D$1165,SUMPRODUCT(--('Meter Type Data'!$B$2:$B$1165&lt;=Analysis!L58)*('Meter Type Data'!$C$2:$C$1165&gt;=Analysis!L58),ROW('Meter Type Data'!$B$2:$B$1165))-1,3))," ",INDEX('Meter Type Data'!$B$2:$D$1165,SUMPRODUCT(--('Meter Type Data'!$B$2:$B$1165&lt;=Analysis!L58)*('Meter Type Data'!$C$2:$C$1165&gt;=Analysis!L58),ROW('Meter Type Data'!$B$2:$B$1165))-1,3))</x:f>
      </x:c>
      <x:c r="O58" s="69"/>
      <x:c r="P58" s="47"/>
      <x:c r="Q58" s="60"/>
      <x:c r="R58" s="58">
        <x:f>(($O58*P58)/100)+(Q58*12)</x:f>
      </x:c>
      <x:c r="S58" s="59"/>
      <x:c r="T58" s="59"/>
      <x:c r="U58" s="58">
        <x:f>(($O58*S58)/100)+(T58*12)</x:f>
      </x:c>
      <x:c r="V58" s="47"/>
      <x:c r="W58" s="60"/>
      <x:c r="X58" s="58">
        <x:f>(($O58*V58)/100)+(W58*12)</x:f>
      </x:c>
      <x:c r="Y58" s="47"/>
      <x:c r="Z58" s="60"/>
      <x:c r="AA58" s="58">
        <x:f>(($O58*Y58)/100)+(Z58*12)</x:f>
      </x:c>
      <x:c r="AB58" s="47"/>
      <x:c r="AC58" s="60"/>
      <x:c r="AD58" s="58">
        <x:f>(($O58*AB58)/100)+(AC58*12)</x:f>
      </x:c>
      <x:c r="AE58" s="47"/>
      <x:c r="AF58" s="60"/>
      <x:c r="AG58" s="58">
        <x:f>(($O58*AE58)/100)+(AF58*12)</x:f>
      </x:c>
      <x:c r="AH58" s="47"/>
      <x:c r="AI58" s="60"/>
      <x:c r="AJ58" s="58">
        <x:f>(($O58*AH58)/100)+(AI58*12)</x:f>
      </x:c>
      <x:c r="AK58" s="47"/>
      <x:c r="AL58" s="60"/>
      <x:c r="AM58" s="58">
        <x:f>(($O58*AK58)/100)+(AL58*12)</x:f>
      </x:c>
      <x:c r="AN58" s="47"/>
      <x:c r="AO58" s="60"/>
      <x:c r="AP58" s="58">
        <x:f>(($O58*AN58)/100)+(AO58*12)</x:f>
      </x:c>
      <x:c r="AQ58" s="47"/>
      <x:c r="AR58" s="60"/>
      <x:c r="AS58" s="58">
        <x:f>(($O58*AQ58)/100)+(AR58*12)</x:f>
      </x:c>
      <x:c r="AT58" s="47"/>
      <x:c r="AU58" s="60"/>
      <x:c r="AV58" s="58">
        <x:f>(($O58*AT58)/100)+(AU58*12)</x:f>
      </x:c>
      <x:c r="AW58" s="47"/>
      <x:c r="AX58" s="60"/>
      <x:c r="AY58" s="58">
        <x:f>(($O58*AW58)/100)+(AX58*12)</x:f>
      </x:c>
      <x:c r="AZ58" s="47"/>
      <x:c r="BA58" s="60"/>
      <x:c r="BB58" s="58">
        <x:f>(($O58*AZ58)/100)+(BA58*12)</x:f>
      </x:c>
      <x:c r="BC58" s="47"/>
      <x:c r="BD58" s="60"/>
      <x:c r="BE58" s="58">
        <x:f>(($O58*BC58)/100)+(BD58*12)</x:f>
      </x:c>
      <x:c r="BF58" s="47"/>
      <x:c r="BG58" s="60"/>
      <x:c r="BH58" s="58">
        <x:f>(($O58*BF58)/100)+(BG58*12)</x:f>
      </x:c>
      <x:c r="BI58" s="47"/>
      <x:c r="BJ58" s="60"/>
      <x:c r="BK58" s="58">
        <x:f>(($O58*BI58)/100)+(BJ58*12)</x:f>
      </x:c>
      <x:c r="BL58" s="47"/>
      <x:c r="BM58" s="60"/>
      <x:c r="BN58" s="58">
        <x:f>(($O58*BL58)/100)+(BM58*12)</x:f>
      </x:c>
      <x:c r="BO58" s="47"/>
      <x:c r="BP58" s="60"/>
      <x:c r="BQ58" s="58">
        <x:f>(($O58*BO58)/100)+(BP58*12)</x:f>
      </x:c>
      <x:c r="BR58" s="47"/>
      <x:c r="BS58" s="60"/>
      <x:c r="BT58" s="58">
        <x:f>(($O58*BR58)/100)+(BS58*12)</x:f>
      </x:c>
      <x:c r="BU58" s="47"/>
      <x:c r="BV58" s="60"/>
      <x:c r="BW58" s="58">
        <x:f>(($O58*BU58)/100)+(BV58*12)</x:f>
      </x:c>
      <x:c r="BX58" s="47"/>
      <x:c r="BY58" s="60"/>
      <x:c r="BZ58" s="58">
        <x:f>(($O58*BX58)/100)+(BY58*12)</x:f>
      </x:c>
      <x:c r="CA58" s="47"/>
      <x:c r="CB58" s="60"/>
      <x:c r="CC58" s="58">
        <x:f>(($O58*CA58)/100)+(CB58*12)</x:f>
      </x:c>
      <x:c r="CD58" s="47"/>
      <x:c r="CE58" s="60"/>
      <x:c r="CF58" s="58">
        <x:f>(($O58*CD58)/100)+(CE58*12)</x:f>
      </x:c>
      <x:c r="CG58" s="47"/>
      <x:c r="CH58" s="60"/>
      <x:c r="CI58" s="58">
        <x:f>(($O58*CG58)/100)+(CH58*12)</x:f>
      </x:c>
      <x:c r="CJ58" s="47"/>
      <x:c r="CK58" s="60"/>
      <x:c r="CL58" s="58">
        <x:f>(($O58*CJ58)/100)+(CK58*12)</x:f>
      </x:c>
      <x:c r="CM58" s="47"/>
      <x:c r="CN58" s="60"/>
      <x:c r="CO58" s="58">
        <x:f>(($O58*CM58)/100)+(CN58*12)</x:f>
      </x:c>
      <x:c r="CP58" s="47"/>
      <x:c r="CQ58" s="60"/>
      <x:c r="CR58" s="58">
        <x:f>(($O58*CP58)/100)+(CQ58*12)</x:f>
      </x:c>
      <x:c r="CS58" s="47"/>
      <x:c r="CT58" s="60"/>
      <x:c r="CU58" s="58">
        <x:f>(($O58*CS58)/100)+(CT58*12)</x:f>
      </x:c>
      <x:c r="CV58" s="47"/>
      <x:c r="CW58" s="60"/>
      <x:c r="CX58" s="58"/>
      <x:c r="CY58" s="47"/>
      <x:c r="CZ58" s="60"/>
      <x:c r="DA58" s="58"/>
      <x:c r="DB58" s="47"/>
      <x:c r="DC58" s="60"/>
      <x:c r="DD58" s="58"/>
      <x:c r="DE58" s="47"/>
      <x:c r="DF58" s="60"/>
      <x:c r="DG58" s="58"/>
      <x:c r="DH58" s="47"/>
      <x:c r="DI58" s="60"/>
      <x:c r="DJ58" s="58"/>
      <x:c r="DK58" s="47"/>
      <x:c r="DL58" s="60"/>
      <x:c r="DM58" s="58"/>
      <x:c r="DN58" s="11"/>
      <x:c r="DO58" s="61"/>
      <x:c r="DP58" s="62"/>
      <x:c r="DQ58" s="11"/>
      <x:c r="DR58" s="61"/>
      <x:c r="DS58" s="62"/>
      <x:c r="DT58" s="11"/>
      <x:c r="DU58" s="61"/>
      <x:c r="DV58" s="62"/>
    </x:row>
    <x:row r="59" spans="1:126" x14ac:dyDescent="0.3">
      <x:c r="A59" s="47"/>
      <x:c r="B59" s="70"/>
      <x:c r="C59" s="70"/>
      <x:c r="D59" s="70"/>
      <x:c r="E59" s="70"/>
      <x:c r="F59" s="70"/>
      <x:c r="G59" s="70"/>
      <x:c r="H59" s="70"/>
      <x:c r="I59" s="70"/>
      <x:c r="J59" s="70"/>
      <x:c r="K59" s="190"/>
      <x:c r="L59" s="191"/>
      <x:c r="M59" s="192">
        <x:f>IF(ISERROR(INDEX('Meter Type Data'!$B$2:$E$1165,SUMPRODUCT(--('Meter Type Data'!$B$2:$B$1165&lt;=Analysis!L59)*('Meter Type Data'!$C$2:$C$1165&gt;=Analysis!L59),ROW('Meter Type Data'!$B$2:$B$1165))-1,4))," ",INDEX('Meter Type Data'!$B$2:$E$1165,SUMPRODUCT(--('Meter Type Data'!$B$2:$B$1165&lt;=Analysis!L59)*('Meter Type Data'!$C$2:$C$1165&gt;=Analysis!L59),ROW('Meter Type Data'!$B$2:$B$1165))-1,4))</x:f>
      </x:c>
      <x:c r="N59" s="192">
        <x:f>IF(ISERROR(INDEX('Meter Type Data'!$B$2:$D$1165,SUMPRODUCT(--('Meter Type Data'!$B$2:$B$1165&lt;=Analysis!L59)*('Meter Type Data'!$C$2:$C$1165&gt;=Analysis!L59),ROW('Meter Type Data'!$B$2:$B$1165))-1,3))," ",INDEX('Meter Type Data'!$B$2:$D$1165,SUMPRODUCT(--('Meter Type Data'!$B$2:$B$1165&lt;=Analysis!L59)*('Meter Type Data'!$C$2:$C$1165&gt;=Analysis!L59),ROW('Meter Type Data'!$B$2:$B$1165))-1,3))</x:f>
      </x:c>
      <x:c r="O59" s="69"/>
      <x:c r="P59" s="47"/>
      <x:c r="Q59" s="60"/>
      <x:c r="R59" s="58">
        <x:f>(($O59*P59)/100)+(Q59*12)</x:f>
      </x:c>
      <x:c r="S59" s="59"/>
      <x:c r="T59" s="59"/>
      <x:c r="U59" s="58">
        <x:f>(($O59*S59)/100)+(T59*12)</x:f>
      </x:c>
      <x:c r="V59" s="47"/>
      <x:c r="W59" s="60"/>
      <x:c r="X59" s="58">
        <x:f>(($O59*V59)/100)+(W59*12)</x:f>
      </x:c>
      <x:c r="Y59" s="47"/>
      <x:c r="Z59" s="60"/>
      <x:c r="AA59" s="58">
        <x:f>(($O59*Y59)/100)+(Z59*12)</x:f>
      </x:c>
      <x:c r="AB59" s="47"/>
      <x:c r="AC59" s="60"/>
      <x:c r="AD59" s="58">
        <x:f>(($O59*AB59)/100)+(AC59*12)</x:f>
      </x:c>
      <x:c r="AE59" s="47"/>
      <x:c r="AF59" s="60"/>
      <x:c r="AG59" s="58">
        <x:f>(($O59*AE59)/100)+(AF59*12)</x:f>
      </x:c>
      <x:c r="AH59" s="47"/>
      <x:c r="AI59" s="60"/>
      <x:c r="AJ59" s="58">
        <x:f>(($O59*AH59)/100)+(AI59*12)</x:f>
      </x:c>
      <x:c r="AK59" s="47"/>
      <x:c r="AL59" s="60"/>
      <x:c r="AM59" s="58">
        <x:f>(($O59*AK59)/100)+(AL59*12)</x:f>
      </x:c>
      <x:c r="AN59" s="47"/>
      <x:c r="AO59" s="60"/>
      <x:c r="AP59" s="58">
        <x:f>(($O59*AN59)/100)+(AO59*12)</x:f>
      </x:c>
      <x:c r="AQ59" s="47"/>
      <x:c r="AR59" s="60"/>
      <x:c r="AS59" s="58">
        <x:f>(($O59*AQ59)/100)+(AR59*12)</x:f>
      </x:c>
      <x:c r="AT59" s="47"/>
      <x:c r="AU59" s="60"/>
      <x:c r="AV59" s="58">
        <x:f>(($O59*AT59)/100)+(AU59*12)</x:f>
      </x:c>
      <x:c r="AW59" s="47"/>
      <x:c r="AX59" s="60"/>
      <x:c r="AY59" s="58">
        <x:f>(($O59*AW59)/100)+(AX59*12)</x:f>
      </x:c>
      <x:c r="AZ59" s="47"/>
      <x:c r="BA59" s="60"/>
      <x:c r="BB59" s="58">
        <x:f>(($O59*AZ59)/100)+(BA59*12)</x:f>
      </x:c>
      <x:c r="BC59" s="47"/>
      <x:c r="BD59" s="60"/>
      <x:c r="BE59" s="58">
        <x:f>(($O59*BC59)/100)+(BD59*12)</x:f>
      </x:c>
      <x:c r="BF59" s="47"/>
      <x:c r="BG59" s="60"/>
      <x:c r="BH59" s="58">
        <x:f>(($O59*BF59)/100)+(BG59*12)</x:f>
      </x:c>
      <x:c r="BI59" s="47"/>
      <x:c r="BJ59" s="60"/>
      <x:c r="BK59" s="58">
        <x:f>(($O59*BI59)/100)+(BJ59*12)</x:f>
      </x:c>
      <x:c r="BL59" s="47"/>
      <x:c r="BM59" s="60"/>
      <x:c r="BN59" s="58">
        <x:f>(($O59*BL59)/100)+(BM59*12)</x:f>
      </x:c>
      <x:c r="BO59" s="47"/>
      <x:c r="BP59" s="60"/>
      <x:c r="BQ59" s="58">
        <x:f>(($O59*BO59)/100)+(BP59*12)</x:f>
      </x:c>
      <x:c r="BR59" s="47"/>
      <x:c r="BS59" s="60"/>
      <x:c r="BT59" s="58">
        <x:f>(($O59*BR59)/100)+(BS59*12)</x:f>
      </x:c>
      <x:c r="BU59" s="47"/>
      <x:c r="BV59" s="60"/>
      <x:c r="BW59" s="58">
        <x:f>(($O59*BU59)/100)+(BV59*12)</x:f>
      </x:c>
      <x:c r="BX59" s="47"/>
      <x:c r="BY59" s="60"/>
      <x:c r="BZ59" s="58">
        <x:f>(($O59*BX59)/100)+(BY59*12)</x:f>
      </x:c>
      <x:c r="CA59" s="47"/>
      <x:c r="CB59" s="60"/>
      <x:c r="CC59" s="58">
        <x:f>(($O59*CA59)/100)+(CB59*12)</x:f>
      </x:c>
      <x:c r="CD59" s="47"/>
      <x:c r="CE59" s="60"/>
      <x:c r="CF59" s="58">
        <x:f>(($O59*CD59)/100)+(CE59*12)</x:f>
      </x:c>
      <x:c r="CG59" s="47"/>
      <x:c r="CH59" s="60"/>
      <x:c r="CI59" s="58">
        <x:f>(($O59*CG59)/100)+(CH59*12)</x:f>
      </x:c>
      <x:c r="CJ59" s="47"/>
      <x:c r="CK59" s="60"/>
      <x:c r="CL59" s="58">
        <x:f>(($O59*CJ59)/100)+(CK59*12)</x:f>
      </x:c>
      <x:c r="CM59" s="47"/>
      <x:c r="CN59" s="60"/>
      <x:c r="CO59" s="58">
        <x:f>(($O59*CM59)/100)+(CN59*12)</x:f>
      </x:c>
      <x:c r="CP59" s="47"/>
      <x:c r="CQ59" s="60"/>
      <x:c r="CR59" s="58">
        <x:f>(($O59*CP59)/100)+(CQ59*12)</x:f>
      </x:c>
      <x:c r="CS59" s="47"/>
      <x:c r="CT59" s="60"/>
      <x:c r="CU59" s="58">
        <x:f>(($O59*CS59)/100)+(CT59*12)</x:f>
      </x:c>
      <x:c r="CV59" s="47"/>
      <x:c r="CW59" s="60"/>
      <x:c r="CX59" s="58"/>
      <x:c r="CY59" s="47"/>
      <x:c r="CZ59" s="60"/>
      <x:c r="DA59" s="58"/>
      <x:c r="DB59" s="47"/>
      <x:c r="DC59" s="60"/>
      <x:c r="DD59" s="58"/>
      <x:c r="DE59" s="47"/>
      <x:c r="DF59" s="60"/>
      <x:c r="DG59" s="58"/>
      <x:c r="DH59" s="47"/>
      <x:c r="DI59" s="60"/>
      <x:c r="DJ59" s="58"/>
      <x:c r="DK59" s="47"/>
      <x:c r="DL59" s="60"/>
      <x:c r="DM59" s="58"/>
      <x:c r="DN59" s="11"/>
      <x:c r="DO59" s="61"/>
      <x:c r="DP59" s="62"/>
      <x:c r="DQ59" s="11"/>
      <x:c r="DR59" s="61"/>
      <x:c r="DS59" s="62"/>
      <x:c r="DT59" s="11"/>
      <x:c r="DU59" s="61"/>
      <x:c r="DV59" s="62"/>
    </x:row>
    <x:row r="60" spans="1:126" x14ac:dyDescent="0.3">
      <x:c r="A60" s="47"/>
      <x:c r="B60" s="70"/>
      <x:c r="C60" s="70"/>
      <x:c r="D60" s="70"/>
      <x:c r="E60" s="70"/>
      <x:c r="F60" s="70"/>
      <x:c r="G60" s="70"/>
      <x:c r="H60" s="70"/>
      <x:c r="I60" s="70"/>
      <x:c r="J60" s="70"/>
      <x:c r="K60" s="190"/>
      <x:c r="L60" s="191"/>
      <x:c r="M60" s="192">
        <x:f>IF(ISERROR(INDEX('Meter Type Data'!$B$2:$E$1165,SUMPRODUCT(--('Meter Type Data'!$B$2:$B$1165&lt;=Analysis!L60)*('Meter Type Data'!$C$2:$C$1165&gt;=Analysis!L60),ROW('Meter Type Data'!$B$2:$B$1165))-1,4))," ",INDEX('Meter Type Data'!$B$2:$E$1165,SUMPRODUCT(--('Meter Type Data'!$B$2:$B$1165&lt;=Analysis!L60)*('Meter Type Data'!$C$2:$C$1165&gt;=Analysis!L60),ROW('Meter Type Data'!$B$2:$B$1165))-1,4))</x:f>
      </x:c>
      <x:c r="N60" s="192">
        <x:f>IF(ISERROR(INDEX('Meter Type Data'!$B$2:$D$1165,SUMPRODUCT(--('Meter Type Data'!$B$2:$B$1165&lt;=Analysis!L60)*('Meter Type Data'!$C$2:$C$1165&gt;=Analysis!L60),ROW('Meter Type Data'!$B$2:$B$1165))-1,3))," ",INDEX('Meter Type Data'!$B$2:$D$1165,SUMPRODUCT(--('Meter Type Data'!$B$2:$B$1165&lt;=Analysis!L60)*('Meter Type Data'!$C$2:$C$1165&gt;=Analysis!L60),ROW('Meter Type Data'!$B$2:$B$1165))-1,3))</x:f>
      </x:c>
      <x:c r="O60" s="69"/>
      <x:c r="P60" s="47"/>
      <x:c r="Q60" s="60"/>
      <x:c r="R60" s="58">
        <x:f>(($O60*P60)/100)+(Q60*12)</x:f>
      </x:c>
      <x:c r="S60" s="59"/>
      <x:c r="T60" s="59"/>
      <x:c r="U60" s="58">
        <x:f>(($O60*S60)/100)+(T60*12)</x:f>
      </x:c>
      <x:c r="V60" s="47"/>
      <x:c r="W60" s="60"/>
      <x:c r="X60" s="58">
        <x:f>(($O60*V60)/100)+(W60*12)</x:f>
      </x:c>
      <x:c r="Y60" s="47"/>
      <x:c r="Z60" s="60"/>
      <x:c r="AA60" s="58">
        <x:f>(($O60*Y60)/100)+(Z60*12)</x:f>
      </x:c>
      <x:c r="AB60" s="47"/>
      <x:c r="AC60" s="60"/>
      <x:c r="AD60" s="58">
        <x:f>(($O60*AB60)/100)+(AC60*12)</x:f>
      </x:c>
      <x:c r="AE60" s="47"/>
      <x:c r="AF60" s="60"/>
      <x:c r="AG60" s="58">
        <x:f>(($O60*AE60)/100)+(AF60*12)</x:f>
      </x:c>
      <x:c r="AH60" s="47"/>
      <x:c r="AI60" s="60"/>
      <x:c r="AJ60" s="58">
        <x:f>(($O60*AH60)/100)+(AI60*12)</x:f>
      </x:c>
      <x:c r="AK60" s="47"/>
      <x:c r="AL60" s="60"/>
      <x:c r="AM60" s="58">
        <x:f>(($O60*AK60)/100)+(AL60*12)</x:f>
      </x:c>
      <x:c r="AN60" s="47"/>
      <x:c r="AO60" s="60"/>
      <x:c r="AP60" s="58">
        <x:f>(($O60*AN60)/100)+(AO60*12)</x:f>
      </x:c>
      <x:c r="AQ60" s="47"/>
      <x:c r="AR60" s="60"/>
      <x:c r="AS60" s="58">
        <x:f>(($O60*AQ60)/100)+(AR60*12)</x:f>
      </x:c>
      <x:c r="AT60" s="47"/>
      <x:c r="AU60" s="60"/>
      <x:c r="AV60" s="58">
        <x:f>(($O60*AT60)/100)+(AU60*12)</x:f>
      </x:c>
      <x:c r="AW60" s="47"/>
      <x:c r="AX60" s="60"/>
      <x:c r="AY60" s="58">
        <x:f>(($O60*AW60)/100)+(AX60*12)</x:f>
      </x:c>
      <x:c r="AZ60" s="47"/>
      <x:c r="BA60" s="60"/>
      <x:c r="BB60" s="58">
        <x:f>(($O60*AZ60)/100)+(BA60*12)</x:f>
      </x:c>
      <x:c r="BC60" s="47"/>
      <x:c r="BD60" s="60"/>
      <x:c r="BE60" s="58">
        <x:f>(($O60*BC60)/100)+(BD60*12)</x:f>
      </x:c>
      <x:c r="BF60" s="47"/>
      <x:c r="BG60" s="60"/>
      <x:c r="BH60" s="58">
        <x:f>(($O60*BF60)/100)+(BG60*12)</x:f>
      </x:c>
      <x:c r="BI60" s="47"/>
      <x:c r="BJ60" s="60"/>
      <x:c r="BK60" s="58">
        <x:f>(($O60*BI60)/100)+(BJ60*12)</x:f>
      </x:c>
      <x:c r="BL60" s="47"/>
      <x:c r="BM60" s="60"/>
      <x:c r="BN60" s="58">
        <x:f>(($O60*BL60)/100)+(BM60*12)</x:f>
      </x:c>
      <x:c r="BO60" s="47"/>
      <x:c r="BP60" s="60"/>
      <x:c r="BQ60" s="58">
        <x:f>(($O60*BO60)/100)+(BP60*12)</x:f>
      </x:c>
      <x:c r="BR60" s="47"/>
      <x:c r="BS60" s="60"/>
      <x:c r="BT60" s="58">
        <x:f>(($O60*BR60)/100)+(BS60*12)</x:f>
      </x:c>
      <x:c r="BU60" s="47"/>
      <x:c r="BV60" s="60"/>
      <x:c r="BW60" s="58">
        <x:f>(($O60*BU60)/100)+(BV60*12)</x:f>
      </x:c>
      <x:c r="BX60" s="47"/>
      <x:c r="BY60" s="60"/>
      <x:c r="BZ60" s="58">
        <x:f>(($O60*BX60)/100)+(BY60*12)</x:f>
      </x:c>
      <x:c r="CA60" s="47"/>
      <x:c r="CB60" s="60"/>
      <x:c r="CC60" s="58">
        <x:f>(($O60*CA60)/100)+(CB60*12)</x:f>
      </x:c>
      <x:c r="CD60" s="47"/>
      <x:c r="CE60" s="60"/>
      <x:c r="CF60" s="58">
        <x:f>(($O60*CD60)/100)+(CE60*12)</x:f>
      </x:c>
      <x:c r="CG60" s="47"/>
      <x:c r="CH60" s="60"/>
      <x:c r="CI60" s="58">
        <x:f>(($O60*CG60)/100)+(CH60*12)</x:f>
      </x:c>
      <x:c r="CJ60" s="47"/>
      <x:c r="CK60" s="60"/>
      <x:c r="CL60" s="58">
        <x:f>(($O60*CJ60)/100)+(CK60*12)</x:f>
      </x:c>
      <x:c r="CM60" s="47"/>
      <x:c r="CN60" s="60"/>
      <x:c r="CO60" s="58">
        <x:f>(($O60*CM60)/100)+(CN60*12)</x:f>
      </x:c>
      <x:c r="CP60" s="47"/>
      <x:c r="CQ60" s="60"/>
      <x:c r="CR60" s="58">
        <x:f>(($O60*CP60)/100)+(CQ60*12)</x:f>
      </x:c>
      <x:c r="CS60" s="47"/>
      <x:c r="CT60" s="60"/>
      <x:c r="CU60" s="58">
        <x:f>(($O60*CS60)/100)+(CT60*12)</x:f>
      </x:c>
      <x:c r="CV60" s="47"/>
      <x:c r="CW60" s="60"/>
      <x:c r="CX60" s="58"/>
      <x:c r="CY60" s="47"/>
      <x:c r="CZ60" s="60"/>
      <x:c r="DA60" s="58"/>
      <x:c r="DB60" s="47"/>
      <x:c r="DC60" s="60"/>
      <x:c r="DD60" s="58"/>
      <x:c r="DE60" s="47"/>
      <x:c r="DF60" s="60"/>
      <x:c r="DG60" s="58"/>
      <x:c r="DH60" s="47"/>
      <x:c r="DI60" s="60"/>
      <x:c r="DJ60" s="58"/>
      <x:c r="DK60" s="47"/>
      <x:c r="DL60" s="60"/>
      <x:c r="DM60" s="58"/>
      <x:c r="DN60" s="11"/>
      <x:c r="DO60" s="61"/>
      <x:c r="DP60" s="62"/>
      <x:c r="DQ60" s="11"/>
      <x:c r="DR60" s="61"/>
      <x:c r="DS60" s="62"/>
      <x:c r="DT60" s="11"/>
      <x:c r="DU60" s="61"/>
      <x:c r="DV60" s="62"/>
    </x:row>
    <x:row r="61" spans="1:126" x14ac:dyDescent="0.3">
      <x:c r="A61" s="47"/>
      <x:c r="B61" s="70"/>
      <x:c r="C61" s="70"/>
      <x:c r="D61" s="70"/>
      <x:c r="E61" s="70"/>
      <x:c r="F61" s="70"/>
      <x:c r="G61" s="70"/>
      <x:c r="H61" s="70"/>
      <x:c r="I61" s="70"/>
      <x:c r="J61" s="70"/>
      <x:c r="K61" s="190"/>
      <x:c r="L61" s="191"/>
      <x:c r="M61" s="192">
        <x:f>IF(ISERROR(INDEX('Meter Type Data'!$B$2:$E$1165,SUMPRODUCT(--('Meter Type Data'!$B$2:$B$1165&lt;=Analysis!L61)*('Meter Type Data'!$C$2:$C$1165&gt;=Analysis!L61),ROW('Meter Type Data'!$B$2:$B$1165))-1,4))," ",INDEX('Meter Type Data'!$B$2:$E$1165,SUMPRODUCT(--('Meter Type Data'!$B$2:$B$1165&lt;=Analysis!L61)*('Meter Type Data'!$C$2:$C$1165&gt;=Analysis!L61),ROW('Meter Type Data'!$B$2:$B$1165))-1,4))</x:f>
      </x:c>
      <x:c r="N61" s="192">
        <x:f>IF(ISERROR(INDEX('Meter Type Data'!$B$2:$D$1165,SUMPRODUCT(--('Meter Type Data'!$B$2:$B$1165&lt;=Analysis!L61)*('Meter Type Data'!$C$2:$C$1165&gt;=Analysis!L61),ROW('Meter Type Data'!$B$2:$B$1165))-1,3))," ",INDEX('Meter Type Data'!$B$2:$D$1165,SUMPRODUCT(--('Meter Type Data'!$B$2:$B$1165&lt;=Analysis!L61)*('Meter Type Data'!$C$2:$C$1165&gt;=Analysis!L61),ROW('Meter Type Data'!$B$2:$B$1165))-1,3))</x:f>
      </x:c>
      <x:c r="O61" s="69"/>
      <x:c r="P61" s="47"/>
      <x:c r="Q61" s="60"/>
      <x:c r="R61" s="58">
        <x:f>(($O61*P61)/100)+(Q61*12)</x:f>
      </x:c>
      <x:c r="S61" s="59"/>
      <x:c r="T61" s="59"/>
      <x:c r="U61" s="58">
        <x:f>(($O61*S61)/100)+(T61*12)</x:f>
      </x:c>
      <x:c r="V61" s="47"/>
      <x:c r="W61" s="60"/>
      <x:c r="X61" s="58">
        <x:f>(($O61*V61)/100)+(W61*12)</x:f>
      </x:c>
      <x:c r="Y61" s="47"/>
      <x:c r="Z61" s="60"/>
      <x:c r="AA61" s="58">
        <x:f>(($O61*Y61)/100)+(Z61*12)</x:f>
      </x:c>
      <x:c r="AB61" s="47"/>
      <x:c r="AC61" s="60"/>
      <x:c r="AD61" s="58">
        <x:f>(($O61*AB61)/100)+(AC61*12)</x:f>
      </x:c>
      <x:c r="AE61" s="47"/>
      <x:c r="AF61" s="60"/>
      <x:c r="AG61" s="58">
        <x:f>(($O61*AE61)/100)+(AF61*12)</x:f>
      </x:c>
      <x:c r="AH61" s="47"/>
      <x:c r="AI61" s="60"/>
      <x:c r="AJ61" s="58">
        <x:f>(($O61*AH61)/100)+(AI61*12)</x:f>
      </x:c>
      <x:c r="AK61" s="47"/>
      <x:c r="AL61" s="60"/>
      <x:c r="AM61" s="58">
        <x:f>(($O61*AK61)/100)+(AL61*12)</x:f>
      </x:c>
      <x:c r="AN61" s="47"/>
      <x:c r="AO61" s="60"/>
      <x:c r="AP61" s="58">
        <x:f>(($O61*AN61)/100)+(AO61*12)</x:f>
      </x:c>
      <x:c r="AQ61" s="47"/>
      <x:c r="AR61" s="60"/>
      <x:c r="AS61" s="58">
        <x:f>(($O61*AQ61)/100)+(AR61*12)</x:f>
      </x:c>
      <x:c r="AT61" s="47"/>
      <x:c r="AU61" s="60"/>
      <x:c r="AV61" s="58">
        <x:f>(($O61*AT61)/100)+(AU61*12)</x:f>
      </x:c>
      <x:c r="AW61" s="47"/>
      <x:c r="AX61" s="60"/>
      <x:c r="AY61" s="58">
        <x:f>(($O61*AW61)/100)+(AX61*12)</x:f>
      </x:c>
      <x:c r="AZ61" s="47"/>
      <x:c r="BA61" s="60"/>
      <x:c r="BB61" s="58">
        <x:f>(($O61*AZ61)/100)+(BA61*12)</x:f>
      </x:c>
      <x:c r="BC61" s="47"/>
      <x:c r="BD61" s="60"/>
      <x:c r="BE61" s="58">
        <x:f>(($O61*BC61)/100)+(BD61*12)</x:f>
      </x:c>
      <x:c r="BF61" s="47"/>
      <x:c r="BG61" s="60"/>
      <x:c r="BH61" s="58">
        <x:f>(($O61*BF61)/100)+(BG61*12)</x:f>
      </x:c>
      <x:c r="BI61" s="47"/>
      <x:c r="BJ61" s="60"/>
      <x:c r="BK61" s="58">
        <x:f>(($O61*BI61)/100)+(BJ61*12)</x:f>
      </x:c>
      <x:c r="BL61" s="47"/>
      <x:c r="BM61" s="60"/>
      <x:c r="BN61" s="58">
        <x:f>(($O61*BL61)/100)+(BM61*12)</x:f>
      </x:c>
      <x:c r="BO61" s="47"/>
      <x:c r="BP61" s="60"/>
      <x:c r="BQ61" s="58">
        <x:f>(($O61*BO61)/100)+(BP61*12)</x:f>
      </x:c>
      <x:c r="BR61" s="47"/>
      <x:c r="BS61" s="60"/>
      <x:c r="BT61" s="58">
        <x:f>(($O61*BR61)/100)+(BS61*12)</x:f>
      </x:c>
      <x:c r="BU61" s="47"/>
      <x:c r="BV61" s="60"/>
      <x:c r="BW61" s="58">
        <x:f>(($O61*BU61)/100)+(BV61*12)</x:f>
      </x:c>
      <x:c r="BX61" s="47"/>
      <x:c r="BY61" s="60"/>
      <x:c r="BZ61" s="58">
        <x:f>(($O61*BX61)/100)+(BY61*12)</x:f>
      </x:c>
      <x:c r="CA61" s="47"/>
      <x:c r="CB61" s="60"/>
      <x:c r="CC61" s="58">
        <x:f>(($O61*CA61)/100)+(CB61*12)</x:f>
      </x:c>
      <x:c r="CD61" s="47"/>
      <x:c r="CE61" s="60"/>
      <x:c r="CF61" s="58">
        <x:f>(($O61*CD61)/100)+(CE61*12)</x:f>
      </x:c>
      <x:c r="CG61" s="47"/>
      <x:c r="CH61" s="60"/>
      <x:c r="CI61" s="58">
        <x:f>(($O61*CG61)/100)+(CH61*12)</x:f>
      </x:c>
      <x:c r="CJ61" s="47"/>
      <x:c r="CK61" s="60"/>
      <x:c r="CL61" s="58">
        <x:f>(($O61*CJ61)/100)+(CK61*12)</x:f>
      </x:c>
      <x:c r="CM61" s="47"/>
      <x:c r="CN61" s="60"/>
      <x:c r="CO61" s="58">
        <x:f>(($O61*CM61)/100)+(CN61*12)</x:f>
      </x:c>
      <x:c r="CP61" s="47"/>
      <x:c r="CQ61" s="60"/>
      <x:c r="CR61" s="58">
        <x:f>(($O61*CP61)/100)+(CQ61*12)</x:f>
      </x:c>
      <x:c r="CS61" s="47"/>
      <x:c r="CT61" s="60"/>
      <x:c r="CU61" s="58">
        <x:f>(($O61*CS61)/100)+(CT61*12)</x:f>
      </x:c>
      <x:c r="CV61" s="47"/>
      <x:c r="CW61" s="60"/>
      <x:c r="CX61" s="58"/>
      <x:c r="CY61" s="47"/>
      <x:c r="CZ61" s="60"/>
      <x:c r="DA61" s="58"/>
      <x:c r="DB61" s="47"/>
      <x:c r="DC61" s="60"/>
      <x:c r="DD61" s="58"/>
      <x:c r="DE61" s="47"/>
      <x:c r="DF61" s="60"/>
      <x:c r="DG61" s="58"/>
      <x:c r="DH61" s="47"/>
      <x:c r="DI61" s="60"/>
      <x:c r="DJ61" s="58"/>
      <x:c r="DK61" s="47"/>
      <x:c r="DL61" s="60"/>
      <x:c r="DM61" s="58"/>
      <x:c r="DN61" s="11"/>
      <x:c r="DO61" s="61"/>
      <x:c r="DP61" s="62"/>
      <x:c r="DQ61" s="11"/>
      <x:c r="DR61" s="61"/>
      <x:c r="DS61" s="62"/>
      <x:c r="DT61" s="11"/>
      <x:c r="DU61" s="61"/>
      <x:c r="DV61" s="62"/>
    </x:row>
    <x:row r="62" spans="1:126" x14ac:dyDescent="0.3">
      <x:c r="A62" s="47"/>
      <x:c r="B62" s="70"/>
      <x:c r="C62" s="70"/>
      <x:c r="D62" s="70"/>
      <x:c r="E62" s="70"/>
      <x:c r="F62" s="70"/>
      <x:c r="G62" s="70"/>
      <x:c r="H62" s="70"/>
      <x:c r="I62" s="70"/>
      <x:c r="J62" s="70"/>
      <x:c r="K62" s="190"/>
      <x:c r="L62" s="191"/>
      <x:c r="M62" s="192">
        <x:f>IF(ISERROR(INDEX('Meter Type Data'!$B$2:$E$1165,SUMPRODUCT(--('Meter Type Data'!$B$2:$B$1165&lt;=Analysis!L62)*('Meter Type Data'!$C$2:$C$1165&gt;=Analysis!L62),ROW('Meter Type Data'!$B$2:$B$1165))-1,4))," ",INDEX('Meter Type Data'!$B$2:$E$1165,SUMPRODUCT(--('Meter Type Data'!$B$2:$B$1165&lt;=Analysis!L62)*('Meter Type Data'!$C$2:$C$1165&gt;=Analysis!L62),ROW('Meter Type Data'!$B$2:$B$1165))-1,4))</x:f>
      </x:c>
      <x:c r="N62" s="192">
        <x:f>IF(ISERROR(INDEX('Meter Type Data'!$B$2:$D$1165,SUMPRODUCT(--('Meter Type Data'!$B$2:$B$1165&lt;=Analysis!L62)*('Meter Type Data'!$C$2:$C$1165&gt;=Analysis!L62),ROW('Meter Type Data'!$B$2:$B$1165))-1,3))," ",INDEX('Meter Type Data'!$B$2:$D$1165,SUMPRODUCT(--('Meter Type Data'!$B$2:$B$1165&lt;=Analysis!L62)*('Meter Type Data'!$C$2:$C$1165&gt;=Analysis!L62),ROW('Meter Type Data'!$B$2:$B$1165))-1,3))</x:f>
      </x:c>
      <x:c r="O62" s="69"/>
      <x:c r="P62" s="47"/>
      <x:c r="Q62" s="60"/>
      <x:c r="R62" s="58">
        <x:f>(($O62*P62)/100)+(Q62*12)</x:f>
      </x:c>
      <x:c r="S62" s="59"/>
      <x:c r="T62" s="59"/>
      <x:c r="U62" s="58">
        <x:f>(($O62*S62)/100)+(T62*12)</x:f>
      </x:c>
      <x:c r="V62" s="47"/>
      <x:c r="W62" s="60"/>
      <x:c r="X62" s="58">
        <x:f>(($O62*V62)/100)+(W62*12)</x:f>
      </x:c>
      <x:c r="Y62" s="47"/>
      <x:c r="Z62" s="60"/>
      <x:c r="AA62" s="58">
        <x:f>(($O62*Y62)/100)+(Z62*12)</x:f>
      </x:c>
      <x:c r="AB62" s="47"/>
      <x:c r="AC62" s="60"/>
      <x:c r="AD62" s="58">
        <x:f>(($O62*AB62)/100)+(AC62*12)</x:f>
      </x:c>
      <x:c r="AE62" s="47"/>
      <x:c r="AF62" s="60"/>
      <x:c r="AG62" s="58">
        <x:f>(($O62*AE62)/100)+(AF62*12)</x:f>
      </x:c>
      <x:c r="AH62" s="47"/>
      <x:c r="AI62" s="60"/>
      <x:c r="AJ62" s="58">
        <x:f>(($O62*AH62)/100)+(AI62*12)</x:f>
      </x:c>
      <x:c r="AK62" s="47"/>
      <x:c r="AL62" s="60"/>
      <x:c r="AM62" s="58">
        <x:f>(($O62*AK62)/100)+(AL62*12)</x:f>
      </x:c>
      <x:c r="AN62" s="47"/>
      <x:c r="AO62" s="60"/>
      <x:c r="AP62" s="58">
        <x:f>(($O62*AN62)/100)+(AO62*12)</x:f>
      </x:c>
      <x:c r="AQ62" s="47"/>
      <x:c r="AR62" s="60"/>
      <x:c r="AS62" s="58">
        <x:f>(($O62*AQ62)/100)+(AR62*12)</x:f>
      </x:c>
      <x:c r="AT62" s="47"/>
      <x:c r="AU62" s="60"/>
      <x:c r="AV62" s="58">
        <x:f>(($O62*AT62)/100)+(AU62*12)</x:f>
      </x:c>
      <x:c r="AW62" s="47"/>
      <x:c r="AX62" s="60"/>
      <x:c r="AY62" s="58">
        <x:f>(($O62*AW62)/100)+(AX62*12)</x:f>
      </x:c>
      <x:c r="AZ62" s="47"/>
      <x:c r="BA62" s="60"/>
      <x:c r="BB62" s="58">
        <x:f>(($O62*AZ62)/100)+(BA62*12)</x:f>
      </x:c>
      <x:c r="BC62" s="47"/>
      <x:c r="BD62" s="60"/>
      <x:c r="BE62" s="58">
        <x:f>(($O62*BC62)/100)+(BD62*12)</x:f>
      </x:c>
      <x:c r="BF62" s="47"/>
      <x:c r="BG62" s="60"/>
      <x:c r="BH62" s="58">
        <x:f>(($O62*BF62)/100)+(BG62*12)</x:f>
      </x:c>
      <x:c r="BI62" s="47"/>
      <x:c r="BJ62" s="60"/>
      <x:c r="BK62" s="58">
        <x:f>(($O62*BI62)/100)+(BJ62*12)</x:f>
      </x:c>
      <x:c r="BL62" s="47"/>
      <x:c r="BM62" s="60"/>
      <x:c r="BN62" s="58">
        <x:f>(($O62*BL62)/100)+(BM62*12)</x:f>
      </x:c>
      <x:c r="BO62" s="47"/>
      <x:c r="BP62" s="60"/>
      <x:c r="BQ62" s="58">
        <x:f>(($O62*BO62)/100)+(BP62*12)</x:f>
      </x:c>
      <x:c r="BR62" s="47"/>
      <x:c r="BS62" s="60"/>
      <x:c r="BT62" s="58">
        <x:f>(($O62*BR62)/100)+(BS62*12)</x:f>
      </x:c>
      <x:c r="BU62" s="47"/>
      <x:c r="BV62" s="60"/>
      <x:c r="BW62" s="58">
        <x:f>(($O62*BU62)/100)+(BV62*12)</x:f>
      </x:c>
      <x:c r="BX62" s="47"/>
      <x:c r="BY62" s="60"/>
      <x:c r="BZ62" s="58">
        <x:f>(($O62*BX62)/100)+(BY62*12)</x:f>
      </x:c>
      <x:c r="CA62" s="47"/>
      <x:c r="CB62" s="60"/>
      <x:c r="CC62" s="58">
        <x:f>(($O62*CA62)/100)+(CB62*12)</x:f>
      </x:c>
      <x:c r="CD62" s="47"/>
      <x:c r="CE62" s="60"/>
      <x:c r="CF62" s="58">
        <x:f>(($O62*CD62)/100)+(CE62*12)</x:f>
      </x:c>
      <x:c r="CG62" s="47"/>
      <x:c r="CH62" s="60"/>
      <x:c r="CI62" s="58">
        <x:f>(($O62*CG62)/100)+(CH62*12)</x:f>
      </x:c>
      <x:c r="CJ62" s="47"/>
      <x:c r="CK62" s="60"/>
      <x:c r="CL62" s="58">
        <x:f>(($O62*CJ62)/100)+(CK62*12)</x:f>
      </x:c>
      <x:c r="CM62" s="47"/>
      <x:c r="CN62" s="60"/>
      <x:c r="CO62" s="58">
        <x:f>(($O62*CM62)/100)+(CN62*12)</x:f>
      </x:c>
      <x:c r="CP62" s="47"/>
      <x:c r="CQ62" s="60"/>
      <x:c r="CR62" s="58">
        <x:f>(($O62*CP62)/100)+(CQ62*12)</x:f>
      </x:c>
      <x:c r="CS62" s="47"/>
      <x:c r="CT62" s="60"/>
      <x:c r="CU62" s="58">
        <x:f>(($O62*CS62)/100)+(CT62*12)</x:f>
      </x:c>
      <x:c r="CV62" s="47"/>
      <x:c r="CW62" s="60"/>
      <x:c r="CX62" s="58"/>
      <x:c r="CY62" s="47"/>
      <x:c r="CZ62" s="60"/>
      <x:c r="DA62" s="58"/>
      <x:c r="DB62" s="47"/>
      <x:c r="DC62" s="60"/>
      <x:c r="DD62" s="58"/>
      <x:c r="DE62" s="47"/>
      <x:c r="DF62" s="60"/>
      <x:c r="DG62" s="58"/>
      <x:c r="DH62" s="47"/>
      <x:c r="DI62" s="60"/>
      <x:c r="DJ62" s="58"/>
      <x:c r="DK62" s="47"/>
      <x:c r="DL62" s="60"/>
      <x:c r="DM62" s="58"/>
      <x:c r="DN62" s="11"/>
      <x:c r="DO62" s="61"/>
      <x:c r="DP62" s="62"/>
      <x:c r="DQ62" s="11"/>
      <x:c r="DR62" s="61"/>
      <x:c r="DS62" s="62"/>
      <x:c r="DT62" s="11"/>
      <x:c r="DU62" s="61"/>
      <x:c r="DV62" s="62"/>
    </x:row>
    <x:row r="63" spans="1:126" x14ac:dyDescent="0.3">
      <x:c r="A63" s="47"/>
      <x:c r="B63" s="70"/>
      <x:c r="C63" s="70"/>
      <x:c r="D63" s="70"/>
      <x:c r="E63" s="70"/>
      <x:c r="F63" s="70"/>
      <x:c r="G63" s="70"/>
      <x:c r="H63" s="70"/>
      <x:c r="I63" s="70"/>
      <x:c r="J63" s="70"/>
      <x:c r="K63" s="190"/>
      <x:c r="L63" s="191"/>
      <x:c r="M63" s="192">
        <x:f>IF(ISERROR(INDEX('Meter Type Data'!$B$2:$E$1165,SUMPRODUCT(--('Meter Type Data'!$B$2:$B$1165&lt;=Analysis!L63)*('Meter Type Data'!$C$2:$C$1165&gt;=Analysis!L63),ROW('Meter Type Data'!$B$2:$B$1165))-1,4))," ",INDEX('Meter Type Data'!$B$2:$E$1165,SUMPRODUCT(--('Meter Type Data'!$B$2:$B$1165&lt;=Analysis!L63)*('Meter Type Data'!$C$2:$C$1165&gt;=Analysis!L63),ROW('Meter Type Data'!$B$2:$B$1165))-1,4))</x:f>
      </x:c>
      <x:c r="N63" s="192">
        <x:f>IF(ISERROR(INDEX('Meter Type Data'!$B$2:$D$1165,SUMPRODUCT(--('Meter Type Data'!$B$2:$B$1165&lt;=Analysis!L63)*('Meter Type Data'!$C$2:$C$1165&gt;=Analysis!L63),ROW('Meter Type Data'!$B$2:$B$1165))-1,3))," ",INDEX('Meter Type Data'!$B$2:$D$1165,SUMPRODUCT(--('Meter Type Data'!$B$2:$B$1165&lt;=Analysis!L63)*('Meter Type Data'!$C$2:$C$1165&gt;=Analysis!L63),ROW('Meter Type Data'!$B$2:$B$1165))-1,3))</x:f>
      </x:c>
      <x:c r="O63" s="69"/>
      <x:c r="P63" s="47"/>
      <x:c r="Q63" s="60"/>
      <x:c r="R63" s="58">
        <x:f>(($O63*P63)/100)+(Q63*12)</x:f>
      </x:c>
      <x:c r="S63" s="59"/>
      <x:c r="T63" s="59"/>
      <x:c r="U63" s="58">
        <x:f>(($O63*S63)/100)+(T63*12)</x:f>
      </x:c>
      <x:c r="V63" s="47"/>
      <x:c r="W63" s="60"/>
      <x:c r="X63" s="58">
        <x:f>(($O63*V63)/100)+(W63*12)</x:f>
      </x:c>
      <x:c r="Y63" s="47"/>
      <x:c r="Z63" s="60"/>
      <x:c r="AA63" s="58">
        <x:f>(($O63*Y63)/100)+(Z63*12)</x:f>
      </x:c>
      <x:c r="AB63" s="47"/>
      <x:c r="AC63" s="60"/>
      <x:c r="AD63" s="58">
        <x:f>(($O63*AB63)/100)+(AC63*12)</x:f>
      </x:c>
      <x:c r="AE63" s="47"/>
      <x:c r="AF63" s="60"/>
      <x:c r="AG63" s="58">
        <x:f>(($O63*AE63)/100)+(AF63*12)</x:f>
      </x:c>
      <x:c r="AH63" s="47"/>
      <x:c r="AI63" s="60"/>
      <x:c r="AJ63" s="58">
        <x:f>(($O63*AH63)/100)+(AI63*12)</x:f>
      </x:c>
      <x:c r="AK63" s="47"/>
      <x:c r="AL63" s="60"/>
      <x:c r="AM63" s="58">
        <x:f>(($O63*AK63)/100)+(AL63*12)</x:f>
      </x:c>
      <x:c r="AN63" s="47"/>
      <x:c r="AO63" s="60"/>
      <x:c r="AP63" s="58">
        <x:f>(($O63*AN63)/100)+(AO63*12)</x:f>
      </x:c>
      <x:c r="AQ63" s="47"/>
      <x:c r="AR63" s="60"/>
      <x:c r="AS63" s="58">
        <x:f>(($O63*AQ63)/100)+(AR63*12)</x:f>
      </x:c>
      <x:c r="AT63" s="47"/>
      <x:c r="AU63" s="60"/>
      <x:c r="AV63" s="58">
        <x:f>(($O63*AT63)/100)+(AU63*12)</x:f>
      </x:c>
      <x:c r="AW63" s="47"/>
      <x:c r="AX63" s="60"/>
      <x:c r="AY63" s="58">
        <x:f>(($O63*AW63)/100)+(AX63*12)</x:f>
      </x:c>
      <x:c r="AZ63" s="47"/>
      <x:c r="BA63" s="60"/>
      <x:c r="BB63" s="58">
        <x:f>(($O63*AZ63)/100)+(BA63*12)</x:f>
      </x:c>
      <x:c r="BC63" s="47"/>
      <x:c r="BD63" s="60"/>
      <x:c r="BE63" s="58">
        <x:f>(($O63*BC63)/100)+(BD63*12)</x:f>
      </x:c>
      <x:c r="BF63" s="47"/>
      <x:c r="BG63" s="60"/>
      <x:c r="BH63" s="58">
        <x:f>(($O63*BF63)/100)+(BG63*12)</x:f>
      </x:c>
      <x:c r="BI63" s="47"/>
      <x:c r="BJ63" s="60"/>
      <x:c r="BK63" s="58">
        <x:f>(($O63*BI63)/100)+(BJ63*12)</x:f>
      </x:c>
      <x:c r="BL63" s="47"/>
      <x:c r="BM63" s="60"/>
      <x:c r="BN63" s="58">
        <x:f>(($O63*BL63)/100)+(BM63*12)</x:f>
      </x:c>
      <x:c r="BO63" s="47"/>
      <x:c r="BP63" s="60"/>
      <x:c r="BQ63" s="58">
        <x:f>(($O63*BO63)/100)+(BP63*12)</x:f>
      </x:c>
      <x:c r="BR63" s="47"/>
      <x:c r="BS63" s="60"/>
      <x:c r="BT63" s="58">
        <x:f>(($O63*BR63)/100)+(BS63*12)</x:f>
      </x:c>
      <x:c r="BU63" s="47"/>
      <x:c r="BV63" s="60"/>
      <x:c r="BW63" s="58">
        <x:f>(($O63*BU63)/100)+(BV63*12)</x:f>
      </x:c>
      <x:c r="BX63" s="47"/>
      <x:c r="BY63" s="60"/>
      <x:c r="BZ63" s="58">
        <x:f>(($O63*BX63)/100)+(BY63*12)</x:f>
      </x:c>
      <x:c r="CA63" s="47"/>
      <x:c r="CB63" s="60"/>
      <x:c r="CC63" s="58">
        <x:f>(($O63*CA63)/100)+(CB63*12)</x:f>
      </x:c>
      <x:c r="CD63" s="47"/>
      <x:c r="CE63" s="60"/>
      <x:c r="CF63" s="58">
        <x:f>(($O63*CD63)/100)+(CE63*12)</x:f>
      </x:c>
      <x:c r="CG63" s="47"/>
      <x:c r="CH63" s="60"/>
      <x:c r="CI63" s="58">
        <x:f>(($O63*CG63)/100)+(CH63*12)</x:f>
      </x:c>
      <x:c r="CJ63" s="47"/>
      <x:c r="CK63" s="60"/>
      <x:c r="CL63" s="58">
        <x:f>(($O63*CJ63)/100)+(CK63*12)</x:f>
      </x:c>
      <x:c r="CM63" s="47"/>
      <x:c r="CN63" s="60"/>
      <x:c r="CO63" s="58">
        <x:f>(($O63*CM63)/100)+(CN63*12)</x:f>
      </x:c>
      <x:c r="CP63" s="47"/>
      <x:c r="CQ63" s="60"/>
      <x:c r="CR63" s="58">
        <x:f>(($O63*CP63)/100)+(CQ63*12)</x:f>
      </x:c>
      <x:c r="CS63" s="47"/>
      <x:c r="CT63" s="60"/>
      <x:c r="CU63" s="58">
        <x:f>(($O63*CS63)/100)+(CT63*12)</x:f>
      </x:c>
      <x:c r="CV63" s="47"/>
      <x:c r="CW63" s="60"/>
      <x:c r="CX63" s="58"/>
      <x:c r="CY63" s="47"/>
      <x:c r="CZ63" s="60"/>
      <x:c r="DA63" s="58"/>
      <x:c r="DB63" s="47"/>
      <x:c r="DC63" s="60"/>
      <x:c r="DD63" s="58"/>
      <x:c r="DE63" s="47"/>
      <x:c r="DF63" s="60"/>
      <x:c r="DG63" s="58"/>
      <x:c r="DH63" s="47"/>
      <x:c r="DI63" s="60"/>
      <x:c r="DJ63" s="58"/>
      <x:c r="DK63" s="47"/>
      <x:c r="DL63" s="60"/>
      <x:c r="DM63" s="58"/>
      <x:c r="DN63" s="11"/>
      <x:c r="DO63" s="61"/>
      <x:c r="DP63" s="62"/>
      <x:c r="DQ63" s="11"/>
      <x:c r="DR63" s="61"/>
      <x:c r="DS63" s="62"/>
      <x:c r="DT63" s="11"/>
      <x:c r="DU63" s="61"/>
      <x:c r="DV63" s="62"/>
    </x:row>
    <x:row r="64" spans="1:126" x14ac:dyDescent="0.3">
      <x:c r="A64" s="47"/>
      <x:c r="B64" s="70"/>
      <x:c r="C64" s="70"/>
      <x:c r="D64" s="70"/>
      <x:c r="E64" s="70"/>
      <x:c r="F64" s="70"/>
      <x:c r="G64" s="70"/>
      <x:c r="H64" s="70"/>
      <x:c r="I64" s="70"/>
      <x:c r="J64" s="70"/>
      <x:c r="K64" s="190"/>
      <x:c r="L64" s="191"/>
      <x:c r="M64" s="192">
        <x:f>IF(ISERROR(INDEX('Meter Type Data'!$B$2:$E$1165,SUMPRODUCT(--('Meter Type Data'!$B$2:$B$1165&lt;=Analysis!L64)*('Meter Type Data'!$C$2:$C$1165&gt;=Analysis!L64),ROW('Meter Type Data'!$B$2:$B$1165))-1,4))," ",INDEX('Meter Type Data'!$B$2:$E$1165,SUMPRODUCT(--('Meter Type Data'!$B$2:$B$1165&lt;=Analysis!L64)*('Meter Type Data'!$C$2:$C$1165&gt;=Analysis!L64),ROW('Meter Type Data'!$B$2:$B$1165))-1,4))</x:f>
      </x:c>
      <x:c r="N64" s="192">
        <x:f>IF(ISERROR(INDEX('Meter Type Data'!$B$2:$D$1165,SUMPRODUCT(--('Meter Type Data'!$B$2:$B$1165&lt;=Analysis!L64)*('Meter Type Data'!$C$2:$C$1165&gt;=Analysis!L64),ROW('Meter Type Data'!$B$2:$B$1165))-1,3))," ",INDEX('Meter Type Data'!$B$2:$D$1165,SUMPRODUCT(--('Meter Type Data'!$B$2:$B$1165&lt;=Analysis!L64)*('Meter Type Data'!$C$2:$C$1165&gt;=Analysis!L64),ROW('Meter Type Data'!$B$2:$B$1165))-1,3))</x:f>
      </x:c>
      <x:c r="O64" s="69"/>
      <x:c r="P64" s="47"/>
      <x:c r="Q64" s="60"/>
      <x:c r="R64" s="58">
        <x:f>(($O64*P64)/100)+(Q64*12)</x:f>
      </x:c>
      <x:c r="S64" s="59"/>
      <x:c r="T64" s="59"/>
      <x:c r="U64" s="58">
        <x:f>(($O64*S64)/100)+(T64*12)</x:f>
      </x:c>
      <x:c r="V64" s="47"/>
      <x:c r="W64" s="60"/>
      <x:c r="X64" s="58">
        <x:f>(($O64*V64)/100)+(W64*12)</x:f>
      </x:c>
      <x:c r="Y64" s="47"/>
      <x:c r="Z64" s="60"/>
      <x:c r="AA64" s="58">
        <x:f>(($O64*Y64)/100)+(Z64*12)</x:f>
      </x:c>
      <x:c r="AB64" s="47"/>
      <x:c r="AC64" s="60"/>
      <x:c r="AD64" s="58">
        <x:f>(($O64*AB64)/100)+(AC64*12)</x:f>
      </x:c>
      <x:c r="AE64" s="47"/>
      <x:c r="AF64" s="60"/>
      <x:c r="AG64" s="58">
        <x:f>(($O64*AE64)/100)+(AF64*12)</x:f>
      </x:c>
      <x:c r="AH64" s="47"/>
      <x:c r="AI64" s="60"/>
      <x:c r="AJ64" s="58">
        <x:f>(($O64*AH64)/100)+(AI64*12)</x:f>
      </x:c>
      <x:c r="AK64" s="47"/>
      <x:c r="AL64" s="60"/>
      <x:c r="AM64" s="58">
        <x:f>(($O64*AK64)/100)+(AL64*12)</x:f>
      </x:c>
      <x:c r="AN64" s="47"/>
      <x:c r="AO64" s="60"/>
      <x:c r="AP64" s="58">
        <x:f>(($O64*AN64)/100)+(AO64*12)</x:f>
      </x:c>
      <x:c r="AQ64" s="47"/>
      <x:c r="AR64" s="60"/>
      <x:c r="AS64" s="58">
        <x:f>(($O64*AQ64)/100)+(AR64*12)</x:f>
      </x:c>
      <x:c r="AT64" s="47"/>
      <x:c r="AU64" s="60"/>
      <x:c r="AV64" s="58">
        <x:f>(($O64*AT64)/100)+(AU64*12)</x:f>
      </x:c>
      <x:c r="AW64" s="47"/>
      <x:c r="AX64" s="60"/>
      <x:c r="AY64" s="58">
        <x:f>(($O64*AW64)/100)+(AX64*12)</x:f>
      </x:c>
      <x:c r="AZ64" s="47"/>
      <x:c r="BA64" s="60"/>
      <x:c r="BB64" s="58">
        <x:f>(($O64*AZ64)/100)+(BA64*12)</x:f>
      </x:c>
      <x:c r="BC64" s="47"/>
      <x:c r="BD64" s="60"/>
      <x:c r="BE64" s="58">
        <x:f>(($O64*BC64)/100)+(BD64*12)</x:f>
      </x:c>
      <x:c r="BF64" s="47"/>
      <x:c r="BG64" s="60"/>
      <x:c r="BH64" s="58">
        <x:f>(($O64*BF64)/100)+(BG64*12)</x:f>
      </x:c>
      <x:c r="BI64" s="47"/>
      <x:c r="BJ64" s="60"/>
      <x:c r="BK64" s="58">
        <x:f>(($O64*BI64)/100)+(BJ64*12)</x:f>
      </x:c>
      <x:c r="BL64" s="47"/>
      <x:c r="BM64" s="60"/>
      <x:c r="BN64" s="58">
        <x:f>(($O64*BL64)/100)+(BM64*12)</x:f>
      </x:c>
      <x:c r="BO64" s="47"/>
      <x:c r="BP64" s="60"/>
      <x:c r="BQ64" s="58">
        <x:f>(($O64*BO64)/100)+(BP64*12)</x:f>
      </x:c>
      <x:c r="BR64" s="47"/>
      <x:c r="BS64" s="60"/>
      <x:c r="BT64" s="58">
        <x:f>(($O64*BR64)/100)+(BS64*12)</x:f>
      </x:c>
      <x:c r="BU64" s="47"/>
      <x:c r="BV64" s="60"/>
      <x:c r="BW64" s="58">
        <x:f>(($O64*BU64)/100)+(BV64*12)</x:f>
      </x:c>
      <x:c r="BX64" s="47"/>
      <x:c r="BY64" s="60"/>
      <x:c r="BZ64" s="58">
        <x:f>(($O64*BX64)/100)+(BY64*12)</x:f>
      </x:c>
      <x:c r="CA64" s="47"/>
      <x:c r="CB64" s="60"/>
      <x:c r="CC64" s="58">
        <x:f>(($O64*CA64)/100)+(CB64*12)</x:f>
      </x:c>
      <x:c r="CD64" s="47"/>
      <x:c r="CE64" s="60"/>
      <x:c r="CF64" s="58">
        <x:f>(($O64*CD64)/100)+(CE64*12)</x:f>
      </x:c>
      <x:c r="CG64" s="47"/>
      <x:c r="CH64" s="60"/>
      <x:c r="CI64" s="58">
        <x:f>(($O64*CG64)/100)+(CH64*12)</x:f>
      </x:c>
      <x:c r="CJ64" s="47"/>
      <x:c r="CK64" s="60"/>
      <x:c r="CL64" s="58">
        <x:f>(($O64*CJ64)/100)+(CK64*12)</x:f>
      </x:c>
      <x:c r="CM64" s="47"/>
      <x:c r="CN64" s="60"/>
      <x:c r="CO64" s="58">
        <x:f>(($O64*CM64)/100)+(CN64*12)</x:f>
      </x:c>
      <x:c r="CP64" s="47"/>
      <x:c r="CQ64" s="60"/>
      <x:c r="CR64" s="58">
        <x:f>(($O64*CP64)/100)+(CQ64*12)</x:f>
      </x:c>
      <x:c r="CS64" s="47"/>
      <x:c r="CT64" s="60"/>
      <x:c r="CU64" s="58">
        <x:f>(($O64*CS64)/100)+(CT64*12)</x:f>
      </x:c>
      <x:c r="CV64" s="47"/>
      <x:c r="CW64" s="60"/>
      <x:c r="CX64" s="58"/>
      <x:c r="CY64" s="47"/>
      <x:c r="CZ64" s="60"/>
      <x:c r="DA64" s="58"/>
      <x:c r="DB64" s="47"/>
      <x:c r="DC64" s="60"/>
      <x:c r="DD64" s="58"/>
      <x:c r="DE64" s="47"/>
      <x:c r="DF64" s="60"/>
      <x:c r="DG64" s="58"/>
      <x:c r="DH64" s="47"/>
      <x:c r="DI64" s="60"/>
      <x:c r="DJ64" s="58"/>
      <x:c r="DK64" s="47"/>
      <x:c r="DL64" s="60"/>
      <x:c r="DM64" s="58"/>
      <x:c r="DN64" s="11"/>
      <x:c r="DO64" s="61"/>
      <x:c r="DP64" s="62"/>
      <x:c r="DQ64" s="11"/>
      <x:c r="DR64" s="61"/>
      <x:c r="DS64" s="62"/>
      <x:c r="DT64" s="11"/>
      <x:c r="DU64" s="61"/>
      <x:c r="DV64" s="62"/>
    </x:row>
    <x:row r="65" spans="1:126" x14ac:dyDescent="0.3">
      <x:c r="A65" s="47"/>
      <x:c r="B65" s="70"/>
      <x:c r="C65" s="70"/>
      <x:c r="D65" s="70"/>
      <x:c r="E65" s="70"/>
      <x:c r="F65" s="70"/>
      <x:c r="G65" s="70"/>
      <x:c r="H65" s="70"/>
      <x:c r="I65" s="70"/>
      <x:c r="J65" s="70"/>
      <x:c r="K65" s="190"/>
      <x:c r="L65" s="191"/>
      <x:c r="M65" s="192">
        <x:f>IF(ISERROR(INDEX('Meter Type Data'!$B$2:$E$1165,SUMPRODUCT(--('Meter Type Data'!$B$2:$B$1165&lt;=Analysis!L65)*('Meter Type Data'!$C$2:$C$1165&gt;=Analysis!L65),ROW('Meter Type Data'!$B$2:$B$1165))-1,4))," ",INDEX('Meter Type Data'!$B$2:$E$1165,SUMPRODUCT(--('Meter Type Data'!$B$2:$B$1165&lt;=Analysis!L65)*('Meter Type Data'!$C$2:$C$1165&gt;=Analysis!L65),ROW('Meter Type Data'!$B$2:$B$1165))-1,4))</x:f>
      </x:c>
      <x:c r="N65" s="192">
        <x:f>IF(ISERROR(INDEX('Meter Type Data'!$B$2:$D$1165,SUMPRODUCT(--('Meter Type Data'!$B$2:$B$1165&lt;=Analysis!L65)*('Meter Type Data'!$C$2:$C$1165&gt;=Analysis!L65),ROW('Meter Type Data'!$B$2:$B$1165))-1,3))," ",INDEX('Meter Type Data'!$B$2:$D$1165,SUMPRODUCT(--('Meter Type Data'!$B$2:$B$1165&lt;=Analysis!L65)*('Meter Type Data'!$C$2:$C$1165&gt;=Analysis!L65),ROW('Meter Type Data'!$B$2:$B$1165))-1,3))</x:f>
      </x:c>
      <x:c r="O65" s="69"/>
      <x:c r="P65" s="47"/>
      <x:c r="Q65" s="60"/>
      <x:c r="R65" s="58">
        <x:f>(($O65*P65)/100)+(Q65*12)</x:f>
      </x:c>
      <x:c r="S65" s="59"/>
      <x:c r="T65" s="59"/>
      <x:c r="U65" s="58">
        <x:f>(($O65*S65)/100)+(T65*12)</x:f>
      </x:c>
      <x:c r="V65" s="47"/>
      <x:c r="W65" s="60"/>
      <x:c r="X65" s="58">
        <x:f>(($O65*V65)/100)+(W65*12)</x:f>
      </x:c>
      <x:c r="Y65" s="47"/>
      <x:c r="Z65" s="60"/>
      <x:c r="AA65" s="58">
        <x:f>(($O65*Y65)/100)+(Z65*12)</x:f>
      </x:c>
      <x:c r="AB65" s="47"/>
      <x:c r="AC65" s="60"/>
      <x:c r="AD65" s="58">
        <x:f>(($O65*AB65)/100)+(AC65*12)</x:f>
      </x:c>
      <x:c r="AE65" s="47"/>
      <x:c r="AF65" s="60"/>
      <x:c r="AG65" s="58">
        <x:f>(($O65*AE65)/100)+(AF65*12)</x:f>
      </x:c>
      <x:c r="AH65" s="47"/>
      <x:c r="AI65" s="60"/>
      <x:c r="AJ65" s="58">
        <x:f>(($O65*AH65)/100)+(AI65*12)</x:f>
      </x:c>
      <x:c r="AK65" s="47"/>
      <x:c r="AL65" s="60"/>
      <x:c r="AM65" s="58">
        <x:f>(($O65*AK65)/100)+(AL65*12)</x:f>
      </x:c>
      <x:c r="AN65" s="47"/>
      <x:c r="AO65" s="60"/>
      <x:c r="AP65" s="58">
        <x:f>(($O65*AN65)/100)+(AO65*12)</x:f>
      </x:c>
      <x:c r="AQ65" s="47"/>
      <x:c r="AR65" s="60"/>
      <x:c r="AS65" s="58">
        <x:f>(($O65*AQ65)/100)+(AR65*12)</x:f>
      </x:c>
      <x:c r="AT65" s="47"/>
      <x:c r="AU65" s="60"/>
      <x:c r="AV65" s="58">
        <x:f>(($O65*AT65)/100)+(AU65*12)</x:f>
      </x:c>
      <x:c r="AW65" s="47"/>
      <x:c r="AX65" s="60"/>
      <x:c r="AY65" s="58">
        <x:f>(($O65*AW65)/100)+(AX65*12)</x:f>
      </x:c>
      <x:c r="AZ65" s="47"/>
      <x:c r="BA65" s="60"/>
      <x:c r="BB65" s="58">
        <x:f>(($O65*AZ65)/100)+(BA65*12)</x:f>
      </x:c>
      <x:c r="BC65" s="47"/>
      <x:c r="BD65" s="60"/>
      <x:c r="BE65" s="58">
        <x:f>(($O65*BC65)/100)+(BD65*12)</x:f>
      </x:c>
      <x:c r="BF65" s="47"/>
      <x:c r="BG65" s="60"/>
      <x:c r="BH65" s="58">
        <x:f>(($O65*BF65)/100)+(BG65*12)</x:f>
      </x:c>
      <x:c r="BI65" s="47"/>
      <x:c r="BJ65" s="60"/>
      <x:c r="BK65" s="58">
        <x:f>(($O65*BI65)/100)+(BJ65*12)</x:f>
      </x:c>
      <x:c r="BL65" s="47"/>
      <x:c r="BM65" s="60"/>
      <x:c r="BN65" s="58">
        <x:f>(($O65*BL65)/100)+(BM65*12)</x:f>
      </x:c>
      <x:c r="BO65" s="47"/>
      <x:c r="BP65" s="60"/>
      <x:c r="BQ65" s="58">
        <x:f>(($O65*BO65)/100)+(BP65*12)</x:f>
      </x:c>
      <x:c r="BR65" s="47"/>
      <x:c r="BS65" s="60"/>
      <x:c r="BT65" s="58">
        <x:f>(($O65*BR65)/100)+(BS65*12)</x:f>
      </x:c>
      <x:c r="BU65" s="47"/>
      <x:c r="BV65" s="60"/>
      <x:c r="BW65" s="58">
        <x:f>(($O65*BU65)/100)+(BV65*12)</x:f>
      </x:c>
      <x:c r="BX65" s="47"/>
      <x:c r="BY65" s="60"/>
      <x:c r="BZ65" s="58">
        <x:f>(($O65*BX65)/100)+(BY65*12)</x:f>
      </x:c>
      <x:c r="CA65" s="47"/>
      <x:c r="CB65" s="60"/>
      <x:c r="CC65" s="58">
        <x:f>(($O65*CA65)/100)+(CB65*12)</x:f>
      </x:c>
      <x:c r="CD65" s="47"/>
      <x:c r="CE65" s="60"/>
      <x:c r="CF65" s="58">
        <x:f>(($O65*CD65)/100)+(CE65*12)</x:f>
      </x:c>
      <x:c r="CG65" s="47"/>
      <x:c r="CH65" s="60"/>
      <x:c r="CI65" s="58">
        <x:f>(($O65*CG65)/100)+(CH65*12)</x:f>
      </x:c>
      <x:c r="CJ65" s="47"/>
      <x:c r="CK65" s="60"/>
      <x:c r="CL65" s="58">
        <x:f>(($O65*CJ65)/100)+(CK65*12)</x:f>
      </x:c>
      <x:c r="CM65" s="47"/>
      <x:c r="CN65" s="60"/>
      <x:c r="CO65" s="58">
        <x:f>(($O65*CM65)/100)+(CN65*12)</x:f>
      </x:c>
      <x:c r="CP65" s="47"/>
      <x:c r="CQ65" s="60"/>
      <x:c r="CR65" s="58">
        <x:f>(($O65*CP65)/100)+(CQ65*12)</x:f>
      </x:c>
      <x:c r="CS65" s="47"/>
      <x:c r="CT65" s="60"/>
      <x:c r="CU65" s="58">
        <x:f>(($O65*CS65)/100)+(CT65*12)</x:f>
      </x:c>
      <x:c r="CV65" s="47"/>
      <x:c r="CW65" s="60"/>
      <x:c r="CX65" s="58"/>
      <x:c r="CY65" s="47"/>
      <x:c r="CZ65" s="60"/>
      <x:c r="DA65" s="58"/>
      <x:c r="DB65" s="47"/>
      <x:c r="DC65" s="60"/>
      <x:c r="DD65" s="58"/>
      <x:c r="DE65" s="47"/>
      <x:c r="DF65" s="60"/>
      <x:c r="DG65" s="58"/>
      <x:c r="DH65" s="47"/>
      <x:c r="DI65" s="60"/>
      <x:c r="DJ65" s="58"/>
      <x:c r="DK65" s="47"/>
      <x:c r="DL65" s="60"/>
      <x:c r="DM65" s="58"/>
      <x:c r="DN65" s="11"/>
      <x:c r="DO65" s="61"/>
      <x:c r="DP65" s="62"/>
      <x:c r="DQ65" s="11"/>
      <x:c r="DR65" s="61"/>
      <x:c r="DS65" s="62"/>
      <x:c r="DT65" s="11"/>
      <x:c r="DU65" s="61"/>
      <x:c r="DV65" s="62"/>
    </x:row>
    <x:row r="66" spans="1:126" x14ac:dyDescent="0.3">
      <x:c r="A66" s="47"/>
      <x:c r="B66" s="70"/>
      <x:c r="C66" s="70"/>
      <x:c r="D66" s="70"/>
      <x:c r="E66" s="70"/>
      <x:c r="F66" s="70"/>
      <x:c r="G66" s="70"/>
      <x:c r="H66" s="70"/>
      <x:c r="I66" s="70"/>
      <x:c r="J66" s="70"/>
      <x:c r="K66" s="190"/>
      <x:c r="L66" s="191"/>
      <x:c r="M66" s="192">
        <x:f>IF(ISERROR(INDEX('Meter Type Data'!$B$2:$E$1165,SUMPRODUCT(--('Meter Type Data'!$B$2:$B$1165&lt;=Analysis!L66)*('Meter Type Data'!$C$2:$C$1165&gt;=Analysis!L66),ROW('Meter Type Data'!$B$2:$B$1165))-1,4))," ",INDEX('Meter Type Data'!$B$2:$E$1165,SUMPRODUCT(--('Meter Type Data'!$B$2:$B$1165&lt;=Analysis!L66)*('Meter Type Data'!$C$2:$C$1165&gt;=Analysis!L66),ROW('Meter Type Data'!$B$2:$B$1165))-1,4))</x:f>
      </x:c>
      <x:c r="N66" s="192">
        <x:f>IF(ISERROR(INDEX('Meter Type Data'!$B$2:$D$1165,SUMPRODUCT(--('Meter Type Data'!$B$2:$B$1165&lt;=Analysis!L66)*('Meter Type Data'!$C$2:$C$1165&gt;=Analysis!L66),ROW('Meter Type Data'!$B$2:$B$1165))-1,3))," ",INDEX('Meter Type Data'!$B$2:$D$1165,SUMPRODUCT(--('Meter Type Data'!$B$2:$B$1165&lt;=Analysis!L66)*('Meter Type Data'!$C$2:$C$1165&gt;=Analysis!L66),ROW('Meter Type Data'!$B$2:$B$1165))-1,3))</x:f>
      </x:c>
      <x:c r="O66" s="69"/>
      <x:c r="P66" s="47"/>
      <x:c r="Q66" s="60"/>
      <x:c r="R66" s="58">
        <x:f>(($O66*P66)/100)+(Q66*12)</x:f>
      </x:c>
      <x:c r="S66" s="59"/>
      <x:c r="T66" s="59"/>
      <x:c r="U66" s="58">
        <x:f>(($O66*S66)/100)+(T66*12)</x:f>
      </x:c>
      <x:c r="V66" s="47"/>
      <x:c r="W66" s="60"/>
      <x:c r="X66" s="58">
        <x:f>(($O66*V66)/100)+(W66*12)</x:f>
      </x:c>
      <x:c r="Y66" s="47"/>
      <x:c r="Z66" s="60"/>
      <x:c r="AA66" s="58">
        <x:f>(($O66*Y66)/100)+(Z66*12)</x:f>
      </x:c>
      <x:c r="AB66" s="47"/>
      <x:c r="AC66" s="60"/>
      <x:c r="AD66" s="58">
        <x:f>(($O66*AB66)/100)+(AC66*12)</x:f>
      </x:c>
      <x:c r="AE66" s="47"/>
      <x:c r="AF66" s="60"/>
      <x:c r="AG66" s="58">
        <x:f>(($O66*AE66)/100)+(AF66*12)</x:f>
      </x:c>
      <x:c r="AH66" s="47"/>
      <x:c r="AI66" s="60"/>
      <x:c r="AJ66" s="58">
        <x:f>(($O66*AH66)/100)+(AI66*12)</x:f>
      </x:c>
      <x:c r="AK66" s="47"/>
      <x:c r="AL66" s="60"/>
      <x:c r="AM66" s="58">
        <x:f>(($O66*AK66)/100)+(AL66*12)</x:f>
      </x:c>
      <x:c r="AN66" s="47"/>
      <x:c r="AO66" s="60"/>
      <x:c r="AP66" s="58">
        <x:f>(($O66*AN66)/100)+(AO66*12)</x:f>
      </x:c>
      <x:c r="AQ66" s="47"/>
      <x:c r="AR66" s="60"/>
      <x:c r="AS66" s="58">
        <x:f>(($O66*AQ66)/100)+(AR66*12)</x:f>
      </x:c>
      <x:c r="AT66" s="47"/>
      <x:c r="AU66" s="60"/>
      <x:c r="AV66" s="58">
        <x:f>(($O66*AT66)/100)+(AU66*12)</x:f>
      </x:c>
      <x:c r="AW66" s="47"/>
      <x:c r="AX66" s="60"/>
      <x:c r="AY66" s="58">
        <x:f>(($O66*AW66)/100)+(AX66*12)</x:f>
      </x:c>
      <x:c r="AZ66" s="47"/>
      <x:c r="BA66" s="60"/>
      <x:c r="BB66" s="58">
        <x:f>(($O66*AZ66)/100)+(BA66*12)</x:f>
      </x:c>
      <x:c r="BC66" s="47"/>
      <x:c r="BD66" s="60"/>
      <x:c r="BE66" s="58">
        <x:f>(($O66*BC66)/100)+(BD66*12)</x:f>
      </x:c>
      <x:c r="BF66" s="47"/>
      <x:c r="BG66" s="60"/>
      <x:c r="BH66" s="58">
        <x:f>(($O66*BF66)/100)+(BG66*12)</x:f>
      </x:c>
      <x:c r="BI66" s="47"/>
      <x:c r="BJ66" s="60"/>
      <x:c r="BK66" s="58">
        <x:f>(($O66*BI66)/100)+(BJ66*12)</x:f>
      </x:c>
      <x:c r="BL66" s="47"/>
      <x:c r="BM66" s="60"/>
      <x:c r="BN66" s="58">
        <x:f>(($O66*BL66)/100)+(BM66*12)</x:f>
      </x:c>
      <x:c r="BO66" s="47"/>
      <x:c r="BP66" s="60"/>
      <x:c r="BQ66" s="58">
        <x:f>(($O66*BO66)/100)+(BP66*12)</x:f>
      </x:c>
      <x:c r="BR66" s="47"/>
      <x:c r="BS66" s="60"/>
      <x:c r="BT66" s="58">
        <x:f>(($O66*BR66)/100)+(BS66*12)</x:f>
      </x:c>
      <x:c r="BU66" s="47"/>
      <x:c r="BV66" s="60"/>
      <x:c r="BW66" s="58">
        <x:f>(($O66*BU66)/100)+(BV66*12)</x:f>
      </x:c>
      <x:c r="BX66" s="47"/>
      <x:c r="BY66" s="60"/>
      <x:c r="BZ66" s="58">
        <x:f>(($O66*BX66)/100)+(BY66*12)</x:f>
      </x:c>
      <x:c r="CA66" s="47"/>
      <x:c r="CB66" s="60"/>
      <x:c r="CC66" s="58">
        <x:f>(($O66*CA66)/100)+(CB66*12)</x:f>
      </x:c>
      <x:c r="CD66" s="47"/>
      <x:c r="CE66" s="60"/>
      <x:c r="CF66" s="58">
        <x:f>(($O66*CD66)/100)+(CE66*12)</x:f>
      </x:c>
      <x:c r="CG66" s="47"/>
      <x:c r="CH66" s="60"/>
      <x:c r="CI66" s="58">
        <x:f>(($O66*CG66)/100)+(CH66*12)</x:f>
      </x:c>
      <x:c r="CJ66" s="47"/>
      <x:c r="CK66" s="60"/>
      <x:c r="CL66" s="58">
        <x:f>(($O66*CJ66)/100)+(CK66*12)</x:f>
      </x:c>
      <x:c r="CM66" s="47"/>
      <x:c r="CN66" s="60"/>
      <x:c r="CO66" s="58">
        <x:f>(($O66*CM66)/100)+(CN66*12)</x:f>
      </x:c>
      <x:c r="CP66" s="47"/>
      <x:c r="CQ66" s="60"/>
      <x:c r="CR66" s="58">
        <x:f>(($O66*CP66)/100)+(CQ66*12)</x:f>
      </x:c>
      <x:c r="CS66" s="47"/>
      <x:c r="CT66" s="60"/>
      <x:c r="CU66" s="58">
        <x:f>(($O66*CS66)/100)+(CT66*12)</x:f>
      </x:c>
      <x:c r="CV66" s="47"/>
      <x:c r="CW66" s="60"/>
      <x:c r="CX66" s="58"/>
      <x:c r="CY66" s="47"/>
      <x:c r="CZ66" s="60"/>
      <x:c r="DA66" s="58"/>
      <x:c r="DB66" s="47"/>
      <x:c r="DC66" s="60"/>
      <x:c r="DD66" s="58"/>
      <x:c r="DE66" s="47"/>
      <x:c r="DF66" s="60"/>
      <x:c r="DG66" s="58"/>
      <x:c r="DH66" s="47"/>
      <x:c r="DI66" s="60"/>
      <x:c r="DJ66" s="58"/>
      <x:c r="DK66" s="47"/>
      <x:c r="DL66" s="60"/>
      <x:c r="DM66" s="58"/>
      <x:c r="DN66" s="11"/>
      <x:c r="DO66" s="61"/>
      <x:c r="DP66" s="62"/>
      <x:c r="DQ66" s="11"/>
      <x:c r="DR66" s="61"/>
      <x:c r="DS66" s="62"/>
      <x:c r="DT66" s="11"/>
      <x:c r="DU66" s="61"/>
      <x:c r="DV66" s="62"/>
    </x:row>
    <x:row r="67" spans="1:126" x14ac:dyDescent="0.3">
      <x:c r="A67" s="47"/>
      <x:c r="B67" s="70"/>
      <x:c r="C67" s="70"/>
      <x:c r="D67" s="70"/>
      <x:c r="E67" s="70"/>
      <x:c r="F67" s="70"/>
      <x:c r="G67" s="70"/>
      <x:c r="H67" s="70"/>
      <x:c r="I67" s="70"/>
      <x:c r="J67" s="70"/>
      <x:c r="K67" s="190"/>
      <x:c r="L67" s="191"/>
      <x:c r="M67" s="192">
        <x:f>IF(ISERROR(INDEX('Meter Type Data'!$B$2:$E$1165,SUMPRODUCT(--('Meter Type Data'!$B$2:$B$1165&lt;=Analysis!L67)*('Meter Type Data'!$C$2:$C$1165&gt;=Analysis!L67),ROW('Meter Type Data'!$B$2:$B$1165))-1,4))," ",INDEX('Meter Type Data'!$B$2:$E$1165,SUMPRODUCT(--('Meter Type Data'!$B$2:$B$1165&lt;=Analysis!L67)*('Meter Type Data'!$C$2:$C$1165&gt;=Analysis!L67),ROW('Meter Type Data'!$B$2:$B$1165))-1,4))</x:f>
      </x:c>
      <x:c r="N67" s="192">
        <x:f>IF(ISERROR(INDEX('Meter Type Data'!$B$2:$D$1165,SUMPRODUCT(--('Meter Type Data'!$B$2:$B$1165&lt;=Analysis!L67)*('Meter Type Data'!$C$2:$C$1165&gt;=Analysis!L67),ROW('Meter Type Data'!$B$2:$B$1165))-1,3))," ",INDEX('Meter Type Data'!$B$2:$D$1165,SUMPRODUCT(--('Meter Type Data'!$B$2:$B$1165&lt;=Analysis!L67)*('Meter Type Data'!$C$2:$C$1165&gt;=Analysis!L67),ROW('Meter Type Data'!$B$2:$B$1165))-1,3))</x:f>
      </x:c>
      <x:c r="O67" s="69"/>
      <x:c r="P67" s="47"/>
      <x:c r="Q67" s="60"/>
      <x:c r="R67" s="58">
        <x:f>(($O67*P67)/100)+(Q67*12)</x:f>
      </x:c>
      <x:c r="S67" s="59"/>
      <x:c r="T67" s="59"/>
      <x:c r="U67" s="58">
        <x:f>(($O67*S67)/100)+(T67*12)</x:f>
      </x:c>
      <x:c r="V67" s="47"/>
      <x:c r="W67" s="60"/>
      <x:c r="X67" s="58">
        <x:f>(($O67*V67)/100)+(W67*12)</x:f>
      </x:c>
      <x:c r="Y67" s="47"/>
      <x:c r="Z67" s="60"/>
      <x:c r="AA67" s="58">
        <x:f>(($O67*Y67)/100)+(Z67*12)</x:f>
      </x:c>
      <x:c r="AB67" s="47"/>
      <x:c r="AC67" s="60"/>
      <x:c r="AD67" s="58">
        <x:f>(($O67*AB67)/100)+(AC67*12)</x:f>
      </x:c>
      <x:c r="AE67" s="47"/>
      <x:c r="AF67" s="60"/>
      <x:c r="AG67" s="58">
        <x:f>(($O67*AE67)/100)+(AF67*12)</x:f>
      </x:c>
      <x:c r="AH67" s="47"/>
      <x:c r="AI67" s="60"/>
      <x:c r="AJ67" s="58">
        <x:f>(($O67*AH67)/100)+(AI67*12)</x:f>
      </x:c>
      <x:c r="AK67" s="47"/>
      <x:c r="AL67" s="60"/>
      <x:c r="AM67" s="58">
        <x:f>(($O67*AK67)/100)+(AL67*12)</x:f>
      </x:c>
      <x:c r="AN67" s="47"/>
      <x:c r="AO67" s="60"/>
      <x:c r="AP67" s="58">
        <x:f>(($O67*AN67)/100)+(AO67*12)</x:f>
      </x:c>
      <x:c r="AQ67" s="47"/>
      <x:c r="AR67" s="60"/>
      <x:c r="AS67" s="58">
        <x:f>(($O67*AQ67)/100)+(AR67*12)</x:f>
      </x:c>
      <x:c r="AT67" s="47"/>
      <x:c r="AU67" s="60"/>
      <x:c r="AV67" s="58">
        <x:f>(($O67*AT67)/100)+(AU67*12)</x:f>
      </x:c>
      <x:c r="AW67" s="47"/>
      <x:c r="AX67" s="60"/>
      <x:c r="AY67" s="58">
        <x:f>(($O67*AW67)/100)+(AX67*12)</x:f>
      </x:c>
      <x:c r="AZ67" s="47"/>
      <x:c r="BA67" s="60"/>
      <x:c r="BB67" s="58">
        <x:f>(($O67*AZ67)/100)+(BA67*12)</x:f>
      </x:c>
      <x:c r="BC67" s="47"/>
      <x:c r="BD67" s="60"/>
      <x:c r="BE67" s="58">
        <x:f>(($O67*BC67)/100)+(BD67*12)</x:f>
      </x:c>
      <x:c r="BF67" s="47"/>
      <x:c r="BG67" s="60"/>
      <x:c r="BH67" s="58">
        <x:f>(($O67*BF67)/100)+(BG67*12)</x:f>
      </x:c>
      <x:c r="BI67" s="47"/>
      <x:c r="BJ67" s="60"/>
      <x:c r="BK67" s="58">
        <x:f>(($O67*BI67)/100)+(BJ67*12)</x:f>
      </x:c>
      <x:c r="BL67" s="47"/>
      <x:c r="BM67" s="60"/>
      <x:c r="BN67" s="58">
        <x:f>(($O67*BL67)/100)+(BM67*12)</x:f>
      </x:c>
      <x:c r="BO67" s="47"/>
      <x:c r="BP67" s="60"/>
      <x:c r="BQ67" s="58">
        <x:f>(($O67*BO67)/100)+(BP67*12)</x:f>
      </x:c>
      <x:c r="BR67" s="47"/>
      <x:c r="BS67" s="60"/>
      <x:c r="BT67" s="58">
        <x:f>(($O67*BR67)/100)+(BS67*12)</x:f>
      </x:c>
      <x:c r="BU67" s="47"/>
      <x:c r="BV67" s="60"/>
      <x:c r="BW67" s="58">
        <x:f>(($O67*BU67)/100)+(BV67*12)</x:f>
      </x:c>
      <x:c r="BX67" s="47"/>
      <x:c r="BY67" s="60"/>
      <x:c r="BZ67" s="58">
        <x:f>(($O67*BX67)/100)+(BY67*12)</x:f>
      </x:c>
      <x:c r="CA67" s="47"/>
      <x:c r="CB67" s="60"/>
      <x:c r="CC67" s="58">
        <x:f>(($O67*CA67)/100)+(CB67*12)</x:f>
      </x:c>
      <x:c r="CD67" s="47"/>
      <x:c r="CE67" s="60"/>
      <x:c r="CF67" s="58">
        <x:f>(($O67*CD67)/100)+(CE67*12)</x:f>
      </x:c>
      <x:c r="CG67" s="47"/>
      <x:c r="CH67" s="60"/>
      <x:c r="CI67" s="58">
        <x:f>(($O67*CG67)/100)+(CH67*12)</x:f>
      </x:c>
      <x:c r="CJ67" s="47"/>
      <x:c r="CK67" s="60"/>
      <x:c r="CL67" s="58">
        <x:f>(($O67*CJ67)/100)+(CK67*12)</x:f>
      </x:c>
      <x:c r="CM67" s="47"/>
      <x:c r="CN67" s="60"/>
      <x:c r="CO67" s="58">
        <x:f>(($O67*CM67)/100)+(CN67*12)</x:f>
      </x:c>
      <x:c r="CP67" s="47"/>
      <x:c r="CQ67" s="60"/>
      <x:c r="CR67" s="58">
        <x:f>(($O67*CP67)/100)+(CQ67*12)</x:f>
      </x:c>
      <x:c r="CS67" s="47"/>
      <x:c r="CT67" s="60"/>
      <x:c r="CU67" s="58">
        <x:f>(($O67*CS67)/100)+(CT67*12)</x:f>
      </x:c>
      <x:c r="CV67" s="47"/>
      <x:c r="CW67" s="60"/>
      <x:c r="CX67" s="58"/>
      <x:c r="CY67" s="47"/>
      <x:c r="CZ67" s="60"/>
      <x:c r="DA67" s="58"/>
      <x:c r="DB67" s="47"/>
      <x:c r="DC67" s="60"/>
      <x:c r="DD67" s="58"/>
      <x:c r="DE67" s="47"/>
      <x:c r="DF67" s="60"/>
      <x:c r="DG67" s="58"/>
      <x:c r="DH67" s="47"/>
      <x:c r="DI67" s="60"/>
      <x:c r="DJ67" s="58"/>
      <x:c r="DK67" s="47"/>
      <x:c r="DL67" s="60"/>
      <x:c r="DM67" s="58"/>
      <x:c r="DN67" s="11"/>
      <x:c r="DO67" s="61"/>
      <x:c r="DP67" s="62"/>
      <x:c r="DQ67" s="11"/>
      <x:c r="DR67" s="61"/>
      <x:c r="DS67" s="62"/>
      <x:c r="DT67" s="11"/>
      <x:c r="DU67" s="61"/>
      <x:c r="DV67" s="62"/>
    </x:row>
    <x:row r="68" spans="1:126" x14ac:dyDescent="0.3">
      <x:c r="A68" s="47"/>
      <x:c r="B68" s="70"/>
      <x:c r="C68" s="70"/>
      <x:c r="D68" s="70"/>
      <x:c r="E68" s="70"/>
      <x:c r="F68" s="70"/>
      <x:c r="G68" s="70"/>
      <x:c r="H68" s="70"/>
      <x:c r="I68" s="70"/>
      <x:c r="J68" s="70"/>
      <x:c r="K68" s="190"/>
      <x:c r="L68" s="191"/>
      <x:c r="M68" s="192">
        <x:f>IF(ISERROR(INDEX('Meter Type Data'!$B$2:$E$1165,SUMPRODUCT(--('Meter Type Data'!$B$2:$B$1165&lt;=Analysis!L68)*('Meter Type Data'!$C$2:$C$1165&gt;=Analysis!L68),ROW('Meter Type Data'!$B$2:$B$1165))-1,4))," ",INDEX('Meter Type Data'!$B$2:$E$1165,SUMPRODUCT(--('Meter Type Data'!$B$2:$B$1165&lt;=Analysis!L68)*('Meter Type Data'!$C$2:$C$1165&gt;=Analysis!L68),ROW('Meter Type Data'!$B$2:$B$1165))-1,4))</x:f>
      </x:c>
      <x:c r="N68" s="192">
        <x:f>IF(ISERROR(INDEX('Meter Type Data'!$B$2:$D$1165,SUMPRODUCT(--('Meter Type Data'!$B$2:$B$1165&lt;=Analysis!L68)*('Meter Type Data'!$C$2:$C$1165&gt;=Analysis!L68),ROW('Meter Type Data'!$B$2:$B$1165))-1,3))," ",INDEX('Meter Type Data'!$B$2:$D$1165,SUMPRODUCT(--('Meter Type Data'!$B$2:$B$1165&lt;=Analysis!L68)*('Meter Type Data'!$C$2:$C$1165&gt;=Analysis!L68),ROW('Meter Type Data'!$B$2:$B$1165))-1,3))</x:f>
      </x:c>
      <x:c r="O68" s="69"/>
      <x:c r="P68" s="47"/>
      <x:c r="Q68" s="60"/>
      <x:c r="R68" s="58">
        <x:f>(($O68*P68)/100)+(Q68*12)</x:f>
      </x:c>
      <x:c r="S68" s="59"/>
      <x:c r="T68" s="59"/>
      <x:c r="U68" s="58">
        <x:f>(($O68*S68)/100)+(T68*12)</x:f>
      </x:c>
      <x:c r="V68" s="47"/>
      <x:c r="W68" s="60"/>
      <x:c r="X68" s="58">
        <x:f>(($O68*V68)/100)+(W68*12)</x:f>
      </x:c>
      <x:c r="Y68" s="47"/>
      <x:c r="Z68" s="60"/>
      <x:c r="AA68" s="58">
        <x:f>(($O68*Y68)/100)+(Z68*12)</x:f>
      </x:c>
      <x:c r="AB68" s="47"/>
      <x:c r="AC68" s="60"/>
      <x:c r="AD68" s="58">
        <x:f>(($O68*AB68)/100)+(AC68*12)</x:f>
      </x:c>
      <x:c r="AE68" s="47"/>
      <x:c r="AF68" s="60"/>
      <x:c r="AG68" s="58">
        <x:f>(($O68*AE68)/100)+(AF68*12)</x:f>
      </x:c>
      <x:c r="AH68" s="47"/>
      <x:c r="AI68" s="60"/>
      <x:c r="AJ68" s="58">
        <x:f>(($O68*AH68)/100)+(AI68*12)</x:f>
      </x:c>
      <x:c r="AK68" s="47"/>
      <x:c r="AL68" s="60"/>
      <x:c r="AM68" s="58">
        <x:f>(($O68*AK68)/100)+(AL68*12)</x:f>
      </x:c>
      <x:c r="AN68" s="47"/>
      <x:c r="AO68" s="60"/>
      <x:c r="AP68" s="58">
        <x:f>(($O68*AN68)/100)+(AO68*12)</x:f>
      </x:c>
      <x:c r="AQ68" s="47"/>
      <x:c r="AR68" s="60"/>
      <x:c r="AS68" s="58">
        <x:f>(($O68*AQ68)/100)+(AR68*12)</x:f>
      </x:c>
      <x:c r="AT68" s="47"/>
      <x:c r="AU68" s="60"/>
      <x:c r="AV68" s="58">
        <x:f>(($O68*AT68)/100)+(AU68*12)</x:f>
      </x:c>
      <x:c r="AW68" s="47"/>
      <x:c r="AX68" s="60"/>
      <x:c r="AY68" s="58">
        <x:f>(($O68*AW68)/100)+(AX68*12)</x:f>
      </x:c>
      <x:c r="AZ68" s="47"/>
      <x:c r="BA68" s="60"/>
      <x:c r="BB68" s="58">
        <x:f>(($O68*AZ68)/100)+(BA68*12)</x:f>
      </x:c>
      <x:c r="BC68" s="47"/>
      <x:c r="BD68" s="60"/>
      <x:c r="BE68" s="58">
        <x:f>(($O68*BC68)/100)+(BD68*12)</x:f>
      </x:c>
      <x:c r="BF68" s="47"/>
      <x:c r="BG68" s="60"/>
      <x:c r="BH68" s="58">
        <x:f>(($O68*BF68)/100)+(BG68*12)</x:f>
      </x:c>
      <x:c r="BI68" s="47"/>
      <x:c r="BJ68" s="60"/>
      <x:c r="BK68" s="58">
        <x:f>(($O68*BI68)/100)+(BJ68*12)</x:f>
      </x:c>
      <x:c r="BL68" s="47"/>
      <x:c r="BM68" s="60"/>
      <x:c r="BN68" s="58">
        <x:f>(($O68*BL68)/100)+(BM68*12)</x:f>
      </x:c>
      <x:c r="BO68" s="47"/>
      <x:c r="BP68" s="60"/>
      <x:c r="BQ68" s="58">
        <x:f>(($O68*BO68)/100)+(BP68*12)</x:f>
      </x:c>
      <x:c r="BR68" s="47"/>
      <x:c r="BS68" s="60"/>
      <x:c r="BT68" s="58">
        <x:f>(($O68*BR68)/100)+(BS68*12)</x:f>
      </x:c>
      <x:c r="BU68" s="47"/>
      <x:c r="BV68" s="60"/>
      <x:c r="BW68" s="58">
        <x:f>(($O68*BU68)/100)+(BV68*12)</x:f>
      </x:c>
      <x:c r="BX68" s="47"/>
      <x:c r="BY68" s="60"/>
      <x:c r="BZ68" s="58">
        <x:f>(($O68*BX68)/100)+(BY68*12)</x:f>
      </x:c>
      <x:c r="CA68" s="47"/>
      <x:c r="CB68" s="60"/>
      <x:c r="CC68" s="58">
        <x:f>(($O68*CA68)/100)+(CB68*12)</x:f>
      </x:c>
      <x:c r="CD68" s="47"/>
      <x:c r="CE68" s="60"/>
      <x:c r="CF68" s="58">
        <x:f>(($O68*CD68)/100)+(CE68*12)</x:f>
      </x:c>
      <x:c r="CG68" s="47"/>
      <x:c r="CH68" s="60"/>
      <x:c r="CI68" s="58">
        <x:f>(($O68*CG68)/100)+(CH68*12)</x:f>
      </x:c>
      <x:c r="CJ68" s="47"/>
      <x:c r="CK68" s="60"/>
      <x:c r="CL68" s="58">
        <x:f>(($O68*CJ68)/100)+(CK68*12)</x:f>
      </x:c>
      <x:c r="CM68" s="47"/>
      <x:c r="CN68" s="60"/>
      <x:c r="CO68" s="58">
        <x:f>(($O68*CM68)/100)+(CN68*12)</x:f>
      </x:c>
      <x:c r="CP68" s="47"/>
      <x:c r="CQ68" s="60"/>
      <x:c r="CR68" s="58">
        <x:f>(($O68*CP68)/100)+(CQ68*12)</x:f>
      </x:c>
      <x:c r="CS68" s="47"/>
      <x:c r="CT68" s="60"/>
      <x:c r="CU68" s="58">
        <x:f>(($O68*CS68)/100)+(CT68*12)</x:f>
      </x:c>
      <x:c r="CV68" s="47"/>
      <x:c r="CW68" s="60"/>
      <x:c r="CX68" s="58"/>
      <x:c r="CY68" s="47"/>
      <x:c r="CZ68" s="60"/>
      <x:c r="DA68" s="58"/>
      <x:c r="DB68" s="47"/>
      <x:c r="DC68" s="60"/>
      <x:c r="DD68" s="58"/>
      <x:c r="DE68" s="47"/>
      <x:c r="DF68" s="60"/>
      <x:c r="DG68" s="58"/>
      <x:c r="DH68" s="47"/>
      <x:c r="DI68" s="60"/>
      <x:c r="DJ68" s="58"/>
      <x:c r="DK68" s="47"/>
      <x:c r="DL68" s="60"/>
      <x:c r="DM68" s="58"/>
      <x:c r="DN68" s="11"/>
      <x:c r="DO68" s="61"/>
      <x:c r="DP68" s="62"/>
      <x:c r="DQ68" s="11"/>
      <x:c r="DR68" s="61"/>
      <x:c r="DS68" s="62"/>
      <x:c r="DT68" s="11"/>
      <x:c r="DU68" s="61"/>
      <x:c r="DV68" s="62"/>
    </x:row>
    <x:row r="69" spans="1:126" x14ac:dyDescent="0.3">
      <x:c r="A69" s="47"/>
      <x:c r="B69" s="70"/>
      <x:c r="C69" s="70"/>
      <x:c r="D69" s="70"/>
      <x:c r="E69" s="70"/>
      <x:c r="F69" s="70"/>
      <x:c r="G69" s="70"/>
      <x:c r="H69" s="70"/>
      <x:c r="I69" s="70"/>
      <x:c r="J69" s="70"/>
      <x:c r="K69" s="190"/>
      <x:c r="L69" s="191"/>
      <x:c r="M69" s="192">
        <x:f>IF(ISERROR(INDEX('Meter Type Data'!$B$2:$E$1165,SUMPRODUCT(--('Meter Type Data'!$B$2:$B$1165&lt;=Analysis!L69)*('Meter Type Data'!$C$2:$C$1165&gt;=Analysis!L69),ROW('Meter Type Data'!$B$2:$B$1165))-1,4))," ",INDEX('Meter Type Data'!$B$2:$E$1165,SUMPRODUCT(--('Meter Type Data'!$B$2:$B$1165&lt;=Analysis!L69)*('Meter Type Data'!$C$2:$C$1165&gt;=Analysis!L69),ROW('Meter Type Data'!$B$2:$B$1165))-1,4))</x:f>
      </x:c>
      <x:c r="N69" s="192">
        <x:f>IF(ISERROR(INDEX('Meter Type Data'!$B$2:$D$1165,SUMPRODUCT(--('Meter Type Data'!$B$2:$B$1165&lt;=Analysis!L69)*('Meter Type Data'!$C$2:$C$1165&gt;=Analysis!L69),ROW('Meter Type Data'!$B$2:$B$1165))-1,3))," ",INDEX('Meter Type Data'!$B$2:$D$1165,SUMPRODUCT(--('Meter Type Data'!$B$2:$B$1165&lt;=Analysis!L69)*('Meter Type Data'!$C$2:$C$1165&gt;=Analysis!L69),ROW('Meter Type Data'!$B$2:$B$1165))-1,3))</x:f>
      </x:c>
      <x:c r="O69" s="69"/>
      <x:c r="P69" s="47"/>
      <x:c r="Q69" s="60"/>
      <x:c r="R69" s="58">
        <x:f>(($O69*P69)/100)+(Q69*12)</x:f>
      </x:c>
      <x:c r="S69" s="59"/>
      <x:c r="T69" s="59"/>
      <x:c r="U69" s="58">
        <x:f>(($O69*S69)/100)+(T69*12)</x:f>
      </x:c>
      <x:c r="V69" s="47"/>
      <x:c r="W69" s="60"/>
      <x:c r="X69" s="58">
        <x:f>(($O69*V69)/100)+(W69*12)</x:f>
      </x:c>
      <x:c r="Y69" s="47"/>
      <x:c r="Z69" s="60"/>
      <x:c r="AA69" s="58">
        <x:f>(($O69*Y69)/100)+(Z69*12)</x:f>
      </x:c>
      <x:c r="AB69" s="47"/>
      <x:c r="AC69" s="60"/>
      <x:c r="AD69" s="58">
        <x:f>(($O69*AB69)/100)+(AC69*12)</x:f>
      </x:c>
      <x:c r="AE69" s="47"/>
      <x:c r="AF69" s="60"/>
      <x:c r="AG69" s="58">
        <x:f>(($O69*AE69)/100)+(AF69*12)</x:f>
      </x:c>
      <x:c r="AH69" s="47"/>
      <x:c r="AI69" s="60"/>
      <x:c r="AJ69" s="58">
        <x:f>(($O69*AH69)/100)+(AI69*12)</x:f>
      </x:c>
      <x:c r="AK69" s="47"/>
      <x:c r="AL69" s="60"/>
      <x:c r="AM69" s="58">
        <x:f>(($O69*AK69)/100)+(AL69*12)</x:f>
      </x:c>
      <x:c r="AN69" s="47"/>
      <x:c r="AO69" s="60"/>
      <x:c r="AP69" s="58">
        <x:f>(($O69*AN69)/100)+(AO69*12)</x:f>
      </x:c>
      <x:c r="AQ69" s="47"/>
      <x:c r="AR69" s="60"/>
      <x:c r="AS69" s="58">
        <x:f>(($O69*AQ69)/100)+(AR69*12)</x:f>
      </x:c>
      <x:c r="AT69" s="47"/>
      <x:c r="AU69" s="60"/>
      <x:c r="AV69" s="58">
        <x:f>(($O69*AT69)/100)+(AU69*12)</x:f>
      </x:c>
      <x:c r="AW69" s="47"/>
      <x:c r="AX69" s="60"/>
      <x:c r="AY69" s="58">
        <x:f>(($O69*AW69)/100)+(AX69*12)</x:f>
      </x:c>
      <x:c r="AZ69" s="47"/>
      <x:c r="BA69" s="60"/>
      <x:c r="BB69" s="58">
        <x:f>(($O69*AZ69)/100)+(BA69*12)</x:f>
      </x:c>
      <x:c r="BC69" s="47"/>
      <x:c r="BD69" s="60"/>
      <x:c r="BE69" s="58">
        <x:f>(($O69*BC69)/100)+(BD69*12)</x:f>
      </x:c>
      <x:c r="BF69" s="47"/>
      <x:c r="BG69" s="60"/>
      <x:c r="BH69" s="58">
        <x:f>(($O69*BF69)/100)+(BG69*12)</x:f>
      </x:c>
      <x:c r="BI69" s="47"/>
      <x:c r="BJ69" s="60"/>
      <x:c r="BK69" s="58">
        <x:f>(($O69*BI69)/100)+(BJ69*12)</x:f>
      </x:c>
      <x:c r="BL69" s="47"/>
      <x:c r="BM69" s="60"/>
      <x:c r="BN69" s="58">
        <x:f>(($O69*BL69)/100)+(BM69*12)</x:f>
      </x:c>
      <x:c r="BO69" s="47"/>
      <x:c r="BP69" s="60"/>
      <x:c r="BQ69" s="58">
        <x:f>(($O69*BO69)/100)+(BP69*12)</x:f>
      </x:c>
      <x:c r="BR69" s="47"/>
      <x:c r="BS69" s="60"/>
      <x:c r="BT69" s="58">
        <x:f>(($O69*BR69)/100)+(BS69*12)</x:f>
      </x:c>
      <x:c r="BU69" s="47"/>
      <x:c r="BV69" s="60"/>
      <x:c r="BW69" s="58">
        <x:f>(($O69*BU69)/100)+(BV69*12)</x:f>
      </x:c>
      <x:c r="BX69" s="47"/>
      <x:c r="BY69" s="60"/>
      <x:c r="BZ69" s="58">
        <x:f>(($O69*BX69)/100)+(BY69*12)</x:f>
      </x:c>
      <x:c r="CA69" s="47"/>
      <x:c r="CB69" s="60"/>
      <x:c r="CC69" s="58">
        <x:f>(($O69*CA69)/100)+(CB69*12)</x:f>
      </x:c>
      <x:c r="CD69" s="47"/>
      <x:c r="CE69" s="60"/>
      <x:c r="CF69" s="58">
        <x:f>(($O69*CD69)/100)+(CE69*12)</x:f>
      </x:c>
      <x:c r="CG69" s="47"/>
      <x:c r="CH69" s="60"/>
      <x:c r="CI69" s="58">
        <x:f>(($O69*CG69)/100)+(CH69*12)</x:f>
      </x:c>
      <x:c r="CJ69" s="47"/>
      <x:c r="CK69" s="60"/>
      <x:c r="CL69" s="58">
        <x:f>(($O69*CJ69)/100)+(CK69*12)</x:f>
      </x:c>
      <x:c r="CM69" s="47"/>
      <x:c r="CN69" s="60"/>
      <x:c r="CO69" s="58">
        <x:f>(($O69*CM69)/100)+(CN69*12)</x:f>
      </x:c>
      <x:c r="CP69" s="47"/>
      <x:c r="CQ69" s="60"/>
      <x:c r="CR69" s="58">
        <x:f>(($O69*CP69)/100)+(CQ69*12)</x:f>
      </x:c>
      <x:c r="CS69" s="47"/>
      <x:c r="CT69" s="60"/>
      <x:c r="CU69" s="58">
        <x:f>(($O69*CS69)/100)+(CT69*12)</x:f>
      </x:c>
      <x:c r="CV69" s="47"/>
      <x:c r="CW69" s="60"/>
      <x:c r="CX69" s="58"/>
      <x:c r="CY69" s="47"/>
      <x:c r="CZ69" s="60"/>
      <x:c r="DA69" s="58"/>
      <x:c r="DB69" s="47"/>
      <x:c r="DC69" s="60"/>
      <x:c r="DD69" s="58"/>
      <x:c r="DE69" s="47"/>
      <x:c r="DF69" s="60"/>
      <x:c r="DG69" s="58"/>
      <x:c r="DH69" s="47"/>
      <x:c r="DI69" s="60"/>
      <x:c r="DJ69" s="58"/>
      <x:c r="DK69" s="47"/>
      <x:c r="DL69" s="60"/>
      <x:c r="DM69" s="58"/>
      <x:c r="DN69" s="11"/>
      <x:c r="DO69" s="61"/>
      <x:c r="DP69" s="62"/>
      <x:c r="DQ69" s="11"/>
      <x:c r="DR69" s="61"/>
      <x:c r="DS69" s="62"/>
      <x:c r="DT69" s="11"/>
      <x:c r="DU69" s="61"/>
      <x:c r="DV69" s="62"/>
    </x:row>
    <x:row r="70" spans="1:126" x14ac:dyDescent="0.3">
      <x:c r="A70" s="47"/>
      <x:c r="B70" s="70"/>
      <x:c r="C70" s="70"/>
      <x:c r="D70" s="70"/>
      <x:c r="E70" s="70"/>
      <x:c r="F70" s="70"/>
      <x:c r="G70" s="70"/>
      <x:c r="H70" s="70"/>
      <x:c r="I70" s="70"/>
      <x:c r="J70" s="70"/>
      <x:c r="K70" s="190"/>
      <x:c r="L70" s="191"/>
      <x:c r="M70" s="192">
        <x:f>IF(ISERROR(INDEX('Meter Type Data'!$B$2:$E$1165,SUMPRODUCT(--('Meter Type Data'!$B$2:$B$1165&lt;=Analysis!L70)*('Meter Type Data'!$C$2:$C$1165&gt;=Analysis!L70),ROW('Meter Type Data'!$B$2:$B$1165))-1,4))," ",INDEX('Meter Type Data'!$B$2:$E$1165,SUMPRODUCT(--('Meter Type Data'!$B$2:$B$1165&lt;=Analysis!L70)*('Meter Type Data'!$C$2:$C$1165&gt;=Analysis!L70),ROW('Meter Type Data'!$B$2:$B$1165))-1,4))</x:f>
      </x:c>
      <x:c r="N70" s="192">
        <x:f>IF(ISERROR(INDEX('Meter Type Data'!$B$2:$D$1165,SUMPRODUCT(--('Meter Type Data'!$B$2:$B$1165&lt;=Analysis!L70)*('Meter Type Data'!$C$2:$C$1165&gt;=Analysis!L70),ROW('Meter Type Data'!$B$2:$B$1165))-1,3))," ",INDEX('Meter Type Data'!$B$2:$D$1165,SUMPRODUCT(--('Meter Type Data'!$B$2:$B$1165&lt;=Analysis!L70)*('Meter Type Data'!$C$2:$C$1165&gt;=Analysis!L70),ROW('Meter Type Data'!$B$2:$B$1165))-1,3))</x:f>
      </x:c>
      <x:c r="O70" s="69"/>
      <x:c r="P70" s="47"/>
      <x:c r="Q70" s="60"/>
      <x:c r="R70" s="58">
        <x:f>(($O70*P70)/100)+(Q70*12)</x:f>
      </x:c>
      <x:c r="S70" s="59"/>
      <x:c r="T70" s="59"/>
      <x:c r="U70" s="58">
        <x:f>(($O70*S70)/100)+(T70*12)</x:f>
      </x:c>
      <x:c r="V70" s="47"/>
      <x:c r="W70" s="60"/>
      <x:c r="X70" s="58">
        <x:f>(($O70*V70)/100)+(W70*12)</x:f>
      </x:c>
      <x:c r="Y70" s="47"/>
      <x:c r="Z70" s="60"/>
      <x:c r="AA70" s="58">
        <x:f>(($O70*Y70)/100)+(Z70*12)</x:f>
      </x:c>
      <x:c r="AB70" s="47"/>
      <x:c r="AC70" s="60"/>
      <x:c r="AD70" s="58">
        <x:f>(($O70*AB70)/100)+(AC70*12)</x:f>
      </x:c>
      <x:c r="AE70" s="47"/>
      <x:c r="AF70" s="60"/>
      <x:c r="AG70" s="58">
        <x:f>(($O70*AE70)/100)+(AF70*12)</x:f>
      </x:c>
      <x:c r="AH70" s="47"/>
      <x:c r="AI70" s="60"/>
      <x:c r="AJ70" s="58">
        <x:f>(($O70*AH70)/100)+(AI70*12)</x:f>
      </x:c>
      <x:c r="AK70" s="47"/>
      <x:c r="AL70" s="60"/>
      <x:c r="AM70" s="58">
        <x:f>(($O70*AK70)/100)+(AL70*12)</x:f>
      </x:c>
      <x:c r="AN70" s="47"/>
      <x:c r="AO70" s="60"/>
      <x:c r="AP70" s="58">
        <x:f>(($O70*AN70)/100)+(AO70*12)</x:f>
      </x:c>
      <x:c r="AQ70" s="47"/>
      <x:c r="AR70" s="60"/>
      <x:c r="AS70" s="58">
        <x:f>(($O70*AQ70)/100)+(AR70*12)</x:f>
      </x:c>
      <x:c r="AT70" s="47"/>
      <x:c r="AU70" s="60"/>
      <x:c r="AV70" s="58">
        <x:f>(($O70*AT70)/100)+(AU70*12)</x:f>
      </x:c>
      <x:c r="AW70" s="47"/>
      <x:c r="AX70" s="60"/>
      <x:c r="AY70" s="58">
        <x:f>(($O70*AW70)/100)+(AX70*12)</x:f>
      </x:c>
      <x:c r="AZ70" s="47"/>
      <x:c r="BA70" s="60"/>
      <x:c r="BB70" s="58">
        <x:f>(($O70*AZ70)/100)+(BA70*12)</x:f>
      </x:c>
      <x:c r="BC70" s="47"/>
      <x:c r="BD70" s="60"/>
      <x:c r="BE70" s="58">
        <x:f>(($O70*BC70)/100)+(BD70*12)</x:f>
      </x:c>
      <x:c r="BF70" s="47"/>
      <x:c r="BG70" s="60"/>
      <x:c r="BH70" s="58">
        <x:f>(($O70*BF70)/100)+(BG70*12)</x:f>
      </x:c>
      <x:c r="BI70" s="47"/>
      <x:c r="BJ70" s="60"/>
      <x:c r="BK70" s="58">
        <x:f>(($O70*BI70)/100)+(BJ70*12)</x:f>
      </x:c>
      <x:c r="BL70" s="47"/>
      <x:c r="BM70" s="60"/>
      <x:c r="BN70" s="58">
        <x:f>(($O70*BL70)/100)+(BM70*12)</x:f>
      </x:c>
      <x:c r="BO70" s="47"/>
      <x:c r="BP70" s="60"/>
      <x:c r="BQ70" s="58">
        <x:f>(($O70*BO70)/100)+(BP70*12)</x:f>
      </x:c>
      <x:c r="BR70" s="47"/>
      <x:c r="BS70" s="60"/>
      <x:c r="BT70" s="58">
        <x:f>(($O70*BR70)/100)+(BS70*12)</x:f>
      </x:c>
      <x:c r="BU70" s="47"/>
      <x:c r="BV70" s="60"/>
      <x:c r="BW70" s="58">
        <x:f>(($O70*BU70)/100)+(BV70*12)</x:f>
      </x:c>
      <x:c r="BX70" s="47"/>
      <x:c r="BY70" s="60"/>
      <x:c r="BZ70" s="58">
        <x:f>(($O70*BX70)/100)+(BY70*12)</x:f>
      </x:c>
      <x:c r="CA70" s="47"/>
      <x:c r="CB70" s="60"/>
      <x:c r="CC70" s="58">
        <x:f>(($O70*CA70)/100)+(CB70*12)</x:f>
      </x:c>
      <x:c r="CD70" s="47"/>
      <x:c r="CE70" s="60"/>
      <x:c r="CF70" s="58">
        <x:f>(($O70*CD70)/100)+(CE70*12)</x:f>
      </x:c>
      <x:c r="CG70" s="47"/>
      <x:c r="CH70" s="60"/>
      <x:c r="CI70" s="58">
        <x:f>(($O70*CG70)/100)+(CH70*12)</x:f>
      </x:c>
      <x:c r="CJ70" s="47"/>
      <x:c r="CK70" s="60"/>
      <x:c r="CL70" s="58">
        <x:f>(($O70*CJ70)/100)+(CK70*12)</x:f>
      </x:c>
      <x:c r="CM70" s="47"/>
      <x:c r="CN70" s="60"/>
      <x:c r="CO70" s="58">
        <x:f>(($O70*CM70)/100)+(CN70*12)</x:f>
      </x:c>
      <x:c r="CP70" s="47"/>
      <x:c r="CQ70" s="60"/>
      <x:c r="CR70" s="58">
        <x:f>(($O70*CP70)/100)+(CQ70*12)</x:f>
      </x:c>
      <x:c r="CS70" s="47"/>
      <x:c r="CT70" s="60"/>
      <x:c r="CU70" s="58">
        <x:f>(($O70*CS70)/100)+(CT70*12)</x:f>
      </x:c>
      <x:c r="CV70" s="47"/>
      <x:c r="CW70" s="60"/>
      <x:c r="CX70" s="58"/>
      <x:c r="CY70" s="47"/>
      <x:c r="CZ70" s="60"/>
      <x:c r="DA70" s="58"/>
      <x:c r="DB70" s="47"/>
      <x:c r="DC70" s="60"/>
      <x:c r="DD70" s="58"/>
      <x:c r="DE70" s="47"/>
      <x:c r="DF70" s="60"/>
      <x:c r="DG70" s="58"/>
      <x:c r="DH70" s="47"/>
      <x:c r="DI70" s="60"/>
      <x:c r="DJ70" s="58"/>
      <x:c r="DK70" s="47"/>
      <x:c r="DL70" s="60"/>
      <x:c r="DM70" s="58"/>
      <x:c r="DN70" s="11"/>
      <x:c r="DO70" s="61"/>
      <x:c r="DP70" s="62"/>
      <x:c r="DQ70" s="11"/>
      <x:c r="DR70" s="61"/>
      <x:c r="DS70" s="62"/>
      <x:c r="DT70" s="11"/>
      <x:c r="DU70" s="61"/>
      <x:c r="DV70" s="62"/>
    </x:row>
    <x:row r="71" spans="1:126" x14ac:dyDescent="0.3">
      <x:c r="A71" s="47"/>
      <x:c r="B71" s="70"/>
      <x:c r="C71" s="70"/>
      <x:c r="D71" s="70"/>
      <x:c r="E71" s="70"/>
      <x:c r="F71" s="70"/>
      <x:c r="G71" s="70"/>
      <x:c r="H71" s="70"/>
      <x:c r="I71" s="70"/>
      <x:c r="J71" s="70"/>
      <x:c r="K71" s="190"/>
      <x:c r="L71" s="191"/>
      <x:c r="M71" s="192">
        <x:f>IF(ISERROR(INDEX('Meter Type Data'!$B$2:$E$1165,SUMPRODUCT(--('Meter Type Data'!$B$2:$B$1165&lt;=Analysis!L71)*('Meter Type Data'!$C$2:$C$1165&gt;=Analysis!L71),ROW('Meter Type Data'!$B$2:$B$1165))-1,4))," ",INDEX('Meter Type Data'!$B$2:$E$1165,SUMPRODUCT(--('Meter Type Data'!$B$2:$B$1165&lt;=Analysis!L71)*('Meter Type Data'!$C$2:$C$1165&gt;=Analysis!L71),ROW('Meter Type Data'!$B$2:$B$1165))-1,4))</x:f>
      </x:c>
      <x:c r="N71" s="192">
        <x:f>IF(ISERROR(INDEX('Meter Type Data'!$B$2:$D$1165,SUMPRODUCT(--('Meter Type Data'!$B$2:$B$1165&lt;=Analysis!L71)*('Meter Type Data'!$C$2:$C$1165&gt;=Analysis!L71),ROW('Meter Type Data'!$B$2:$B$1165))-1,3))," ",INDEX('Meter Type Data'!$B$2:$D$1165,SUMPRODUCT(--('Meter Type Data'!$B$2:$B$1165&lt;=Analysis!L71)*('Meter Type Data'!$C$2:$C$1165&gt;=Analysis!L71),ROW('Meter Type Data'!$B$2:$B$1165))-1,3))</x:f>
      </x:c>
      <x:c r="O71" s="69"/>
      <x:c r="P71" s="47"/>
      <x:c r="Q71" s="60"/>
      <x:c r="R71" s="58">
        <x:f>(($O71*P71)/100)+(Q71*12)</x:f>
      </x:c>
      <x:c r="S71" s="59"/>
      <x:c r="T71" s="59"/>
      <x:c r="U71" s="58">
        <x:f>(($O71*S71)/100)+(T71*12)</x:f>
      </x:c>
      <x:c r="V71" s="47"/>
      <x:c r="W71" s="60"/>
      <x:c r="X71" s="58">
        <x:f>(($O71*V71)/100)+(W71*12)</x:f>
      </x:c>
      <x:c r="Y71" s="47"/>
      <x:c r="Z71" s="60"/>
      <x:c r="AA71" s="58">
        <x:f>(($O71*Y71)/100)+(Z71*12)</x:f>
      </x:c>
      <x:c r="AB71" s="47"/>
      <x:c r="AC71" s="60"/>
      <x:c r="AD71" s="58">
        <x:f>(($O71*AB71)/100)+(AC71*12)</x:f>
      </x:c>
      <x:c r="AE71" s="47"/>
      <x:c r="AF71" s="60"/>
      <x:c r="AG71" s="58">
        <x:f>(($O71*AE71)/100)+(AF71*12)</x:f>
      </x:c>
      <x:c r="AH71" s="47"/>
      <x:c r="AI71" s="60"/>
      <x:c r="AJ71" s="58">
        <x:f>(($O71*AH71)/100)+(AI71*12)</x:f>
      </x:c>
      <x:c r="AK71" s="47"/>
      <x:c r="AL71" s="60"/>
      <x:c r="AM71" s="58">
        <x:f>(($O71*AK71)/100)+(AL71*12)</x:f>
      </x:c>
      <x:c r="AN71" s="47"/>
      <x:c r="AO71" s="60"/>
      <x:c r="AP71" s="58">
        <x:f>(($O71*AN71)/100)+(AO71*12)</x:f>
      </x:c>
      <x:c r="AQ71" s="47"/>
      <x:c r="AR71" s="60"/>
      <x:c r="AS71" s="58">
        <x:f>(($O71*AQ71)/100)+(AR71*12)</x:f>
      </x:c>
      <x:c r="AT71" s="47"/>
      <x:c r="AU71" s="60"/>
      <x:c r="AV71" s="58">
        <x:f>(($O71*AT71)/100)+(AU71*12)</x:f>
      </x:c>
      <x:c r="AW71" s="47"/>
      <x:c r="AX71" s="60"/>
      <x:c r="AY71" s="58">
        <x:f>(($O71*AW71)/100)+(AX71*12)</x:f>
      </x:c>
      <x:c r="AZ71" s="47"/>
      <x:c r="BA71" s="60"/>
      <x:c r="BB71" s="58">
        <x:f>(($O71*AZ71)/100)+(BA71*12)</x:f>
      </x:c>
      <x:c r="BC71" s="47"/>
      <x:c r="BD71" s="60"/>
      <x:c r="BE71" s="58">
        <x:f>(($O71*BC71)/100)+(BD71*12)</x:f>
      </x:c>
      <x:c r="BF71" s="47"/>
      <x:c r="BG71" s="60"/>
      <x:c r="BH71" s="58">
        <x:f>(($O71*BF71)/100)+(BG71*12)</x:f>
      </x:c>
      <x:c r="BI71" s="47"/>
      <x:c r="BJ71" s="60"/>
      <x:c r="BK71" s="58">
        <x:f>(($O71*BI71)/100)+(BJ71*12)</x:f>
      </x:c>
      <x:c r="BL71" s="47"/>
      <x:c r="BM71" s="60"/>
      <x:c r="BN71" s="58">
        <x:f>(($O71*BL71)/100)+(BM71*12)</x:f>
      </x:c>
      <x:c r="BO71" s="47"/>
      <x:c r="BP71" s="60"/>
      <x:c r="BQ71" s="58">
        <x:f>(($O71*BO71)/100)+(BP71*12)</x:f>
      </x:c>
      <x:c r="BR71" s="47"/>
      <x:c r="BS71" s="60"/>
      <x:c r="BT71" s="58">
        <x:f>(($O71*BR71)/100)+(BS71*12)</x:f>
      </x:c>
      <x:c r="BU71" s="47"/>
      <x:c r="BV71" s="60"/>
      <x:c r="BW71" s="58">
        <x:f>(($O71*BU71)/100)+(BV71*12)</x:f>
      </x:c>
      <x:c r="BX71" s="47"/>
      <x:c r="BY71" s="60"/>
      <x:c r="BZ71" s="58">
        <x:f>(($O71*BX71)/100)+(BY71*12)</x:f>
      </x:c>
      <x:c r="CA71" s="47"/>
      <x:c r="CB71" s="60"/>
      <x:c r="CC71" s="58">
        <x:f>(($O71*CA71)/100)+(CB71*12)</x:f>
      </x:c>
      <x:c r="CD71" s="47"/>
      <x:c r="CE71" s="60"/>
      <x:c r="CF71" s="58">
        <x:f>(($O71*CD71)/100)+(CE71*12)</x:f>
      </x:c>
      <x:c r="CG71" s="47"/>
      <x:c r="CH71" s="60"/>
      <x:c r="CI71" s="58">
        <x:f>(($O71*CG71)/100)+(CH71*12)</x:f>
      </x:c>
      <x:c r="CJ71" s="47"/>
      <x:c r="CK71" s="60"/>
      <x:c r="CL71" s="58">
        <x:f>(($O71*CJ71)/100)+(CK71*12)</x:f>
      </x:c>
      <x:c r="CM71" s="47"/>
      <x:c r="CN71" s="60"/>
      <x:c r="CO71" s="58">
        <x:f>(($O71*CM71)/100)+(CN71*12)</x:f>
      </x:c>
      <x:c r="CP71" s="47"/>
      <x:c r="CQ71" s="60"/>
      <x:c r="CR71" s="58">
        <x:f>(($O71*CP71)/100)+(CQ71*12)</x:f>
      </x:c>
      <x:c r="CS71" s="47"/>
      <x:c r="CT71" s="60"/>
      <x:c r="CU71" s="58">
        <x:f>(($O71*CS71)/100)+(CT71*12)</x:f>
      </x:c>
      <x:c r="CV71" s="47"/>
      <x:c r="CW71" s="60"/>
      <x:c r="CX71" s="58"/>
      <x:c r="CY71" s="47"/>
      <x:c r="CZ71" s="60"/>
      <x:c r="DA71" s="58"/>
      <x:c r="DB71" s="47"/>
      <x:c r="DC71" s="60"/>
      <x:c r="DD71" s="58"/>
      <x:c r="DE71" s="47"/>
      <x:c r="DF71" s="60"/>
      <x:c r="DG71" s="58"/>
      <x:c r="DH71" s="47"/>
      <x:c r="DI71" s="60"/>
      <x:c r="DJ71" s="58"/>
      <x:c r="DK71" s="47"/>
      <x:c r="DL71" s="60"/>
      <x:c r="DM71" s="58"/>
      <x:c r="DN71" s="11"/>
      <x:c r="DO71" s="61"/>
      <x:c r="DP71" s="62"/>
      <x:c r="DQ71" s="11"/>
      <x:c r="DR71" s="61"/>
      <x:c r="DS71" s="62"/>
      <x:c r="DT71" s="11"/>
      <x:c r="DU71" s="61"/>
      <x:c r="DV71" s="62"/>
    </x:row>
    <x:row r="72" spans="1:126" x14ac:dyDescent="0.3">
      <x:c r="A72" s="47"/>
      <x:c r="B72" s="70"/>
      <x:c r="C72" s="70"/>
      <x:c r="D72" s="70"/>
      <x:c r="E72" s="70"/>
      <x:c r="F72" s="70"/>
      <x:c r="G72" s="70"/>
      <x:c r="H72" s="70"/>
      <x:c r="I72" s="70"/>
      <x:c r="J72" s="70"/>
      <x:c r="K72" s="190"/>
      <x:c r="L72" s="191"/>
      <x:c r="M72" s="192">
        <x:f>IF(ISERROR(INDEX('Meter Type Data'!$B$2:$E$1165,SUMPRODUCT(--('Meter Type Data'!$B$2:$B$1165&lt;=Analysis!L72)*('Meter Type Data'!$C$2:$C$1165&gt;=Analysis!L72),ROW('Meter Type Data'!$B$2:$B$1165))-1,4))," ",INDEX('Meter Type Data'!$B$2:$E$1165,SUMPRODUCT(--('Meter Type Data'!$B$2:$B$1165&lt;=Analysis!L72)*('Meter Type Data'!$C$2:$C$1165&gt;=Analysis!L72),ROW('Meter Type Data'!$B$2:$B$1165))-1,4))</x:f>
      </x:c>
      <x:c r="N72" s="192">
        <x:f>IF(ISERROR(INDEX('Meter Type Data'!$B$2:$D$1165,SUMPRODUCT(--('Meter Type Data'!$B$2:$B$1165&lt;=Analysis!L72)*('Meter Type Data'!$C$2:$C$1165&gt;=Analysis!L72),ROW('Meter Type Data'!$B$2:$B$1165))-1,3))," ",INDEX('Meter Type Data'!$B$2:$D$1165,SUMPRODUCT(--('Meter Type Data'!$B$2:$B$1165&lt;=Analysis!L72)*('Meter Type Data'!$C$2:$C$1165&gt;=Analysis!L72),ROW('Meter Type Data'!$B$2:$B$1165))-1,3))</x:f>
      </x:c>
      <x:c r="O72" s="69"/>
      <x:c r="P72" s="47"/>
      <x:c r="Q72" s="60"/>
      <x:c r="R72" s="58">
        <x:f>(($O72*P72)/100)+(Q72*12)</x:f>
      </x:c>
      <x:c r="S72" s="59"/>
      <x:c r="T72" s="59"/>
      <x:c r="U72" s="58">
        <x:f>(($O72*S72)/100)+(T72*12)</x:f>
      </x:c>
      <x:c r="V72" s="47"/>
      <x:c r="W72" s="60"/>
      <x:c r="X72" s="58">
        <x:f>(($O72*V72)/100)+(W72*12)</x:f>
      </x:c>
      <x:c r="Y72" s="47"/>
      <x:c r="Z72" s="60"/>
      <x:c r="AA72" s="58">
        <x:f>(($O72*Y72)/100)+(Z72*12)</x:f>
      </x:c>
      <x:c r="AB72" s="47"/>
      <x:c r="AC72" s="60"/>
      <x:c r="AD72" s="58">
        <x:f>(($O72*AB72)/100)+(AC72*12)</x:f>
      </x:c>
      <x:c r="AE72" s="47"/>
      <x:c r="AF72" s="60"/>
      <x:c r="AG72" s="58">
        <x:f>(($O72*AE72)/100)+(AF72*12)</x:f>
      </x:c>
      <x:c r="AH72" s="47"/>
      <x:c r="AI72" s="60"/>
      <x:c r="AJ72" s="58">
        <x:f>(($O72*AH72)/100)+(AI72*12)</x:f>
      </x:c>
      <x:c r="AK72" s="47"/>
      <x:c r="AL72" s="60"/>
      <x:c r="AM72" s="58">
        <x:f>(($O72*AK72)/100)+(AL72*12)</x:f>
      </x:c>
      <x:c r="AN72" s="47"/>
      <x:c r="AO72" s="60"/>
      <x:c r="AP72" s="58">
        <x:f>(($O72*AN72)/100)+(AO72*12)</x:f>
      </x:c>
      <x:c r="AQ72" s="47"/>
      <x:c r="AR72" s="60"/>
      <x:c r="AS72" s="58">
        <x:f>(($O72*AQ72)/100)+(AR72*12)</x:f>
      </x:c>
      <x:c r="AT72" s="47"/>
      <x:c r="AU72" s="60"/>
      <x:c r="AV72" s="58">
        <x:f>(($O72*AT72)/100)+(AU72*12)</x:f>
      </x:c>
      <x:c r="AW72" s="47"/>
      <x:c r="AX72" s="60"/>
      <x:c r="AY72" s="58">
        <x:f>(($O72*AW72)/100)+(AX72*12)</x:f>
      </x:c>
      <x:c r="AZ72" s="47"/>
      <x:c r="BA72" s="60"/>
      <x:c r="BB72" s="58">
        <x:f>(($O72*AZ72)/100)+(BA72*12)</x:f>
      </x:c>
      <x:c r="BC72" s="47"/>
      <x:c r="BD72" s="60"/>
      <x:c r="BE72" s="58">
        <x:f>(($O72*BC72)/100)+(BD72*12)</x:f>
      </x:c>
      <x:c r="BF72" s="47"/>
      <x:c r="BG72" s="60"/>
      <x:c r="BH72" s="58">
        <x:f>(($O72*BF72)/100)+(BG72*12)</x:f>
      </x:c>
      <x:c r="BI72" s="47"/>
      <x:c r="BJ72" s="60"/>
      <x:c r="BK72" s="58">
        <x:f>(($O72*BI72)/100)+(BJ72*12)</x:f>
      </x:c>
      <x:c r="BL72" s="47"/>
      <x:c r="BM72" s="60"/>
      <x:c r="BN72" s="58">
        <x:f>(($O72*BL72)/100)+(BM72*12)</x:f>
      </x:c>
      <x:c r="BO72" s="47"/>
      <x:c r="BP72" s="60"/>
      <x:c r="BQ72" s="58">
        <x:f>(($O72*BO72)/100)+(BP72*12)</x:f>
      </x:c>
      <x:c r="BR72" s="47"/>
      <x:c r="BS72" s="60"/>
      <x:c r="BT72" s="58">
        <x:f>(($O72*BR72)/100)+(BS72*12)</x:f>
      </x:c>
      <x:c r="BU72" s="47"/>
      <x:c r="BV72" s="60"/>
      <x:c r="BW72" s="58">
        <x:f>(($O72*BU72)/100)+(BV72*12)</x:f>
      </x:c>
      <x:c r="BX72" s="47"/>
      <x:c r="BY72" s="60"/>
      <x:c r="BZ72" s="58">
        <x:f>(($O72*BX72)/100)+(BY72*12)</x:f>
      </x:c>
      <x:c r="CA72" s="47"/>
      <x:c r="CB72" s="60"/>
      <x:c r="CC72" s="58">
        <x:f>(($O72*CA72)/100)+(CB72*12)</x:f>
      </x:c>
      <x:c r="CD72" s="47"/>
      <x:c r="CE72" s="60"/>
      <x:c r="CF72" s="58">
        <x:f>(($O72*CD72)/100)+(CE72*12)</x:f>
      </x:c>
      <x:c r="CG72" s="47"/>
      <x:c r="CH72" s="60"/>
      <x:c r="CI72" s="58">
        <x:f>(($O72*CG72)/100)+(CH72*12)</x:f>
      </x:c>
      <x:c r="CJ72" s="47"/>
      <x:c r="CK72" s="60"/>
      <x:c r="CL72" s="58">
        <x:f>(($O72*CJ72)/100)+(CK72*12)</x:f>
      </x:c>
      <x:c r="CM72" s="47"/>
      <x:c r="CN72" s="60"/>
      <x:c r="CO72" s="58">
        <x:f>(($O72*CM72)/100)+(CN72*12)</x:f>
      </x:c>
      <x:c r="CP72" s="47"/>
      <x:c r="CQ72" s="60"/>
      <x:c r="CR72" s="58">
        <x:f>(($O72*CP72)/100)+(CQ72*12)</x:f>
      </x:c>
      <x:c r="CS72" s="47"/>
      <x:c r="CT72" s="60"/>
      <x:c r="CU72" s="58">
        <x:f>(($O72*CS72)/100)+(CT72*12)</x:f>
      </x:c>
      <x:c r="CV72" s="47"/>
      <x:c r="CW72" s="60"/>
      <x:c r="CX72" s="58"/>
      <x:c r="CY72" s="47"/>
      <x:c r="CZ72" s="60"/>
      <x:c r="DA72" s="58"/>
      <x:c r="DB72" s="47"/>
      <x:c r="DC72" s="60"/>
      <x:c r="DD72" s="58"/>
      <x:c r="DE72" s="47"/>
      <x:c r="DF72" s="60"/>
      <x:c r="DG72" s="58"/>
      <x:c r="DH72" s="47"/>
      <x:c r="DI72" s="60"/>
      <x:c r="DJ72" s="58"/>
      <x:c r="DK72" s="47"/>
      <x:c r="DL72" s="60"/>
      <x:c r="DM72" s="58"/>
      <x:c r="DN72" s="11"/>
      <x:c r="DO72" s="61"/>
      <x:c r="DP72" s="62"/>
      <x:c r="DQ72" s="11"/>
      <x:c r="DR72" s="61"/>
      <x:c r="DS72" s="62"/>
      <x:c r="DT72" s="11"/>
      <x:c r="DU72" s="61"/>
      <x:c r="DV72" s="62"/>
    </x:row>
    <x:row r="73" spans="1:126" x14ac:dyDescent="0.3">
      <x:c r="A73" s="47"/>
      <x:c r="B73" s="70"/>
      <x:c r="C73" s="70"/>
      <x:c r="D73" s="70"/>
      <x:c r="E73" s="70"/>
      <x:c r="F73" s="70"/>
      <x:c r="G73" s="70"/>
      <x:c r="H73" s="70"/>
      <x:c r="I73" s="70"/>
      <x:c r="J73" s="70"/>
      <x:c r="K73" s="190"/>
      <x:c r="L73" s="191"/>
      <x:c r="M73" s="192">
        <x:f>IF(ISERROR(INDEX('Meter Type Data'!$B$2:$E$1165,SUMPRODUCT(--('Meter Type Data'!$B$2:$B$1165&lt;=Analysis!L73)*('Meter Type Data'!$C$2:$C$1165&gt;=Analysis!L73),ROW('Meter Type Data'!$B$2:$B$1165))-1,4))," ",INDEX('Meter Type Data'!$B$2:$E$1165,SUMPRODUCT(--('Meter Type Data'!$B$2:$B$1165&lt;=Analysis!L73)*('Meter Type Data'!$C$2:$C$1165&gt;=Analysis!L73),ROW('Meter Type Data'!$B$2:$B$1165))-1,4))</x:f>
      </x:c>
      <x:c r="N73" s="192">
        <x:f>IF(ISERROR(INDEX('Meter Type Data'!$B$2:$D$1165,SUMPRODUCT(--('Meter Type Data'!$B$2:$B$1165&lt;=Analysis!L73)*('Meter Type Data'!$C$2:$C$1165&gt;=Analysis!L73),ROW('Meter Type Data'!$B$2:$B$1165))-1,3))," ",INDEX('Meter Type Data'!$B$2:$D$1165,SUMPRODUCT(--('Meter Type Data'!$B$2:$B$1165&lt;=Analysis!L73)*('Meter Type Data'!$C$2:$C$1165&gt;=Analysis!L73),ROW('Meter Type Data'!$B$2:$B$1165))-1,3))</x:f>
      </x:c>
      <x:c r="O73" s="69"/>
      <x:c r="P73" s="47"/>
      <x:c r="Q73" s="60"/>
      <x:c r="R73" s="58">
        <x:f>(($O73*P73)/100)+(Q73*12)</x:f>
      </x:c>
      <x:c r="S73" s="59"/>
      <x:c r="T73" s="59"/>
      <x:c r="U73" s="58">
        <x:f>(($O73*S73)/100)+(T73*12)</x:f>
      </x:c>
      <x:c r="V73" s="47"/>
      <x:c r="W73" s="60"/>
      <x:c r="X73" s="58">
        <x:f>(($O73*V73)/100)+(W73*12)</x:f>
      </x:c>
      <x:c r="Y73" s="47"/>
      <x:c r="Z73" s="60"/>
      <x:c r="AA73" s="58">
        <x:f>(($O73*Y73)/100)+(Z73*12)</x:f>
      </x:c>
      <x:c r="AB73" s="47"/>
      <x:c r="AC73" s="60"/>
      <x:c r="AD73" s="58">
        <x:f>(($O73*AB73)/100)+(AC73*12)</x:f>
      </x:c>
      <x:c r="AE73" s="47"/>
      <x:c r="AF73" s="60"/>
      <x:c r="AG73" s="58">
        <x:f>(($O73*AE73)/100)+(AF73*12)</x:f>
      </x:c>
      <x:c r="AH73" s="47"/>
      <x:c r="AI73" s="60"/>
      <x:c r="AJ73" s="58">
        <x:f>(($O73*AH73)/100)+(AI73*12)</x:f>
      </x:c>
      <x:c r="AK73" s="47"/>
      <x:c r="AL73" s="60"/>
      <x:c r="AM73" s="58">
        <x:f>(($O73*AK73)/100)+(AL73*12)</x:f>
      </x:c>
      <x:c r="AN73" s="47"/>
      <x:c r="AO73" s="60"/>
      <x:c r="AP73" s="58">
        <x:f>(($O73*AN73)/100)+(AO73*12)</x:f>
      </x:c>
      <x:c r="AQ73" s="47"/>
      <x:c r="AR73" s="60"/>
      <x:c r="AS73" s="58">
        <x:f>(($O73*AQ73)/100)+(AR73*12)</x:f>
      </x:c>
      <x:c r="AT73" s="47"/>
      <x:c r="AU73" s="60"/>
      <x:c r="AV73" s="58">
        <x:f>(($O73*AT73)/100)+(AU73*12)</x:f>
      </x:c>
      <x:c r="AW73" s="47"/>
      <x:c r="AX73" s="60"/>
      <x:c r="AY73" s="58">
        <x:f>(($O73*AW73)/100)+(AX73*12)</x:f>
      </x:c>
      <x:c r="AZ73" s="47"/>
      <x:c r="BA73" s="60"/>
      <x:c r="BB73" s="58">
        <x:f>(($O73*AZ73)/100)+(BA73*12)</x:f>
      </x:c>
      <x:c r="BC73" s="47"/>
      <x:c r="BD73" s="60"/>
      <x:c r="BE73" s="58">
        <x:f>(($O73*BC73)/100)+(BD73*12)</x:f>
      </x:c>
      <x:c r="BF73" s="47"/>
      <x:c r="BG73" s="60"/>
      <x:c r="BH73" s="58">
        <x:f>(($O73*BF73)/100)+(BG73*12)</x:f>
      </x:c>
      <x:c r="BI73" s="47"/>
      <x:c r="BJ73" s="60"/>
      <x:c r="BK73" s="58">
        <x:f>(($O73*BI73)/100)+(BJ73*12)</x:f>
      </x:c>
      <x:c r="BL73" s="47"/>
      <x:c r="BM73" s="60"/>
      <x:c r="BN73" s="58">
        <x:f>(($O73*BL73)/100)+(BM73*12)</x:f>
      </x:c>
      <x:c r="BO73" s="47"/>
      <x:c r="BP73" s="60"/>
      <x:c r="BQ73" s="58">
        <x:f>(($O73*BO73)/100)+(BP73*12)</x:f>
      </x:c>
      <x:c r="BR73" s="47"/>
      <x:c r="BS73" s="60"/>
      <x:c r="BT73" s="58">
        <x:f>(($O73*BR73)/100)+(BS73*12)</x:f>
      </x:c>
      <x:c r="BU73" s="47"/>
      <x:c r="BV73" s="60"/>
      <x:c r="BW73" s="58">
        <x:f>(($O73*BU73)/100)+(BV73*12)</x:f>
      </x:c>
      <x:c r="BX73" s="47"/>
      <x:c r="BY73" s="60"/>
      <x:c r="BZ73" s="58">
        <x:f>(($O73*BX73)/100)+(BY73*12)</x:f>
      </x:c>
      <x:c r="CA73" s="47"/>
      <x:c r="CB73" s="60"/>
      <x:c r="CC73" s="58">
        <x:f>(($O73*CA73)/100)+(CB73*12)</x:f>
      </x:c>
      <x:c r="CD73" s="47"/>
      <x:c r="CE73" s="60"/>
      <x:c r="CF73" s="58">
        <x:f>(($O73*CD73)/100)+(CE73*12)</x:f>
      </x:c>
      <x:c r="CG73" s="47"/>
      <x:c r="CH73" s="60"/>
      <x:c r="CI73" s="58">
        <x:f>(($O73*CG73)/100)+(CH73*12)</x:f>
      </x:c>
      <x:c r="CJ73" s="47"/>
      <x:c r="CK73" s="60"/>
      <x:c r="CL73" s="58">
        <x:f>(($O73*CJ73)/100)+(CK73*12)</x:f>
      </x:c>
      <x:c r="CM73" s="47"/>
      <x:c r="CN73" s="60"/>
      <x:c r="CO73" s="58">
        <x:f>(($O73*CM73)/100)+(CN73*12)</x:f>
      </x:c>
      <x:c r="CP73" s="47"/>
      <x:c r="CQ73" s="60"/>
      <x:c r="CR73" s="58">
        <x:f>(($O73*CP73)/100)+(CQ73*12)</x:f>
      </x:c>
      <x:c r="CS73" s="47"/>
      <x:c r="CT73" s="60"/>
      <x:c r="CU73" s="58">
        <x:f>(($O73*CS73)/100)+(CT73*12)</x:f>
      </x:c>
      <x:c r="CV73" s="47"/>
      <x:c r="CW73" s="60"/>
      <x:c r="CX73" s="58"/>
      <x:c r="CY73" s="47"/>
      <x:c r="CZ73" s="60"/>
      <x:c r="DA73" s="58"/>
      <x:c r="DB73" s="47"/>
      <x:c r="DC73" s="60"/>
      <x:c r="DD73" s="58"/>
      <x:c r="DE73" s="47"/>
      <x:c r="DF73" s="60"/>
      <x:c r="DG73" s="58"/>
      <x:c r="DH73" s="47"/>
      <x:c r="DI73" s="60"/>
      <x:c r="DJ73" s="58"/>
      <x:c r="DK73" s="47"/>
      <x:c r="DL73" s="60"/>
      <x:c r="DM73" s="58"/>
      <x:c r="DN73" s="11"/>
      <x:c r="DO73" s="61"/>
      <x:c r="DP73" s="62"/>
      <x:c r="DQ73" s="11"/>
      <x:c r="DR73" s="61"/>
      <x:c r="DS73" s="62"/>
      <x:c r="DT73" s="11"/>
      <x:c r="DU73" s="61"/>
      <x:c r="DV73" s="62"/>
    </x:row>
    <x:row r="74" spans="1:126" x14ac:dyDescent="0.3">
      <x:c r="A74" s="47"/>
      <x:c r="B74" s="70"/>
      <x:c r="C74" s="70"/>
      <x:c r="D74" s="70"/>
      <x:c r="E74" s="70"/>
      <x:c r="F74" s="70"/>
      <x:c r="G74" s="70"/>
      <x:c r="H74" s="70"/>
      <x:c r="I74" s="70"/>
      <x:c r="J74" s="70"/>
      <x:c r="K74" s="190"/>
      <x:c r="L74" s="191"/>
      <x:c r="M74" s="192">
        <x:f>IF(ISERROR(INDEX('Meter Type Data'!$B$2:$E$1165,SUMPRODUCT(--('Meter Type Data'!$B$2:$B$1165&lt;=Analysis!L74)*('Meter Type Data'!$C$2:$C$1165&gt;=Analysis!L74),ROW('Meter Type Data'!$B$2:$B$1165))-1,4))," ",INDEX('Meter Type Data'!$B$2:$E$1165,SUMPRODUCT(--('Meter Type Data'!$B$2:$B$1165&lt;=Analysis!L74)*('Meter Type Data'!$C$2:$C$1165&gt;=Analysis!L74),ROW('Meter Type Data'!$B$2:$B$1165))-1,4))</x:f>
      </x:c>
      <x:c r="N74" s="192">
        <x:f>IF(ISERROR(INDEX('Meter Type Data'!$B$2:$D$1165,SUMPRODUCT(--('Meter Type Data'!$B$2:$B$1165&lt;=Analysis!L74)*('Meter Type Data'!$C$2:$C$1165&gt;=Analysis!L74),ROW('Meter Type Data'!$B$2:$B$1165))-1,3))," ",INDEX('Meter Type Data'!$B$2:$D$1165,SUMPRODUCT(--('Meter Type Data'!$B$2:$B$1165&lt;=Analysis!L74)*('Meter Type Data'!$C$2:$C$1165&gt;=Analysis!L74),ROW('Meter Type Data'!$B$2:$B$1165))-1,3))</x:f>
      </x:c>
      <x:c r="O74" s="69"/>
      <x:c r="P74" s="47"/>
      <x:c r="Q74" s="60"/>
      <x:c r="R74" s="58">
        <x:f>(($O74*P74)/100)+(Q74*12)</x:f>
      </x:c>
      <x:c r="S74" s="59"/>
      <x:c r="T74" s="59"/>
      <x:c r="U74" s="58">
        <x:f>(($O74*S74)/100)+(T74*12)</x:f>
      </x:c>
      <x:c r="V74" s="47"/>
      <x:c r="W74" s="60"/>
      <x:c r="X74" s="58">
        <x:f>(($O74*V74)/100)+(W74*12)</x:f>
      </x:c>
      <x:c r="Y74" s="47"/>
      <x:c r="Z74" s="60"/>
      <x:c r="AA74" s="58">
        <x:f>(($O74*Y74)/100)+(Z74*12)</x:f>
      </x:c>
      <x:c r="AB74" s="47"/>
      <x:c r="AC74" s="60"/>
      <x:c r="AD74" s="58">
        <x:f>(($O74*AB74)/100)+(AC74*12)</x:f>
      </x:c>
      <x:c r="AE74" s="47"/>
      <x:c r="AF74" s="60"/>
      <x:c r="AG74" s="58">
        <x:f>(($O74*AE74)/100)+(AF74*12)</x:f>
      </x:c>
      <x:c r="AH74" s="47"/>
      <x:c r="AI74" s="60"/>
      <x:c r="AJ74" s="58">
        <x:f>(($O74*AH74)/100)+(AI74*12)</x:f>
      </x:c>
      <x:c r="AK74" s="47"/>
      <x:c r="AL74" s="60"/>
      <x:c r="AM74" s="58">
        <x:f>(($O74*AK74)/100)+(AL74*12)</x:f>
      </x:c>
      <x:c r="AN74" s="47"/>
      <x:c r="AO74" s="60"/>
      <x:c r="AP74" s="58">
        <x:f>(($O74*AN74)/100)+(AO74*12)</x:f>
      </x:c>
      <x:c r="AQ74" s="47"/>
      <x:c r="AR74" s="60"/>
      <x:c r="AS74" s="58">
        <x:f>(($O74*AQ74)/100)+(AR74*12)</x:f>
      </x:c>
      <x:c r="AT74" s="47"/>
      <x:c r="AU74" s="60"/>
      <x:c r="AV74" s="58">
        <x:f>(($O74*AT74)/100)+(AU74*12)</x:f>
      </x:c>
      <x:c r="AW74" s="47"/>
      <x:c r="AX74" s="60"/>
      <x:c r="AY74" s="58">
        <x:f>(($O74*AW74)/100)+(AX74*12)</x:f>
      </x:c>
      <x:c r="AZ74" s="47"/>
      <x:c r="BA74" s="60"/>
      <x:c r="BB74" s="58">
        <x:f>(($O74*AZ74)/100)+(BA74*12)</x:f>
      </x:c>
      <x:c r="BC74" s="47"/>
      <x:c r="BD74" s="60"/>
      <x:c r="BE74" s="58">
        <x:f>(($O74*BC74)/100)+(BD74*12)</x:f>
      </x:c>
      <x:c r="BF74" s="47"/>
      <x:c r="BG74" s="60"/>
      <x:c r="BH74" s="58">
        <x:f>(($O74*BF74)/100)+(BG74*12)</x:f>
      </x:c>
      <x:c r="BI74" s="47"/>
      <x:c r="BJ74" s="60"/>
      <x:c r="BK74" s="58">
        <x:f>(($O74*BI74)/100)+(BJ74*12)</x:f>
      </x:c>
      <x:c r="BL74" s="47"/>
      <x:c r="BM74" s="60"/>
      <x:c r="BN74" s="58">
        <x:f>(($O74*BL74)/100)+(BM74*12)</x:f>
      </x:c>
      <x:c r="BO74" s="47"/>
      <x:c r="BP74" s="60"/>
      <x:c r="BQ74" s="58">
        <x:f>(($O74*BO74)/100)+(BP74*12)</x:f>
      </x:c>
      <x:c r="BR74" s="47"/>
      <x:c r="BS74" s="60"/>
      <x:c r="BT74" s="58">
        <x:f>(($O74*BR74)/100)+(BS74*12)</x:f>
      </x:c>
      <x:c r="BU74" s="47"/>
      <x:c r="BV74" s="60"/>
      <x:c r="BW74" s="58">
        <x:f>(($O74*BU74)/100)+(BV74*12)</x:f>
      </x:c>
      <x:c r="BX74" s="47"/>
      <x:c r="BY74" s="60"/>
      <x:c r="BZ74" s="58">
        <x:f>(($O74*BX74)/100)+(BY74*12)</x:f>
      </x:c>
      <x:c r="CA74" s="47"/>
      <x:c r="CB74" s="60"/>
      <x:c r="CC74" s="58">
        <x:f>(($O74*CA74)/100)+(CB74*12)</x:f>
      </x:c>
      <x:c r="CD74" s="47"/>
      <x:c r="CE74" s="60"/>
      <x:c r="CF74" s="58">
        <x:f>(($O74*CD74)/100)+(CE74*12)</x:f>
      </x:c>
      <x:c r="CG74" s="47"/>
      <x:c r="CH74" s="60"/>
      <x:c r="CI74" s="58">
        <x:f>(($O74*CG74)/100)+(CH74*12)</x:f>
      </x:c>
      <x:c r="CJ74" s="47"/>
      <x:c r="CK74" s="60"/>
      <x:c r="CL74" s="58">
        <x:f>(($O74*CJ74)/100)+(CK74*12)</x:f>
      </x:c>
      <x:c r="CM74" s="47"/>
      <x:c r="CN74" s="60"/>
      <x:c r="CO74" s="58">
        <x:f>(($O74*CM74)/100)+(CN74*12)</x:f>
      </x:c>
      <x:c r="CP74" s="47"/>
      <x:c r="CQ74" s="60"/>
      <x:c r="CR74" s="58">
        <x:f>(($O74*CP74)/100)+(CQ74*12)</x:f>
      </x:c>
      <x:c r="CS74" s="47"/>
      <x:c r="CT74" s="60"/>
      <x:c r="CU74" s="58">
        <x:f>(($O74*CS74)/100)+(CT74*12)</x:f>
      </x:c>
      <x:c r="CV74" s="47"/>
      <x:c r="CW74" s="60"/>
      <x:c r="CX74" s="58"/>
      <x:c r="CY74" s="47"/>
      <x:c r="CZ74" s="60"/>
      <x:c r="DA74" s="58"/>
      <x:c r="DB74" s="47"/>
      <x:c r="DC74" s="60"/>
      <x:c r="DD74" s="58"/>
      <x:c r="DE74" s="47"/>
      <x:c r="DF74" s="60"/>
      <x:c r="DG74" s="58"/>
      <x:c r="DH74" s="47"/>
      <x:c r="DI74" s="60"/>
      <x:c r="DJ74" s="58"/>
      <x:c r="DK74" s="47"/>
      <x:c r="DL74" s="60"/>
      <x:c r="DM74" s="58"/>
      <x:c r="DN74" s="11"/>
      <x:c r="DO74" s="61"/>
      <x:c r="DP74" s="62"/>
      <x:c r="DQ74" s="11"/>
      <x:c r="DR74" s="61"/>
      <x:c r="DS74" s="62"/>
      <x:c r="DT74" s="11"/>
      <x:c r="DU74" s="61"/>
      <x:c r="DV74" s="62"/>
    </x:row>
    <x:row r="75" spans="1:126" x14ac:dyDescent="0.3">
      <x:c r="A75" s="47"/>
      <x:c r="B75" s="70"/>
      <x:c r="C75" s="70"/>
      <x:c r="D75" s="70"/>
      <x:c r="E75" s="70"/>
      <x:c r="F75" s="70"/>
      <x:c r="G75" s="70"/>
      <x:c r="H75" s="70"/>
      <x:c r="I75" s="70"/>
      <x:c r="J75" s="70"/>
      <x:c r="K75" s="190"/>
      <x:c r="L75" s="191"/>
      <x:c r="M75" s="192">
        <x:f>IF(ISERROR(INDEX('Meter Type Data'!$B$2:$E$1165,SUMPRODUCT(--('Meter Type Data'!$B$2:$B$1165&lt;=Analysis!L75)*('Meter Type Data'!$C$2:$C$1165&gt;=Analysis!L75),ROW('Meter Type Data'!$B$2:$B$1165))-1,4))," ",INDEX('Meter Type Data'!$B$2:$E$1165,SUMPRODUCT(--('Meter Type Data'!$B$2:$B$1165&lt;=Analysis!L75)*('Meter Type Data'!$C$2:$C$1165&gt;=Analysis!L75),ROW('Meter Type Data'!$B$2:$B$1165))-1,4))</x:f>
      </x:c>
      <x:c r="N75" s="192">
        <x:f>IF(ISERROR(INDEX('Meter Type Data'!$B$2:$D$1165,SUMPRODUCT(--('Meter Type Data'!$B$2:$B$1165&lt;=Analysis!L75)*('Meter Type Data'!$C$2:$C$1165&gt;=Analysis!L75),ROW('Meter Type Data'!$B$2:$B$1165))-1,3))," ",INDEX('Meter Type Data'!$B$2:$D$1165,SUMPRODUCT(--('Meter Type Data'!$B$2:$B$1165&lt;=Analysis!L75)*('Meter Type Data'!$C$2:$C$1165&gt;=Analysis!L75),ROW('Meter Type Data'!$B$2:$B$1165))-1,3))</x:f>
      </x:c>
      <x:c r="O75" s="69"/>
      <x:c r="P75" s="47"/>
      <x:c r="Q75" s="60"/>
      <x:c r="R75" s="58">
        <x:f>(($O75*P75)/100)+(Q75*12)</x:f>
      </x:c>
      <x:c r="S75" s="59"/>
      <x:c r="T75" s="59"/>
      <x:c r="U75" s="58">
        <x:f>(($O75*S75)/100)+(T75*12)</x:f>
      </x:c>
      <x:c r="V75" s="47"/>
      <x:c r="W75" s="60"/>
      <x:c r="X75" s="58">
        <x:f>(($O75*V75)/100)+(W75*12)</x:f>
      </x:c>
      <x:c r="Y75" s="47"/>
      <x:c r="Z75" s="60"/>
      <x:c r="AA75" s="58">
        <x:f>(($O75*Y75)/100)+(Z75*12)</x:f>
      </x:c>
      <x:c r="AB75" s="47"/>
      <x:c r="AC75" s="60"/>
      <x:c r="AD75" s="58">
        <x:f>(($O75*AB75)/100)+(AC75*12)</x:f>
      </x:c>
      <x:c r="AE75" s="47"/>
      <x:c r="AF75" s="60"/>
      <x:c r="AG75" s="58">
        <x:f>(($O75*AE75)/100)+(AF75*12)</x:f>
      </x:c>
      <x:c r="AH75" s="47"/>
      <x:c r="AI75" s="60"/>
      <x:c r="AJ75" s="58">
        <x:f>(($O75*AH75)/100)+(AI75*12)</x:f>
      </x:c>
      <x:c r="AK75" s="47"/>
      <x:c r="AL75" s="60"/>
      <x:c r="AM75" s="58">
        <x:f>(($O75*AK75)/100)+(AL75*12)</x:f>
      </x:c>
      <x:c r="AN75" s="47"/>
      <x:c r="AO75" s="60"/>
      <x:c r="AP75" s="58">
        <x:f>(($O75*AN75)/100)+(AO75*12)</x:f>
      </x:c>
      <x:c r="AQ75" s="47"/>
      <x:c r="AR75" s="60"/>
      <x:c r="AS75" s="58">
        <x:f>(($O75*AQ75)/100)+(AR75*12)</x:f>
      </x:c>
      <x:c r="AT75" s="47"/>
      <x:c r="AU75" s="60"/>
      <x:c r="AV75" s="58">
        <x:f>(($O75*AT75)/100)+(AU75*12)</x:f>
      </x:c>
      <x:c r="AW75" s="47"/>
      <x:c r="AX75" s="60"/>
      <x:c r="AY75" s="58">
        <x:f>(($O75*AW75)/100)+(AX75*12)</x:f>
      </x:c>
      <x:c r="AZ75" s="47"/>
      <x:c r="BA75" s="60"/>
      <x:c r="BB75" s="58">
        <x:f>(($O75*AZ75)/100)+(BA75*12)</x:f>
      </x:c>
      <x:c r="BC75" s="47"/>
      <x:c r="BD75" s="60"/>
      <x:c r="BE75" s="58">
        <x:f>(($O75*BC75)/100)+(BD75*12)</x:f>
      </x:c>
      <x:c r="BF75" s="47"/>
      <x:c r="BG75" s="60"/>
      <x:c r="BH75" s="58">
        <x:f>(($O75*BF75)/100)+(BG75*12)</x:f>
      </x:c>
      <x:c r="BI75" s="47"/>
      <x:c r="BJ75" s="60"/>
      <x:c r="BK75" s="58">
        <x:f>(($O75*BI75)/100)+(BJ75*12)</x:f>
      </x:c>
      <x:c r="BL75" s="47"/>
      <x:c r="BM75" s="60"/>
      <x:c r="BN75" s="58">
        <x:f>(($O75*BL75)/100)+(BM75*12)</x:f>
      </x:c>
      <x:c r="BO75" s="47"/>
      <x:c r="BP75" s="60"/>
      <x:c r="BQ75" s="58">
        <x:f>(($O75*BO75)/100)+(BP75*12)</x:f>
      </x:c>
      <x:c r="BR75" s="47"/>
      <x:c r="BS75" s="60"/>
      <x:c r="BT75" s="58">
        <x:f>(($O75*BR75)/100)+(BS75*12)</x:f>
      </x:c>
      <x:c r="BU75" s="47"/>
      <x:c r="BV75" s="60"/>
      <x:c r="BW75" s="58">
        <x:f>(($O75*BU75)/100)+(BV75*12)</x:f>
      </x:c>
      <x:c r="BX75" s="47"/>
      <x:c r="BY75" s="60"/>
      <x:c r="BZ75" s="58">
        <x:f>(($O75*BX75)/100)+(BY75*12)</x:f>
      </x:c>
      <x:c r="CA75" s="47"/>
      <x:c r="CB75" s="60"/>
      <x:c r="CC75" s="58">
        <x:f>(($O75*CA75)/100)+(CB75*12)</x:f>
      </x:c>
      <x:c r="CD75" s="47"/>
      <x:c r="CE75" s="60"/>
      <x:c r="CF75" s="58">
        <x:f>(($O75*CD75)/100)+(CE75*12)</x:f>
      </x:c>
      <x:c r="CG75" s="47"/>
      <x:c r="CH75" s="60"/>
      <x:c r="CI75" s="58">
        <x:f>(($O75*CG75)/100)+(CH75*12)</x:f>
      </x:c>
      <x:c r="CJ75" s="47"/>
      <x:c r="CK75" s="60"/>
      <x:c r="CL75" s="58">
        <x:f>(($O75*CJ75)/100)+(CK75*12)</x:f>
      </x:c>
      <x:c r="CM75" s="47"/>
      <x:c r="CN75" s="60"/>
      <x:c r="CO75" s="58">
        <x:f>(($O75*CM75)/100)+(CN75*12)</x:f>
      </x:c>
      <x:c r="CP75" s="47"/>
      <x:c r="CQ75" s="60"/>
      <x:c r="CR75" s="58">
        <x:f>(($O75*CP75)/100)+(CQ75*12)</x:f>
      </x:c>
      <x:c r="CS75" s="47"/>
      <x:c r="CT75" s="60"/>
      <x:c r="CU75" s="58">
        <x:f>(($O75*CS75)/100)+(CT75*12)</x:f>
      </x:c>
      <x:c r="CV75" s="47"/>
      <x:c r="CW75" s="60"/>
      <x:c r="CX75" s="58"/>
      <x:c r="CY75" s="47"/>
      <x:c r="CZ75" s="60"/>
      <x:c r="DA75" s="58"/>
      <x:c r="DB75" s="47"/>
      <x:c r="DC75" s="60"/>
      <x:c r="DD75" s="58"/>
      <x:c r="DE75" s="47"/>
      <x:c r="DF75" s="60"/>
      <x:c r="DG75" s="58"/>
      <x:c r="DH75" s="47"/>
      <x:c r="DI75" s="60"/>
      <x:c r="DJ75" s="58"/>
      <x:c r="DK75" s="47"/>
      <x:c r="DL75" s="60"/>
      <x:c r="DM75" s="58"/>
      <x:c r="DN75" s="11"/>
      <x:c r="DO75" s="61"/>
      <x:c r="DP75" s="62"/>
      <x:c r="DQ75" s="11"/>
      <x:c r="DR75" s="61"/>
      <x:c r="DS75" s="62"/>
      <x:c r="DT75" s="11"/>
      <x:c r="DU75" s="61"/>
      <x:c r="DV75" s="62"/>
    </x:row>
    <x:row r="76" spans="1:126" x14ac:dyDescent="0.3">
      <x:c r="A76" s="47"/>
      <x:c r="B76" s="70"/>
      <x:c r="C76" s="70"/>
      <x:c r="D76" s="70"/>
      <x:c r="E76" s="70"/>
      <x:c r="F76" s="70"/>
      <x:c r="G76" s="70"/>
      <x:c r="H76" s="70"/>
      <x:c r="I76" s="70"/>
      <x:c r="J76" s="70"/>
      <x:c r="K76" s="190"/>
      <x:c r="L76" s="191"/>
      <x:c r="M76" s="192">
        <x:f>IF(ISERROR(INDEX('Meter Type Data'!$B$2:$E$1165,SUMPRODUCT(--('Meter Type Data'!$B$2:$B$1165&lt;=Analysis!L76)*('Meter Type Data'!$C$2:$C$1165&gt;=Analysis!L76),ROW('Meter Type Data'!$B$2:$B$1165))-1,4))," ",INDEX('Meter Type Data'!$B$2:$E$1165,SUMPRODUCT(--('Meter Type Data'!$B$2:$B$1165&lt;=Analysis!L76)*('Meter Type Data'!$C$2:$C$1165&gt;=Analysis!L76),ROW('Meter Type Data'!$B$2:$B$1165))-1,4))</x:f>
      </x:c>
      <x:c r="N76" s="192">
        <x:f>IF(ISERROR(INDEX('Meter Type Data'!$B$2:$D$1165,SUMPRODUCT(--('Meter Type Data'!$B$2:$B$1165&lt;=Analysis!L76)*('Meter Type Data'!$C$2:$C$1165&gt;=Analysis!L76),ROW('Meter Type Data'!$B$2:$B$1165))-1,3))," ",INDEX('Meter Type Data'!$B$2:$D$1165,SUMPRODUCT(--('Meter Type Data'!$B$2:$B$1165&lt;=Analysis!L76)*('Meter Type Data'!$C$2:$C$1165&gt;=Analysis!L76),ROW('Meter Type Data'!$B$2:$B$1165))-1,3))</x:f>
      </x:c>
      <x:c r="O76" s="69"/>
      <x:c r="P76" s="47"/>
      <x:c r="Q76" s="60"/>
      <x:c r="R76" s="58">
        <x:f>(($O76*P76)/100)+(Q76*12)</x:f>
      </x:c>
      <x:c r="S76" s="59"/>
      <x:c r="T76" s="59"/>
      <x:c r="U76" s="58">
        <x:f>(($O76*S76)/100)+(T76*12)</x:f>
      </x:c>
      <x:c r="V76" s="47"/>
      <x:c r="W76" s="60"/>
      <x:c r="X76" s="58">
        <x:f>(($O76*V76)/100)+(W76*12)</x:f>
      </x:c>
      <x:c r="Y76" s="47"/>
      <x:c r="Z76" s="60"/>
      <x:c r="AA76" s="58">
        <x:f>(($O76*Y76)/100)+(Z76*12)</x:f>
      </x:c>
      <x:c r="AB76" s="47"/>
      <x:c r="AC76" s="60"/>
      <x:c r="AD76" s="58">
        <x:f>(($O76*AB76)/100)+(AC76*12)</x:f>
      </x:c>
      <x:c r="AE76" s="47"/>
      <x:c r="AF76" s="60"/>
      <x:c r="AG76" s="58">
        <x:f>(($O76*AE76)/100)+(AF76*12)</x:f>
      </x:c>
      <x:c r="AH76" s="47"/>
      <x:c r="AI76" s="60"/>
      <x:c r="AJ76" s="58">
        <x:f>(($O76*AH76)/100)+(AI76*12)</x:f>
      </x:c>
      <x:c r="AK76" s="47"/>
      <x:c r="AL76" s="60"/>
      <x:c r="AM76" s="58">
        <x:f>(($O76*AK76)/100)+(AL76*12)</x:f>
      </x:c>
      <x:c r="AN76" s="47"/>
      <x:c r="AO76" s="60"/>
      <x:c r="AP76" s="58">
        <x:f>(($O76*AN76)/100)+(AO76*12)</x:f>
      </x:c>
      <x:c r="AQ76" s="47"/>
      <x:c r="AR76" s="60"/>
      <x:c r="AS76" s="58">
        <x:f>(($O76*AQ76)/100)+(AR76*12)</x:f>
      </x:c>
      <x:c r="AT76" s="47"/>
      <x:c r="AU76" s="60"/>
      <x:c r="AV76" s="58">
        <x:f>(($O76*AT76)/100)+(AU76*12)</x:f>
      </x:c>
      <x:c r="AW76" s="47"/>
      <x:c r="AX76" s="60"/>
      <x:c r="AY76" s="58">
        <x:f>(($O76*AW76)/100)+(AX76*12)</x:f>
      </x:c>
      <x:c r="AZ76" s="47"/>
      <x:c r="BA76" s="60"/>
      <x:c r="BB76" s="58">
        <x:f>(($O76*AZ76)/100)+(BA76*12)</x:f>
      </x:c>
      <x:c r="BC76" s="47"/>
      <x:c r="BD76" s="60"/>
      <x:c r="BE76" s="58">
        <x:f>(($O76*BC76)/100)+(BD76*12)</x:f>
      </x:c>
      <x:c r="BF76" s="47"/>
      <x:c r="BG76" s="60"/>
      <x:c r="BH76" s="58">
        <x:f>(($O76*BF76)/100)+(BG76*12)</x:f>
      </x:c>
      <x:c r="BI76" s="47"/>
      <x:c r="BJ76" s="60"/>
      <x:c r="BK76" s="58">
        <x:f>(($O76*BI76)/100)+(BJ76*12)</x:f>
      </x:c>
      <x:c r="BL76" s="47"/>
      <x:c r="BM76" s="60"/>
      <x:c r="BN76" s="58">
        <x:f>(($O76*BL76)/100)+(BM76*12)</x:f>
      </x:c>
      <x:c r="BO76" s="47"/>
      <x:c r="BP76" s="60"/>
      <x:c r="BQ76" s="58">
        <x:f>(($O76*BO76)/100)+(BP76*12)</x:f>
      </x:c>
      <x:c r="BR76" s="47"/>
      <x:c r="BS76" s="60"/>
      <x:c r="BT76" s="58">
        <x:f>(($O76*BR76)/100)+(BS76*12)</x:f>
      </x:c>
      <x:c r="BU76" s="47"/>
      <x:c r="BV76" s="60"/>
      <x:c r="BW76" s="58">
        <x:f>(($O76*BU76)/100)+(BV76*12)</x:f>
      </x:c>
      <x:c r="BX76" s="47"/>
      <x:c r="BY76" s="60"/>
      <x:c r="BZ76" s="58">
        <x:f>(($O76*BX76)/100)+(BY76*12)</x:f>
      </x:c>
      <x:c r="CA76" s="47"/>
      <x:c r="CB76" s="60"/>
      <x:c r="CC76" s="58">
        <x:f>(($O76*CA76)/100)+(CB76*12)</x:f>
      </x:c>
      <x:c r="CD76" s="47"/>
      <x:c r="CE76" s="60"/>
      <x:c r="CF76" s="58">
        <x:f>(($O76*CD76)/100)+(CE76*12)</x:f>
      </x:c>
      <x:c r="CG76" s="47"/>
      <x:c r="CH76" s="60"/>
      <x:c r="CI76" s="58">
        <x:f>(($O76*CG76)/100)+(CH76*12)</x:f>
      </x:c>
      <x:c r="CJ76" s="47"/>
      <x:c r="CK76" s="60"/>
      <x:c r="CL76" s="58">
        <x:f>(($O76*CJ76)/100)+(CK76*12)</x:f>
      </x:c>
      <x:c r="CM76" s="47"/>
      <x:c r="CN76" s="60"/>
      <x:c r="CO76" s="58">
        <x:f>(($O76*CM76)/100)+(CN76*12)</x:f>
      </x:c>
      <x:c r="CP76" s="47"/>
      <x:c r="CQ76" s="60"/>
      <x:c r="CR76" s="58">
        <x:f>(($O76*CP76)/100)+(CQ76*12)</x:f>
      </x:c>
      <x:c r="CS76" s="47"/>
      <x:c r="CT76" s="60"/>
      <x:c r="CU76" s="58">
        <x:f>(($O76*CS76)/100)+(CT76*12)</x:f>
      </x:c>
      <x:c r="CV76" s="47"/>
      <x:c r="CW76" s="60"/>
      <x:c r="CX76" s="58"/>
      <x:c r="CY76" s="47"/>
      <x:c r="CZ76" s="60"/>
      <x:c r="DA76" s="58"/>
      <x:c r="DB76" s="47"/>
      <x:c r="DC76" s="60"/>
      <x:c r="DD76" s="58"/>
      <x:c r="DE76" s="47"/>
      <x:c r="DF76" s="60"/>
      <x:c r="DG76" s="58"/>
      <x:c r="DH76" s="47"/>
      <x:c r="DI76" s="60"/>
      <x:c r="DJ76" s="58"/>
      <x:c r="DK76" s="47"/>
      <x:c r="DL76" s="60"/>
      <x:c r="DM76" s="58"/>
      <x:c r="DN76" s="11"/>
      <x:c r="DO76" s="61"/>
      <x:c r="DP76" s="62"/>
      <x:c r="DQ76" s="11"/>
      <x:c r="DR76" s="61"/>
      <x:c r="DS76" s="62"/>
      <x:c r="DT76" s="11"/>
      <x:c r="DU76" s="61"/>
      <x:c r="DV76" s="62"/>
    </x:row>
    <x:row r="77" spans="1:126" x14ac:dyDescent="0.3">
      <x:c r="A77" s="47"/>
      <x:c r="B77" s="70"/>
      <x:c r="C77" s="70"/>
      <x:c r="D77" s="70"/>
      <x:c r="E77" s="70"/>
      <x:c r="F77" s="70"/>
      <x:c r="G77" s="70"/>
      <x:c r="H77" s="70"/>
      <x:c r="I77" s="70"/>
      <x:c r="J77" s="70"/>
      <x:c r="K77" s="190"/>
      <x:c r="L77" s="191"/>
      <x:c r="M77" s="192">
        <x:f>IF(ISERROR(INDEX('Meter Type Data'!$B$2:$E$1165,SUMPRODUCT(--('Meter Type Data'!$B$2:$B$1165&lt;=Analysis!L77)*('Meter Type Data'!$C$2:$C$1165&gt;=Analysis!L77),ROW('Meter Type Data'!$B$2:$B$1165))-1,4))," ",INDEX('Meter Type Data'!$B$2:$E$1165,SUMPRODUCT(--('Meter Type Data'!$B$2:$B$1165&lt;=Analysis!L77)*('Meter Type Data'!$C$2:$C$1165&gt;=Analysis!L77),ROW('Meter Type Data'!$B$2:$B$1165))-1,4))</x:f>
      </x:c>
      <x:c r="N77" s="192">
        <x:f>IF(ISERROR(INDEX('Meter Type Data'!$B$2:$D$1165,SUMPRODUCT(--('Meter Type Data'!$B$2:$B$1165&lt;=Analysis!L77)*('Meter Type Data'!$C$2:$C$1165&gt;=Analysis!L77),ROW('Meter Type Data'!$B$2:$B$1165))-1,3))," ",INDEX('Meter Type Data'!$B$2:$D$1165,SUMPRODUCT(--('Meter Type Data'!$B$2:$B$1165&lt;=Analysis!L77)*('Meter Type Data'!$C$2:$C$1165&gt;=Analysis!L77),ROW('Meter Type Data'!$B$2:$B$1165))-1,3))</x:f>
      </x:c>
      <x:c r="O77" s="69"/>
      <x:c r="P77" s="47"/>
      <x:c r="Q77" s="60"/>
      <x:c r="R77" s="58">
        <x:f>(($O77*P77)/100)+(Q77*12)</x:f>
      </x:c>
      <x:c r="S77" s="59"/>
      <x:c r="T77" s="59"/>
      <x:c r="U77" s="58">
        <x:f>(($O77*S77)/100)+(T77*12)</x:f>
      </x:c>
      <x:c r="V77" s="47"/>
      <x:c r="W77" s="60"/>
      <x:c r="X77" s="58">
        <x:f>(($O77*V77)/100)+(W77*12)</x:f>
      </x:c>
      <x:c r="Y77" s="47"/>
      <x:c r="Z77" s="60"/>
      <x:c r="AA77" s="58">
        <x:f>(($O77*Y77)/100)+(Z77*12)</x:f>
      </x:c>
      <x:c r="AB77" s="47"/>
      <x:c r="AC77" s="60"/>
      <x:c r="AD77" s="58">
        <x:f>(($O77*AB77)/100)+(AC77*12)</x:f>
      </x:c>
      <x:c r="AE77" s="47"/>
      <x:c r="AF77" s="60"/>
      <x:c r="AG77" s="58">
        <x:f>(($O77*AE77)/100)+(AF77*12)</x:f>
      </x:c>
      <x:c r="AH77" s="47"/>
      <x:c r="AI77" s="60"/>
      <x:c r="AJ77" s="58">
        <x:f>(($O77*AH77)/100)+(AI77*12)</x:f>
      </x:c>
      <x:c r="AK77" s="47"/>
      <x:c r="AL77" s="60"/>
      <x:c r="AM77" s="58">
        <x:f>(($O77*AK77)/100)+(AL77*12)</x:f>
      </x:c>
      <x:c r="AN77" s="47"/>
      <x:c r="AO77" s="60"/>
      <x:c r="AP77" s="58">
        <x:f>(($O77*AN77)/100)+(AO77*12)</x:f>
      </x:c>
      <x:c r="AQ77" s="47"/>
      <x:c r="AR77" s="60"/>
      <x:c r="AS77" s="58">
        <x:f>(($O77*AQ77)/100)+(AR77*12)</x:f>
      </x:c>
      <x:c r="AT77" s="47"/>
      <x:c r="AU77" s="60"/>
      <x:c r="AV77" s="58">
        <x:f>(($O77*AT77)/100)+(AU77*12)</x:f>
      </x:c>
      <x:c r="AW77" s="47"/>
      <x:c r="AX77" s="60"/>
      <x:c r="AY77" s="58">
        <x:f>(($O77*AW77)/100)+(AX77*12)</x:f>
      </x:c>
      <x:c r="AZ77" s="47"/>
      <x:c r="BA77" s="60"/>
      <x:c r="BB77" s="58">
        <x:f>(($O77*AZ77)/100)+(BA77*12)</x:f>
      </x:c>
      <x:c r="BC77" s="47"/>
      <x:c r="BD77" s="60"/>
      <x:c r="BE77" s="58">
        <x:f>(($O77*BC77)/100)+(BD77*12)</x:f>
      </x:c>
      <x:c r="BF77" s="47"/>
      <x:c r="BG77" s="60"/>
      <x:c r="BH77" s="58">
        <x:f>(($O77*BF77)/100)+(BG77*12)</x:f>
      </x:c>
      <x:c r="BI77" s="47"/>
      <x:c r="BJ77" s="60"/>
      <x:c r="BK77" s="58">
        <x:f>(($O77*BI77)/100)+(BJ77*12)</x:f>
      </x:c>
      <x:c r="BL77" s="47"/>
      <x:c r="BM77" s="60"/>
      <x:c r="BN77" s="58">
        <x:f>(($O77*BL77)/100)+(BM77*12)</x:f>
      </x:c>
      <x:c r="BO77" s="47"/>
      <x:c r="BP77" s="60"/>
      <x:c r="BQ77" s="58">
        <x:f>(($O77*BO77)/100)+(BP77*12)</x:f>
      </x:c>
      <x:c r="BR77" s="47"/>
      <x:c r="BS77" s="60"/>
      <x:c r="BT77" s="58">
        <x:f>(($O77*BR77)/100)+(BS77*12)</x:f>
      </x:c>
      <x:c r="BU77" s="47"/>
      <x:c r="BV77" s="60"/>
      <x:c r="BW77" s="58">
        <x:f>(($O77*BU77)/100)+(BV77*12)</x:f>
      </x:c>
      <x:c r="BX77" s="47"/>
      <x:c r="BY77" s="60"/>
      <x:c r="BZ77" s="58">
        <x:f>(($O77*BX77)/100)+(BY77*12)</x:f>
      </x:c>
      <x:c r="CA77" s="47"/>
      <x:c r="CB77" s="60"/>
      <x:c r="CC77" s="58">
        <x:f>(($O77*CA77)/100)+(CB77*12)</x:f>
      </x:c>
      <x:c r="CD77" s="47"/>
      <x:c r="CE77" s="60"/>
      <x:c r="CF77" s="58">
        <x:f>(($O77*CD77)/100)+(CE77*12)</x:f>
      </x:c>
      <x:c r="CG77" s="47"/>
      <x:c r="CH77" s="60"/>
      <x:c r="CI77" s="58">
        <x:f>(($O77*CG77)/100)+(CH77*12)</x:f>
      </x:c>
      <x:c r="CJ77" s="47"/>
      <x:c r="CK77" s="60"/>
      <x:c r="CL77" s="58">
        <x:f>(($O77*CJ77)/100)+(CK77*12)</x:f>
      </x:c>
      <x:c r="CM77" s="47"/>
      <x:c r="CN77" s="60"/>
      <x:c r="CO77" s="58">
        <x:f>(($O77*CM77)/100)+(CN77*12)</x:f>
      </x:c>
      <x:c r="CP77" s="47"/>
      <x:c r="CQ77" s="60"/>
      <x:c r="CR77" s="58">
        <x:f>(($O77*CP77)/100)+(CQ77*12)</x:f>
      </x:c>
      <x:c r="CS77" s="47"/>
      <x:c r="CT77" s="60"/>
      <x:c r="CU77" s="58">
        <x:f>(($O77*CS77)/100)+(CT77*12)</x:f>
      </x:c>
      <x:c r="CV77" s="47"/>
      <x:c r="CW77" s="60"/>
      <x:c r="CX77" s="58"/>
      <x:c r="CY77" s="47"/>
      <x:c r="CZ77" s="60"/>
      <x:c r="DA77" s="58"/>
      <x:c r="DB77" s="47"/>
      <x:c r="DC77" s="60"/>
      <x:c r="DD77" s="58"/>
      <x:c r="DE77" s="47"/>
      <x:c r="DF77" s="60"/>
      <x:c r="DG77" s="58"/>
      <x:c r="DH77" s="47"/>
      <x:c r="DI77" s="60"/>
      <x:c r="DJ77" s="58"/>
      <x:c r="DK77" s="47"/>
      <x:c r="DL77" s="60"/>
      <x:c r="DM77" s="58"/>
      <x:c r="DN77" s="11"/>
      <x:c r="DO77" s="61"/>
      <x:c r="DP77" s="62"/>
      <x:c r="DQ77" s="11"/>
      <x:c r="DR77" s="61"/>
      <x:c r="DS77" s="62"/>
      <x:c r="DT77" s="11"/>
      <x:c r="DU77" s="61"/>
      <x:c r="DV77" s="62"/>
    </x:row>
    <x:row r="78" spans="1:126" x14ac:dyDescent="0.3">
      <x:c r="A78" s="47"/>
      <x:c r="B78" s="70"/>
      <x:c r="C78" s="70"/>
      <x:c r="D78" s="70"/>
      <x:c r="E78" s="70"/>
      <x:c r="F78" s="70"/>
      <x:c r="G78" s="70"/>
      <x:c r="H78" s="70"/>
      <x:c r="I78" s="70"/>
      <x:c r="J78" s="70"/>
      <x:c r="K78" s="190"/>
      <x:c r="L78" s="191"/>
      <x:c r="M78" s="192">
        <x:f>IF(ISERROR(INDEX('Meter Type Data'!$B$2:$E$1165,SUMPRODUCT(--('Meter Type Data'!$B$2:$B$1165&lt;=Analysis!L78)*('Meter Type Data'!$C$2:$C$1165&gt;=Analysis!L78),ROW('Meter Type Data'!$B$2:$B$1165))-1,4))," ",INDEX('Meter Type Data'!$B$2:$E$1165,SUMPRODUCT(--('Meter Type Data'!$B$2:$B$1165&lt;=Analysis!L78)*('Meter Type Data'!$C$2:$C$1165&gt;=Analysis!L78),ROW('Meter Type Data'!$B$2:$B$1165))-1,4))</x:f>
      </x:c>
      <x:c r="N78" s="192">
        <x:f>IF(ISERROR(INDEX('Meter Type Data'!$B$2:$D$1165,SUMPRODUCT(--('Meter Type Data'!$B$2:$B$1165&lt;=Analysis!L78)*('Meter Type Data'!$C$2:$C$1165&gt;=Analysis!L78),ROW('Meter Type Data'!$B$2:$B$1165))-1,3))," ",INDEX('Meter Type Data'!$B$2:$D$1165,SUMPRODUCT(--('Meter Type Data'!$B$2:$B$1165&lt;=Analysis!L78)*('Meter Type Data'!$C$2:$C$1165&gt;=Analysis!L78),ROW('Meter Type Data'!$B$2:$B$1165))-1,3))</x:f>
      </x:c>
      <x:c r="O78" s="69"/>
      <x:c r="P78" s="47"/>
      <x:c r="Q78" s="60"/>
      <x:c r="R78" s="58">
        <x:f>(($O78*P78)/100)+(Q78*12)</x:f>
      </x:c>
      <x:c r="S78" s="59"/>
      <x:c r="T78" s="59"/>
      <x:c r="U78" s="58">
        <x:f>(($O78*S78)/100)+(T78*12)</x:f>
      </x:c>
      <x:c r="V78" s="47"/>
      <x:c r="W78" s="60"/>
      <x:c r="X78" s="58">
        <x:f>(($O78*V78)/100)+(W78*12)</x:f>
      </x:c>
      <x:c r="Y78" s="47"/>
      <x:c r="Z78" s="60"/>
      <x:c r="AA78" s="58">
        <x:f>(($O78*Y78)/100)+(Z78*12)</x:f>
      </x:c>
      <x:c r="AB78" s="47"/>
      <x:c r="AC78" s="60"/>
      <x:c r="AD78" s="58">
        <x:f>(($O78*AB78)/100)+(AC78*12)</x:f>
      </x:c>
      <x:c r="AE78" s="47"/>
      <x:c r="AF78" s="60"/>
      <x:c r="AG78" s="58">
        <x:f>(($O78*AE78)/100)+(AF78*12)</x:f>
      </x:c>
      <x:c r="AH78" s="47"/>
      <x:c r="AI78" s="60"/>
      <x:c r="AJ78" s="58">
        <x:f>(($O78*AH78)/100)+(AI78*12)</x:f>
      </x:c>
      <x:c r="AK78" s="47"/>
      <x:c r="AL78" s="60"/>
      <x:c r="AM78" s="58">
        <x:f>(($O78*AK78)/100)+(AL78*12)</x:f>
      </x:c>
      <x:c r="AN78" s="47"/>
      <x:c r="AO78" s="60"/>
      <x:c r="AP78" s="58">
        <x:f>(($O78*AN78)/100)+(AO78*12)</x:f>
      </x:c>
      <x:c r="AQ78" s="47"/>
      <x:c r="AR78" s="60"/>
      <x:c r="AS78" s="58">
        <x:f>(($O78*AQ78)/100)+(AR78*12)</x:f>
      </x:c>
      <x:c r="AT78" s="47"/>
      <x:c r="AU78" s="60"/>
      <x:c r="AV78" s="58">
        <x:f>(($O78*AT78)/100)+(AU78*12)</x:f>
      </x:c>
      <x:c r="AW78" s="47"/>
      <x:c r="AX78" s="60"/>
      <x:c r="AY78" s="58">
        <x:f>(($O78*AW78)/100)+(AX78*12)</x:f>
      </x:c>
      <x:c r="AZ78" s="47"/>
      <x:c r="BA78" s="60"/>
      <x:c r="BB78" s="58">
        <x:f>(($O78*AZ78)/100)+(BA78*12)</x:f>
      </x:c>
      <x:c r="BC78" s="47"/>
      <x:c r="BD78" s="60"/>
      <x:c r="BE78" s="58">
        <x:f>(($O78*BC78)/100)+(BD78*12)</x:f>
      </x:c>
      <x:c r="BF78" s="47"/>
      <x:c r="BG78" s="60"/>
      <x:c r="BH78" s="58">
        <x:f>(($O78*BF78)/100)+(BG78*12)</x:f>
      </x:c>
      <x:c r="BI78" s="47"/>
      <x:c r="BJ78" s="60"/>
      <x:c r="BK78" s="58">
        <x:f>(($O78*BI78)/100)+(BJ78*12)</x:f>
      </x:c>
      <x:c r="BL78" s="47"/>
      <x:c r="BM78" s="60"/>
      <x:c r="BN78" s="58">
        <x:f>(($O78*BL78)/100)+(BM78*12)</x:f>
      </x:c>
      <x:c r="BO78" s="47"/>
      <x:c r="BP78" s="60"/>
      <x:c r="BQ78" s="58">
        <x:f>(($O78*BO78)/100)+(BP78*12)</x:f>
      </x:c>
      <x:c r="BR78" s="47"/>
      <x:c r="BS78" s="60"/>
      <x:c r="BT78" s="58">
        <x:f>(($O78*BR78)/100)+(BS78*12)</x:f>
      </x:c>
      <x:c r="BU78" s="47"/>
      <x:c r="BV78" s="60"/>
      <x:c r="BW78" s="58">
        <x:f>(($O78*BU78)/100)+(BV78*12)</x:f>
      </x:c>
      <x:c r="BX78" s="47"/>
      <x:c r="BY78" s="60"/>
      <x:c r="BZ78" s="58">
        <x:f>(($O78*BX78)/100)+(BY78*12)</x:f>
      </x:c>
      <x:c r="CA78" s="47"/>
      <x:c r="CB78" s="60"/>
      <x:c r="CC78" s="58">
        <x:f>(($O78*CA78)/100)+(CB78*12)</x:f>
      </x:c>
      <x:c r="CD78" s="47"/>
      <x:c r="CE78" s="60"/>
      <x:c r="CF78" s="58">
        <x:f>(($O78*CD78)/100)+(CE78*12)</x:f>
      </x:c>
      <x:c r="CG78" s="47"/>
      <x:c r="CH78" s="60"/>
      <x:c r="CI78" s="58">
        <x:f>(($O78*CG78)/100)+(CH78*12)</x:f>
      </x:c>
      <x:c r="CJ78" s="47"/>
      <x:c r="CK78" s="60"/>
      <x:c r="CL78" s="58">
        <x:f>(($O78*CJ78)/100)+(CK78*12)</x:f>
      </x:c>
      <x:c r="CM78" s="47"/>
      <x:c r="CN78" s="60"/>
      <x:c r="CO78" s="58">
        <x:f>(($O78*CM78)/100)+(CN78*12)</x:f>
      </x:c>
      <x:c r="CP78" s="47"/>
      <x:c r="CQ78" s="60"/>
      <x:c r="CR78" s="58">
        <x:f>(($O78*CP78)/100)+(CQ78*12)</x:f>
      </x:c>
      <x:c r="CS78" s="47"/>
      <x:c r="CT78" s="60"/>
      <x:c r="CU78" s="58">
        <x:f>(($O78*CS78)/100)+(CT78*12)</x:f>
      </x:c>
      <x:c r="CV78" s="47"/>
      <x:c r="CW78" s="60"/>
      <x:c r="CX78" s="58"/>
      <x:c r="CY78" s="47"/>
      <x:c r="CZ78" s="60"/>
      <x:c r="DA78" s="58"/>
      <x:c r="DB78" s="47"/>
      <x:c r="DC78" s="60"/>
      <x:c r="DD78" s="58"/>
      <x:c r="DE78" s="47"/>
      <x:c r="DF78" s="60"/>
      <x:c r="DG78" s="58"/>
      <x:c r="DH78" s="47"/>
      <x:c r="DI78" s="60"/>
      <x:c r="DJ78" s="58"/>
      <x:c r="DK78" s="47"/>
      <x:c r="DL78" s="60"/>
      <x:c r="DM78" s="58"/>
      <x:c r="DN78" s="11"/>
      <x:c r="DO78" s="61"/>
      <x:c r="DP78" s="62"/>
      <x:c r="DQ78" s="11"/>
      <x:c r="DR78" s="61"/>
      <x:c r="DS78" s="62"/>
      <x:c r="DT78" s="11"/>
      <x:c r="DU78" s="61"/>
      <x:c r="DV78" s="62"/>
    </x:row>
    <x:row r="79" spans="1:126" x14ac:dyDescent="0.3">
      <x:c r="A79" s="47"/>
      <x:c r="B79" s="70"/>
      <x:c r="C79" s="70"/>
      <x:c r="D79" s="70"/>
      <x:c r="E79" s="70"/>
      <x:c r="F79" s="70"/>
      <x:c r="G79" s="70"/>
      <x:c r="H79" s="70"/>
      <x:c r="I79" s="70"/>
      <x:c r="J79" s="70"/>
      <x:c r="K79" s="190"/>
      <x:c r="L79" s="191"/>
      <x:c r="M79" s="192">
        <x:f>IF(ISERROR(INDEX('Meter Type Data'!$B$2:$E$1165,SUMPRODUCT(--('Meter Type Data'!$B$2:$B$1165&lt;=Analysis!L79)*('Meter Type Data'!$C$2:$C$1165&gt;=Analysis!L79),ROW('Meter Type Data'!$B$2:$B$1165))-1,4))," ",INDEX('Meter Type Data'!$B$2:$E$1165,SUMPRODUCT(--('Meter Type Data'!$B$2:$B$1165&lt;=Analysis!L79)*('Meter Type Data'!$C$2:$C$1165&gt;=Analysis!L79),ROW('Meter Type Data'!$B$2:$B$1165))-1,4))</x:f>
      </x:c>
      <x:c r="N79" s="192">
        <x:f>IF(ISERROR(INDEX('Meter Type Data'!$B$2:$D$1165,SUMPRODUCT(--('Meter Type Data'!$B$2:$B$1165&lt;=Analysis!L79)*('Meter Type Data'!$C$2:$C$1165&gt;=Analysis!L79),ROW('Meter Type Data'!$B$2:$B$1165))-1,3))," ",INDEX('Meter Type Data'!$B$2:$D$1165,SUMPRODUCT(--('Meter Type Data'!$B$2:$B$1165&lt;=Analysis!L79)*('Meter Type Data'!$C$2:$C$1165&gt;=Analysis!L79),ROW('Meter Type Data'!$B$2:$B$1165))-1,3))</x:f>
      </x:c>
      <x:c r="O79" s="69"/>
      <x:c r="P79" s="47"/>
      <x:c r="Q79" s="60"/>
      <x:c r="R79" s="58">
        <x:f>(($O79*P79)/100)+(Q79*12)</x:f>
      </x:c>
      <x:c r="S79" s="59"/>
      <x:c r="T79" s="59"/>
      <x:c r="U79" s="58">
        <x:f>(($O79*S79)/100)+(T79*12)</x:f>
      </x:c>
      <x:c r="V79" s="47"/>
      <x:c r="W79" s="60"/>
      <x:c r="X79" s="58">
        <x:f>(($O79*V79)/100)+(W79*12)</x:f>
      </x:c>
      <x:c r="Y79" s="47"/>
      <x:c r="Z79" s="60"/>
      <x:c r="AA79" s="58">
        <x:f>(($O79*Y79)/100)+(Z79*12)</x:f>
      </x:c>
      <x:c r="AB79" s="47"/>
      <x:c r="AC79" s="60"/>
      <x:c r="AD79" s="58">
        <x:f>(($O79*AB79)/100)+(AC79*12)</x:f>
      </x:c>
      <x:c r="AE79" s="47"/>
      <x:c r="AF79" s="60"/>
      <x:c r="AG79" s="58">
        <x:f>(($O79*AE79)/100)+(AF79*12)</x:f>
      </x:c>
      <x:c r="AH79" s="47"/>
      <x:c r="AI79" s="60"/>
      <x:c r="AJ79" s="58">
        <x:f>(($O79*AH79)/100)+(AI79*12)</x:f>
      </x:c>
      <x:c r="AK79" s="47"/>
      <x:c r="AL79" s="60"/>
      <x:c r="AM79" s="58">
        <x:f>(($O79*AK79)/100)+(AL79*12)</x:f>
      </x:c>
      <x:c r="AN79" s="47"/>
      <x:c r="AO79" s="60"/>
      <x:c r="AP79" s="58">
        <x:f>(($O79*AN79)/100)+(AO79*12)</x:f>
      </x:c>
      <x:c r="AQ79" s="47"/>
      <x:c r="AR79" s="60"/>
      <x:c r="AS79" s="58">
        <x:f>(($O79*AQ79)/100)+(AR79*12)</x:f>
      </x:c>
      <x:c r="AT79" s="47"/>
      <x:c r="AU79" s="60"/>
      <x:c r="AV79" s="58">
        <x:f>(($O79*AT79)/100)+(AU79*12)</x:f>
      </x:c>
      <x:c r="AW79" s="47"/>
      <x:c r="AX79" s="60"/>
      <x:c r="AY79" s="58">
        <x:f>(($O79*AW79)/100)+(AX79*12)</x:f>
      </x:c>
      <x:c r="AZ79" s="47"/>
      <x:c r="BA79" s="60"/>
      <x:c r="BB79" s="58">
        <x:f>(($O79*AZ79)/100)+(BA79*12)</x:f>
      </x:c>
      <x:c r="BC79" s="47"/>
      <x:c r="BD79" s="60"/>
      <x:c r="BE79" s="58">
        <x:f>(($O79*BC79)/100)+(BD79*12)</x:f>
      </x:c>
      <x:c r="BF79" s="47"/>
      <x:c r="BG79" s="60"/>
      <x:c r="BH79" s="58">
        <x:f>(($O79*BF79)/100)+(BG79*12)</x:f>
      </x:c>
      <x:c r="BI79" s="47"/>
      <x:c r="BJ79" s="60"/>
      <x:c r="BK79" s="58">
        <x:f>(($O79*BI79)/100)+(BJ79*12)</x:f>
      </x:c>
      <x:c r="BL79" s="47"/>
      <x:c r="BM79" s="60"/>
      <x:c r="BN79" s="58">
        <x:f>(($O79*BL79)/100)+(BM79*12)</x:f>
      </x:c>
      <x:c r="BO79" s="47"/>
      <x:c r="BP79" s="60"/>
      <x:c r="BQ79" s="58">
        <x:f>(($O79*BO79)/100)+(BP79*12)</x:f>
      </x:c>
      <x:c r="BR79" s="47"/>
      <x:c r="BS79" s="60"/>
      <x:c r="BT79" s="58">
        <x:f>(($O79*BR79)/100)+(BS79*12)</x:f>
      </x:c>
      <x:c r="BU79" s="47"/>
      <x:c r="BV79" s="60"/>
      <x:c r="BW79" s="58">
        <x:f>(($O79*BU79)/100)+(BV79*12)</x:f>
      </x:c>
      <x:c r="BX79" s="47"/>
      <x:c r="BY79" s="60"/>
      <x:c r="BZ79" s="58">
        <x:f>(($O79*BX79)/100)+(BY79*12)</x:f>
      </x:c>
      <x:c r="CA79" s="47"/>
      <x:c r="CB79" s="60"/>
      <x:c r="CC79" s="58">
        <x:f>(($O79*CA79)/100)+(CB79*12)</x:f>
      </x:c>
      <x:c r="CD79" s="47"/>
      <x:c r="CE79" s="60"/>
      <x:c r="CF79" s="58">
        <x:f>(($O79*CD79)/100)+(CE79*12)</x:f>
      </x:c>
      <x:c r="CG79" s="47"/>
      <x:c r="CH79" s="60"/>
      <x:c r="CI79" s="58">
        <x:f>(($O79*CG79)/100)+(CH79*12)</x:f>
      </x:c>
      <x:c r="CJ79" s="47"/>
      <x:c r="CK79" s="60"/>
      <x:c r="CL79" s="58">
        <x:f>(($O79*CJ79)/100)+(CK79*12)</x:f>
      </x:c>
      <x:c r="CM79" s="47"/>
      <x:c r="CN79" s="60"/>
      <x:c r="CO79" s="58">
        <x:f>(($O79*CM79)/100)+(CN79*12)</x:f>
      </x:c>
      <x:c r="CP79" s="47"/>
      <x:c r="CQ79" s="60"/>
      <x:c r="CR79" s="58">
        <x:f>(($O79*CP79)/100)+(CQ79*12)</x:f>
      </x:c>
      <x:c r="CS79" s="47"/>
      <x:c r="CT79" s="60"/>
      <x:c r="CU79" s="58">
        <x:f>(($O79*CS79)/100)+(CT79*12)</x:f>
      </x:c>
      <x:c r="CV79" s="47"/>
      <x:c r="CW79" s="60"/>
      <x:c r="CX79" s="58"/>
      <x:c r="CY79" s="47"/>
      <x:c r="CZ79" s="60"/>
      <x:c r="DA79" s="58"/>
      <x:c r="DB79" s="47"/>
      <x:c r="DC79" s="60"/>
      <x:c r="DD79" s="58"/>
      <x:c r="DE79" s="47"/>
      <x:c r="DF79" s="60"/>
      <x:c r="DG79" s="58"/>
      <x:c r="DH79" s="47"/>
      <x:c r="DI79" s="60"/>
      <x:c r="DJ79" s="58"/>
      <x:c r="DK79" s="47"/>
      <x:c r="DL79" s="60"/>
      <x:c r="DM79" s="58"/>
      <x:c r="DN79" s="11"/>
      <x:c r="DO79" s="61"/>
      <x:c r="DP79" s="62"/>
      <x:c r="DQ79" s="11"/>
      <x:c r="DR79" s="61"/>
      <x:c r="DS79" s="62"/>
      <x:c r="DT79" s="11"/>
      <x:c r="DU79" s="61"/>
      <x:c r="DV79" s="62"/>
    </x:row>
    <x:row r="80" spans="1:126" x14ac:dyDescent="0.3">
      <x:c r="A80" s="47"/>
      <x:c r="B80" s="70"/>
      <x:c r="C80" s="70"/>
      <x:c r="D80" s="70"/>
      <x:c r="E80" s="70"/>
      <x:c r="F80" s="70"/>
      <x:c r="G80" s="70"/>
      <x:c r="H80" s="70"/>
      <x:c r="I80" s="70"/>
      <x:c r="J80" s="70"/>
      <x:c r="K80" s="190"/>
      <x:c r="L80" s="191"/>
      <x:c r="M80" s="192">
        <x:f>IF(ISERROR(INDEX('Meter Type Data'!$B$2:$E$1165,SUMPRODUCT(--('Meter Type Data'!$B$2:$B$1165&lt;=Analysis!L80)*('Meter Type Data'!$C$2:$C$1165&gt;=Analysis!L80),ROW('Meter Type Data'!$B$2:$B$1165))-1,4))," ",INDEX('Meter Type Data'!$B$2:$E$1165,SUMPRODUCT(--('Meter Type Data'!$B$2:$B$1165&lt;=Analysis!L80)*('Meter Type Data'!$C$2:$C$1165&gt;=Analysis!L80),ROW('Meter Type Data'!$B$2:$B$1165))-1,4))</x:f>
      </x:c>
      <x:c r="N80" s="192">
        <x:f>IF(ISERROR(INDEX('Meter Type Data'!$B$2:$D$1165,SUMPRODUCT(--('Meter Type Data'!$B$2:$B$1165&lt;=Analysis!L80)*('Meter Type Data'!$C$2:$C$1165&gt;=Analysis!L80),ROW('Meter Type Data'!$B$2:$B$1165))-1,3))," ",INDEX('Meter Type Data'!$B$2:$D$1165,SUMPRODUCT(--('Meter Type Data'!$B$2:$B$1165&lt;=Analysis!L80)*('Meter Type Data'!$C$2:$C$1165&gt;=Analysis!L80),ROW('Meter Type Data'!$B$2:$B$1165))-1,3))</x:f>
      </x:c>
      <x:c r="O80" s="69"/>
      <x:c r="P80" s="47"/>
      <x:c r="Q80" s="60"/>
      <x:c r="R80" s="58">
        <x:f>(($O80*P80)/100)+(Q80*12)</x:f>
      </x:c>
      <x:c r="S80" s="59"/>
      <x:c r="T80" s="59"/>
      <x:c r="U80" s="58">
        <x:f>(($O80*S80)/100)+(T80*12)</x:f>
      </x:c>
      <x:c r="V80" s="47"/>
      <x:c r="W80" s="60"/>
      <x:c r="X80" s="58">
        <x:f>(($O80*V80)/100)+(W80*12)</x:f>
      </x:c>
      <x:c r="Y80" s="47"/>
      <x:c r="Z80" s="60"/>
      <x:c r="AA80" s="58">
        <x:f>(($O80*Y80)/100)+(Z80*12)</x:f>
      </x:c>
      <x:c r="AB80" s="47"/>
      <x:c r="AC80" s="60"/>
      <x:c r="AD80" s="58">
        <x:f>(($O80*AB80)/100)+(AC80*12)</x:f>
      </x:c>
      <x:c r="AE80" s="47"/>
      <x:c r="AF80" s="60"/>
      <x:c r="AG80" s="58">
        <x:f>(($O80*AE80)/100)+(AF80*12)</x:f>
      </x:c>
      <x:c r="AH80" s="47"/>
      <x:c r="AI80" s="60"/>
      <x:c r="AJ80" s="58">
        <x:f>(($O80*AH80)/100)+(AI80*12)</x:f>
      </x:c>
      <x:c r="AK80" s="47"/>
      <x:c r="AL80" s="60"/>
      <x:c r="AM80" s="58">
        <x:f>(($O80*AK80)/100)+(AL80*12)</x:f>
      </x:c>
      <x:c r="AN80" s="47"/>
      <x:c r="AO80" s="60"/>
      <x:c r="AP80" s="58">
        <x:f>(($O80*AN80)/100)+(AO80*12)</x:f>
      </x:c>
      <x:c r="AQ80" s="47"/>
      <x:c r="AR80" s="60"/>
      <x:c r="AS80" s="58">
        <x:f>(($O80*AQ80)/100)+(AR80*12)</x:f>
      </x:c>
      <x:c r="AT80" s="47"/>
      <x:c r="AU80" s="60"/>
      <x:c r="AV80" s="58">
        <x:f>(($O80*AT80)/100)+(AU80*12)</x:f>
      </x:c>
      <x:c r="AW80" s="47"/>
      <x:c r="AX80" s="60"/>
      <x:c r="AY80" s="58">
        <x:f>(($O80*AW80)/100)+(AX80*12)</x:f>
      </x:c>
      <x:c r="AZ80" s="47"/>
      <x:c r="BA80" s="60"/>
      <x:c r="BB80" s="58">
        <x:f>(($O80*AZ80)/100)+(BA80*12)</x:f>
      </x:c>
      <x:c r="BC80" s="47"/>
      <x:c r="BD80" s="60"/>
      <x:c r="BE80" s="58">
        <x:f>(($O80*BC80)/100)+(BD80*12)</x:f>
      </x:c>
      <x:c r="BF80" s="47"/>
      <x:c r="BG80" s="60"/>
      <x:c r="BH80" s="58">
        <x:f>(($O80*BF80)/100)+(BG80*12)</x:f>
      </x:c>
      <x:c r="BI80" s="47"/>
      <x:c r="BJ80" s="60"/>
      <x:c r="BK80" s="58">
        <x:f>(($O80*BI80)/100)+(BJ80*12)</x:f>
      </x:c>
      <x:c r="BL80" s="47"/>
      <x:c r="BM80" s="60"/>
      <x:c r="BN80" s="58">
        <x:f>(($O80*BL80)/100)+(BM80*12)</x:f>
      </x:c>
      <x:c r="BO80" s="47"/>
      <x:c r="BP80" s="60"/>
      <x:c r="BQ80" s="58">
        <x:f>(($O80*BO80)/100)+(BP80*12)</x:f>
      </x:c>
      <x:c r="BR80" s="47"/>
      <x:c r="BS80" s="60"/>
      <x:c r="BT80" s="58">
        <x:f>(($O80*BR80)/100)+(BS80*12)</x:f>
      </x:c>
      <x:c r="BU80" s="47"/>
      <x:c r="BV80" s="60"/>
      <x:c r="BW80" s="58">
        <x:f>(($O80*BU80)/100)+(BV80*12)</x:f>
      </x:c>
      <x:c r="BX80" s="47"/>
      <x:c r="BY80" s="60"/>
      <x:c r="BZ80" s="58">
        <x:f>(($O80*BX80)/100)+(BY80*12)</x:f>
      </x:c>
      <x:c r="CA80" s="47"/>
      <x:c r="CB80" s="60"/>
      <x:c r="CC80" s="58">
        <x:f>(($O80*CA80)/100)+(CB80*12)</x:f>
      </x:c>
      <x:c r="CD80" s="47"/>
      <x:c r="CE80" s="60"/>
      <x:c r="CF80" s="58">
        <x:f>(($O80*CD80)/100)+(CE80*12)</x:f>
      </x:c>
      <x:c r="CG80" s="47"/>
      <x:c r="CH80" s="60"/>
      <x:c r="CI80" s="58">
        <x:f>(($O80*CG80)/100)+(CH80*12)</x:f>
      </x:c>
      <x:c r="CJ80" s="47"/>
      <x:c r="CK80" s="60"/>
      <x:c r="CL80" s="58">
        <x:f>(($O80*CJ80)/100)+(CK80*12)</x:f>
      </x:c>
      <x:c r="CM80" s="47"/>
      <x:c r="CN80" s="60"/>
      <x:c r="CO80" s="58">
        <x:f>(($O80*CM80)/100)+(CN80*12)</x:f>
      </x:c>
      <x:c r="CP80" s="47"/>
      <x:c r="CQ80" s="60"/>
      <x:c r="CR80" s="58">
        <x:f>(($O80*CP80)/100)+(CQ80*12)</x:f>
      </x:c>
      <x:c r="CS80" s="47"/>
      <x:c r="CT80" s="60"/>
      <x:c r="CU80" s="58">
        <x:f>(($O80*CS80)/100)+(CT80*12)</x:f>
      </x:c>
      <x:c r="CV80" s="47"/>
      <x:c r="CW80" s="60"/>
      <x:c r="CX80" s="58"/>
      <x:c r="CY80" s="47"/>
      <x:c r="CZ80" s="60"/>
      <x:c r="DA80" s="58"/>
      <x:c r="DB80" s="47"/>
      <x:c r="DC80" s="60"/>
      <x:c r="DD80" s="58"/>
      <x:c r="DE80" s="47"/>
      <x:c r="DF80" s="60"/>
      <x:c r="DG80" s="58"/>
      <x:c r="DH80" s="47"/>
      <x:c r="DI80" s="60"/>
      <x:c r="DJ80" s="58"/>
      <x:c r="DK80" s="47"/>
      <x:c r="DL80" s="60"/>
      <x:c r="DM80" s="58"/>
      <x:c r="DN80" s="11"/>
      <x:c r="DO80" s="61"/>
      <x:c r="DP80" s="62"/>
      <x:c r="DQ80" s="11"/>
      <x:c r="DR80" s="61"/>
      <x:c r="DS80" s="62"/>
      <x:c r="DT80" s="11"/>
      <x:c r="DU80" s="61"/>
      <x:c r="DV80" s="62"/>
    </x:row>
    <x:row r="81" spans="1:126" x14ac:dyDescent="0.3">
      <x:c r="A81" s="47"/>
      <x:c r="B81" s="70"/>
      <x:c r="C81" s="70"/>
      <x:c r="D81" s="70"/>
      <x:c r="E81" s="70"/>
      <x:c r="F81" s="70"/>
      <x:c r="G81" s="70"/>
      <x:c r="H81" s="70"/>
      <x:c r="I81" s="70"/>
      <x:c r="J81" s="70"/>
      <x:c r="K81" s="190"/>
      <x:c r="L81" s="191"/>
      <x:c r="M81" s="192">
        <x:f>IF(ISERROR(INDEX('Meter Type Data'!$B$2:$E$1165,SUMPRODUCT(--('Meter Type Data'!$B$2:$B$1165&lt;=Analysis!L81)*('Meter Type Data'!$C$2:$C$1165&gt;=Analysis!L81),ROW('Meter Type Data'!$B$2:$B$1165))-1,4))," ",INDEX('Meter Type Data'!$B$2:$E$1165,SUMPRODUCT(--('Meter Type Data'!$B$2:$B$1165&lt;=Analysis!L81)*('Meter Type Data'!$C$2:$C$1165&gt;=Analysis!L81),ROW('Meter Type Data'!$B$2:$B$1165))-1,4))</x:f>
      </x:c>
      <x:c r="N81" s="192">
        <x:f>IF(ISERROR(INDEX('Meter Type Data'!$B$2:$D$1165,SUMPRODUCT(--('Meter Type Data'!$B$2:$B$1165&lt;=Analysis!L81)*('Meter Type Data'!$C$2:$C$1165&gt;=Analysis!L81),ROW('Meter Type Data'!$B$2:$B$1165))-1,3))," ",INDEX('Meter Type Data'!$B$2:$D$1165,SUMPRODUCT(--('Meter Type Data'!$B$2:$B$1165&lt;=Analysis!L81)*('Meter Type Data'!$C$2:$C$1165&gt;=Analysis!L81),ROW('Meter Type Data'!$B$2:$B$1165))-1,3))</x:f>
      </x:c>
      <x:c r="O81" s="69"/>
      <x:c r="P81" s="47"/>
      <x:c r="Q81" s="60"/>
      <x:c r="R81" s="58">
        <x:f>(($O81*P81)/100)+(Q81*12)</x:f>
      </x:c>
      <x:c r="S81" s="59"/>
      <x:c r="T81" s="59"/>
      <x:c r="U81" s="58">
        <x:f>(($O81*S81)/100)+(T81*12)</x:f>
      </x:c>
      <x:c r="V81" s="47"/>
      <x:c r="W81" s="60"/>
      <x:c r="X81" s="58">
        <x:f>(($O81*V81)/100)+(W81*12)</x:f>
      </x:c>
      <x:c r="Y81" s="47"/>
      <x:c r="Z81" s="60"/>
      <x:c r="AA81" s="58">
        <x:f>(($O81*Y81)/100)+(Z81*12)</x:f>
      </x:c>
      <x:c r="AB81" s="47"/>
      <x:c r="AC81" s="60"/>
      <x:c r="AD81" s="58">
        <x:f>(($O81*AB81)/100)+(AC81*12)</x:f>
      </x:c>
      <x:c r="AE81" s="47"/>
      <x:c r="AF81" s="60"/>
      <x:c r="AG81" s="58">
        <x:f>(($O81*AE81)/100)+(AF81*12)</x:f>
      </x:c>
      <x:c r="AH81" s="47"/>
      <x:c r="AI81" s="60"/>
      <x:c r="AJ81" s="58">
        <x:f>(($O81*AH81)/100)+(AI81*12)</x:f>
      </x:c>
      <x:c r="AK81" s="47"/>
      <x:c r="AL81" s="60"/>
      <x:c r="AM81" s="58">
        <x:f>(($O81*AK81)/100)+(AL81*12)</x:f>
      </x:c>
      <x:c r="AN81" s="47"/>
      <x:c r="AO81" s="60"/>
      <x:c r="AP81" s="58">
        <x:f>(($O81*AN81)/100)+(AO81*12)</x:f>
      </x:c>
      <x:c r="AQ81" s="47"/>
      <x:c r="AR81" s="60"/>
      <x:c r="AS81" s="58">
        <x:f>(($O81*AQ81)/100)+(AR81*12)</x:f>
      </x:c>
      <x:c r="AT81" s="47"/>
      <x:c r="AU81" s="60"/>
      <x:c r="AV81" s="58">
        <x:f>(($O81*AT81)/100)+(AU81*12)</x:f>
      </x:c>
      <x:c r="AW81" s="47"/>
      <x:c r="AX81" s="60"/>
      <x:c r="AY81" s="58">
        <x:f>(($O81*AW81)/100)+(AX81*12)</x:f>
      </x:c>
      <x:c r="AZ81" s="47"/>
      <x:c r="BA81" s="60"/>
      <x:c r="BB81" s="58">
        <x:f>(($O81*AZ81)/100)+(BA81*12)</x:f>
      </x:c>
      <x:c r="BC81" s="47"/>
      <x:c r="BD81" s="60"/>
      <x:c r="BE81" s="58">
        <x:f>(($O81*BC81)/100)+(BD81*12)</x:f>
      </x:c>
      <x:c r="BF81" s="47"/>
      <x:c r="BG81" s="60"/>
      <x:c r="BH81" s="58">
        <x:f>(($O81*BF81)/100)+(BG81*12)</x:f>
      </x:c>
      <x:c r="BI81" s="47"/>
      <x:c r="BJ81" s="60"/>
      <x:c r="BK81" s="58">
        <x:f>(($O81*BI81)/100)+(BJ81*12)</x:f>
      </x:c>
      <x:c r="BL81" s="47"/>
      <x:c r="BM81" s="60"/>
      <x:c r="BN81" s="58">
        <x:f>(($O81*BL81)/100)+(BM81*12)</x:f>
      </x:c>
      <x:c r="BO81" s="47"/>
      <x:c r="BP81" s="60"/>
      <x:c r="BQ81" s="58">
        <x:f>(($O81*BO81)/100)+(BP81*12)</x:f>
      </x:c>
      <x:c r="BR81" s="47"/>
      <x:c r="BS81" s="60"/>
      <x:c r="BT81" s="58">
        <x:f>(($O81*BR81)/100)+(BS81*12)</x:f>
      </x:c>
      <x:c r="BU81" s="47"/>
      <x:c r="BV81" s="60"/>
      <x:c r="BW81" s="58">
        <x:f>(($O81*BU81)/100)+(BV81*12)</x:f>
      </x:c>
      <x:c r="BX81" s="47"/>
      <x:c r="BY81" s="60"/>
      <x:c r="BZ81" s="58">
        <x:f>(($O81*BX81)/100)+(BY81*12)</x:f>
      </x:c>
      <x:c r="CA81" s="47"/>
      <x:c r="CB81" s="60"/>
      <x:c r="CC81" s="58">
        <x:f>(($O81*CA81)/100)+(CB81*12)</x:f>
      </x:c>
      <x:c r="CD81" s="47"/>
      <x:c r="CE81" s="60"/>
      <x:c r="CF81" s="58">
        <x:f>(($O81*CD81)/100)+(CE81*12)</x:f>
      </x:c>
      <x:c r="CG81" s="47"/>
      <x:c r="CH81" s="60"/>
      <x:c r="CI81" s="58">
        <x:f>(($O81*CG81)/100)+(CH81*12)</x:f>
      </x:c>
      <x:c r="CJ81" s="47"/>
      <x:c r="CK81" s="60"/>
      <x:c r="CL81" s="58">
        <x:f>(($O81*CJ81)/100)+(CK81*12)</x:f>
      </x:c>
      <x:c r="CM81" s="47"/>
      <x:c r="CN81" s="60"/>
      <x:c r="CO81" s="58">
        <x:f>(($O81*CM81)/100)+(CN81*12)</x:f>
      </x:c>
      <x:c r="CP81" s="47"/>
      <x:c r="CQ81" s="60"/>
      <x:c r="CR81" s="58">
        <x:f>(($O81*CP81)/100)+(CQ81*12)</x:f>
      </x:c>
      <x:c r="CS81" s="47"/>
      <x:c r="CT81" s="60"/>
      <x:c r="CU81" s="58">
        <x:f>(($O81*CS81)/100)+(CT81*12)</x:f>
      </x:c>
      <x:c r="CV81" s="47"/>
      <x:c r="CW81" s="60"/>
      <x:c r="CX81" s="58"/>
      <x:c r="CY81" s="47"/>
      <x:c r="CZ81" s="60"/>
      <x:c r="DA81" s="58"/>
      <x:c r="DB81" s="47"/>
      <x:c r="DC81" s="60"/>
      <x:c r="DD81" s="58"/>
      <x:c r="DE81" s="47"/>
      <x:c r="DF81" s="60"/>
      <x:c r="DG81" s="58"/>
      <x:c r="DH81" s="47"/>
      <x:c r="DI81" s="60"/>
      <x:c r="DJ81" s="58"/>
      <x:c r="DK81" s="47"/>
      <x:c r="DL81" s="60"/>
      <x:c r="DM81" s="58"/>
      <x:c r="DN81" s="11"/>
      <x:c r="DO81" s="61"/>
      <x:c r="DP81" s="62"/>
      <x:c r="DQ81" s="11"/>
      <x:c r="DR81" s="61"/>
      <x:c r="DS81" s="62"/>
      <x:c r="DT81" s="11"/>
      <x:c r="DU81" s="61"/>
      <x:c r="DV81" s="62"/>
    </x:row>
    <x:row r="82" spans="1:126" x14ac:dyDescent="0.3">
      <x:c r="A82" s="47"/>
      <x:c r="B82" s="70"/>
      <x:c r="C82" s="70"/>
      <x:c r="D82" s="70"/>
      <x:c r="E82" s="70"/>
      <x:c r="F82" s="70"/>
      <x:c r="G82" s="70"/>
      <x:c r="H82" s="70"/>
      <x:c r="I82" s="70"/>
      <x:c r="J82" s="70"/>
      <x:c r="K82" s="190"/>
      <x:c r="L82" s="191"/>
      <x:c r="M82" s="192">
        <x:f>IF(ISERROR(INDEX('Meter Type Data'!$B$2:$E$1165,SUMPRODUCT(--('Meter Type Data'!$B$2:$B$1165&lt;=Analysis!L82)*('Meter Type Data'!$C$2:$C$1165&gt;=Analysis!L82),ROW('Meter Type Data'!$B$2:$B$1165))-1,4))," ",INDEX('Meter Type Data'!$B$2:$E$1165,SUMPRODUCT(--('Meter Type Data'!$B$2:$B$1165&lt;=Analysis!L82)*('Meter Type Data'!$C$2:$C$1165&gt;=Analysis!L82),ROW('Meter Type Data'!$B$2:$B$1165))-1,4))</x:f>
      </x:c>
      <x:c r="N82" s="192">
        <x:f>IF(ISERROR(INDEX('Meter Type Data'!$B$2:$D$1165,SUMPRODUCT(--('Meter Type Data'!$B$2:$B$1165&lt;=Analysis!L82)*('Meter Type Data'!$C$2:$C$1165&gt;=Analysis!L82),ROW('Meter Type Data'!$B$2:$B$1165))-1,3))," ",INDEX('Meter Type Data'!$B$2:$D$1165,SUMPRODUCT(--('Meter Type Data'!$B$2:$B$1165&lt;=Analysis!L82)*('Meter Type Data'!$C$2:$C$1165&gt;=Analysis!L82),ROW('Meter Type Data'!$B$2:$B$1165))-1,3))</x:f>
      </x:c>
      <x:c r="O82" s="193"/>
      <x:c r="P82" s="56"/>
      <x:c r="Q82" s="57"/>
      <x:c r="R82" s="58">
        <x:f>(($O82*P82)/100)+(Q82*12)</x:f>
      </x:c>
      <x:c r="S82" s="59"/>
      <x:c r="T82" s="59"/>
      <x:c r="U82" s="58">
        <x:f>(($O82*S82)/100)+(T82*12)</x:f>
      </x:c>
      <x:c r="V82" s="47"/>
      <x:c r="W82" s="60"/>
      <x:c r="X82" s="58">
        <x:f>(($O82*V82)/100)+(W82*12)</x:f>
      </x:c>
      <x:c r="Y82" s="47"/>
      <x:c r="Z82" s="60"/>
      <x:c r="AA82" s="58">
        <x:f>(($O82*Y82)/100)+(Z82*12)</x:f>
      </x:c>
      <x:c r="AB82" s="47"/>
      <x:c r="AC82" s="60"/>
      <x:c r="AD82" s="58">
        <x:f>(($O82*AB82)/100)+(AC82*12)</x:f>
      </x:c>
      <x:c r="AE82" s="47"/>
      <x:c r="AF82" s="60"/>
      <x:c r="AG82" s="58">
        <x:f>(($O82*AE82)/100)+(AF82*12)</x:f>
      </x:c>
      <x:c r="AH82" s="47"/>
      <x:c r="AI82" s="60"/>
      <x:c r="AJ82" s="58">
        <x:f>(($O82*AH82)/100)+(AI82*12)</x:f>
      </x:c>
      <x:c r="AK82" s="47"/>
      <x:c r="AL82" s="60"/>
      <x:c r="AM82" s="58">
        <x:f>(($O82*AK82)/100)+(AL82*12)</x:f>
      </x:c>
      <x:c r="AN82" s="47"/>
      <x:c r="AO82" s="60"/>
      <x:c r="AP82" s="58">
        <x:f>(($O82*AN82)/100)+(AO82*12)</x:f>
      </x:c>
      <x:c r="AQ82" s="47"/>
      <x:c r="AR82" s="60"/>
      <x:c r="AS82" s="58">
        <x:f>(($O82*AQ82)/100)+(AR82*12)</x:f>
      </x:c>
      <x:c r="AT82" s="47"/>
      <x:c r="AU82" s="60"/>
      <x:c r="AV82" s="58">
        <x:f>(($O82*AT82)/100)+(AU82*12)</x:f>
      </x:c>
      <x:c r="AW82" s="47"/>
      <x:c r="AX82" s="60"/>
      <x:c r="AY82" s="58">
        <x:f>(($O82*AW82)/100)+(AX82*12)</x:f>
      </x:c>
      <x:c r="AZ82" s="47"/>
      <x:c r="BA82" s="60"/>
      <x:c r="BB82" s="58">
        <x:f>(($O82*AZ82)/100)+(BA82*12)</x:f>
      </x:c>
      <x:c r="BC82" s="47"/>
      <x:c r="BD82" s="60"/>
      <x:c r="BE82" s="58">
        <x:f>(($O82*BC82)/100)+(BD82*12)</x:f>
      </x:c>
      <x:c r="BF82" s="47"/>
      <x:c r="BG82" s="60"/>
      <x:c r="BH82" s="58">
        <x:f>(($O82*BF82)/100)+(BG82*12)</x:f>
      </x:c>
      <x:c r="BI82" s="47"/>
      <x:c r="BJ82" s="60"/>
      <x:c r="BK82" s="58">
        <x:f>(($O82*BI82)/100)+(BJ82*12)</x:f>
      </x:c>
      <x:c r="BL82" s="47"/>
      <x:c r="BM82" s="60"/>
      <x:c r="BN82" s="58">
        <x:f>(($O82*BL82)/100)+(BM82*12)</x:f>
      </x:c>
      <x:c r="BO82" s="47"/>
      <x:c r="BP82" s="60"/>
      <x:c r="BQ82" s="58">
        <x:f>(($O82*BO82)/100)+(BP82*12)</x:f>
      </x:c>
      <x:c r="BR82" s="47"/>
      <x:c r="BS82" s="60"/>
      <x:c r="BT82" s="58">
        <x:f>(($O82*BR82)/100)+(BS82*12)</x:f>
      </x:c>
      <x:c r="BU82" s="47"/>
      <x:c r="BV82" s="60"/>
      <x:c r="BW82" s="58">
        <x:f>(($O82*BU82)/100)+(BV82*12)</x:f>
      </x:c>
      <x:c r="BX82" s="47"/>
      <x:c r="BY82" s="60"/>
      <x:c r="BZ82" s="58">
        <x:f>(($O82*BX82)/100)+(BY82*12)</x:f>
      </x:c>
      <x:c r="CA82" s="47"/>
      <x:c r="CB82" s="60"/>
      <x:c r="CC82" s="58">
        <x:f>(($O82*CA82)/100)+(CB82*12)</x:f>
      </x:c>
      <x:c r="CD82" s="47"/>
      <x:c r="CE82" s="60"/>
      <x:c r="CF82" s="58">
        <x:f>(($O82*CD82)/100)+(CE82*12)</x:f>
      </x:c>
      <x:c r="CG82" s="47"/>
      <x:c r="CH82" s="60"/>
      <x:c r="CI82" s="58">
        <x:f>(($O82*CG82)/100)+(CH82*12)</x:f>
      </x:c>
      <x:c r="CJ82" s="47"/>
      <x:c r="CK82" s="60"/>
      <x:c r="CL82" s="58">
        <x:f>(($O82*CJ82)/100)+(CK82*12)</x:f>
      </x:c>
      <x:c r="CM82" s="47"/>
      <x:c r="CN82" s="60"/>
      <x:c r="CO82" s="58">
        <x:f>(($O82*CM82)/100)+(CN82*12)</x:f>
      </x:c>
      <x:c r="CP82" s="47"/>
      <x:c r="CQ82" s="60"/>
      <x:c r="CR82" s="58">
        <x:f>(($O82*CP82)/100)+(CQ82*12)</x:f>
      </x:c>
      <x:c r="CS82" s="47"/>
      <x:c r="CT82" s="60"/>
      <x:c r="CU82" s="58">
        <x:f>(($O82*CS82)/100)+(CT82*12)</x:f>
      </x:c>
      <x:c r="CV82" s="47"/>
      <x:c r="CW82" s="60"/>
      <x:c r="CX82" s="58"/>
      <x:c r="CY82" s="47"/>
      <x:c r="CZ82" s="60"/>
      <x:c r="DA82" s="58"/>
      <x:c r="DB82" s="47"/>
      <x:c r="DC82" s="60"/>
      <x:c r="DD82" s="58"/>
      <x:c r="DE82" s="47"/>
      <x:c r="DF82" s="60"/>
      <x:c r="DG82" s="58"/>
      <x:c r="DH82" s="47"/>
      <x:c r="DI82" s="60"/>
      <x:c r="DJ82" s="58"/>
      <x:c r="DK82" s="47"/>
      <x:c r="DL82" s="60"/>
      <x:c r="DM82" s="58"/>
      <x:c r="DN82" s="11"/>
      <x:c r="DO82" s="61"/>
      <x:c r="DP82" s="62"/>
      <x:c r="DQ82" s="11"/>
      <x:c r="DR82" s="61"/>
      <x:c r="DS82" s="62"/>
      <x:c r="DT82" s="11"/>
      <x:c r="DU82" s="61"/>
      <x:c r="DV82" s="62"/>
    </x:row>
    <x:row r="83" spans="1:126" x14ac:dyDescent="0.3">
      <x:c r="A83" s="47"/>
      <x:c r="B83" s="70"/>
      <x:c r="C83" s="70"/>
      <x:c r="D83" s="70"/>
      <x:c r="E83" s="70"/>
      <x:c r="F83" s="70"/>
      <x:c r="G83" s="70"/>
      <x:c r="H83" s="70"/>
      <x:c r="I83" s="70"/>
      <x:c r="J83" s="70"/>
      <x:c r="K83" s="190"/>
      <x:c r="L83" s="191"/>
      <x:c r="M83" s="192">
        <x:f>IF(ISERROR(INDEX('Meter Type Data'!$B$2:$E$1165,SUMPRODUCT(--('Meter Type Data'!$B$2:$B$1165&lt;=Analysis!L83)*('Meter Type Data'!$C$2:$C$1165&gt;=Analysis!L83),ROW('Meter Type Data'!$B$2:$B$1165))-1,4))," ",INDEX('Meter Type Data'!$B$2:$E$1165,SUMPRODUCT(--('Meter Type Data'!$B$2:$B$1165&lt;=Analysis!L83)*('Meter Type Data'!$C$2:$C$1165&gt;=Analysis!L83),ROW('Meter Type Data'!$B$2:$B$1165))-1,4))</x:f>
      </x:c>
      <x:c r="N83" s="192">
        <x:f>IF(ISERROR(INDEX('Meter Type Data'!$B$2:$D$1165,SUMPRODUCT(--('Meter Type Data'!$B$2:$B$1165&lt;=Analysis!L83)*('Meter Type Data'!$C$2:$C$1165&gt;=Analysis!L83),ROW('Meter Type Data'!$B$2:$B$1165))-1,3))," ",INDEX('Meter Type Data'!$B$2:$D$1165,SUMPRODUCT(--('Meter Type Data'!$B$2:$B$1165&lt;=Analysis!L83)*('Meter Type Data'!$C$2:$C$1165&gt;=Analysis!L83),ROW('Meter Type Data'!$B$2:$B$1165))-1,3))</x:f>
      </x:c>
      <x:c r="O83" s="194"/>
      <x:c r="P83" s="56"/>
      <x:c r="Q83" s="57"/>
      <x:c r="R83" s="58">
        <x:f>(($O83*P83)/100)+(Q83*12)</x:f>
      </x:c>
      <x:c r="S83" s="59"/>
      <x:c r="T83" s="59"/>
      <x:c r="U83" s="58">
        <x:f>(($O83*S83)/100)+(T83*12)</x:f>
      </x:c>
      <x:c r="V83" s="47"/>
      <x:c r="W83" s="60"/>
      <x:c r="X83" s="58">
        <x:f>(($O83*V83)/100)+(W83*12)</x:f>
      </x:c>
      <x:c r="Y83" s="47"/>
      <x:c r="Z83" s="60"/>
      <x:c r="AA83" s="58">
        <x:f>(($O83*Y83)/100)+(Z83*12)</x:f>
      </x:c>
      <x:c r="AB83" s="47"/>
      <x:c r="AC83" s="60"/>
      <x:c r="AD83" s="58">
        <x:f>(($O83*AB83)/100)+(AC83*12)</x:f>
      </x:c>
      <x:c r="AE83" s="47"/>
      <x:c r="AF83" s="60"/>
      <x:c r="AG83" s="58">
        <x:f>(($O83*AE83)/100)+(AF83*12)</x:f>
      </x:c>
      <x:c r="AH83" s="47"/>
      <x:c r="AI83" s="60"/>
      <x:c r="AJ83" s="58">
        <x:f>(($O83*AH83)/100)+(AI83*12)</x:f>
      </x:c>
      <x:c r="AK83" s="47"/>
      <x:c r="AL83" s="60"/>
      <x:c r="AM83" s="58">
        <x:f>(($O83*AK83)/100)+(AL83*12)</x:f>
      </x:c>
      <x:c r="AN83" s="47"/>
      <x:c r="AO83" s="60"/>
      <x:c r="AP83" s="58">
        <x:f>(($O83*AN83)/100)+(AO83*12)</x:f>
      </x:c>
      <x:c r="AQ83" s="47"/>
      <x:c r="AR83" s="60"/>
      <x:c r="AS83" s="58">
        <x:f>(($O83*AQ83)/100)+(AR83*12)</x:f>
      </x:c>
      <x:c r="AT83" s="47"/>
      <x:c r="AU83" s="60"/>
      <x:c r="AV83" s="58">
        <x:f>(($O83*AT83)/100)+(AU83*12)</x:f>
      </x:c>
      <x:c r="AW83" s="47"/>
      <x:c r="AX83" s="60"/>
      <x:c r="AY83" s="58">
        <x:f>(($O83*AW83)/100)+(AX83*12)</x:f>
      </x:c>
      <x:c r="AZ83" s="47"/>
      <x:c r="BA83" s="60"/>
      <x:c r="BB83" s="58">
        <x:f>(($O83*AZ83)/100)+(BA83*12)</x:f>
      </x:c>
      <x:c r="BC83" s="47"/>
      <x:c r="BD83" s="60"/>
      <x:c r="BE83" s="58">
        <x:f>(($O83*BC83)/100)+(BD83*12)</x:f>
      </x:c>
      <x:c r="BF83" s="47"/>
      <x:c r="BG83" s="60"/>
      <x:c r="BH83" s="58">
        <x:f>(($O83*BF83)/100)+(BG83*12)</x:f>
      </x:c>
      <x:c r="BI83" s="47"/>
      <x:c r="BJ83" s="60"/>
      <x:c r="BK83" s="58">
        <x:f>(($O83*BI83)/100)+(BJ83*12)</x:f>
      </x:c>
      <x:c r="BL83" s="47"/>
      <x:c r="BM83" s="60"/>
      <x:c r="BN83" s="58">
        <x:f>(($O83*BL83)/100)+(BM83*12)</x:f>
      </x:c>
      <x:c r="BO83" s="47"/>
      <x:c r="BP83" s="60"/>
      <x:c r="BQ83" s="58">
        <x:f>(($O83*BO83)/100)+(BP83*12)</x:f>
      </x:c>
      <x:c r="BR83" s="47"/>
      <x:c r="BS83" s="60"/>
      <x:c r="BT83" s="58">
        <x:f>(($O83*BR83)/100)+(BS83*12)</x:f>
      </x:c>
      <x:c r="BU83" s="47"/>
      <x:c r="BV83" s="60"/>
      <x:c r="BW83" s="58">
        <x:f>(($O83*BU83)/100)+(BV83*12)</x:f>
      </x:c>
      <x:c r="BX83" s="47"/>
      <x:c r="BY83" s="60"/>
      <x:c r="BZ83" s="58">
        <x:f>(($O83*BX83)/100)+(BY83*12)</x:f>
      </x:c>
      <x:c r="CA83" s="47"/>
      <x:c r="CB83" s="60"/>
      <x:c r="CC83" s="58">
        <x:f>(($O83*CA83)/100)+(CB83*12)</x:f>
      </x:c>
      <x:c r="CD83" s="47"/>
      <x:c r="CE83" s="60"/>
      <x:c r="CF83" s="58">
        <x:f>(($O83*CD83)/100)+(CE83*12)</x:f>
      </x:c>
      <x:c r="CG83" s="47"/>
      <x:c r="CH83" s="60"/>
      <x:c r="CI83" s="58">
        <x:f>(($O83*CG83)/100)+(CH83*12)</x:f>
      </x:c>
      <x:c r="CJ83" s="47"/>
      <x:c r="CK83" s="60"/>
      <x:c r="CL83" s="58">
        <x:f>(($O83*CJ83)/100)+(CK83*12)</x:f>
      </x:c>
      <x:c r="CM83" s="47"/>
      <x:c r="CN83" s="60"/>
      <x:c r="CO83" s="58">
        <x:f>(($O83*CM83)/100)+(CN83*12)</x:f>
      </x:c>
      <x:c r="CP83" s="47"/>
      <x:c r="CQ83" s="60"/>
      <x:c r="CR83" s="58">
        <x:f>(($O83*CP83)/100)+(CQ83*12)</x:f>
      </x:c>
      <x:c r="CS83" s="47"/>
      <x:c r="CT83" s="60"/>
      <x:c r="CU83" s="58">
        <x:f>(($O83*CS83)/100)+(CT83*12)</x:f>
      </x:c>
      <x:c r="CV83" s="47"/>
      <x:c r="CW83" s="60"/>
      <x:c r="CX83" s="58"/>
      <x:c r="CY83" s="47"/>
      <x:c r="CZ83" s="60"/>
      <x:c r="DA83" s="58"/>
      <x:c r="DB83" s="47"/>
      <x:c r="DC83" s="60"/>
      <x:c r="DD83" s="58"/>
      <x:c r="DE83" s="47"/>
      <x:c r="DF83" s="60"/>
      <x:c r="DG83" s="58"/>
      <x:c r="DH83" s="47"/>
      <x:c r="DI83" s="60"/>
      <x:c r="DJ83" s="58"/>
      <x:c r="DK83" s="47"/>
      <x:c r="DL83" s="60"/>
      <x:c r="DM83" s="58"/>
      <x:c r="DN83" s="11"/>
      <x:c r="DO83" s="61"/>
      <x:c r="DP83" s="62"/>
      <x:c r="DQ83" s="11"/>
      <x:c r="DR83" s="61"/>
      <x:c r="DS83" s="62"/>
      <x:c r="DT83" s="11"/>
      <x:c r="DU83" s="61"/>
      <x:c r="DV83" s="62"/>
    </x:row>
    <x:row r="84" spans="1:126" x14ac:dyDescent="0.3">
      <x:c r="A84" s="47"/>
      <x:c r="B84" s="70"/>
      <x:c r="C84" s="70"/>
      <x:c r="D84" s="70"/>
      <x:c r="E84" s="70"/>
      <x:c r="F84" s="70"/>
      <x:c r="G84" s="70"/>
      <x:c r="H84" s="70"/>
      <x:c r="I84" s="70"/>
      <x:c r="J84" s="70"/>
      <x:c r="K84" s="190"/>
      <x:c r="L84" s="191"/>
      <x:c r="M84" s="192">
        <x:f>IF(ISERROR(INDEX('Meter Type Data'!$B$2:$E$1165,SUMPRODUCT(--('Meter Type Data'!$B$2:$B$1165&lt;=Analysis!L84)*('Meter Type Data'!$C$2:$C$1165&gt;=Analysis!L84),ROW('Meter Type Data'!$B$2:$B$1165))-1,4))," ",INDEX('Meter Type Data'!$B$2:$E$1165,SUMPRODUCT(--('Meter Type Data'!$B$2:$B$1165&lt;=Analysis!L84)*('Meter Type Data'!$C$2:$C$1165&gt;=Analysis!L84),ROW('Meter Type Data'!$B$2:$B$1165))-1,4))</x:f>
      </x:c>
      <x:c r="N84" s="192">
        <x:f>IF(ISERROR(INDEX('Meter Type Data'!$B$2:$D$1165,SUMPRODUCT(--('Meter Type Data'!$B$2:$B$1165&lt;=Analysis!L84)*('Meter Type Data'!$C$2:$C$1165&gt;=Analysis!L84),ROW('Meter Type Data'!$B$2:$B$1165))-1,3))," ",INDEX('Meter Type Data'!$B$2:$D$1165,SUMPRODUCT(--('Meter Type Data'!$B$2:$B$1165&lt;=Analysis!L84)*('Meter Type Data'!$C$2:$C$1165&gt;=Analysis!L84),ROW('Meter Type Data'!$B$2:$B$1165))-1,3))</x:f>
      </x:c>
      <x:c r="O84" s="194"/>
      <x:c r="P84" s="56"/>
      <x:c r="Q84" s="57"/>
      <x:c r="R84" s="58">
        <x:f>(($O84*P84)/100)+(Q84*12)</x:f>
      </x:c>
      <x:c r="S84" s="59"/>
      <x:c r="T84" s="59"/>
      <x:c r="U84" s="58">
        <x:f>(($O84*S84)/100)+(T84*12)</x:f>
      </x:c>
      <x:c r="V84" s="47"/>
      <x:c r="W84" s="60"/>
      <x:c r="X84" s="58">
        <x:f>(($O84*V84)/100)+(W84*12)</x:f>
      </x:c>
      <x:c r="Y84" s="47"/>
      <x:c r="Z84" s="60"/>
      <x:c r="AA84" s="58">
        <x:f>(($O84*Y84)/100)+(Z84*12)</x:f>
      </x:c>
      <x:c r="AB84" s="47"/>
      <x:c r="AC84" s="60"/>
      <x:c r="AD84" s="58">
        <x:f>(($O84*AB84)/100)+(AC84*12)</x:f>
      </x:c>
      <x:c r="AE84" s="47"/>
      <x:c r="AF84" s="60"/>
      <x:c r="AG84" s="58">
        <x:f>(($O84*AE84)/100)+(AF84*12)</x:f>
      </x:c>
      <x:c r="AH84" s="47"/>
      <x:c r="AI84" s="60"/>
      <x:c r="AJ84" s="58">
        <x:f>(($O84*AH84)/100)+(AI84*12)</x:f>
      </x:c>
      <x:c r="AK84" s="47"/>
      <x:c r="AL84" s="60"/>
      <x:c r="AM84" s="58">
        <x:f>(($O84*AK84)/100)+(AL84*12)</x:f>
      </x:c>
      <x:c r="AN84" s="47"/>
      <x:c r="AO84" s="60"/>
      <x:c r="AP84" s="58">
        <x:f>(($O84*AN84)/100)+(AO84*12)</x:f>
      </x:c>
      <x:c r="AQ84" s="47"/>
      <x:c r="AR84" s="60"/>
      <x:c r="AS84" s="58">
        <x:f>(($O84*AQ84)/100)+(AR84*12)</x:f>
      </x:c>
      <x:c r="AT84" s="47"/>
      <x:c r="AU84" s="60"/>
      <x:c r="AV84" s="58">
        <x:f>(($O84*AT84)/100)+(AU84*12)</x:f>
      </x:c>
      <x:c r="AW84" s="47"/>
      <x:c r="AX84" s="60"/>
      <x:c r="AY84" s="58">
        <x:f>(($O84*AW84)/100)+(AX84*12)</x:f>
      </x:c>
      <x:c r="AZ84" s="47"/>
      <x:c r="BA84" s="60"/>
      <x:c r="BB84" s="58">
        <x:f>(($O84*AZ84)/100)+(BA84*12)</x:f>
      </x:c>
      <x:c r="BC84" s="47"/>
      <x:c r="BD84" s="60"/>
      <x:c r="BE84" s="58">
        <x:f>(($O84*BC84)/100)+(BD84*12)</x:f>
      </x:c>
      <x:c r="BF84" s="47"/>
      <x:c r="BG84" s="60"/>
      <x:c r="BH84" s="58">
        <x:f>(($O84*BF84)/100)+(BG84*12)</x:f>
      </x:c>
      <x:c r="BI84" s="47"/>
      <x:c r="BJ84" s="60"/>
      <x:c r="BK84" s="58">
        <x:f>(($O84*BI84)/100)+(BJ84*12)</x:f>
      </x:c>
      <x:c r="BL84" s="47"/>
      <x:c r="BM84" s="60"/>
      <x:c r="BN84" s="58">
        <x:f>(($O84*BL84)/100)+(BM84*12)</x:f>
      </x:c>
      <x:c r="BO84" s="47"/>
      <x:c r="BP84" s="60"/>
      <x:c r="BQ84" s="58">
        <x:f>(($O84*BO84)/100)+(BP84*12)</x:f>
      </x:c>
      <x:c r="BR84" s="47"/>
      <x:c r="BS84" s="60"/>
      <x:c r="BT84" s="58">
        <x:f>(($O84*BR84)/100)+(BS84*12)</x:f>
      </x:c>
      <x:c r="BU84" s="47"/>
      <x:c r="BV84" s="60"/>
      <x:c r="BW84" s="58">
        <x:f>(($O84*BU84)/100)+(BV84*12)</x:f>
      </x:c>
      <x:c r="BX84" s="47"/>
      <x:c r="BY84" s="60"/>
      <x:c r="BZ84" s="58">
        <x:f>(($O84*BX84)/100)+(BY84*12)</x:f>
      </x:c>
      <x:c r="CA84" s="47"/>
      <x:c r="CB84" s="60"/>
      <x:c r="CC84" s="58">
        <x:f>(($O84*CA84)/100)+(CB84*12)</x:f>
      </x:c>
      <x:c r="CD84" s="47"/>
      <x:c r="CE84" s="60"/>
      <x:c r="CF84" s="58">
        <x:f>(($O84*CD84)/100)+(CE84*12)</x:f>
      </x:c>
      <x:c r="CG84" s="47"/>
      <x:c r="CH84" s="60"/>
      <x:c r="CI84" s="58">
        <x:f>(($O84*CG84)/100)+(CH84*12)</x:f>
      </x:c>
      <x:c r="CJ84" s="47"/>
      <x:c r="CK84" s="60"/>
      <x:c r="CL84" s="58">
        <x:f>(($O84*CJ84)/100)+(CK84*12)</x:f>
      </x:c>
      <x:c r="CM84" s="47"/>
      <x:c r="CN84" s="60"/>
      <x:c r="CO84" s="58">
        <x:f>(($O84*CM84)/100)+(CN84*12)</x:f>
      </x:c>
      <x:c r="CP84" s="47"/>
      <x:c r="CQ84" s="60"/>
      <x:c r="CR84" s="58">
        <x:f>(($O84*CP84)/100)+(CQ84*12)</x:f>
      </x:c>
      <x:c r="CS84" s="47"/>
      <x:c r="CT84" s="60"/>
      <x:c r="CU84" s="58">
        <x:f>(($O84*CS84)/100)+(CT84*12)</x:f>
      </x:c>
      <x:c r="CV84" s="47"/>
      <x:c r="CW84" s="60"/>
      <x:c r="CX84" s="58"/>
      <x:c r="CY84" s="47"/>
      <x:c r="CZ84" s="60"/>
      <x:c r="DA84" s="58"/>
      <x:c r="DB84" s="47"/>
      <x:c r="DC84" s="60"/>
      <x:c r="DD84" s="58"/>
      <x:c r="DE84" s="47"/>
      <x:c r="DF84" s="60"/>
      <x:c r="DG84" s="58"/>
      <x:c r="DH84" s="47"/>
      <x:c r="DI84" s="60"/>
      <x:c r="DJ84" s="58"/>
      <x:c r="DK84" s="47"/>
      <x:c r="DL84" s="60"/>
      <x:c r="DM84" s="58"/>
      <x:c r="DN84" s="11"/>
      <x:c r="DO84" s="61"/>
      <x:c r="DP84" s="62"/>
      <x:c r="DQ84" s="11"/>
      <x:c r="DR84" s="61"/>
      <x:c r="DS84" s="62"/>
      <x:c r="DT84" s="11"/>
      <x:c r="DU84" s="61"/>
      <x:c r="DV84" s="62"/>
    </x:row>
    <x:row r="85" spans="1:126" x14ac:dyDescent="0.3">
      <x:c r="A85" s="47"/>
      <x:c r="B85" s="70"/>
      <x:c r="C85" s="70"/>
      <x:c r="D85" s="70"/>
      <x:c r="E85" s="70"/>
      <x:c r="F85" s="70"/>
      <x:c r="G85" s="70"/>
      <x:c r="H85" s="70"/>
      <x:c r="I85" s="70"/>
      <x:c r="J85" s="70"/>
      <x:c r="K85" s="190"/>
      <x:c r="L85" s="191"/>
      <x:c r="M85" s="192">
        <x:f>IF(ISERROR(INDEX('Meter Type Data'!$B$2:$E$1165,SUMPRODUCT(--('Meter Type Data'!$B$2:$B$1165&lt;=Analysis!L85)*('Meter Type Data'!$C$2:$C$1165&gt;=Analysis!L85),ROW('Meter Type Data'!$B$2:$B$1165))-1,4))," ",INDEX('Meter Type Data'!$B$2:$E$1165,SUMPRODUCT(--('Meter Type Data'!$B$2:$B$1165&lt;=Analysis!L85)*('Meter Type Data'!$C$2:$C$1165&gt;=Analysis!L85),ROW('Meter Type Data'!$B$2:$B$1165))-1,4))</x:f>
      </x:c>
      <x:c r="N85" s="192">
        <x:f>IF(ISERROR(INDEX('Meter Type Data'!$B$2:$D$1165,SUMPRODUCT(--('Meter Type Data'!$B$2:$B$1165&lt;=Analysis!L85)*('Meter Type Data'!$C$2:$C$1165&gt;=Analysis!L85),ROW('Meter Type Data'!$B$2:$B$1165))-1,3))," ",INDEX('Meter Type Data'!$B$2:$D$1165,SUMPRODUCT(--('Meter Type Data'!$B$2:$B$1165&lt;=Analysis!L85)*('Meter Type Data'!$C$2:$C$1165&gt;=Analysis!L85),ROW('Meter Type Data'!$B$2:$B$1165))-1,3))</x:f>
      </x:c>
      <x:c r="O85" s="194"/>
      <x:c r="P85" s="56"/>
      <x:c r="Q85" s="57"/>
      <x:c r="R85" s="58">
        <x:f>(($O85*P85)/100)+(Q85*12)</x:f>
      </x:c>
      <x:c r="S85" s="59"/>
      <x:c r="T85" s="59"/>
      <x:c r="U85" s="58">
        <x:f>(($O85*S85)/100)+(T85*12)</x:f>
      </x:c>
      <x:c r="V85" s="47"/>
      <x:c r="W85" s="60"/>
      <x:c r="X85" s="58">
        <x:f>(($O85*V85)/100)+(W85*12)</x:f>
      </x:c>
      <x:c r="Y85" s="47"/>
      <x:c r="Z85" s="60"/>
      <x:c r="AA85" s="58">
        <x:f>(($O85*Y85)/100)+(Z85*12)</x:f>
      </x:c>
      <x:c r="AB85" s="47"/>
      <x:c r="AC85" s="60"/>
      <x:c r="AD85" s="58">
        <x:f>(($O85*AB85)/100)+(AC85*12)</x:f>
      </x:c>
      <x:c r="AE85" s="47"/>
      <x:c r="AF85" s="60"/>
      <x:c r="AG85" s="58">
        <x:f>(($O85*AE85)/100)+(AF85*12)</x:f>
      </x:c>
      <x:c r="AH85" s="47"/>
      <x:c r="AI85" s="60"/>
      <x:c r="AJ85" s="58">
        <x:f>(($O85*AH85)/100)+(AI85*12)</x:f>
      </x:c>
      <x:c r="AK85" s="47"/>
      <x:c r="AL85" s="60"/>
      <x:c r="AM85" s="58">
        <x:f>(($O85*AK85)/100)+(AL85*12)</x:f>
      </x:c>
      <x:c r="AN85" s="47"/>
      <x:c r="AO85" s="60"/>
      <x:c r="AP85" s="58">
        <x:f>(($O85*AN85)/100)+(AO85*12)</x:f>
      </x:c>
      <x:c r="AQ85" s="47"/>
      <x:c r="AR85" s="60"/>
      <x:c r="AS85" s="58">
        <x:f>(($O85*AQ85)/100)+(AR85*12)</x:f>
      </x:c>
      <x:c r="AT85" s="47"/>
      <x:c r="AU85" s="60"/>
      <x:c r="AV85" s="58">
        <x:f>(($O85*AT85)/100)+(AU85*12)</x:f>
      </x:c>
      <x:c r="AW85" s="47"/>
      <x:c r="AX85" s="60"/>
      <x:c r="AY85" s="58">
        <x:f>(($O85*AW85)/100)+(AX85*12)</x:f>
      </x:c>
      <x:c r="AZ85" s="47"/>
      <x:c r="BA85" s="60"/>
      <x:c r="BB85" s="58">
        <x:f>(($O85*AZ85)/100)+(BA85*12)</x:f>
      </x:c>
      <x:c r="BC85" s="47"/>
      <x:c r="BD85" s="60"/>
      <x:c r="BE85" s="58">
        <x:f>(($O85*BC85)/100)+(BD85*12)</x:f>
      </x:c>
      <x:c r="BF85" s="47"/>
      <x:c r="BG85" s="60"/>
      <x:c r="BH85" s="58">
        <x:f>(($O85*BF85)/100)+(BG85*12)</x:f>
      </x:c>
      <x:c r="BI85" s="47"/>
      <x:c r="BJ85" s="60"/>
      <x:c r="BK85" s="58">
        <x:f>(($O85*BI85)/100)+(BJ85*12)</x:f>
      </x:c>
      <x:c r="BL85" s="47"/>
      <x:c r="BM85" s="60"/>
      <x:c r="BN85" s="58">
        <x:f>(($O85*BL85)/100)+(BM85*12)</x:f>
      </x:c>
      <x:c r="BO85" s="47"/>
      <x:c r="BP85" s="60"/>
      <x:c r="BQ85" s="58">
        <x:f>(($O85*BO85)/100)+(BP85*12)</x:f>
      </x:c>
      <x:c r="BR85" s="47"/>
      <x:c r="BS85" s="60"/>
      <x:c r="BT85" s="58">
        <x:f>(($O85*BR85)/100)+(BS85*12)</x:f>
      </x:c>
      <x:c r="BU85" s="47"/>
      <x:c r="BV85" s="60"/>
      <x:c r="BW85" s="58">
        <x:f>(($O85*BU85)/100)+(BV85*12)</x:f>
      </x:c>
      <x:c r="BX85" s="47"/>
      <x:c r="BY85" s="60"/>
      <x:c r="BZ85" s="58">
        <x:f>(($O85*BX85)/100)+(BY85*12)</x:f>
      </x:c>
      <x:c r="CA85" s="47"/>
      <x:c r="CB85" s="60"/>
      <x:c r="CC85" s="58">
        <x:f>(($O85*CA85)/100)+(CB85*12)</x:f>
      </x:c>
      <x:c r="CD85" s="47"/>
      <x:c r="CE85" s="60"/>
      <x:c r="CF85" s="58">
        <x:f>(($O85*CD85)/100)+(CE85*12)</x:f>
      </x:c>
      <x:c r="CG85" s="47"/>
      <x:c r="CH85" s="60"/>
      <x:c r="CI85" s="58">
        <x:f>(($O85*CG85)/100)+(CH85*12)</x:f>
      </x:c>
      <x:c r="CJ85" s="47"/>
      <x:c r="CK85" s="60"/>
      <x:c r="CL85" s="58">
        <x:f>(($O85*CJ85)/100)+(CK85*12)</x:f>
      </x:c>
      <x:c r="CM85" s="47"/>
      <x:c r="CN85" s="60"/>
      <x:c r="CO85" s="58">
        <x:f>(($O85*CM85)/100)+(CN85*12)</x:f>
      </x:c>
      <x:c r="CP85" s="47"/>
      <x:c r="CQ85" s="60"/>
      <x:c r="CR85" s="58">
        <x:f>(($O85*CP85)/100)+(CQ85*12)</x:f>
      </x:c>
      <x:c r="CS85" s="47"/>
      <x:c r="CT85" s="60"/>
      <x:c r="CU85" s="58">
        <x:f>(($O85*CS85)/100)+(CT85*12)</x:f>
      </x:c>
      <x:c r="CV85" s="47"/>
      <x:c r="CW85" s="60"/>
      <x:c r="CX85" s="58"/>
      <x:c r="CY85" s="47"/>
      <x:c r="CZ85" s="60"/>
      <x:c r="DA85" s="58"/>
      <x:c r="DB85" s="47"/>
      <x:c r="DC85" s="60"/>
      <x:c r="DD85" s="58"/>
      <x:c r="DE85" s="47"/>
      <x:c r="DF85" s="60"/>
      <x:c r="DG85" s="58"/>
      <x:c r="DH85" s="47"/>
      <x:c r="DI85" s="60"/>
      <x:c r="DJ85" s="58"/>
      <x:c r="DK85" s="47"/>
      <x:c r="DL85" s="60"/>
      <x:c r="DM85" s="58"/>
      <x:c r="DN85" s="11"/>
      <x:c r="DO85" s="61"/>
      <x:c r="DP85" s="62"/>
      <x:c r="DQ85" s="11"/>
      <x:c r="DR85" s="61"/>
      <x:c r="DS85" s="62"/>
      <x:c r="DT85" s="11"/>
      <x:c r="DU85" s="61"/>
      <x:c r="DV85" s="62"/>
    </x:row>
    <x:row r="86" spans="1:126" x14ac:dyDescent="0.3">
      <x:c r="A86" s="47"/>
      <x:c r="B86" s="70"/>
      <x:c r="C86" s="70"/>
      <x:c r="D86" s="70"/>
      <x:c r="E86" s="70"/>
      <x:c r="F86" s="70"/>
      <x:c r="G86" s="70"/>
      <x:c r="H86" s="70"/>
      <x:c r="I86" s="70"/>
      <x:c r="J86" s="70"/>
      <x:c r="K86" s="190"/>
      <x:c r="L86" s="191"/>
      <x:c r="M86" s="192">
        <x:f>IF(ISERROR(INDEX('Meter Type Data'!$B$2:$E$1165,SUMPRODUCT(--('Meter Type Data'!$B$2:$B$1165&lt;=Analysis!L86)*('Meter Type Data'!$C$2:$C$1165&gt;=Analysis!L86),ROW('Meter Type Data'!$B$2:$B$1165))-1,4))," ",INDEX('Meter Type Data'!$B$2:$E$1165,SUMPRODUCT(--('Meter Type Data'!$B$2:$B$1165&lt;=Analysis!L86)*('Meter Type Data'!$C$2:$C$1165&gt;=Analysis!L86),ROW('Meter Type Data'!$B$2:$B$1165))-1,4))</x:f>
      </x:c>
      <x:c r="N86" s="192">
        <x:f>IF(ISERROR(INDEX('Meter Type Data'!$B$2:$D$1165,SUMPRODUCT(--('Meter Type Data'!$B$2:$B$1165&lt;=Analysis!L86)*('Meter Type Data'!$C$2:$C$1165&gt;=Analysis!L86),ROW('Meter Type Data'!$B$2:$B$1165))-1,3))," ",INDEX('Meter Type Data'!$B$2:$D$1165,SUMPRODUCT(--('Meter Type Data'!$B$2:$B$1165&lt;=Analysis!L86)*('Meter Type Data'!$C$2:$C$1165&gt;=Analysis!L86),ROW('Meter Type Data'!$B$2:$B$1165))-1,3))</x:f>
      </x:c>
      <x:c r="O86" s="193"/>
      <x:c r="P86" s="56"/>
      <x:c r="Q86" s="57"/>
      <x:c r="R86" s="58">
        <x:f>(($O86*P86)/100)+(Q86*12)</x:f>
      </x:c>
      <x:c r="S86" s="59"/>
      <x:c r="T86" s="59"/>
      <x:c r="U86" s="58">
        <x:f>(($O86*S86)/100)+(T86*12)</x:f>
      </x:c>
      <x:c r="V86" s="47"/>
      <x:c r="W86" s="60"/>
      <x:c r="X86" s="58">
        <x:f>(($O86*V86)/100)+(W86*12)</x:f>
      </x:c>
      <x:c r="Y86" s="47"/>
      <x:c r="Z86" s="60"/>
      <x:c r="AA86" s="58">
        <x:f>(($O86*Y86)/100)+(Z86*12)</x:f>
      </x:c>
      <x:c r="AB86" s="47"/>
      <x:c r="AC86" s="60"/>
      <x:c r="AD86" s="58">
        <x:f>(($O86*AB86)/100)+(AC86*12)</x:f>
      </x:c>
      <x:c r="AE86" s="47"/>
      <x:c r="AF86" s="60"/>
      <x:c r="AG86" s="58">
        <x:f>(($O86*AE86)/100)+(AF86*12)</x:f>
      </x:c>
      <x:c r="AH86" s="47"/>
      <x:c r="AI86" s="60"/>
      <x:c r="AJ86" s="58">
        <x:f>(($O86*AH86)/100)+(AI86*12)</x:f>
      </x:c>
      <x:c r="AK86" s="47"/>
      <x:c r="AL86" s="60"/>
      <x:c r="AM86" s="58">
        <x:f>(($O86*AK86)/100)+(AL86*12)</x:f>
      </x:c>
      <x:c r="AN86" s="47"/>
      <x:c r="AO86" s="60"/>
      <x:c r="AP86" s="58">
        <x:f>(($O86*AN86)/100)+(AO86*12)</x:f>
      </x:c>
      <x:c r="AQ86" s="47"/>
      <x:c r="AR86" s="60"/>
      <x:c r="AS86" s="58">
        <x:f>(($O86*AQ86)/100)+(AR86*12)</x:f>
      </x:c>
      <x:c r="AT86" s="47"/>
      <x:c r="AU86" s="60"/>
      <x:c r="AV86" s="58">
        <x:f>(($O86*AT86)/100)+(AU86*12)</x:f>
      </x:c>
      <x:c r="AW86" s="47"/>
      <x:c r="AX86" s="60"/>
      <x:c r="AY86" s="58">
        <x:f>(($O86*AW86)/100)+(AX86*12)</x:f>
      </x:c>
      <x:c r="AZ86" s="47"/>
      <x:c r="BA86" s="60"/>
      <x:c r="BB86" s="58">
        <x:f>(($O86*AZ86)/100)+(BA86*12)</x:f>
      </x:c>
      <x:c r="BC86" s="47"/>
      <x:c r="BD86" s="60"/>
      <x:c r="BE86" s="58">
        <x:f>(($O86*BC86)/100)+(BD86*12)</x:f>
      </x:c>
      <x:c r="BF86" s="47"/>
      <x:c r="BG86" s="60"/>
      <x:c r="BH86" s="58">
        <x:f>(($O86*BF86)/100)+(BG86*12)</x:f>
      </x:c>
      <x:c r="BI86" s="47"/>
      <x:c r="BJ86" s="60"/>
      <x:c r="BK86" s="58">
        <x:f>(($O86*BI86)/100)+(BJ86*12)</x:f>
      </x:c>
      <x:c r="BL86" s="47"/>
      <x:c r="BM86" s="60"/>
      <x:c r="BN86" s="58">
        <x:f>(($O86*BL86)/100)+(BM86*12)</x:f>
      </x:c>
      <x:c r="BO86" s="47"/>
      <x:c r="BP86" s="60"/>
      <x:c r="BQ86" s="58">
        <x:f>(($O86*BO86)/100)+(BP86*12)</x:f>
      </x:c>
      <x:c r="BR86" s="47"/>
      <x:c r="BS86" s="60"/>
      <x:c r="BT86" s="58">
        <x:f>(($O86*BR86)/100)+(BS86*12)</x:f>
      </x:c>
      <x:c r="BU86" s="47"/>
      <x:c r="BV86" s="60"/>
      <x:c r="BW86" s="58">
        <x:f>(($O86*BU86)/100)+(BV86*12)</x:f>
      </x:c>
      <x:c r="BX86" s="47"/>
      <x:c r="BY86" s="60"/>
      <x:c r="BZ86" s="58">
        <x:f>(($O86*BX86)/100)+(BY86*12)</x:f>
      </x:c>
      <x:c r="CA86" s="47"/>
      <x:c r="CB86" s="60"/>
      <x:c r="CC86" s="58">
        <x:f>(($O86*CA86)/100)+(CB86*12)</x:f>
      </x:c>
      <x:c r="CD86" s="47"/>
      <x:c r="CE86" s="60"/>
      <x:c r="CF86" s="58">
        <x:f>(($O86*CD86)/100)+(CE86*12)</x:f>
      </x:c>
      <x:c r="CG86" s="47"/>
      <x:c r="CH86" s="60"/>
      <x:c r="CI86" s="58">
        <x:f>(($O86*CG86)/100)+(CH86*12)</x:f>
      </x:c>
      <x:c r="CJ86" s="47"/>
      <x:c r="CK86" s="60"/>
      <x:c r="CL86" s="58">
        <x:f>(($O86*CJ86)/100)+(CK86*12)</x:f>
      </x:c>
      <x:c r="CM86" s="47"/>
      <x:c r="CN86" s="60"/>
      <x:c r="CO86" s="58">
        <x:f>(($O86*CM86)/100)+(CN86*12)</x:f>
      </x:c>
      <x:c r="CP86" s="47"/>
      <x:c r="CQ86" s="60"/>
      <x:c r="CR86" s="58">
        <x:f>(($O86*CP86)/100)+(CQ86*12)</x:f>
      </x:c>
      <x:c r="CS86" s="47"/>
      <x:c r="CT86" s="60"/>
      <x:c r="CU86" s="58">
        <x:f>(($O86*CS86)/100)+(CT86*12)</x:f>
      </x:c>
      <x:c r="CV86" s="47"/>
      <x:c r="CW86" s="60"/>
      <x:c r="CX86" s="58"/>
      <x:c r="CY86" s="47"/>
      <x:c r="CZ86" s="60"/>
      <x:c r="DA86" s="58"/>
      <x:c r="DB86" s="47"/>
      <x:c r="DC86" s="60"/>
      <x:c r="DD86" s="58"/>
      <x:c r="DE86" s="47"/>
      <x:c r="DF86" s="60"/>
      <x:c r="DG86" s="58"/>
      <x:c r="DH86" s="47"/>
      <x:c r="DI86" s="60"/>
      <x:c r="DJ86" s="58"/>
      <x:c r="DK86" s="47"/>
      <x:c r="DL86" s="60"/>
      <x:c r="DM86" s="58"/>
      <x:c r="DN86" s="11"/>
      <x:c r="DO86" s="61"/>
      <x:c r="DP86" s="62"/>
      <x:c r="DQ86" s="11"/>
      <x:c r="DR86" s="61"/>
      <x:c r="DS86" s="62"/>
      <x:c r="DT86" s="11"/>
      <x:c r="DU86" s="61"/>
      <x:c r="DV86" s="62"/>
    </x:row>
    <x:row r="87" spans="1:126" ht="15.75" customHeight="1" x14ac:dyDescent="0.3">
      <x:c r="A87" s="47"/>
      <x:c r="B87" s="70"/>
      <x:c r="C87" s="70"/>
      <x:c r="D87" s="70"/>
      <x:c r="E87" s="70"/>
      <x:c r="F87" s="70"/>
      <x:c r="G87" s="70"/>
      <x:c r="H87" s="70"/>
      <x:c r="I87" s="70"/>
      <x:c r="J87" s="70"/>
      <x:c r="K87" s="190"/>
      <x:c r="L87" s="191"/>
      <x:c r="M87" s="192">
        <x:f>IF(ISERROR(INDEX('Meter Type Data'!$B$2:$E$1165,SUMPRODUCT(--('Meter Type Data'!$B$2:$B$1165&lt;=Analysis!L87)*('Meter Type Data'!$C$2:$C$1165&gt;=Analysis!L87),ROW('Meter Type Data'!$B$2:$B$1165))-1,4))," ",INDEX('Meter Type Data'!$B$2:$E$1165,SUMPRODUCT(--('Meter Type Data'!$B$2:$B$1165&lt;=Analysis!L87)*('Meter Type Data'!$C$2:$C$1165&gt;=Analysis!L87),ROW('Meter Type Data'!$B$2:$B$1165))-1,4))</x:f>
      </x:c>
      <x:c r="N87" s="192">
        <x:f>IF(ISERROR(INDEX('Meter Type Data'!$B$2:$D$1165,SUMPRODUCT(--('Meter Type Data'!$B$2:$B$1165&lt;=Analysis!L87)*('Meter Type Data'!$C$2:$C$1165&gt;=Analysis!L87),ROW('Meter Type Data'!$B$2:$B$1165))-1,3))," ",INDEX('Meter Type Data'!$B$2:$D$1165,SUMPRODUCT(--('Meter Type Data'!$B$2:$B$1165&lt;=Analysis!L87)*('Meter Type Data'!$C$2:$C$1165&gt;=Analysis!L87),ROW('Meter Type Data'!$B$2:$B$1165))-1,3))</x:f>
      </x:c>
      <x:c r="O87" s="194"/>
      <x:c r="P87" s="56"/>
      <x:c r="Q87" s="57"/>
      <x:c r="R87" s="58">
        <x:f>(($O87*P87)/100)+(Q87*12)</x:f>
      </x:c>
      <x:c r="S87" s="59"/>
      <x:c r="T87" s="59"/>
      <x:c r="U87" s="58">
        <x:f>(($O87*S87)/100)+(T87*12)</x:f>
      </x:c>
      <x:c r="V87" s="47"/>
      <x:c r="W87" s="60"/>
      <x:c r="X87" s="58">
        <x:f>(($O87*V87)/100)+(W87*12)</x:f>
      </x:c>
      <x:c r="Y87" s="47"/>
      <x:c r="Z87" s="60"/>
      <x:c r="AA87" s="58">
        <x:f>(($O87*Y87)/100)+(Z87*12)</x:f>
      </x:c>
      <x:c r="AB87" s="47"/>
      <x:c r="AC87" s="60"/>
      <x:c r="AD87" s="58">
        <x:f>(($O87*AB87)/100)+(AC87*12)</x:f>
      </x:c>
      <x:c r="AE87" s="47"/>
      <x:c r="AF87" s="60"/>
      <x:c r="AG87" s="58">
        <x:f>(($O87*AE87)/100)+(AF87*12)</x:f>
      </x:c>
      <x:c r="AH87" s="47"/>
      <x:c r="AI87" s="60"/>
      <x:c r="AJ87" s="58">
        <x:f>(($O87*AH87)/100)+(AI87*12)</x:f>
      </x:c>
      <x:c r="AK87" s="47"/>
      <x:c r="AL87" s="60"/>
      <x:c r="AM87" s="58">
        <x:f>(($O87*AK87)/100)+(AL87*12)</x:f>
      </x:c>
      <x:c r="AN87" s="47"/>
      <x:c r="AO87" s="60"/>
      <x:c r="AP87" s="58">
        <x:f>(($O87*AN87)/100)+(AO87*12)</x:f>
      </x:c>
      <x:c r="AQ87" s="47"/>
      <x:c r="AR87" s="60"/>
      <x:c r="AS87" s="58">
        <x:f>(($O87*AQ87)/100)+(AR87*12)</x:f>
      </x:c>
      <x:c r="AT87" s="47"/>
      <x:c r="AU87" s="60"/>
      <x:c r="AV87" s="58">
        <x:f>(($O87*AT87)/100)+(AU87*12)</x:f>
      </x:c>
      <x:c r="AW87" s="47"/>
      <x:c r="AX87" s="60"/>
      <x:c r="AY87" s="58">
        <x:f>(($O87*AW87)/100)+(AX87*12)</x:f>
      </x:c>
      <x:c r="AZ87" s="47"/>
      <x:c r="BA87" s="60"/>
      <x:c r="BB87" s="58">
        <x:f>(($O87*AZ87)/100)+(BA87*12)</x:f>
      </x:c>
      <x:c r="BC87" s="47"/>
      <x:c r="BD87" s="60"/>
      <x:c r="BE87" s="58">
        <x:f>(($O87*BC87)/100)+(BD87*12)</x:f>
      </x:c>
      <x:c r="BF87" s="47"/>
      <x:c r="BG87" s="60"/>
      <x:c r="BH87" s="58">
        <x:f>(($O87*BF87)/100)+(BG87*12)</x:f>
      </x:c>
      <x:c r="BI87" s="47"/>
      <x:c r="BJ87" s="60"/>
      <x:c r="BK87" s="58">
        <x:f>(($O87*BI87)/100)+(BJ87*12)</x:f>
      </x:c>
      <x:c r="BL87" s="47"/>
      <x:c r="BM87" s="60"/>
      <x:c r="BN87" s="58">
        <x:f>(($O87*BL87)/100)+(BM87*12)</x:f>
      </x:c>
      <x:c r="BO87" s="47"/>
      <x:c r="BP87" s="60"/>
      <x:c r="BQ87" s="58">
        <x:f>(($O87*BO87)/100)+(BP87*12)</x:f>
      </x:c>
      <x:c r="BR87" s="47"/>
      <x:c r="BS87" s="60"/>
      <x:c r="BT87" s="58">
        <x:f>(($O87*BR87)/100)+(BS87*12)</x:f>
      </x:c>
      <x:c r="BU87" s="47"/>
      <x:c r="BV87" s="60"/>
      <x:c r="BW87" s="58">
        <x:f>(($O87*BU87)/100)+(BV87*12)</x:f>
      </x:c>
      <x:c r="BX87" s="47"/>
      <x:c r="BY87" s="60"/>
      <x:c r="BZ87" s="58">
        <x:f>(($O87*BX87)/100)+(BY87*12)</x:f>
      </x:c>
      <x:c r="CA87" s="47"/>
      <x:c r="CB87" s="60"/>
      <x:c r="CC87" s="58">
        <x:f>(($O87*CA87)/100)+(CB87*12)</x:f>
      </x:c>
      <x:c r="CD87" s="47"/>
      <x:c r="CE87" s="60"/>
      <x:c r="CF87" s="58">
        <x:f>(($O87*CD87)/100)+(CE87*12)</x:f>
      </x:c>
      <x:c r="CG87" s="47"/>
      <x:c r="CH87" s="60"/>
      <x:c r="CI87" s="58">
        <x:f>(($O87*CG87)/100)+(CH87*12)</x:f>
      </x:c>
      <x:c r="CJ87" s="47"/>
      <x:c r="CK87" s="60"/>
      <x:c r="CL87" s="58">
        <x:f>(($O87*CJ87)/100)+(CK87*12)</x:f>
      </x:c>
      <x:c r="CM87" s="47"/>
      <x:c r="CN87" s="60"/>
      <x:c r="CO87" s="58">
        <x:f>(($O87*CM87)/100)+(CN87*12)</x:f>
      </x:c>
      <x:c r="CP87" s="47"/>
      <x:c r="CQ87" s="60"/>
      <x:c r="CR87" s="58">
        <x:f>(($O87*CP87)/100)+(CQ87*12)</x:f>
      </x:c>
      <x:c r="CS87" s="47"/>
      <x:c r="CT87" s="60"/>
      <x:c r="CU87" s="58">
        <x:f>(($O87*CS87)/100)+(CT87*12)</x:f>
      </x:c>
      <x:c r="CV87" s="47"/>
      <x:c r="CW87" s="60"/>
      <x:c r="CX87" s="58"/>
      <x:c r="CY87" s="47"/>
      <x:c r="CZ87" s="60"/>
      <x:c r="DA87" s="58"/>
      <x:c r="DB87" s="47"/>
      <x:c r="DC87" s="60"/>
      <x:c r="DD87" s="58"/>
      <x:c r="DE87" s="47"/>
      <x:c r="DF87" s="60"/>
      <x:c r="DG87" s="58"/>
      <x:c r="DH87" s="47"/>
      <x:c r="DI87" s="60"/>
      <x:c r="DJ87" s="58"/>
      <x:c r="DK87" s="47"/>
      <x:c r="DL87" s="60"/>
      <x:c r="DM87" s="58"/>
      <x:c r="DN87" s="11"/>
      <x:c r="DO87" s="61"/>
      <x:c r="DP87" s="62"/>
      <x:c r="DQ87" s="11"/>
      <x:c r="DR87" s="61"/>
      <x:c r="DS87" s="62"/>
      <x:c r="DT87" s="11"/>
      <x:c r="DU87" s="61"/>
      <x:c r="DV87" s="62"/>
    </x:row>
    <x:row r="88" spans="1:126" x14ac:dyDescent="0.3">
      <x:c r="A88" s="47"/>
      <x:c r="B88" s="70"/>
      <x:c r="C88" s="70"/>
      <x:c r="D88" s="70"/>
      <x:c r="E88" s="70"/>
      <x:c r="F88" s="70"/>
      <x:c r="G88" s="70"/>
      <x:c r="H88" s="70"/>
      <x:c r="I88" s="70"/>
      <x:c r="J88" s="70"/>
      <x:c r="K88" s="190"/>
      <x:c r="L88" s="191"/>
      <x:c r="M88" s="192">
        <x:f>IF(ISERROR(INDEX('Meter Type Data'!$B$2:$E$1165,SUMPRODUCT(--('Meter Type Data'!$B$2:$B$1165&lt;=Analysis!L88)*('Meter Type Data'!$C$2:$C$1165&gt;=Analysis!L88),ROW('Meter Type Data'!$B$2:$B$1165))-1,4))," ",INDEX('Meter Type Data'!$B$2:$E$1165,SUMPRODUCT(--('Meter Type Data'!$B$2:$B$1165&lt;=Analysis!L88)*('Meter Type Data'!$C$2:$C$1165&gt;=Analysis!L88),ROW('Meter Type Data'!$B$2:$B$1165))-1,4))</x:f>
      </x:c>
      <x:c r="N88" s="192">
        <x:f>IF(ISERROR(INDEX('Meter Type Data'!$B$2:$D$1165,SUMPRODUCT(--('Meter Type Data'!$B$2:$B$1165&lt;=Analysis!L88)*('Meter Type Data'!$C$2:$C$1165&gt;=Analysis!L88),ROW('Meter Type Data'!$B$2:$B$1165))-1,3))," ",INDEX('Meter Type Data'!$B$2:$D$1165,SUMPRODUCT(--('Meter Type Data'!$B$2:$B$1165&lt;=Analysis!L88)*('Meter Type Data'!$C$2:$C$1165&gt;=Analysis!L88),ROW('Meter Type Data'!$B$2:$B$1165))-1,3))</x:f>
      </x:c>
      <x:c r="O88" s="194"/>
      <x:c r="P88" s="56"/>
      <x:c r="Q88" s="57"/>
      <x:c r="R88" s="58">
        <x:f>(($O88*P88)/100)+(Q88*12)</x:f>
      </x:c>
      <x:c r="S88" s="59"/>
      <x:c r="T88" s="59"/>
      <x:c r="U88" s="58">
        <x:f>(($O88*S88)/100)+(T88*12)</x:f>
      </x:c>
      <x:c r="V88" s="47"/>
      <x:c r="W88" s="60"/>
      <x:c r="X88" s="58">
        <x:f>(($O88*V88)/100)+(W88*12)</x:f>
      </x:c>
      <x:c r="Y88" s="47"/>
      <x:c r="Z88" s="60"/>
      <x:c r="AA88" s="58">
        <x:f>(($O88*Y88)/100)+(Z88*12)</x:f>
      </x:c>
      <x:c r="AB88" s="47"/>
      <x:c r="AC88" s="60"/>
      <x:c r="AD88" s="58">
        <x:f>(($O88*AB88)/100)+(AC88*12)</x:f>
      </x:c>
      <x:c r="AE88" s="47"/>
      <x:c r="AF88" s="60"/>
      <x:c r="AG88" s="58">
        <x:f>(($O88*AE88)/100)+(AF88*12)</x:f>
      </x:c>
      <x:c r="AH88" s="47"/>
      <x:c r="AI88" s="60"/>
      <x:c r="AJ88" s="58">
        <x:f>(($O88*AH88)/100)+(AI88*12)</x:f>
      </x:c>
      <x:c r="AK88" s="47"/>
      <x:c r="AL88" s="60"/>
      <x:c r="AM88" s="58">
        <x:f>(($O88*AK88)/100)+(AL88*12)</x:f>
      </x:c>
      <x:c r="AN88" s="47"/>
      <x:c r="AO88" s="60"/>
      <x:c r="AP88" s="58">
        <x:f>(($O88*AN88)/100)+(AO88*12)</x:f>
      </x:c>
      <x:c r="AQ88" s="47"/>
      <x:c r="AR88" s="60"/>
      <x:c r="AS88" s="58">
        <x:f>(($O88*AQ88)/100)+(AR88*12)</x:f>
      </x:c>
      <x:c r="AT88" s="47"/>
      <x:c r="AU88" s="60"/>
      <x:c r="AV88" s="58">
        <x:f>(($O88*AT88)/100)+(AU88*12)</x:f>
      </x:c>
      <x:c r="AW88" s="47"/>
      <x:c r="AX88" s="60"/>
      <x:c r="AY88" s="58">
        <x:f>(($O88*AW88)/100)+(AX88*12)</x:f>
      </x:c>
      <x:c r="AZ88" s="47"/>
      <x:c r="BA88" s="60"/>
      <x:c r="BB88" s="58">
        <x:f>(($O88*AZ88)/100)+(BA88*12)</x:f>
      </x:c>
      <x:c r="BC88" s="47"/>
      <x:c r="BD88" s="60"/>
      <x:c r="BE88" s="58">
        <x:f>(($O88*BC88)/100)+(BD88*12)</x:f>
      </x:c>
      <x:c r="BF88" s="47"/>
      <x:c r="BG88" s="60"/>
      <x:c r="BH88" s="58">
        <x:f>(($O88*BF88)/100)+(BG88*12)</x:f>
      </x:c>
      <x:c r="BI88" s="47"/>
      <x:c r="BJ88" s="60"/>
      <x:c r="BK88" s="58">
        <x:f>(($O88*BI88)/100)+(BJ88*12)</x:f>
      </x:c>
      <x:c r="BL88" s="47"/>
      <x:c r="BM88" s="60"/>
      <x:c r="BN88" s="58">
        <x:f>(($O88*BL88)/100)+(BM88*12)</x:f>
      </x:c>
      <x:c r="BO88" s="47"/>
      <x:c r="BP88" s="60"/>
      <x:c r="BQ88" s="58">
        <x:f>(($O88*BO88)/100)+(BP88*12)</x:f>
      </x:c>
      <x:c r="BR88" s="47"/>
      <x:c r="BS88" s="60"/>
      <x:c r="BT88" s="58">
        <x:f>(($O88*BR88)/100)+(BS88*12)</x:f>
      </x:c>
      <x:c r="BU88" s="47"/>
      <x:c r="BV88" s="60"/>
      <x:c r="BW88" s="58">
        <x:f>(($O88*BU88)/100)+(BV88*12)</x:f>
      </x:c>
      <x:c r="BX88" s="47"/>
      <x:c r="BY88" s="60"/>
      <x:c r="BZ88" s="58">
        <x:f>(($O88*BX88)/100)+(BY88*12)</x:f>
      </x:c>
      <x:c r="CA88" s="47"/>
      <x:c r="CB88" s="60"/>
      <x:c r="CC88" s="58">
        <x:f>(($O88*CA88)/100)+(CB88*12)</x:f>
      </x:c>
      <x:c r="CD88" s="47"/>
      <x:c r="CE88" s="60"/>
      <x:c r="CF88" s="58">
        <x:f>(($O88*CD88)/100)+(CE88*12)</x:f>
      </x:c>
      <x:c r="CG88" s="47"/>
      <x:c r="CH88" s="60"/>
      <x:c r="CI88" s="58">
        <x:f>(($O88*CG88)/100)+(CH88*12)</x:f>
      </x:c>
      <x:c r="CJ88" s="47"/>
      <x:c r="CK88" s="60"/>
      <x:c r="CL88" s="58">
        <x:f>(($O88*CJ88)/100)+(CK88*12)</x:f>
      </x:c>
      <x:c r="CM88" s="47"/>
      <x:c r="CN88" s="60"/>
      <x:c r="CO88" s="58">
        <x:f>(($O88*CM88)/100)+(CN88*12)</x:f>
      </x:c>
      <x:c r="CP88" s="47"/>
      <x:c r="CQ88" s="60"/>
      <x:c r="CR88" s="58">
        <x:f>(($O88*CP88)/100)+(CQ88*12)</x:f>
      </x:c>
      <x:c r="CS88" s="47"/>
      <x:c r="CT88" s="60"/>
      <x:c r="CU88" s="58">
        <x:f>(($O88*CS88)/100)+(CT88*12)</x:f>
      </x:c>
      <x:c r="CV88" s="47"/>
      <x:c r="CW88" s="60"/>
      <x:c r="CX88" s="58"/>
      <x:c r="CY88" s="47"/>
      <x:c r="CZ88" s="60"/>
      <x:c r="DA88" s="58"/>
      <x:c r="DB88" s="47"/>
      <x:c r="DC88" s="60"/>
      <x:c r="DD88" s="58"/>
      <x:c r="DE88" s="47"/>
      <x:c r="DF88" s="60"/>
      <x:c r="DG88" s="58"/>
      <x:c r="DH88" s="47"/>
      <x:c r="DI88" s="60"/>
      <x:c r="DJ88" s="58"/>
      <x:c r="DK88" s="47"/>
      <x:c r="DL88" s="60"/>
      <x:c r="DM88" s="58"/>
      <x:c r="DN88" s="11"/>
      <x:c r="DO88" s="61"/>
      <x:c r="DP88" s="62"/>
      <x:c r="DQ88" s="11"/>
      <x:c r="DR88" s="61"/>
      <x:c r="DS88" s="62"/>
      <x:c r="DT88" s="11"/>
      <x:c r="DU88" s="61"/>
      <x:c r="DV88" s="62"/>
    </x:row>
    <x:row r="89" spans="1:126" x14ac:dyDescent="0.3">
      <x:c r="A89" s="47"/>
      <x:c r="B89" s="70"/>
      <x:c r="C89" s="70"/>
      <x:c r="D89" s="70"/>
      <x:c r="E89" s="70"/>
      <x:c r="F89" s="70"/>
      <x:c r="G89" s="70"/>
      <x:c r="H89" s="70"/>
      <x:c r="I89" s="70"/>
      <x:c r="J89" s="70"/>
      <x:c r="K89" s="190"/>
      <x:c r="L89" s="191"/>
      <x:c r="M89" s="192">
        <x:f>IF(ISERROR(INDEX('Meter Type Data'!$B$2:$E$1165,SUMPRODUCT(--('Meter Type Data'!$B$2:$B$1165&lt;=Analysis!L89)*('Meter Type Data'!$C$2:$C$1165&gt;=Analysis!L89),ROW('Meter Type Data'!$B$2:$B$1165))-1,4))," ",INDEX('Meter Type Data'!$B$2:$E$1165,SUMPRODUCT(--('Meter Type Data'!$B$2:$B$1165&lt;=Analysis!L89)*('Meter Type Data'!$C$2:$C$1165&gt;=Analysis!L89),ROW('Meter Type Data'!$B$2:$B$1165))-1,4))</x:f>
      </x:c>
      <x:c r="N89" s="192">
        <x:f>IF(ISERROR(INDEX('Meter Type Data'!$B$2:$D$1165,SUMPRODUCT(--('Meter Type Data'!$B$2:$B$1165&lt;=Analysis!L89)*('Meter Type Data'!$C$2:$C$1165&gt;=Analysis!L89),ROW('Meter Type Data'!$B$2:$B$1165))-1,3))," ",INDEX('Meter Type Data'!$B$2:$D$1165,SUMPRODUCT(--('Meter Type Data'!$B$2:$B$1165&lt;=Analysis!L89)*('Meter Type Data'!$C$2:$C$1165&gt;=Analysis!L89),ROW('Meter Type Data'!$B$2:$B$1165))-1,3))</x:f>
      </x:c>
      <x:c r="O89" s="69"/>
      <x:c r="P89" s="59"/>
      <x:c r="Q89" s="59"/>
      <x:c r="R89" s="58">
        <x:f>(($O89*P89)/100)+(Q89*12)</x:f>
      </x:c>
      <x:c r="S89" s="59"/>
      <x:c r="T89" s="59"/>
      <x:c r="U89" s="58">
        <x:f>(($O89*S89)/100)+(T89*12)</x:f>
      </x:c>
      <x:c r="V89" s="47"/>
      <x:c r="W89" s="60"/>
      <x:c r="X89" s="58">
        <x:f>(($O89*V89)/100)+(W89*12)</x:f>
      </x:c>
      <x:c r="Y89" s="47"/>
      <x:c r="Z89" s="60"/>
      <x:c r="AA89" s="58">
        <x:f>(($O89*Y89)/100)+(Z89*12)</x:f>
      </x:c>
      <x:c r="AB89" s="47"/>
      <x:c r="AC89" s="60"/>
      <x:c r="AD89" s="58">
        <x:f>(($O89*AB89)/100)+(AC89*12)</x:f>
      </x:c>
      <x:c r="AE89" s="47"/>
      <x:c r="AF89" s="60"/>
      <x:c r="AG89" s="58">
        <x:f>(($O89*AE89)/100)+(AF89*12)</x:f>
      </x:c>
      <x:c r="AH89" s="47"/>
      <x:c r="AI89" s="60"/>
      <x:c r="AJ89" s="58">
        <x:f>(($O89*AH89)/100)+(AI89*12)</x:f>
      </x:c>
      <x:c r="AK89" s="47"/>
      <x:c r="AL89" s="60"/>
      <x:c r="AM89" s="58">
        <x:f>(($O89*AK89)/100)+(AL89*12)</x:f>
      </x:c>
      <x:c r="AN89" s="47"/>
      <x:c r="AO89" s="60"/>
      <x:c r="AP89" s="58">
        <x:f>(($O89*AN89)/100)+(AO89*12)</x:f>
      </x:c>
      <x:c r="AQ89" s="47"/>
      <x:c r="AR89" s="60"/>
      <x:c r="AS89" s="58">
        <x:f>(($O89*AQ89)/100)+(AR89*12)</x:f>
      </x:c>
      <x:c r="AT89" s="47"/>
      <x:c r="AU89" s="60"/>
      <x:c r="AV89" s="58">
        <x:f>(($O89*AT89)/100)+(AU89*12)</x:f>
      </x:c>
      <x:c r="AW89" s="47"/>
      <x:c r="AX89" s="60"/>
      <x:c r="AY89" s="58">
        <x:f>(($O89*AW89)/100)+(AX89*12)</x:f>
      </x:c>
      <x:c r="AZ89" s="47"/>
      <x:c r="BA89" s="60"/>
      <x:c r="BB89" s="58">
        <x:f>(($O89*AZ89)/100)+(BA89*12)</x:f>
      </x:c>
      <x:c r="BC89" s="47"/>
      <x:c r="BD89" s="60"/>
      <x:c r="BE89" s="58">
        <x:f>(($O89*BC89)/100)+(BD89*12)</x:f>
      </x:c>
      <x:c r="BF89" s="47"/>
      <x:c r="BG89" s="60"/>
      <x:c r="BH89" s="58">
        <x:f>(($O89*BF89)/100)+(BG89*12)</x:f>
      </x:c>
      <x:c r="BI89" s="47"/>
      <x:c r="BJ89" s="60"/>
      <x:c r="BK89" s="58">
        <x:f>(($O89*BI89)/100)+(BJ89*12)</x:f>
      </x:c>
      <x:c r="BL89" s="47"/>
      <x:c r="BM89" s="60"/>
      <x:c r="BN89" s="58">
        <x:f>(($O89*BL89)/100)+(BM89*12)</x:f>
      </x:c>
      <x:c r="BO89" s="47"/>
      <x:c r="BP89" s="60"/>
      <x:c r="BQ89" s="58">
        <x:f>(($O89*BO89)/100)+(BP89*12)</x:f>
      </x:c>
      <x:c r="BR89" s="47"/>
      <x:c r="BS89" s="60"/>
      <x:c r="BT89" s="58">
        <x:f>(($O89*BR89)/100)+(BS89*12)</x:f>
      </x:c>
      <x:c r="BU89" s="47"/>
      <x:c r="BV89" s="60"/>
      <x:c r="BW89" s="58">
        <x:f>(($O89*BU89)/100)+(BV89*12)</x:f>
      </x:c>
      <x:c r="BX89" s="47"/>
      <x:c r="BY89" s="60"/>
      <x:c r="BZ89" s="58">
        <x:f>(($O89*BX89)/100)+(BY89*12)</x:f>
      </x:c>
      <x:c r="CA89" s="47"/>
      <x:c r="CB89" s="60"/>
      <x:c r="CC89" s="58">
        <x:f>(($O89*CA89)/100)+(CB89*12)</x:f>
      </x:c>
      <x:c r="CD89" s="47"/>
      <x:c r="CE89" s="60"/>
      <x:c r="CF89" s="58">
        <x:f>(($O89*CD89)/100)+(CE89*12)</x:f>
      </x:c>
      <x:c r="CG89" s="47"/>
      <x:c r="CH89" s="60"/>
      <x:c r="CI89" s="58">
        <x:f>(($O89*CG89)/100)+(CH89*12)</x:f>
      </x:c>
      <x:c r="CJ89" s="47"/>
      <x:c r="CK89" s="60"/>
      <x:c r="CL89" s="58">
        <x:f>(($O89*CJ89)/100)+(CK89*12)</x:f>
      </x:c>
      <x:c r="CM89" s="47"/>
      <x:c r="CN89" s="60"/>
      <x:c r="CO89" s="58">
        <x:f>(($O89*CM89)/100)+(CN89*12)</x:f>
      </x:c>
      <x:c r="CP89" s="47"/>
      <x:c r="CQ89" s="60"/>
      <x:c r="CR89" s="58">
        <x:f>(($O89*CP89)/100)+(CQ89*12)</x:f>
      </x:c>
      <x:c r="CS89" s="47"/>
      <x:c r="CT89" s="60"/>
      <x:c r="CU89" s="58">
        <x:f>(($O89*CS89)/100)+(CT89*12)</x:f>
      </x:c>
      <x:c r="CV89" s="47"/>
      <x:c r="CW89" s="60"/>
      <x:c r="CX89" s="58"/>
      <x:c r="CY89" s="47"/>
      <x:c r="CZ89" s="60"/>
      <x:c r="DA89" s="58"/>
      <x:c r="DB89" s="47"/>
      <x:c r="DC89" s="60"/>
      <x:c r="DD89" s="58"/>
      <x:c r="DE89" s="47"/>
      <x:c r="DF89" s="60"/>
      <x:c r="DG89" s="58"/>
      <x:c r="DH89" s="47"/>
      <x:c r="DI89" s="60"/>
      <x:c r="DJ89" s="58"/>
      <x:c r="DK89" s="47"/>
      <x:c r="DL89" s="60"/>
      <x:c r="DM89" s="58"/>
      <x:c r="DN89" s="11"/>
      <x:c r="DO89" s="61"/>
      <x:c r="DP89" s="62"/>
      <x:c r="DQ89" s="11"/>
      <x:c r="DR89" s="61"/>
      <x:c r="DS89" s="62"/>
      <x:c r="DT89" s="11"/>
      <x:c r="DU89" s="61"/>
      <x:c r="DV89" s="62"/>
    </x:row>
    <x:row r="90" spans="1:126" x14ac:dyDescent="0.3">
      <x:c r="A90" s="47"/>
      <x:c r="B90" s="70"/>
      <x:c r="C90" s="70"/>
      <x:c r="D90" s="70"/>
      <x:c r="E90" s="70"/>
      <x:c r="F90" s="70"/>
      <x:c r="G90" s="70"/>
      <x:c r="H90" s="70"/>
      <x:c r="I90" s="70"/>
      <x:c r="J90" s="70"/>
      <x:c r="K90" s="190"/>
      <x:c r="L90" s="191"/>
      <x:c r="M90" s="192">
        <x:f>IF(ISERROR(INDEX('Meter Type Data'!$B$2:$E$1165,SUMPRODUCT(--('Meter Type Data'!$B$2:$B$1165&lt;=Analysis!L90)*('Meter Type Data'!$C$2:$C$1165&gt;=Analysis!L90),ROW('Meter Type Data'!$B$2:$B$1165))-1,4))," ",INDEX('Meter Type Data'!$B$2:$E$1165,SUMPRODUCT(--('Meter Type Data'!$B$2:$B$1165&lt;=Analysis!L90)*('Meter Type Data'!$C$2:$C$1165&gt;=Analysis!L90),ROW('Meter Type Data'!$B$2:$B$1165))-1,4))</x:f>
      </x:c>
      <x:c r="N90" s="192">
        <x:f>IF(ISERROR(INDEX('Meter Type Data'!$B$2:$D$1165,SUMPRODUCT(--('Meter Type Data'!$B$2:$B$1165&lt;=Analysis!L90)*('Meter Type Data'!$C$2:$C$1165&gt;=Analysis!L90),ROW('Meter Type Data'!$B$2:$B$1165))-1,3))," ",INDEX('Meter Type Data'!$B$2:$D$1165,SUMPRODUCT(--('Meter Type Data'!$B$2:$B$1165&lt;=Analysis!L90)*('Meter Type Data'!$C$2:$C$1165&gt;=Analysis!L90),ROW('Meter Type Data'!$B$2:$B$1165))-1,3))</x:f>
      </x:c>
      <x:c r="O90" s="69"/>
      <x:c r="P90" s="59"/>
      <x:c r="Q90" s="59"/>
      <x:c r="R90" s="58">
        <x:f>(($O90*P90)/100)+(Q90*12)</x:f>
      </x:c>
      <x:c r="S90" s="59"/>
      <x:c r="T90" s="59"/>
      <x:c r="U90" s="58">
        <x:f>(($O90*S90)/100)+(T90*12)</x:f>
      </x:c>
      <x:c r="V90" s="47"/>
      <x:c r="W90" s="60"/>
      <x:c r="X90" s="58">
        <x:f>(($O90*V90)/100)+(W90*12)</x:f>
      </x:c>
      <x:c r="Y90" s="47"/>
      <x:c r="Z90" s="60"/>
      <x:c r="AA90" s="58">
        <x:f>(($O90*Y90)/100)+(Z90*12)</x:f>
      </x:c>
      <x:c r="AB90" s="47"/>
      <x:c r="AC90" s="60"/>
      <x:c r="AD90" s="58">
        <x:f>(($O90*AB90)/100)+(AC90*12)</x:f>
      </x:c>
      <x:c r="AE90" s="47"/>
      <x:c r="AF90" s="60"/>
      <x:c r="AG90" s="58">
        <x:f>(($O90*AE90)/100)+(AF90*12)</x:f>
      </x:c>
      <x:c r="AH90" s="47"/>
      <x:c r="AI90" s="60"/>
      <x:c r="AJ90" s="58">
        <x:f>(($O90*AH90)/100)+(AI90*12)</x:f>
      </x:c>
      <x:c r="AK90" s="47"/>
      <x:c r="AL90" s="60"/>
      <x:c r="AM90" s="58">
        <x:f>(($O90*AK90)/100)+(AL90*12)</x:f>
      </x:c>
      <x:c r="AN90" s="47"/>
      <x:c r="AO90" s="60"/>
      <x:c r="AP90" s="58">
        <x:f>(($O90*AN90)/100)+(AO90*12)</x:f>
      </x:c>
      <x:c r="AQ90" s="47"/>
      <x:c r="AR90" s="60"/>
      <x:c r="AS90" s="58">
        <x:f>(($O90*AQ90)/100)+(AR90*12)</x:f>
      </x:c>
      <x:c r="AT90" s="47"/>
      <x:c r="AU90" s="60"/>
      <x:c r="AV90" s="58">
        <x:f>(($O90*AT90)/100)+(AU90*12)</x:f>
      </x:c>
      <x:c r="AW90" s="47"/>
      <x:c r="AX90" s="60"/>
      <x:c r="AY90" s="58">
        <x:f>(($O90*AW90)/100)+(AX90*12)</x:f>
      </x:c>
      <x:c r="AZ90" s="47"/>
      <x:c r="BA90" s="60"/>
      <x:c r="BB90" s="58">
        <x:f>(($O90*AZ90)/100)+(BA90*12)</x:f>
      </x:c>
      <x:c r="BC90" s="47"/>
      <x:c r="BD90" s="60"/>
      <x:c r="BE90" s="58">
        <x:f>(($O90*BC90)/100)+(BD90*12)</x:f>
      </x:c>
      <x:c r="BF90" s="47"/>
      <x:c r="BG90" s="60"/>
      <x:c r="BH90" s="58">
        <x:f>(($O90*BF90)/100)+(BG90*12)</x:f>
      </x:c>
      <x:c r="BI90" s="47"/>
      <x:c r="BJ90" s="60"/>
      <x:c r="BK90" s="58">
        <x:f>(($O90*BI90)/100)+(BJ90*12)</x:f>
      </x:c>
      <x:c r="BL90" s="47"/>
      <x:c r="BM90" s="60"/>
      <x:c r="BN90" s="58">
        <x:f>(($O90*BL90)/100)+(BM90*12)</x:f>
      </x:c>
      <x:c r="BO90" s="47"/>
      <x:c r="BP90" s="60"/>
      <x:c r="BQ90" s="58">
        <x:f>(($O90*BO90)/100)+(BP90*12)</x:f>
      </x:c>
      <x:c r="BR90" s="47"/>
      <x:c r="BS90" s="60"/>
      <x:c r="BT90" s="58">
        <x:f>(($O90*BR90)/100)+(BS90*12)</x:f>
      </x:c>
      <x:c r="BU90" s="47"/>
      <x:c r="BV90" s="60"/>
      <x:c r="BW90" s="58">
        <x:f>(($O90*BU90)/100)+(BV90*12)</x:f>
      </x:c>
      <x:c r="BX90" s="47"/>
      <x:c r="BY90" s="60"/>
      <x:c r="BZ90" s="58">
        <x:f>(($O90*BX90)/100)+(BY90*12)</x:f>
      </x:c>
      <x:c r="CA90" s="47"/>
      <x:c r="CB90" s="60"/>
      <x:c r="CC90" s="58">
        <x:f>(($O90*CA90)/100)+(CB90*12)</x:f>
      </x:c>
      <x:c r="CD90" s="47"/>
      <x:c r="CE90" s="60"/>
      <x:c r="CF90" s="58">
        <x:f>(($O90*CD90)/100)+(CE90*12)</x:f>
      </x:c>
      <x:c r="CG90" s="47"/>
      <x:c r="CH90" s="60"/>
      <x:c r="CI90" s="58">
        <x:f>(($O90*CG90)/100)+(CH90*12)</x:f>
      </x:c>
      <x:c r="CJ90" s="47"/>
      <x:c r="CK90" s="60"/>
      <x:c r="CL90" s="58">
        <x:f>(($O90*CJ90)/100)+(CK90*12)</x:f>
      </x:c>
      <x:c r="CM90" s="47"/>
      <x:c r="CN90" s="60"/>
      <x:c r="CO90" s="58">
        <x:f>(($O90*CM90)/100)+(CN90*12)</x:f>
      </x:c>
      <x:c r="CP90" s="47"/>
      <x:c r="CQ90" s="60"/>
      <x:c r="CR90" s="58">
        <x:f>(($O90*CP90)/100)+(CQ90*12)</x:f>
      </x:c>
      <x:c r="CS90" s="47"/>
      <x:c r="CT90" s="60"/>
      <x:c r="CU90" s="58">
        <x:f>(($O90*CS90)/100)+(CT90*12)</x:f>
      </x:c>
      <x:c r="CV90" s="47"/>
      <x:c r="CW90" s="60"/>
      <x:c r="CX90" s="58"/>
      <x:c r="CY90" s="47"/>
      <x:c r="CZ90" s="60"/>
      <x:c r="DA90" s="58"/>
      <x:c r="DB90" s="47"/>
      <x:c r="DC90" s="60"/>
      <x:c r="DD90" s="58"/>
      <x:c r="DE90" s="47"/>
      <x:c r="DF90" s="60"/>
      <x:c r="DG90" s="58"/>
      <x:c r="DH90" s="47"/>
      <x:c r="DI90" s="60"/>
      <x:c r="DJ90" s="58"/>
      <x:c r="DK90" s="47"/>
      <x:c r="DL90" s="60"/>
      <x:c r="DM90" s="58"/>
      <x:c r="DN90" s="11"/>
      <x:c r="DO90" s="61"/>
      <x:c r="DP90" s="62"/>
      <x:c r="DQ90" s="11"/>
      <x:c r="DR90" s="61"/>
      <x:c r="DS90" s="62"/>
      <x:c r="DT90" s="11"/>
      <x:c r="DU90" s="61"/>
      <x:c r="DV90" s="62"/>
    </x:row>
    <x:row r="91" spans="1:126" x14ac:dyDescent="0.3">
      <x:c r="A91" s="47"/>
      <x:c r="B91" s="70"/>
      <x:c r="C91" s="70"/>
      <x:c r="D91" s="70"/>
      <x:c r="E91" s="70"/>
      <x:c r="F91" s="70"/>
      <x:c r="G91" s="70"/>
      <x:c r="H91" s="70"/>
      <x:c r="I91" s="70"/>
      <x:c r="J91" s="70"/>
      <x:c r="K91" s="190"/>
      <x:c r="L91" s="191"/>
      <x:c r="M91" s="192">
        <x:f>IF(ISERROR(INDEX('Meter Type Data'!$B$2:$E$1165,SUMPRODUCT(--('Meter Type Data'!$B$2:$B$1165&lt;=Analysis!L91)*('Meter Type Data'!$C$2:$C$1165&gt;=Analysis!L91),ROW('Meter Type Data'!$B$2:$B$1165))-1,4))," ",INDEX('Meter Type Data'!$B$2:$E$1165,SUMPRODUCT(--('Meter Type Data'!$B$2:$B$1165&lt;=Analysis!L91)*('Meter Type Data'!$C$2:$C$1165&gt;=Analysis!L91),ROW('Meter Type Data'!$B$2:$B$1165))-1,4))</x:f>
      </x:c>
      <x:c r="N91" s="192">
        <x:f>IF(ISERROR(INDEX('Meter Type Data'!$B$2:$D$1165,SUMPRODUCT(--('Meter Type Data'!$B$2:$B$1165&lt;=Analysis!L91)*('Meter Type Data'!$C$2:$C$1165&gt;=Analysis!L91),ROW('Meter Type Data'!$B$2:$B$1165))-1,3))," ",INDEX('Meter Type Data'!$B$2:$D$1165,SUMPRODUCT(--('Meter Type Data'!$B$2:$B$1165&lt;=Analysis!L91)*('Meter Type Data'!$C$2:$C$1165&gt;=Analysis!L91),ROW('Meter Type Data'!$B$2:$B$1165))-1,3))</x:f>
      </x:c>
      <x:c r="O91" s="69"/>
      <x:c r="P91" s="59"/>
      <x:c r="Q91" s="60"/>
      <x:c r="R91" s="58">
        <x:f>(($O91*P91)/100)+(Q91*12)</x:f>
      </x:c>
      <x:c r="S91" s="59"/>
      <x:c r="T91" s="59"/>
      <x:c r="U91" s="58">
        <x:f>(($O91*S91)/100)+(T91*12)</x:f>
      </x:c>
      <x:c r="V91" s="47"/>
      <x:c r="W91" s="60"/>
      <x:c r="X91" s="58">
        <x:f>(($O91*V91)/100)+(W91*12)</x:f>
      </x:c>
      <x:c r="Y91" s="47"/>
      <x:c r="Z91" s="60"/>
      <x:c r="AA91" s="58">
        <x:f>(($O91*Y91)/100)+(Z91*12)</x:f>
      </x:c>
      <x:c r="AB91" s="47"/>
      <x:c r="AC91" s="60"/>
      <x:c r="AD91" s="58">
        <x:f>(($O91*AB91)/100)+(AC91*12)</x:f>
      </x:c>
      <x:c r="AE91" s="47"/>
      <x:c r="AF91" s="60"/>
      <x:c r="AG91" s="58">
        <x:f>(($O91*AE91)/100)+(AF91*12)</x:f>
      </x:c>
      <x:c r="AH91" s="47"/>
      <x:c r="AI91" s="60"/>
      <x:c r="AJ91" s="58">
        <x:f>(($O91*AH91)/100)+(AI91*12)</x:f>
      </x:c>
      <x:c r="AK91" s="47"/>
      <x:c r="AL91" s="60"/>
      <x:c r="AM91" s="58">
        <x:f>(($O91*AK91)/100)+(AL91*12)</x:f>
      </x:c>
      <x:c r="AN91" s="47"/>
      <x:c r="AO91" s="60"/>
      <x:c r="AP91" s="58">
        <x:f>(($O91*AN91)/100)+(AO91*12)</x:f>
      </x:c>
      <x:c r="AQ91" s="47"/>
      <x:c r="AR91" s="60"/>
      <x:c r="AS91" s="58">
        <x:f>(($O91*AQ91)/100)+(AR91*12)</x:f>
      </x:c>
      <x:c r="AT91" s="47"/>
      <x:c r="AU91" s="60"/>
      <x:c r="AV91" s="58">
        <x:f>(($O91*AT91)/100)+(AU91*12)</x:f>
      </x:c>
      <x:c r="AW91" s="47"/>
      <x:c r="AX91" s="60"/>
      <x:c r="AY91" s="58">
        <x:f>(($O91*AW91)/100)+(AX91*12)</x:f>
      </x:c>
      <x:c r="AZ91" s="47"/>
      <x:c r="BA91" s="60"/>
      <x:c r="BB91" s="58">
        <x:f>(($O91*AZ91)/100)+(BA91*12)</x:f>
      </x:c>
      <x:c r="BC91" s="47"/>
      <x:c r="BD91" s="60"/>
      <x:c r="BE91" s="58">
        <x:f>(($O91*BC91)/100)+(BD91*12)</x:f>
      </x:c>
      <x:c r="BF91" s="47"/>
      <x:c r="BG91" s="60"/>
      <x:c r="BH91" s="58">
        <x:f>(($O91*BF91)/100)+(BG91*12)</x:f>
      </x:c>
      <x:c r="BI91" s="47"/>
      <x:c r="BJ91" s="60"/>
      <x:c r="BK91" s="58">
        <x:f>(($O91*BI91)/100)+(BJ91*12)</x:f>
      </x:c>
      <x:c r="BL91" s="47"/>
      <x:c r="BM91" s="60"/>
      <x:c r="BN91" s="58">
        <x:f>(($O91*BL91)/100)+(BM91*12)</x:f>
      </x:c>
      <x:c r="BO91" s="47"/>
      <x:c r="BP91" s="60"/>
      <x:c r="BQ91" s="58">
        <x:f>(($O91*BO91)/100)+(BP91*12)</x:f>
      </x:c>
      <x:c r="BR91" s="47"/>
      <x:c r="BS91" s="60"/>
      <x:c r="BT91" s="58">
        <x:f>(($O91*BR91)/100)+(BS91*12)</x:f>
      </x:c>
      <x:c r="BU91" s="47"/>
      <x:c r="BV91" s="60"/>
      <x:c r="BW91" s="58">
        <x:f>(($O91*BU91)/100)+(BV91*12)</x:f>
      </x:c>
      <x:c r="BX91" s="47"/>
      <x:c r="BY91" s="60"/>
      <x:c r="BZ91" s="58">
        <x:f>(($O91*BX91)/100)+(BY91*12)</x:f>
      </x:c>
      <x:c r="CA91" s="47"/>
      <x:c r="CB91" s="60"/>
      <x:c r="CC91" s="58">
        <x:f>(($O91*CA91)/100)+(CB91*12)</x:f>
      </x:c>
      <x:c r="CD91" s="47"/>
      <x:c r="CE91" s="60"/>
      <x:c r="CF91" s="58">
        <x:f>(($O91*CD91)/100)+(CE91*12)</x:f>
      </x:c>
      <x:c r="CG91" s="47"/>
      <x:c r="CH91" s="60"/>
      <x:c r="CI91" s="58">
        <x:f>(($O91*CG91)/100)+(CH91*12)</x:f>
      </x:c>
      <x:c r="CJ91" s="47"/>
      <x:c r="CK91" s="60"/>
      <x:c r="CL91" s="58">
        <x:f>(($O91*CJ91)/100)+(CK91*12)</x:f>
      </x:c>
      <x:c r="CM91" s="47"/>
      <x:c r="CN91" s="60"/>
      <x:c r="CO91" s="58">
        <x:f>(($O91*CM91)/100)+(CN91*12)</x:f>
      </x:c>
      <x:c r="CP91" s="47"/>
      <x:c r="CQ91" s="60"/>
      <x:c r="CR91" s="58">
        <x:f>(($O91*CP91)/100)+(CQ91*12)</x:f>
      </x:c>
      <x:c r="CS91" s="47"/>
      <x:c r="CT91" s="60"/>
      <x:c r="CU91" s="58">
        <x:f>(($O91*CS91)/100)+(CT91*12)</x:f>
      </x:c>
      <x:c r="CV91" s="47"/>
      <x:c r="CW91" s="60"/>
      <x:c r="CX91" s="58"/>
      <x:c r="CY91" s="47"/>
      <x:c r="CZ91" s="60"/>
      <x:c r="DA91" s="58"/>
      <x:c r="DB91" s="47"/>
      <x:c r="DC91" s="60"/>
      <x:c r="DD91" s="58"/>
      <x:c r="DE91" s="47"/>
      <x:c r="DF91" s="60"/>
      <x:c r="DG91" s="58"/>
      <x:c r="DH91" s="47"/>
      <x:c r="DI91" s="60"/>
      <x:c r="DJ91" s="58"/>
      <x:c r="DK91" s="47"/>
      <x:c r="DL91" s="60"/>
      <x:c r="DM91" s="58"/>
      <x:c r="DN91" s="11"/>
      <x:c r="DO91" s="61"/>
      <x:c r="DP91" s="62"/>
      <x:c r="DQ91" s="11"/>
      <x:c r="DR91" s="61"/>
      <x:c r="DS91" s="62"/>
      <x:c r="DT91" s="11"/>
      <x:c r="DU91" s="61"/>
      <x:c r="DV91" s="62"/>
    </x:row>
    <x:row r="92" spans="1:126" x14ac:dyDescent="0.3">
      <x:c r="A92" s="47"/>
      <x:c r="B92" s="70"/>
      <x:c r="C92" s="70"/>
      <x:c r="D92" s="70"/>
      <x:c r="E92" s="70"/>
      <x:c r="F92" s="70"/>
      <x:c r="G92" s="70"/>
      <x:c r="H92" s="70"/>
      <x:c r="I92" s="70"/>
      <x:c r="J92" s="70"/>
      <x:c r="K92" s="190"/>
      <x:c r="L92" s="191"/>
      <x:c r="M92" s="192">
        <x:f>IF(ISERROR(INDEX('Meter Type Data'!$B$2:$E$1165,SUMPRODUCT(--('Meter Type Data'!$B$2:$B$1165&lt;=Analysis!L92)*('Meter Type Data'!$C$2:$C$1165&gt;=Analysis!L92),ROW('Meter Type Data'!$B$2:$B$1165))-1,4))," ",INDEX('Meter Type Data'!$B$2:$E$1165,SUMPRODUCT(--('Meter Type Data'!$B$2:$B$1165&lt;=Analysis!L92)*('Meter Type Data'!$C$2:$C$1165&gt;=Analysis!L92),ROW('Meter Type Data'!$B$2:$B$1165))-1,4))</x:f>
      </x:c>
      <x:c r="N92" s="192">
        <x:f>IF(ISERROR(INDEX('Meter Type Data'!$B$2:$D$1165,SUMPRODUCT(--('Meter Type Data'!$B$2:$B$1165&lt;=Analysis!L92)*('Meter Type Data'!$C$2:$C$1165&gt;=Analysis!L92),ROW('Meter Type Data'!$B$2:$B$1165))-1,3))," ",INDEX('Meter Type Data'!$B$2:$D$1165,SUMPRODUCT(--('Meter Type Data'!$B$2:$B$1165&lt;=Analysis!L92)*('Meter Type Data'!$C$2:$C$1165&gt;=Analysis!L92),ROW('Meter Type Data'!$B$2:$B$1165))-1,3))</x:f>
      </x:c>
      <x:c r="O92" s="69"/>
      <x:c r="P92" s="47"/>
      <x:c r="Q92" s="60"/>
      <x:c r="R92" s="58">
        <x:f>(($O92*P92)/100)+(Q92*12)</x:f>
      </x:c>
      <x:c r="S92" s="59"/>
      <x:c r="T92" s="59"/>
      <x:c r="U92" s="58">
        <x:f>(($O92*S92)/100)+(T92*12)</x:f>
      </x:c>
      <x:c r="V92" s="47"/>
      <x:c r="W92" s="60"/>
      <x:c r="X92" s="58">
        <x:f>(($O92*V92)/100)+(W92*12)</x:f>
      </x:c>
      <x:c r="Y92" s="47"/>
      <x:c r="Z92" s="60"/>
      <x:c r="AA92" s="58">
        <x:f>(($O92*Y92)/100)+(Z92*12)</x:f>
      </x:c>
      <x:c r="AB92" s="47"/>
      <x:c r="AC92" s="60"/>
      <x:c r="AD92" s="58">
        <x:f>(($O92*AB92)/100)+(AC92*12)</x:f>
      </x:c>
      <x:c r="AE92" s="47"/>
      <x:c r="AF92" s="60"/>
      <x:c r="AG92" s="58">
        <x:f>(($O92*AE92)/100)+(AF92*12)</x:f>
      </x:c>
      <x:c r="AH92" s="47"/>
      <x:c r="AI92" s="60"/>
      <x:c r="AJ92" s="58">
        <x:f>(($O92*AH92)/100)+(AI92*12)</x:f>
      </x:c>
      <x:c r="AK92" s="47"/>
      <x:c r="AL92" s="60"/>
      <x:c r="AM92" s="58">
        <x:f>(($O92*AK92)/100)+(AL92*12)</x:f>
      </x:c>
      <x:c r="AN92" s="47"/>
      <x:c r="AO92" s="60"/>
      <x:c r="AP92" s="58">
        <x:f>(($O92*AN92)/100)+(AO92*12)</x:f>
      </x:c>
      <x:c r="AQ92" s="47"/>
      <x:c r="AR92" s="60"/>
      <x:c r="AS92" s="58">
        <x:f>(($O92*AQ92)/100)+(AR92*12)</x:f>
      </x:c>
      <x:c r="AT92" s="47"/>
      <x:c r="AU92" s="60"/>
      <x:c r="AV92" s="58">
        <x:f>(($O92*AT92)/100)+(AU92*12)</x:f>
      </x:c>
      <x:c r="AW92" s="47"/>
      <x:c r="AX92" s="60"/>
      <x:c r="AY92" s="58">
        <x:f>(($O92*AW92)/100)+(AX92*12)</x:f>
      </x:c>
      <x:c r="AZ92" s="47"/>
      <x:c r="BA92" s="60"/>
      <x:c r="BB92" s="58">
        <x:f>(($O92*AZ92)/100)+(BA92*12)</x:f>
      </x:c>
      <x:c r="BC92" s="47"/>
      <x:c r="BD92" s="60"/>
      <x:c r="BE92" s="58">
        <x:f>(($O92*BC92)/100)+(BD92*12)</x:f>
      </x:c>
      <x:c r="BF92" s="47"/>
      <x:c r="BG92" s="60"/>
      <x:c r="BH92" s="58">
        <x:f>(($O92*BF92)/100)+(BG92*12)</x:f>
      </x:c>
      <x:c r="BI92" s="47"/>
      <x:c r="BJ92" s="60"/>
      <x:c r="BK92" s="58">
        <x:f>(($O92*BI92)/100)+(BJ92*12)</x:f>
      </x:c>
      <x:c r="BL92" s="47"/>
      <x:c r="BM92" s="60"/>
      <x:c r="BN92" s="58">
        <x:f>(($O92*BL92)/100)+(BM92*12)</x:f>
      </x:c>
      <x:c r="BO92" s="47"/>
      <x:c r="BP92" s="60"/>
      <x:c r="BQ92" s="58">
        <x:f>(($O92*BO92)/100)+(BP92*12)</x:f>
      </x:c>
      <x:c r="BR92" s="47"/>
      <x:c r="BS92" s="60"/>
      <x:c r="BT92" s="58">
        <x:f>(($O92*BR92)/100)+(BS92*12)</x:f>
      </x:c>
      <x:c r="BU92" s="47"/>
      <x:c r="BV92" s="60"/>
      <x:c r="BW92" s="58">
        <x:f>(($O92*BU92)/100)+(BV92*12)</x:f>
      </x:c>
      <x:c r="BX92" s="47"/>
      <x:c r="BY92" s="60"/>
      <x:c r="BZ92" s="58">
        <x:f>(($O92*BX92)/100)+(BY92*12)</x:f>
      </x:c>
      <x:c r="CA92" s="47"/>
      <x:c r="CB92" s="60"/>
      <x:c r="CC92" s="58">
        <x:f>(($O92*CA92)/100)+(CB92*12)</x:f>
      </x:c>
      <x:c r="CD92" s="47"/>
      <x:c r="CE92" s="60"/>
      <x:c r="CF92" s="58">
        <x:f>(($O92*CD92)/100)+(CE92*12)</x:f>
      </x:c>
      <x:c r="CG92" s="47"/>
      <x:c r="CH92" s="60"/>
      <x:c r="CI92" s="58">
        <x:f>(($O92*CG92)/100)+(CH92*12)</x:f>
      </x:c>
      <x:c r="CJ92" s="47"/>
      <x:c r="CK92" s="60"/>
      <x:c r="CL92" s="58">
        <x:f>(($O92*CJ92)/100)+(CK92*12)</x:f>
      </x:c>
      <x:c r="CM92" s="47"/>
      <x:c r="CN92" s="60"/>
      <x:c r="CO92" s="58">
        <x:f>(($O92*CM92)/100)+(CN92*12)</x:f>
      </x:c>
      <x:c r="CP92" s="47"/>
      <x:c r="CQ92" s="60"/>
      <x:c r="CR92" s="58">
        <x:f>(($O92*CP92)/100)+(CQ92*12)</x:f>
      </x:c>
      <x:c r="CS92" s="47"/>
      <x:c r="CT92" s="60"/>
      <x:c r="CU92" s="58">
        <x:f>(($O92*CS92)/100)+(CT92*12)</x:f>
      </x:c>
      <x:c r="CV92" s="47"/>
      <x:c r="CW92" s="60"/>
      <x:c r="CX92" s="58"/>
      <x:c r="CY92" s="47"/>
      <x:c r="CZ92" s="60"/>
      <x:c r="DA92" s="58"/>
      <x:c r="DB92" s="47"/>
      <x:c r="DC92" s="60"/>
      <x:c r="DD92" s="58"/>
      <x:c r="DE92" s="47"/>
      <x:c r="DF92" s="60"/>
      <x:c r="DG92" s="58"/>
      <x:c r="DH92" s="47"/>
      <x:c r="DI92" s="60"/>
      <x:c r="DJ92" s="58"/>
      <x:c r="DK92" s="47"/>
      <x:c r="DL92" s="60"/>
      <x:c r="DM92" s="58"/>
      <x:c r="DN92" s="11"/>
      <x:c r="DO92" s="61"/>
      <x:c r="DP92" s="62"/>
      <x:c r="DQ92" s="11"/>
      <x:c r="DR92" s="61"/>
      <x:c r="DS92" s="62"/>
      <x:c r="DT92" s="11"/>
      <x:c r="DU92" s="61"/>
      <x:c r="DV92" s="62"/>
    </x:row>
    <x:row r="93" spans="1:126" x14ac:dyDescent="0.3">
      <x:c r="A93" s="47"/>
      <x:c r="B93" s="70"/>
      <x:c r="C93" s="70"/>
      <x:c r="D93" s="70"/>
      <x:c r="E93" s="70"/>
      <x:c r="F93" s="70"/>
      <x:c r="G93" s="70"/>
      <x:c r="H93" s="70"/>
      <x:c r="I93" s="70"/>
      <x:c r="J93" s="70"/>
      <x:c r="K93" s="190"/>
      <x:c r="L93" s="191"/>
      <x:c r="M93" s="192">
        <x:f>IF(ISERROR(INDEX('Meter Type Data'!$B$2:$E$1165,SUMPRODUCT(--('Meter Type Data'!$B$2:$B$1165&lt;=Analysis!L93)*('Meter Type Data'!$C$2:$C$1165&gt;=Analysis!L93),ROW('Meter Type Data'!$B$2:$B$1165))-1,4))," ",INDEX('Meter Type Data'!$B$2:$E$1165,SUMPRODUCT(--('Meter Type Data'!$B$2:$B$1165&lt;=Analysis!L93)*('Meter Type Data'!$C$2:$C$1165&gt;=Analysis!L93),ROW('Meter Type Data'!$B$2:$B$1165))-1,4))</x:f>
      </x:c>
      <x:c r="N93" s="192">
        <x:f>IF(ISERROR(INDEX('Meter Type Data'!$B$2:$D$1165,SUMPRODUCT(--('Meter Type Data'!$B$2:$B$1165&lt;=Analysis!L93)*('Meter Type Data'!$C$2:$C$1165&gt;=Analysis!L93),ROW('Meter Type Data'!$B$2:$B$1165))-1,3))," ",INDEX('Meter Type Data'!$B$2:$D$1165,SUMPRODUCT(--('Meter Type Data'!$B$2:$B$1165&lt;=Analysis!L93)*('Meter Type Data'!$C$2:$C$1165&gt;=Analysis!L93),ROW('Meter Type Data'!$B$2:$B$1165))-1,3))</x:f>
      </x:c>
      <x:c r="O93" s="69"/>
      <x:c r="P93" s="47"/>
      <x:c r="Q93" s="60"/>
      <x:c r="R93" s="58">
        <x:f>(($O93*P93)/100)+(Q93*12)</x:f>
      </x:c>
      <x:c r="S93" s="59"/>
      <x:c r="T93" s="59"/>
      <x:c r="U93" s="58">
        <x:f>(($O93*S93)/100)+(T93*12)</x:f>
      </x:c>
      <x:c r="V93" s="47"/>
      <x:c r="W93" s="60"/>
      <x:c r="X93" s="58">
        <x:f>(($O93*V93)/100)+(W93*12)</x:f>
      </x:c>
      <x:c r="Y93" s="47"/>
      <x:c r="Z93" s="60"/>
      <x:c r="AA93" s="58">
        <x:f>(($O93*Y93)/100)+(Z93*12)</x:f>
      </x:c>
      <x:c r="AB93" s="47"/>
      <x:c r="AC93" s="60"/>
      <x:c r="AD93" s="58">
        <x:f>(($O93*AB93)/100)+(AC93*12)</x:f>
      </x:c>
      <x:c r="AE93" s="47"/>
      <x:c r="AF93" s="60"/>
      <x:c r="AG93" s="58">
        <x:f>(($O93*AE93)/100)+(AF93*12)</x:f>
      </x:c>
      <x:c r="AH93" s="47"/>
      <x:c r="AI93" s="60"/>
      <x:c r="AJ93" s="58">
        <x:f>(($O93*AH93)/100)+(AI93*12)</x:f>
      </x:c>
      <x:c r="AK93" s="47"/>
      <x:c r="AL93" s="60"/>
      <x:c r="AM93" s="58">
        <x:f>(($O93*AK93)/100)+(AL93*12)</x:f>
      </x:c>
      <x:c r="AN93" s="47"/>
      <x:c r="AO93" s="60"/>
      <x:c r="AP93" s="58">
        <x:f>(($O93*AN93)/100)+(AO93*12)</x:f>
      </x:c>
      <x:c r="AQ93" s="47"/>
      <x:c r="AR93" s="60"/>
      <x:c r="AS93" s="58">
        <x:f>(($O93*AQ93)/100)+(AR93*12)</x:f>
      </x:c>
      <x:c r="AT93" s="47"/>
      <x:c r="AU93" s="60"/>
      <x:c r="AV93" s="58">
        <x:f>(($O93*AT93)/100)+(AU93*12)</x:f>
      </x:c>
      <x:c r="AW93" s="47"/>
      <x:c r="AX93" s="60"/>
      <x:c r="AY93" s="58">
        <x:f>(($O93*AW93)/100)+(AX93*12)</x:f>
      </x:c>
      <x:c r="AZ93" s="47"/>
      <x:c r="BA93" s="60"/>
      <x:c r="BB93" s="58">
        <x:f>(($O93*AZ93)/100)+(BA93*12)</x:f>
      </x:c>
      <x:c r="BC93" s="47"/>
      <x:c r="BD93" s="60"/>
      <x:c r="BE93" s="58">
        <x:f>(($O93*BC93)/100)+(BD93*12)</x:f>
      </x:c>
      <x:c r="BF93" s="47"/>
      <x:c r="BG93" s="60"/>
      <x:c r="BH93" s="58">
        <x:f>(($O93*BF93)/100)+(BG93*12)</x:f>
      </x:c>
      <x:c r="BI93" s="47"/>
      <x:c r="BJ93" s="60"/>
      <x:c r="BK93" s="58">
        <x:f>(($O93*BI93)/100)+(BJ93*12)</x:f>
      </x:c>
      <x:c r="BL93" s="47"/>
      <x:c r="BM93" s="60"/>
      <x:c r="BN93" s="58">
        <x:f>(($O93*BL93)/100)+(BM93*12)</x:f>
      </x:c>
      <x:c r="BO93" s="47"/>
      <x:c r="BP93" s="60"/>
      <x:c r="BQ93" s="58">
        <x:f>(($O93*BO93)/100)+(BP93*12)</x:f>
      </x:c>
      <x:c r="BR93" s="47"/>
      <x:c r="BS93" s="60"/>
      <x:c r="BT93" s="58">
        <x:f>(($O93*BR93)/100)+(BS93*12)</x:f>
      </x:c>
      <x:c r="BU93" s="47"/>
      <x:c r="BV93" s="60"/>
      <x:c r="BW93" s="58">
        <x:f>(($O93*BU93)/100)+(BV93*12)</x:f>
      </x:c>
      <x:c r="BX93" s="47"/>
      <x:c r="BY93" s="60"/>
      <x:c r="BZ93" s="58">
        <x:f>(($O93*BX93)/100)+(BY93*12)</x:f>
      </x:c>
      <x:c r="CA93" s="47"/>
      <x:c r="CB93" s="60"/>
      <x:c r="CC93" s="58">
        <x:f>(($O93*CA93)/100)+(CB93*12)</x:f>
      </x:c>
      <x:c r="CD93" s="47"/>
      <x:c r="CE93" s="60"/>
      <x:c r="CF93" s="58">
        <x:f>(($O93*CD93)/100)+(CE93*12)</x:f>
      </x:c>
      <x:c r="CG93" s="47"/>
      <x:c r="CH93" s="60"/>
      <x:c r="CI93" s="58">
        <x:f>(($O93*CG93)/100)+(CH93*12)</x:f>
      </x:c>
      <x:c r="CJ93" s="47"/>
      <x:c r="CK93" s="60"/>
      <x:c r="CL93" s="58">
        <x:f>(($O93*CJ93)/100)+(CK93*12)</x:f>
      </x:c>
      <x:c r="CM93" s="47"/>
      <x:c r="CN93" s="60"/>
      <x:c r="CO93" s="58">
        <x:f>(($O93*CM93)/100)+(CN93*12)</x:f>
      </x:c>
      <x:c r="CP93" s="47"/>
      <x:c r="CQ93" s="60"/>
      <x:c r="CR93" s="58">
        <x:f>(($O93*CP93)/100)+(CQ93*12)</x:f>
      </x:c>
      <x:c r="CS93" s="47"/>
      <x:c r="CT93" s="60"/>
      <x:c r="CU93" s="58">
        <x:f>(($O93*CS93)/100)+(CT93*12)</x:f>
      </x:c>
      <x:c r="CV93" s="47"/>
      <x:c r="CW93" s="60"/>
      <x:c r="CX93" s="58"/>
      <x:c r="CY93" s="47"/>
      <x:c r="CZ93" s="60"/>
      <x:c r="DA93" s="58"/>
      <x:c r="DB93" s="47"/>
      <x:c r="DC93" s="60"/>
      <x:c r="DD93" s="58"/>
      <x:c r="DE93" s="47"/>
      <x:c r="DF93" s="60"/>
      <x:c r="DG93" s="58"/>
      <x:c r="DH93" s="47"/>
      <x:c r="DI93" s="60"/>
      <x:c r="DJ93" s="58"/>
      <x:c r="DK93" s="47"/>
      <x:c r="DL93" s="60"/>
      <x:c r="DM93" s="58"/>
      <x:c r="DN93" s="11"/>
      <x:c r="DO93" s="61"/>
      <x:c r="DP93" s="62"/>
      <x:c r="DQ93" s="11"/>
      <x:c r="DR93" s="61"/>
      <x:c r="DS93" s="62"/>
      <x:c r="DT93" s="11"/>
      <x:c r="DU93" s="61"/>
      <x:c r="DV93" s="62"/>
    </x:row>
    <x:row r="94" spans="1:126" x14ac:dyDescent="0.3">
      <x:c r="A94" s="47"/>
      <x:c r="B94" s="70"/>
      <x:c r="C94" s="70"/>
      <x:c r="D94" s="70"/>
      <x:c r="E94" s="70"/>
      <x:c r="F94" s="70"/>
      <x:c r="G94" s="70"/>
      <x:c r="H94" s="70"/>
      <x:c r="I94" s="70"/>
      <x:c r="J94" s="70"/>
      <x:c r="K94" s="190"/>
      <x:c r="L94" s="191"/>
      <x:c r="M94" s="192">
        <x:f>IF(ISERROR(INDEX('Meter Type Data'!$B$2:$E$1165,SUMPRODUCT(--('Meter Type Data'!$B$2:$B$1165&lt;=Analysis!L94)*('Meter Type Data'!$C$2:$C$1165&gt;=Analysis!L94),ROW('Meter Type Data'!$B$2:$B$1165))-1,4))," ",INDEX('Meter Type Data'!$B$2:$E$1165,SUMPRODUCT(--('Meter Type Data'!$B$2:$B$1165&lt;=Analysis!L94)*('Meter Type Data'!$C$2:$C$1165&gt;=Analysis!L94),ROW('Meter Type Data'!$B$2:$B$1165))-1,4))</x:f>
      </x:c>
      <x:c r="N94" s="192">
        <x:f>IF(ISERROR(INDEX('Meter Type Data'!$B$2:$D$1165,SUMPRODUCT(--('Meter Type Data'!$B$2:$B$1165&lt;=Analysis!L94)*('Meter Type Data'!$C$2:$C$1165&gt;=Analysis!L94),ROW('Meter Type Data'!$B$2:$B$1165))-1,3))," ",INDEX('Meter Type Data'!$B$2:$D$1165,SUMPRODUCT(--('Meter Type Data'!$B$2:$B$1165&lt;=Analysis!L94)*('Meter Type Data'!$C$2:$C$1165&gt;=Analysis!L94),ROW('Meter Type Data'!$B$2:$B$1165))-1,3))</x:f>
      </x:c>
      <x:c r="O94" s="69"/>
      <x:c r="P94" s="47"/>
      <x:c r="Q94" s="60"/>
      <x:c r="R94" s="58">
        <x:f>(($O94*P94)/100)+(Q94*12)</x:f>
      </x:c>
      <x:c r="S94" s="59"/>
      <x:c r="T94" s="59"/>
      <x:c r="U94" s="58">
        <x:f>(($O94*S94)/100)+(T94*12)</x:f>
      </x:c>
      <x:c r="V94" s="47"/>
      <x:c r="W94" s="60"/>
      <x:c r="X94" s="58">
        <x:f>(($O94*V94)/100)+(W94*12)</x:f>
      </x:c>
      <x:c r="Y94" s="47"/>
      <x:c r="Z94" s="60"/>
      <x:c r="AA94" s="58">
        <x:f>(($O94*Y94)/100)+(Z94*12)</x:f>
      </x:c>
      <x:c r="AB94" s="47"/>
      <x:c r="AC94" s="60"/>
      <x:c r="AD94" s="58">
        <x:f>(($O94*AB94)/100)+(AC94*12)</x:f>
      </x:c>
      <x:c r="AE94" s="47"/>
      <x:c r="AF94" s="60"/>
      <x:c r="AG94" s="58">
        <x:f>(($O94*AE94)/100)+(AF94*12)</x:f>
      </x:c>
      <x:c r="AH94" s="47"/>
      <x:c r="AI94" s="60"/>
      <x:c r="AJ94" s="58">
        <x:f>(($O94*AH94)/100)+(AI94*12)</x:f>
      </x:c>
      <x:c r="AK94" s="47"/>
      <x:c r="AL94" s="60"/>
      <x:c r="AM94" s="58">
        <x:f>(($O94*AK94)/100)+(AL94*12)</x:f>
      </x:c>
      <x:c r="AN94" s="47"/>
      <x:c r="AO94" s="60"/>
      <x:c r="AP94" s="58">
        <x:f>(($O94*AN94)/100)+(AO94*12)</x:f>
      </x:c>
      <x:c r="AQ94" s="47"/>
      <x:c r="AR94" s="60"/>
      <x:c r="AS94" s="58">
        <x:f>(($O94*AQ94)/100)+(AR94*12)</x:f>
      </x:c>
      <x:c r="AT94" s="47"/>
      <x:c r="AU94" s="60"/>
      <x:c r="AV94" s="58">
        <x:f>(($O94*AT94)/100)+(AU94*12)</x:f>
      </x:c>
      <x:c r="AW94" s="47"/>
      <x:c r="AX94" s="60"/>
      <x:c r="AY94" s="58">
        <x:f>(($O94*AW94)/100)+(AX94*12)</x:f>
      </x:c>
      <x:c r="AZ94" s="47"/>
      <x:c r="BA94" s="60"/>
      <x:c r="BB94" s="58">
        <x:f>(($O94*AZ94)/100)+(BA94*12)</x:f>
      </x:c>
      <x:c r="BC94" s="47"/>
      <x:c r="BD94" s="60"/>
      <x:c r="BE94" s="58">
        <x:f>(($O94*BC94)/100)+(BD94*12)</x:f>
      </x:c>
      <x:c r="BF94" s="47"/>
      <x:c r="BG94" s="60"/>
      <x:c r="BH94" s="58">
        <x:f>(($O94*BF94)/100)+(BG94*12)</x:f>
      </x:c>
      <x:c r="BI94" s="47"/>
      <x:c r="BJ94" s="60"/>
      <x:c r="BK94" s="58">
        <x:f>(($O94*BI94)/100)+(BJ94*12)</x:f>
      </x:c>
      <x:c r="BL94" s="47"/>
      <x:c r="BM94" s="60"/>
      <x:c r="BN94" s="58">
        <x:f>(($O94*BL94)/100)+(BM94*12)</x:f>
      </x:c>
      <x:c r="BO94" s="47"/>
      <x:c r="BP94" s="60"/>
      <x:c r="BQ94" s="58">
        <x:f>(($O94*BO94)/100)+(BP94*12)</x:f>
      </x:c>
      <x:c r="BR94" s="47"/>
      <x:c r="BS94" s="60"/>
      <x:c r="BT94" s="58">
        <x:f>(($O94*BR94)/100)+(BS94*12)</x:f>
      </x:c>
      <x:c r="BU94" s="47"/>
      <x:c r="BV94" s="60"/>
      <x:c r="BW94" s="58">
        <x:f>(($O94*BU94)/100)+(BV94*12)</x:f>
      </x:c>
      <x:c r="BX94" s="47"/>
      <x:c r="BY94" s="60"/>
      <x:c r="BZ94" s="58">
        <x:f>(($O94*BX94)/100)+(BY94*12)</x:f>
      </x:c>
      <x:c r="CA94" s="47"/>
      <x:c r="CB94" s="60"/>
      <x:c r="CC94" s="58">
        <x:f>(($O94*CA94)/100)+(CB94*12)</x:f>
      </x:c>
      <x:c r="CD94" s="47"/>
      <x:c r="CE94" s="60"/>
      <x:c r="CF94" s="58">
        <x:f>(($O94*CD94)/100)+(CE94*12)</x:f>
      </x:c>
      <x:c r="CG94" s="47"/>
      <x:c r="CH94" s="60"/>
      <x:c r="CI94" s="58">
        <x:f>(($O94*CG94)/100)+(CH94*12)</x:f>
      </x:c>
      <x:c r="CJ94" s="47"/>
      <x:c r="CK94" s="60"/>
      <x:c r="CL94" s="58">
        <x:f>(($O94*CJ94)/100)+(CK94*12)</x:f>
      </x:c>
      <x:c r="CM94" s="47"/>
      <x:c r="CN94" s="60"/>
      <x:c r="CO94" s="58">
        <x:f>(($O94*CM94)/100)+(CN94*12)</x:f>
      </x:c>
      <x:c r="CP94" s="47"/>
      <x:c r="CQ94" s="60"/>
      <x:c r="CR94" s="58">
        <x:f>(($O94*CP94)/100)+(CQ94*12)</x:f>
      </x:c>
      <x:c r="CS94" s="47"/>
      <x:c r="CT94" s="60"/>
      <x:c r="CU94" s="58">
        <x:f>(($O94*CS94)/100)+(CT94*12)</x:f>
      </x:c>
      <x:c r="CV94" s="47"/>
      <x:c r="CW94" s="60"/>
      <x:c r="CX94" s="58"/>
      <x:c r="CY94" s="47"/>
      <x:c r="CZ94" s="60"/>
      <x:c r="DA94" s="58"/>
      <x:c r="DB94" s="47"/>
      <x:c r="DC94" s="60"/>
      <x:c r="DD94" s="58"/>
      <x:c r="DE94" s="47"/>
      <x:c r="DF94" s="60"/>
      <x:c r="DG94" s="58"/>
      <x:c r="DH94" s="47"/>
      <x:c r="DI94" s="60"/>
      <x:c r="DJ94" s="58"/>
      <x:c r="DK94" s="47"/>
      <x:c r="DL94" s="60"/>
      <x:c r="DM94" s="58"/>
      <x:c r="DN94" s="11"/>
      <x:c r="DO94" s="61"/>
      <x:c r="DP94" s="62"/>
      <x:c r="DQ94" s="11"/>
      <x:c r="DR94" s="61"/>
      <x:c r="DS94" s="62"/>
      <x:c r="DT94" s="11"/>
      <x:c r="DU94" s="61"/>
      <x:c r="DV94" s="62"/>
    </x:row>
    <x:row r="95" spans="1:126" x14ac:dyDescent="0.3">
      <x:c r="A95" s="47"/>
      <x:c r="B95" s="70"/>
      <x:c r="C95" s="70"/>
      <x:c r="D95" s="70"/>
      <x:c r="E95" s="70"/>
      <x:c r="F95" s="70"/>
      <x:c r="G95" s="70"/>
      <x:c r="H95" s="70"/>
      <x:c r="I95" s="70"/>
      <x:c r="J95" s="70"/>
      <x:c r="K95" s="190"/>
      <x:c r="L95" s="191"/>
      <x:c r="M95" s="192">
        <x:f>IF(ISERROR(INDEX('Meter Type Data'!$B$2:$E$1165,SUMPRODUCT(--('Meter Type Data'!$B$2:$B$1165&lt;=Analysis!L95)*('Meter Type Data'!$C$2:$C$1165&gt;=Analysis!L95),ROW('Meter Type Data'!$B$2:$B$1165))-1,4))," ",INDEX('Meter Type Data'!$B$2:$E$1165,SUMPRODUCT(--('Meter Type Data'!$B$2:$B$1165&lt;=Analysis!L95)*('Meter Type Data'!$C$2:$C$1165&gt;=Analysis!L95),ROW('Meter Type Data'!$B$2:$B$1165))-1,4))</x:f>
      </x:c>
      <x:c r="N95" s="192">
        <x:f>IF(ISERROR(INDEX('Meter Type Data'!$B$2:$D$1165,SUMPRODUCT(--('Meter Type Data'!$B$2:$B$1165&lt;=Analysis!L95)*('Meter Type Data'!$C$2:$C$1165&gt;=Analysis!L95),ROW('Meter Type Data'!$B$2:$B$1165))-1,3))," ",INDEX('Meter Type Data'!$B$2:$D$1165,SUMPRODUCT(--('Meter Type Data'!$B$2:$B$1165&lt;=Analysis!L95)*('Meter Type Data'!$C$2:$C$1165&gt;=Analysis!L95),ROW('Meter Type Data'!$B$2:$B$1165))-1,3))</x:f>
      </x:c>
      <x:c r="O95" s="69"/>
      <x:c r="P95" s="47"/>
      <x:c r="Q95" s="60"/>
      <x:c r="R95" s="58">
        <x:f>(($O95*P95)/100)+(Q95*12)</x:f>
      </x:c>
      <x:c r="S95" s="59"/>
      <x:c r="T95" s="59"/>
      <x:c r="U95" s="58">
        <x:f>(($O95*S95)/100)+(T95*12)</x:f>
      </x:c>
      <x:c r="V95" s="47"/>
      <x:c r="W95" s="60"/>
      <x:c r="X95" s="58">
        <x:f>(($O95*V95)/100)+(W95*12)</x:f>
      </x:c>
      <x:c r="Y95" s="47"/>
      <x:c r="Z95" s="60"/>
      <x:c r="AA95" s="58">
        <x:f>(($O95*Y95)/100)+(Z95*12)</x:f>
      </x:c>
      <x:c r="AB95" s="47"/>
      <x:c r="AC95" s="60"/>
      <x:c r="AD95" s="58">
        <x:f>(($O95*AB95)/100)+(AC95*12)</x:f>
      </x:c>
      <x:c r="AE95" s="47"/>
      <x:c r="AF95" s="60"/>
      <x:c r="AG95" s="58">
        <x:f>(($O95*AE95)/100)+(AF95*12)</x:f>
      </x:c>
      <x:c r="AH95" s="47"/>
      <x:c r="AI95" s="60"/>
      <x:c r="AJ95" s="58">
        <x:f>(($O95*AH95)/100)+(AI95*12)</x:f>
      </x:c>
      <x:c r="AK95" s="47"/>
      <x:c r="AL95" s="60"/>
      <x:c r="AM95" s="58">
        <x:f>(($O95*AK95)/100)+(AL95*12)</x:f>
      </x:c>
      <x:c r="AN95" s="47"/>
      <x:c r="AO95" s="60"/>
      <x:c r="AP95" s="58">
        <x:f>(($O95*AN95)/100)+(AO95*12)</x:f>
      </x:c>
      <x:c r="AQ95" s="47"/>
      <x:c r="AR95" s="60"/>
      <x:c r="AS95" s="58">
        <x:f>(($O95*AQ95)/100)+(AR95*12)</x:f>
      </x:c>
      <x:c r="AT95" s="47"/>
      <x:c r="AU95" s="60"/>
      <x:c r="AV95" s="58">
        <x:f>(($O95*AT95)/100)+(AU95*12)</x:f>
      </x:c>
      <x:c r="AW95" s="47"/>
      <x:c r="AX95" s="60"/>
      <x:c r="AY95" s="58">
        <x:f>(($O95*AW95)/100)+(AX95*12)</x:f>
      </x:c>
      <x:c r="AZ95" s="47"/>
      <x:c r="BA95" s="60"/>
      <x:c r="BB95" s="58">
        <x:f>(($O95*AZ95)/100)+(BA95*12)</x:f>
      </x:c>
      <x:c r="BC95" s="47"/>
      <x:c r="BD95" s="60"/>
      <x:c r="BE95" s="58">
        <x:f>(($O95*BC95)/100)+(BD95*12)</x:f>
      </x:c>
      <x:c r="BF95" s="47"/>
      <x:c r="BG95" s="60"/>
      <x:c r="BH95" s="58">
        <x:f>(($O95*BF95)/100)+(BG95*12)</x:f>
      </x:c>
      <x:c r="BI95" s="47"/>
      <x:c r="BJ95" s="60"/>
      <x:c r="BK95" s="58">
        <x:f>(($O95*BI95)/100)+(BJ95*12)</x:f>
      </x:c>
      <x:c r="BL95" s="47"/>
      <x:c r="BM95" s="60"/>
      <x:c r="BN95" s="58">
        <x:f>(($O95*BL95)/100)+(BM95*12)</x:f>
      </x:c>
      <x:c r="BO95" s="47"/>
      <x:c r="BP95" s="60"/>
      <x:c r="BQ95" s="58">
        <x:f>(($O95*BO95)/100)+(BP95*12)</x:f>
      </x:c>
      <x:c r="BR95" s="47"/>
      <x:c r="BS95" s="60"/>
      <x:c r="BT95" s="58">
        <x:f>(($O95*BR95)/100)+(BS95*12)</x:f>
      </x:c>
      <x:c r="BU95" s="47"/>
      <x:c r="BV95" s="60"/>
      <x:c r="BW95" s="58">
        <x:f>(($O95*BU95)/100)+(BV95*12)</x:f>
      </x:c>
      <x:c r="BX95" s="47"/>
      <x:c r="BY95" s="60"/>
      <x:c r="BZ95" s="58">
        <x:f>(($O95*BX95)/100)+(BY95*12)</x:f>
      </x:c>
      <x:c r="CA95" s="47"/>
      <x:c r="CB95" s="60"/>
      <x:c r="CC95" s="58">
        <x:f>(($O95*CA95)/100)+(CB95*12)</x:f>
      </x:c>
      <x:c r="CD95" s="47"/>
      <x:c r="CE95" s="60"/>
      <x:c r="CF95" s="58">
        <x:f>(($O95*CD95)/100)+(CE95*12)</x:f>
      </x:c>
      <x:c r="CG95" s="47"/>
      <x:c r="CH95" s="60"/>
      <x:c r="CI95" s="58">
        <x:f>(($O95*CG95)/100)+(CH95*12)</x:f>
      </x:c>
      <x:c r="CJ95" s="47"/>
      <x:c r="CK95" s="60"/>
      <x:c r="CL95" s="58">
        <x:f>(($O95*CJ95)/100)+(CK95*12)</x:f>
      </x:c>
      <x:c r="CM95" s="47"/>
      <x:c r="CN95" s="60"/>
      <x:c r="CO95" s="58">
        <x:f>(($O95*CM95)/100)+(CN95*12)</x:f>
      </x:c>
      <x:c r="CP95" s="47"/>
      <x:c r="CQ95" s="60"/>
      <x:c r="CR95" s="58">
        <x:f>(($O95*CP95)/100)+(CQ95*12)</x:f>
      </x:c>
      <x:c r="CS95" s="47"/>
      <x:c r="CT95" s="60"/>
      <x:c r="CU95" s="58">
        <x:f>(($O95*CS95)/100)+(CT95*12)</x:f>
      </x:c>
      <x:c r="CV95" s="47"/>
      <x:c r="CW95" s="60"/>
      <x:c r="CX95" s="58"/>
      <x:c r="CY95" s="47"/>
      <x:c r="CZ95" s="60"/>
      <x:c r="DA95" s="58"/>
      <x:c r="DB95" s="47"/>
      <x:c r="DC95" s="60"/>
      <x:c r="DD95" s="58"/>
      <x:c r="DE95" s="47"/>
      <x:c r="DF95" s="60"/>
      <x:c r="DG95" s="58"/>
      <x:c r="DH95" s="47"/>
      <x:c r="DI95" s="60"/>
      <x:c r="DJ95" s="58"/>
      <x:c r="DK95" s="47"/>
      <x:c r="DL95" s="60"/>
      <x:c r="DM95" s="58"/>
      <x:c r="DN95" s="11"/>
      <x:c r="DO95" s="61"/>
      <x:c r="DP95" s="62"/>
      <x:c r="DQ95" s="11"/>
      <x:c r="DR95" s="61"/>
      <x:c r="DS95" s="62"/>
      <x:c r="DT95" s="11"/>
      <x:c r="DU95" s="61"/>
      <x:c r="DV95" s="62"/>
    </x:row>
    <x:row r="96" spans="1:126" x14ac:dyDescent="0.3">
      <x:c r="A96" s="47"/>
      <x:c r="B96" s="70"/>
      <x:c r="C96" s="70"/>
      <x:c r="D96" s="70"/>
      <x:c r="E96" s="70"/>
      <x:c r="F96" s="70"/>
      <x:c r="G96" s="70"/>
      <x:c r="H96" s="70"/>
      <x:c r="I96" s="70"/>
      <x:c r="J96" s="70"/>
      <x:c r="K96" s="190"/>
      <x:c r="L96" s="191"/>
      <x:c r="M96" s="192">
        <x:f>IF(ISERROR(INDEX('Meter Type Data'!$B$2:$E$1165,SUMPRODUCT(--('Meter Type Data'!$B$2:$B$1165&lt;=Analysis!L96)*('Meter Type Data'!$C$2:$C$1165&gt;=Analysis!L96),ROW('Meter Type Data'!$B$2:$B$1165))-1,4))," ",INDEX('Meter Type Data'!$B$2:$E$1165,SUMPRODUCT(--('Meter Type Data'!$B$2:$B$1165&lt;=Analysis!L96)*('Meter Type Data'!$C$2:$C$1165&gt;=Analysis!L96),ROW('Meter Type Data'!$B$2:$B$1165))-1,4))</x:f>
      </x:c>
      <x:c r="N96" s="192">
        <x:f>IF(ISERROR(INDEX('Meter Type Data'!$B$2:$D$1165,SUMPRODUCT(--('Meter Type Data'!$B$2:$B$1165&lt;=Analysis!L96)*('Meter Type Data'!$C$2:$C$1165&gt;=Analysis!L96),ROW('Meter Type Data'!$B$2:$B$1165))-1,3))," ",INDEX('Meter Type Data'!$B$2:$D$1165,SUMPRODUCT(--('Meter Type Data'!$B$2:$B$1165&lt;=Analysis!L96)*('Meter Type Data'!$C$2:$C$1165&gt;=Analysis!L96),ROW('Meter Type Data'!$B$2:$B$1165))-1,3))</x:f>
      </x:c>
      <x:c r="O96" s="69"/>
      <x:c r="P96" s="47"/>
      <x:c r="Q96" s="60"/>
      <x:c r="R96" s="58">
        <x:f>(($O96*P96)/100)+(Q96*12)</x:f>
      </x:c>
      <x:c r="S96" s="59"/>
      <x:c r="T96" s="59"/>
      <x:c r="U96" s="58">
        <x:f>(($O96*S96)/100)+(T96*12)</x:f>
      </x:c>
      <x:c r="V96" s="47"/>
      <x:c r="W96" s="60"/>
      <x:c r="X96" s="58">
        <x:f>(($O96*V96)/100)+(W96*12)</x:f>
      </x:c>
      <x:c r="Y96" s="47"/>
      <x:c r="Z96" s="60"/>
      <x:c r="AA96" s="58">
        <x:f>(($O96*Y96)/100)+(Z96*12)</x:f>
      </x:c>
      <x:c r="AB96" s="47"/>
      <x:c r="AC96" s="60"/>
      <x:c r="AD96" s="58">
        <x:f>(($O96*AB96)/100)+(AC96*12)</x:f>
      </x:c>
      <x:c r="AE96" s="47"/>
      <x:c r="AF96" s="60"/>
      <x:c r="AG96" s="58">
        <x:f>(($O96*AE96)/100)+(AF96*12)</x:f>
      </x:c>
      <x:c r="AH96" s="47"/>
      <x:c r="AI96" s="60"/>
      <x:c r="AJ96" s="58">
        <x:f>(($O96*AH96)/100)+(AI96*12)</x:f>
      </x:c>
      <x:c r="AK96" s="47"/>
      <x:c r="AL96" s="60"/>
      <x:c r="AM96" s="58">
        <x:f>(($O96*AK96)/100)+(AL96*12)</x:f>
      </x:c>
      <x:c r="AN96" s="47"/>
      <x:c r="AO96" s="60"/>
      <x:c r="AP96" s="58">
        <x:f>(($O96*AN96)/100)+(AO96*12)</x:f>
      </x:c>
      <x:c r="AQ96" s="47"/>
      <x:c r="AR96" s="60"/>
      <x:c r="AS96" s="58">
        <x:f>(($O96*AQ96)/100)+(AR96*12)</x:f>
      </x:c>
      <x:c r="AT96" s="47"/>
      <x:c r="AU96" s="60"/>
      <x:c r="AV96" s="58">
        <x:f>(($O96*AT96)/100)+(AU96*12)</x:f>
      </x:c>
      <x:c r="AW96" s="47"/>
      <x:c r="AX96" s="60"/>
      <x:c r="AY96" s="58">
        <x:f>(($O96*AW96)/100)+(AX96*12)</x:f>
      </x:c>
      <x:c r="AZ96" s="47"/>
      <x:c r="BA96" s="60"/>
      <x:c r="BB96" s="58">
        <x:f>(($O96*AZ96)/100)+(BA96*12)</x:f>
      </x:c>
      <x:c r="BC96" s="47"/>
      <x:c r="BD96" s="60"/>
      <x:c r="BE96" s="58">
        <x:f>(($O96*BC96)/100)+(BD96*12)</x:f>
      </x:c>
      <x:c r="BF96" s="47"/>
      <x:c r="BG96" s="60"/>
      <x:c r="BH96" s="58">
        <x:f>(($O96*BF96)/100)+(BG96*12)</x:f>
      </x:c>
      <x:c r="BI96" s="47"/>
      <x:c r="BJ96" s="60"/>
      <x:c r="BK96" s="58">
        <x:f>(($O96*BI96)/100)+(BJ96*12)</x:f>
      </x:c>
      <x:c r="BL96" s="47"/>
      <x:c r="BM96" s="60"/>
      <x:c r="BN96" s="58">
        <x:f>(($O96*BL96)/100)+(BM96*12)</x:f>
      </x:c>
      <x:c r="BO96" s="47"/>
      <x:c r="BP96" s="60"/>
      <x:c r="BQ96" s="58">
        <x:f>(($O96*BO96)/100)+(BP96*12)</x:f>
      </x:c>
      <x:c r="BR96" s="47"/>
      <x:c r="BS96" s="60"/>
      <x:c r="BT96" s="58">
        <x:f>(($O96*BR96)/100)+(BS96*12)</x:f>
      </x:c>
      <x:c r="BU96" s="47"/>
      <x:c r="BV96" s="60"/>
      <x:c r="BW96" s="58">
        <x:f>(($O96*BU96)/100)+(BV96*12)</x:f>
      </x:c>
      <x:c r="BX96" s="47"/>
      <x:c r="BY96" s="60"/>
      <x:c r="BZ96" s="58">
        <x:f>(($O96*BX96)/100)+(BY96*12)</x:f>
      </x:c>
      <x:c r="CA96" s="47"/>
      <x:c r="CB96" s="60"/>
      <x:c r="CC96" s="58">
        <x:f>(($O96*CA96)/100)+(CB96*12)</x:f>
      </x:c>
      <x:c r="CD96" s="47"/>
      <x:c r="CE96" s="60"/>
      <x:c r="CF96" s="58">
        <x:f>(($O96*CD96)/100)+(CE96*12)</x:f>
      </x:c>
      <x:c r="CG96" s="47"/>
      <x:c r="CH96" s="60"/>
      <x:c r="CI96" s="58">
        <x:f>(($O96*CG96)/100)+(CH96*12)</x:f>
      </x:c>
      <x:c r="CJ96" s="47"/>
      <x:c r="CK96" s="60"/>
      <x:c r="CL96" s="58">
        <x:f>(($O96*CJ96)/100)+(CK96*12)</x:f>
      </x:c>
      <x:c r="CM96" s="47"/>
      <x:c r="CN96" s="60"/>
      <x:c r="CO96" s="58">
        <x:f>(($O96*CM96)/100)+(CN96*12)</x:f>
      </x:c>
      <x:c r="CP96" s="47"/>
      <x:c r="CQ96" s="60"/>
      <x:c r="CR96" s="58">
        <x:f>(($O96*CP96)/100)+(CQ96*12)</x:f>
      </x:c>
      <x:c r="CS96" s="47"/>
      <x:c r="CT96" s="60"/>
      <x:c r="CU96" s="58">
        <x:f>(($O96*CS96)/100)+(CT96*12)</x:f>
      </x:c>
      <x:c r="CV96" s="47"/>
      <x:c r="CW96" s="60"/>
      <x:c r="CX96" s="58"/>
      <x:c r="CY96" s="47"/>
      <x:c r="CZ96" s="60"/>
      <x:c r="DA96" s="58"/>
      <x:c r="DB96" s="47"/>
      <x:c r="DC96" s="60"/>
      <x:c r="DD96" s="58"/>
      <x:c r="DE96" s="47"/>
      <x:c r="DF96" s="60"/>
      <x:c r="DG96" s="58"/>
      <x:c r="DH96" s="47"/>
      <x:c r="DI96" s="60"/>
      <x:c r="DJ96" s="58"/>
      <x:c r="DK96" s="47"/>
      <x:c r="DL96" s="60"/>
      <x:c r="DM96" s="58"/>
      <x:c r="DN96" s="11"/>
      <x:c r="DO96" s="61"/>
      <x:c r="DP96" s="62"/>
      <x:c r="DQ96" s="11"/>
      <x:c r="DR96" s="61"/>
      <x:c r="DS96" s="62"/>
      <x:c r="DT96" s="11"/>
      <x:c r="DU96" s="61"/>
      <x:c r="DV96" s="62"/>
    </x:row>
    <x:row r="97" spans="1:126" x14ac:dyDescent="0.3">
      <x:c r="A97" s="47"/>
      <x:c r="B97" s="70"/>
      <x:c r="C97" s="70"/>
      <x:c r="D97" s="70"/>
      <x:c r="E97" s="70"/>
      <x:c r="F97" s="70"/>
      <x:c r="G97" s="70"/>
      <x:c r="H97" s="70"/>
      <x:c r="I97" s="70"/>
      <x:c r="J97" s="70"/>
      <x:c r="K97" s="190"/>
      <x:c r="L97" s="191"/>
      <x:c r="M97" s="192">
        <x:f>IF(ISERROR(INDEX('Meter Type Data'!$B$2:$E$1165,SUMPRODUCT(--('Meter Type Data'!$B$2:$B$1165&lt;=Analysis!L97)*('Meter Type Data'!$C$2:$C$1165&gt;=Analysis!L97),ROW('Meter Type Data'!$B$2:$B$1165))-1,4))," ",INDEX('Meter Type Data'!$B$2:$E$1165,SUMPRODUCT(--('Meter Type Data'!$B$2:$B$1165&lt;=Analysis!L97)*('Meter Type Data'!$C$2:$C$1165&gt;=Analysis!L97),ROW('Meter Type Data'!$B$2:$B$1165))-1,4))</x:f>
      </x:c>
      <x:c r="N97" s="192">
        <x:f>IF(ISERROR(INDEX('Meter Type Data'!$B$2:$D$1165,SUMPRODUCT(--('Meter Type Data'!$B$2:$B$1165&lt;=Analysis!L97)*('Meter Type Data'!$C$2:$C$1165&gt;=Analysis!L97),ROW('Meter Type Data'!$B$2:$B$1165))-1,3))," ",INDEX('Meter Type Data'!$B$2:$D$1165,SUMPRODUCT(--('Meter Type Data'!$B$2:$B$1165&lt;=Analysis!L97)*('Meter Type Data'!$C$2:$C$1165&gt;=Analysis!L97),ROW('Meter Type Data'!$B$2:$B$1165))-1,3))</x:f>
      </x:c>
      <x:c r="O97" s="69"/>
      <x:c r="P97" s="47"/>
      <x:c r="Q97" s="60"/>
      <x:c r="R97" s="58">
        <x:f>(($O97*P97)/100)+(Q97*12)</x:f>
      </x:c>
      <x:c r="S97" s="59"/>
      <x:c r="T97" s="59"/>
      <x:c r="U97" s="58">
        <x:f>(($O97*S97)/100)+(T97*12)</x:f>
      </x:c>
      <x:c r="V97" s="47"/>
      <x:c r="W97" s="60"/>
      <x:c r="X97" s="58">
        <x:f>(($O97*V97)/100)+(W97*12)</x:f>
      </x:c>
      <x:c r="Y97" s="47"/>
      <x:c r="Z97" s="60"/>
      <x:c r="AA97" s="58">
        <x:f>(($O97*Y97)/100)+(Z97*12)</x:f>
      </x:c>
      <x:c r="AB97" s="47"/>
      <x:c r="AC97" s="60"/>
      <x:c r="AD97" s="58">
        <x:f>(($O97*AB97)/100)+(AC97*12)</x:f>
      </x:c>
      <x:c r="AE97" s="47"/>
      <x:c r="AF97" s="60"/>
      <x:c r="AG97" s="58">
        <x:f>(($O97*AE97)/100)+(AF97*12)</x:f>
      </x:c>
      <x:c r="AH97" s="47"/>
      <x:c r="AI97" s="60"/>
      <x:c r="AJ97" s="58">
        <x:f>(($O97*AH97)/100)+(AI97*12)</x:f>
      </x:c>
      <x:c r="AK97" s="47"/>
      <x:c r="AL97" s="60"/>
      <x:c r="AM97" s="58">
        <x:f>(($O97*AK97)/100)+(AL97*12)</x:f>
      </x:c>
      <x:c r="AN97" s="47"/>
      <x:c r="AO97" s="60"/>
      <x:c r="AP97" s="58">
        <x:f>(($O97*AN97)/100)+(AO97*12)</x:f>
      </x:c>
      <x:c r="AQ97" s="47"/>
      <x:c r="AR97" s="60"/>
      <x:c r="AS97" s="58">
        <x:f>(($O97*AQ97)/100)+(AR97*12)</x:f>
      </x:c>
      <x:c r="AT97" s="47"/>
      <x:c r="AU97" s="60"/>
      <x:c r="AV97" s="58">
        <x:f>(($O97*AT97)/100)+(AU97*12)</x:f>
      </x:c>
      <x:c r="AW97" s="47"/>
      <x:c r="AX97" s="60"/>
      <x:c r="AY97" s="58">
        <x:f>(($O97*AW97)/100)+(AX97*12)</x:f>
      </x:c>
      <x:c r="AZ97" s="47"/>
      <x:c r="BA97" s="60"/>
      <x:c r="BB97" s="58">
        <x:f>(($O97*AZ97)/100)+(BA97*12)</x:f>
      </x:c>
      <x:c r="BC97" s="47"/>
      <x:c r="BD97" s="60"/>
      <x:c r="BE97" s="58">
        <x:f>(($O97*BC97)/100)+(BD97*12)</x:f>
      </x:c>
      <x:c r="BF97" s="47"/>
      <x:c r="BG97" s="60"/>
      <x:c r="BH97" s="58">
        <x:f>(($O97*BF97)/100)+(BG97*12)</x:f>
      </x:c>
      <x:c r="BI97" s="47"/>
      <x:c r="BJ97" s="60"/>
      <x:c r="BK97" s="58">
        <x:f>(($O97*BI97)/100)+(BJ97*12)</x:f>
      </x:c>
      <x:c r="BL97" s="47"/>
      <x:c r="BM97" s="60"/>
      <x:c r="BN97" s="58">
        <x:f>(($O97*BL97)/100)+(BM97*12)</x:f>
      </x:c>
      <x:c r="BO97" s="47"/>
      <x:c r="BP97" s="60"/>
      <x:c r="BQ97" s="58">
        <x:f>(($O97*BO97)/100)+(BP97*12)</x:f>
      </x:c>
      <x:c r="BR97" s="47"/>
      <x:c r="BS97" s="60"/>
      <x:c r="BT97" s="58">
        <x:f>(($O97*BR97)/100)+(BS97*12)</x:f>
      </x:c>
      <x:c r="BU97" s="47"/>
      <x:c r="BV97" s="60"/>
      <x:c r="BW97" s="58">
        <x:f>(($O97*BU97)/100)+(BV97*12)</x:f>
      </x:c>
      <x:c r="BX97" s="47"/>
      <x:c r="BY97" s="60"/>
      <x:c r="BZ97" s="58">
        <x:f>(($O97*BX97)/100)+(BY97*12)</x:f>
      </x:c>
      <x:c r="CA97" s="47"/>
      <x:c r="CB97" s="60"/>
      <x:c r="CC97" s="58">
        <x:f>(($O97*CA97)/100)+(CB97*12)</x:f>
      </x:c>
      <x:c r="CD97" s="47"/>
      <x:c r="CE97" s="60"/>
      <x:c r="CF97" s="58">
        <x:f>(($O97*CD97)/100)+(CE97*12)</x:f>
      </x:c>
      <x:c r="CG97" s="47"/>
      <x:c r="CH97" s="60"/>
      <x:c r="CI97" s="58">
        <x:f>(($O97*CG97)/100)+(CH97*12)</x:f>
      </x:c>
      <x:c r="CJ97" s="47"/>
      <x:c r="CK97" s="60"/>
      <x:c r="CL97" s="58">
        <x:f>(($O97*CJ97)/100)+(CK97*12)</x:f>
      </x:c>
      <x:c r="CM97" s="47"/>
      <x:c r="CN97" s="60"/>
      <x:c r="CO97" s="58">
        <x:f>(($O97*CM97)/100)+(CN97*12)</x:f>
      </x:c>
      <x:c r="CP97" s="47"/>
      <x:c r="CQ97" s="60"/>
      <x:c r="CR97" s="58">
        <x:f>(($O97*CP97)/100)+(CQ97*12)</x:f>
      </x:c>
      <x:c r="CS97" s="47"/>
      <x:c r="CT97" s="60"/>
      <x:c r="CU97" s="58">
        <x:f>(($O97*CS97)/100)+(CT97*12)</x:f>
      </x:c>
      <x:c r="CV97" s="47"/>
      <x:c r="CW97" s="60"/>
      <x:c r="CX97" s="58"/>
      <x:c r="CY97" s="47"/>
      <x:c r="CZ97" s="60"/>
      <x:c r="DA97" s="58"/>
      <x:c r="DB97" s="47"/>
      <x:c r="DC97" s="60"/>
      <x:c r="DD97" s="58"/>
      <x:c r="DE97" s="47"/>
      <x:c r="DF97" s="60"/>
      <x:c r="DG97" s="58"/>
      <x:c r="DH97" s="47"/>
      <x:c r="DI97" s="60"/>
      <x:c r="DJ97" s="58"/>
      <x:c r="DK97" s="47"/>
      <x:c r="DL97" s="60"/>
      <x:c r="DM97" s="58"/>
      <x:c r="DN97" s="11"/>
      <x:c r="DO97" s="61"/>
      <x:c r="DP97" s="62"/>
      <x:c r="DQ97" s="11"/>
      <x:c r="DR97" s="61"/>
      <x:c r="DS97" s="62"/>
      <x:c r="DT97" s="11"/>
      <x:c r="DU97" s="61"/>
      <x:c r="DV97" s="62"/>
    </x:row>
    <x:row r="98" spans="1:126" x14ac:dyDescent="0.3">
      <x:c r="A98" s="47"/>
      <x:c r="B98" s="70"/>
      <x:c r="C98" s="70"/>
      <x:c r="D98" s="70"/>
      <x:c r="E98" s="70"/>
      <x:c r="F98" s="70"/>
      <x:c r="G98" s="70"/>
      <x:c r="H98" s="70"/>
      <x:c r="I98" s="70"/>
      <x:c r="J98" s="70"/>
      <x:c r="K98" s="190"/>
      <x:c r="L98" s="191"/>
      <x:c r="M98" s="192">
        <x:f>IF(ISERROR(INDEX('Meter Type Data'!$B$2:$E$1165,SUMPRODUCT(--('Meter Type Data'!$B$2:$B$1165&lt;=Analysis!L98)*('Meter Type Data'!$C$2:$C$1165&gt;=Analysis!L98),ROW('Meter Type Data'!$B$2:$B$1165))-1,4))," ",INDEX('Meter Type Data'!$B$2:$E$1165,SUMPRODUCT(--('Meter Type Data'!$B$2:$B$1165&lt;=Analysis!L98)*('Meter Type Data'!$C$2:$C$1165&gt;=Analysis!L98),ROW('Meter Type Data'!$B$2:$B$1165))-1,4))</x:f>
      </x:c>
      <x:c r="N98" s="192">
        <x:f>IF(ISERROR(INDEX('Meter Type Data'!$B$2:$D$1165,SUMPRODUCT(--('Meter Type Data'!$B$2:$B$1165&lt;=Analysis!L98)*('Meter Type Data'!$C$2:$C$1165&gt;=Analysis!L98),ROW('Meter Type Data'!$B$2:$B$1165))-1,3))," ",INDEX('Meter Type Data'!$B$2:$D$1165,SUMPRODUCT(--('Meter Type Data'!$B$2:$B$1165&lt;=Analysis!L98)*('Meter Type Data'!$C$2:$C$1165&gt;=Analysis!L98),ROW('Meter Type Data'!$B$2:$B$1165))-1,3))</x:f>
      </x:c>
      <x:c r="O98" s="69"/>
      <x:c r="P98" s="47"/>
      <x:c r="Q98" s="60"/>
      <x:c r="R98" s="58">
        <x:f>(($O98*P98)/100)+(Q98*12)</x:f>
      </x:c>
      <x:c r="S98" s="59"/>
      <x:c r="T98" s="59"/>
      <x:c r="U98" s="58">
        <x:f>(($O98*S98)/100)+(T98*12)</x:f>
      </x:c>
      <x:c r="V98" s="47"/>
      <x:c r="W98" s="60"/>
      <x:c r="X98" s="58">
        <x:f>(($O98*V98)/100)+(W98*12)</x:f>
      </x:c>
      <x:c r="Y98" s="47"/>
      <x:c r="Z98" s="60"/>
      <x:c r="AA98" s="58">
        <x:f>(($O98*Y98)/100)+(Z98*12)</x:f>
      </x:c>
      <x:c r="AB98" s="47"/>
      <x:c r="AC98" s="60"/>
      <x:c r="AD98" s="58">
        <x:f>(($O98*AB98)/100)+(AC98*12)</x:f>
      </x:c>
      <x:c r="AE98" s="47"/>
      <x:c r="AF98" s="60"/>
      <x:c r="AG98" s="58">
        <x:f>(($O98*AE98)/100)+(AF98*12)</x:f>
      </x:c>
      <x:c r="AH98" s="47"/>
      <x:c r="AI98" s="60"/>
      <x:c r="AJ98" s="58">
        <x:f>(($O98*AH98)/100)+(AI98*12)</x:f>
      </x:c>
      <x:c r="AK98" s="47"/>
      <x:c r="AL98" s="60"/>
      <x:c r="AM98" s="58">
        <x:f>(($O98*AK98)/100)+(AL98*12)</x:f>
      </x:c>
      <x:c r="AN98" s="47"/>
      <x:c r="AO98" s="60"/>
      <x:c r="AP98" s="58">
        <x:f>(($O98*AN98)/100)+(AO98*12)</x:f>
      </x:c>
      <x:c r="AQ98" s="47"/>
      <x:c r="AR98" s="60"/>
      <x:c r="AS98" s="58">
        <x:f>(($O98*AQ98)/100)+(AR98*12)</x:f>
      </x:c>
      <x:c r="AT98" s="47"/>
      <x:c r="AU98" s="60"/>
      <x:c r="AV98" s="58">
        <x:f>(($O98*AT98)/100)+(AU98*12)</x:f>
      </x:c>
      <x:c r="AW98" s="47"/>
      <x:c r="AX98" s="60"/>
      <x:c r="AY98" s="58">
        <x:f>(($O98*AW98)/100)+(AX98*12)</x:f>
      </x:c>
      <x:c r="AZ98" s="47"/>
      <x:c r="BA98" s="60"/>
      <x:c r="BB98" s="58">
        <x:f>(($O98*AZ98)/100)+(BA98*12)</x:f>
      </x:c>
      <x:c r="BC98" s="47"/>
      <x:c r="BD98" s="60"/>
      <x:c r="BE98" s="58">
        <x:f>(($O98*BC98)/100)+(BD98*12)</x:f>
      </x:c>
      <x:c r="BF98" s="47"/>
      <x:c r="BG98" s="60"/>
      <x:c r="BH98" s="58">
        <x:f>(($O98*BF98)/100)+(BG98*12)</x:f>
      </x:c>
      <x:c r="BI98" s="47"/>
      <x:c r="BJ98" s="60"/>
      <x:c r="BK98" s="58">
        <x:f>(($O98*BI98)/100)+(BJ98*12)</x:f>
      </x:c>
      <x:c r="BL98" s="47"/>
      <x:c r="BM98" s="60"/>
      <x:c r="BN98" s="58">
        <x:f>(($O98*BL98)/100)+(BM98*12)</x:f>
      </x:c>
      <x:c r="BO98" s="47"/>
      <x:c r="BP98" s="60"/>
      <x:c r="BQ98" s="58">
        <x:f>(($O98*BO98)/100)+(BP98*12)</x:f>
      </x:c>
      <x:c r="BR98" s="47"/>
      <x:c r="BS98" s="60"/>
      <x:c r="BT98" s="58">
        <x:f>(($O98*BR98)/100)+(BS98*12)</x:f>
      </x:c>
      <x:c r="BU98" s="47"/>
      <x:c r="BV98" s="60"/>
      <x:c r="BW98" s="58">
        <x:f>(($O98*BU98)/100)+(BV98*12)</x:f>
      </x:c>
      <x:c r="BX98" s="47"/>
      <x:c r="BY98" s="60"/>
      <x:c r="BZ98" s="58">
        <x:f>(($O98*BX98)/100)+(BY98*12)</x:f>
      </x:c>
      <x:c r="CA98" s="47"/>
      <x:c r="CB98" s="60"/>
      <x:c r="CC98" s="58">
        <x:f>(($O98*CA98)/100)+(CB98*12)</x:f>
      </x:c>
      <x:c r="CD98" s="47"/>
      <x:c r="CE98" s="60"/>
      <x:c r="CF98" s="58">
        <x:f>(($O98*CD98)/100)+(CE98*12)</x:f>
      </x:c>
      <x:c r="CG98" s="47"/>
      <x:c r="CH98" s="60"/>
      <x:c r="CI98" s="58">
        <x:f>(($O98*CG98)/100)+(CH98*12)</x:f>
      </x:c>
      <x:c r="CJ98" s="47"/>
      <x:c r="CK98" s="60"/>
      <x:c r="CL98" s="58">
        <x:f>(($O98*CJ98)/100)+(CK98*12)</x:f>
      </x:c>
      <x:c r="CM98" s="47"/>
      <x:c r="CN98" s="60"/>
      <x:c r="CO98" s="58">
        <x:f>(($O98*CM98)/100)+(CN98*12)</x:f>
      </x:c>
      <x:c r="CP98" s="47"/>
      <x:c r="CQ98" s="60"/>
      <x:c r="CR98" s="58">
        <x:f>(($O98*CP98)/100)+(CQ98*12)</x:f>
      </x:c>
      <x:c r="CS98" s="47"/>
      <x:c r="CT98" s="60"/>
      <x:c r="CU98" s="58">
        <x:f>(($O98*CS98)/100)+(CT98*12)</x:f>
      </x:c>
      <x:c r="CV98" s="47"/>
      <x:c r="CW98" s="60"/>
      <x:c r="CX98" s="58"/>
      <x:c r="CY98" s="47"/>
      <x:c r="CZ98" s="60"/>
      <x:c r="DA98" s="58"/>
      <x:c r="DB98" s="47"/>
      <x:c r="DC98" s="60"/>
      <x:c r="DD98" s="58"/>
      <x:c r="DE98" s="47"/>
      <x:c r="DF98" s="60"/>
      <x:c r="DG98" s="58"/>
      <x:c r="DH98" s="47"/>
      <x:c r="DI98" s="60"/>
      <x:c r="DJ98" s="58"/>
      <x:c r="DK98" s="47"/>
      <x:c r="DL98" s="60"/>
      <x:c r="DM98" s="58"/>
      <x:c r="DN98" s="11"/>
      <x:c r="DO98" s="61"/>
      <x:c r="DP98" s="62"/>
      <x:c r="DQ98" s="11"/>
      <x:c r="DR98" s="61"/>
      <x:c r="DS98" s="62"/>
      <x:c r="DT98" s="11"/>
      <x:c r="DU98" s="61"/>
      <x:c r="DV98" s="62"/>
    </x:row>
    <x:row r="99" spans="1:126" x14ac:dyDescent="0.3">
      <x:c r="A99" s="47"/>
      <x:c r="B99" s="70"/>
      <x:c r="C99" s="70"/>
      <x:c r="D99" s="70"/>
      <x:c r="E99" s="70"/>
      <x:c r="F99" s="70"/>
      <x:c r="G99" s="70"/>
      <x:c r="H99" s="70"/>
      <x:c r="I99" s="70"/>
      <x:c r="J99" s="70"/>
      <x:c r="K99" s="190"/>
      <x:c r="L99" s="191"/>
      <x:c r="M99" s="192">
        <x:f>IF(ISERROR(INDEX('Meter Type Data'!$B$2:$E$1165,SUMPRODUCT(--('Meter Type Data'!$B$2:$B$1165&lt;=Analysis!L99)*('Meter Type Data'!$C$2:$C$1165&gt;=Analysis!L99),ROW('Meter Type Data'!$B$2:$B$1165))-1,4))," ",INDEX('Meter Type Data'!$B$2:$E$1165,SUMPRODUCT(--('Meter Type Data'!$B$2:$B$1165&lt;=Analysis!L99)*('Meter Type Data'!$C$2:$C$1165&gt;=Analysis!L99),ROW('Meter Type Data'!$B$2:$B$1165))-1,4))</x:f>
      </x:c>
      <x:c r="N99" s="192">
        <x:f>IF(ISERROR(INDEX('Meter Type Data'!$B$2:$D$1165,SUMPRODUCT(--('Meter Type Data'!$B$2:$B$1165&lt;=Analysis!L99)*('Meter Type Data'!$C$2:$C$1165&gt;=Analysis!L99),ROW('Meter Type Data'!$B$2:$B$1165))-1,3))," ",INDEX('Meter Type Data'!$B$2:$D$1165,SUMPRODUCT(--('Meter Type Data'!$B$2:$B$1165&lt;=Analysis!L99)*('Meter Type Data'!$C$2:$C$1165&gt;=Analysis!L99),ROW('Meter Type Data'!$B$2:$B$1165))-1,3))</x:f>
      </x:c>
      <x:c r="O99" s="69"/>
      <x:c r="P99" s="47"/>
      <x:c r="Q99" s="60"/>
      <x:c r="R99" s="58">
        <x:f>(($O99*P99)/100)+(Q99*12)</x:f>
      </x:c>
      <x:c r="S99" s="59"/>
      <x:c r="T99" s="59"/>
      <x:c r="U99" s="58">
        <x:f>(($O99*S99)/100)+(T99*12)</x:f>
      </x:c>
      <x:c r="V99" s="47"/>
      <x:c r="W99" s="60"/>
      <x:c r="X99" s="58">
        <x:f>(($O99*V99)/100)+(W99*12)</x:f>
      </x:c>
      <x:c r="Y99" s="47"/>
      <x:c r="Z99" s="60"/>
      <x:c r="AA99" s="58">
        <x:f>(($O99*Y99)/100)+(Z99*12)</x:f>
      </x:c>
      <x:c r="AB99" s="47"/>
      <x:c r="AC99" s="60"/>
      <x:c r="AD99" s="58">
        <x:f>(($O99*AB99)/100)+(AC99*12)</x:f>
      </x:c>
      <x:c r="AE99" s="47"/>
      <x:c r="AF99" s="60"/>
      <x:c r="AG99" s="58">
        <x:f>(($O99*AE99)/100)+(AF99*12)</x:f>
      </x:c>
      <x:c r="AH99" s="47"/>
      <x:c r="AI99" s="60"/>
      <x:c r="AJ99" s="58">
        <x:f>(($O99*AH99)/100)+(AI99*12)</x:f>
      </x:c>
      <x:c r="AK99" s="47"/>
      <x:c r="AL99" s="60"/>
      <x:c r="AM99" s="58">
        <x:f>(($O99*AK99)/100)+(AL99*12)</x:f>
      </x:c>
      <x:c r="AN99" s="47"/>
      <x:c r="AO99" s="60"/>
      <x:c r="AP99" s="58">
        <x:f>(($O99*AN99)/100)+(AO99*12)</x:f>
      </x:c>
      <x:c r="AQ99" s="47"/>
      <x:c r="AR99" s="60"/>
      <x:c r="AS99" s="58">
        <x:f>(($O99*AQ99)/100)+(AR99*12)</x:f>
      </x:c>
      <x:c r="AT99" s="47"/>
      <x:c r="AU99" s="60"/>
      <x:c r="AV99" s="58">
        <x:f>(($O99*AT99)/100)+(AU99*12)</x:f>
      </x:c>
      <x:c r="AW99" s="47"/>
      <x:c r="AX99" s="60"/>
      <x:c r="AY99" s="58">
        <x:f>(($O99*AW99)/100)+(AX99*12)</x:f>
      </x:c>
      <x:c r="AZ99" s="47"/>
      <x:c r="BA99" s="60"/>
      <x:c r="BB99" s="58">
        <x:f>(($O99*AZ99)/100)+(BA99*12)</x:f>
      </x:c>
      <x:c r="BC99" s="47"/>
      <x:c r="BD99" s="60"/>
      <x:c r="BE99" s="58">
        <x:f>(($O99*BC99)/100)+(BD99*12)</x:f>
      </x:c>
      <x:c r="BF99" s="47"/>
      <x:c r="BG99" s="60"/>
      <x:c r="BH99" s="58">
        <x:f>(($O99*BF99)/100)+(BG99*12)</x:f>
      </x:c>
      <x:c r="BI99" s="47"/>
      <x:c r="BJ99" s="60"/>
      <x:c r="BK99" s="58">
        <x:f>(($O99*BI99)/100)+(BJ99*12)</x:f>
      </x:c>
      <x:c r="BL99" s="47"/>
      <x:c r="BM99" s="60"/>
      <x:c r="BN99" s="58">
        <x:f>(($O99*BL99)/100)+(BM99*12)</x:f>
      </x:c>
      <x:c r="BO99" s="47"/>
      <x:c r="BP99" s="60"/>
      <x:c r="BQ99" s="58">
        <x:f>(($O99*BO99)/100)+(BP99*12)</x:f>
      </x:c>
      <x:c r="BR99" s="47"/>
      <x:c r="BS99" s="60"/>
      <x:c r="BT99" s="58">
        <x:f>(($O99*BR99)/100)+(BS99*12)</x:f>
      </x:c>
      <x:c r="BU99" s="47"/>
      <x:c r="BV99" s="60"/>
      <x:c r="BW99" s="58">
        <x:f>(($O99*BU99)/100)+(BV99*12)</x:f>
      </x:c>
      <x:c r="BX99" s="47"/>
      <x:c r="BY99" s="60"/>
      <x:c r="BZ99" s="58">
        <x:f>(($O99*BX99)/100)+(BY99*12)</x:f>
      </x:c>
      <x:c r="CA99" s="47"/>
      <x:c r="CB99" s="60"/>
      <x:c r="CC99" s="58">
        <x:f>(($O99*CA99)/100)+(CB99*12)</x:f>
      </x:c>
      <x:c r="CD99" s="47"/>
      <x:c r="CE99" s="60"/>
      <x:c r="CF99" s="58">
        <x:f>(($O99*CD99)/100)+(CE99*12)</x:f>
      </x:c>
      <x:c r="CG99" s="47"/>
      <x:c r="CH99" s="60"/>
      <x:c r="CI99" s="58">
        <x:f>(($O99*CG99)/100)+(CH99*12)</x:f>
      </x:c>
      <x:c r="CJ99" s="47"/>
      <x:c r="CK99" s="60"/>
      <x:c r="CL99" s="58">
        <x:f>(($O99*CJ99)/100)+(CK99*12)</x:f>
      </x:c>
      <x:c r="CM99" s="47"/>
      <x:c r="CN99" s="60"/>
      <x:c r="CO99" s="58">
        <x:f>(($O99*CM99)/100)+(CN99*12)</x:f>
      </x:c>
      <x:c r="CP99" s="47"/>
      <x:c r="CQ99" s="60"/>
      <x:c r="CR99" s="58">
        <x:f>(($O99*CP99)/100)+(CQ99*12)</x:f>
      </x:c>
      <x:c r="CS99" s="47"/>
      <x:c r="CT99" s="60"/>
      <x:c r="CU99" s="58">
        <x:f>(($O99*CS99)/100)+(CT99*12)</x:f>
      </x:c>
      <x:c r="CV99" s="47"/>
      <x:c r="CW99" s="60"/>
      <x:c r="CX99" s="58"/>
      <x:c r="CY99" s="47"/>
      <x:c r="CZ99" s="60"/>
      <x:c r="DA99" s="58"/>
      <x:c r="DB99" s="47"/>
      <x:c r="DC99" s="60"/>
      <x:c r="DD99" s="58"/>
      <x:c r="DE99" s="47"/>
      <x:c r="DF99" s="60"/>
      <x:c r="DG99" s="58"/>
      <x:c r="DH99" s="47"/>
      <x:c r="DI99" s="60"/>
      <x:c r="DJ99" s="58"/>
      <x:c r="DK99" s="47"/>
      <x:c r="DL99" s="60"/>
      <x:c r="DM99" s="58"/>
      <x:c r="DN99" s="11"/>
      <x:c r="DO99" s="61"/>
      <x:c r="DP99" s="62"/>
      <x:c r="DQ99" s="11"/>
      <x:c r="DR99" s="61"/>
      <x:c r="DS99" s="62"/>
      <x:c r="DT99" s="11"/>
      <x:c r="DU99" s="61"/>
      <x:c r="DV99" s="62"/>
    </x:row>
    <x:row r="100" spans="1:126" x14ac:dyDescent="0.3">
      <x:c r="A100" s="47"/>
      <x:c r="B100" s="70"/>
      <x:c r="C100" s="70"/>
      <x:c r="D100" s="70"/>
      <x:c r="E100" s="70"/>
      <x:c r="F100" s="70"/>
      <x:c r="G100" s="70"/>
      <x:c r="H100" s="70"/>
      <x:c r="I100" s="70"/>
      <x:c r="J100" s="70"/>
      <x:c r="K100" s="190"/>
      <x:c r="L100" s="191"/>
      <x:c r="M100" s="192">
        <x:f>IF(ISERROR(INDEX('Meter Type Data'!$B$2:$E$1165,SUMPRODUCT(--('Meter Type Data'!$B$2:$B$1165&lt;=Analysis!L100)*('Meter Type Data'!$C$2:$C$1165&gt;=Analysis!L100),ROW('Meter Type Data'!$B$2:$B$1165))-1,4))," ",INDEX('Meter Type Data'!$B$2:$E$1165,SUMPRODUCT(--('Meter Type Data'!$B$2:$B$1165&lt;=Analysis!L100)*('Meter Type Data'!$C$2:$C$1165&gt;=Analysis!L100),ROW('Meter Type Data'!$B$2:$B$1165))-1,4))</x:f>
      </x:c>
      <x:c r="N100" s="192">
        <x:f>IF(ISERROR(INDEX('Meter Type Data'!$B$2:$D$1165,SUMPRODUCT(--('Meter Type Data'!$B$2:$B$1165&lt;=Analysis!L100)*('Meter Type Data'!$C$2:$C$1165&gt;=Analysis!L100),ROW('Meter Type Data'!$B$2:$B$1165))-1,3))," ",INDEX('Meter Type Data'!$B$2:$D$1165,SUMPRODUCT(--('Meter Type Data'!$B$2:$B$1165&lt;=Analysis!L100)*('Meter Type Data'!$C$2:$C$1165&gt;=Analysis!L100),ROW('Meter Type Data'!$B$2:$B$1165))-1,3))</x:f>
      </x:c>
      <x:c r="O100" s="69"/>
      <x:c r="P100" s="47"/>
      <x:c r="Q100" s="60"/>
      <x:c r="R100" s="58">
        <x:f>(($O100*P100)/100)+(Q100*12)</x:f>
      </x:c>
      <x:c r="S100" s="59"/>
      <x:c r="T100" s="59"/>
      <x:c r="U100" s="58">
        <x:f>(($O100*S100)/100)+(T100*12)</x:f>
      </x:c>
      <x:c r="V100" s="47"/>
      <x:c r="W100" s="60"/>
      <x:c r="X100" s="58">
        <x:f>(($O100*V100)/100)+(W100*12)</x:f>
      </x:c>
      <x:c r="Y100" s="47"/>
      <x:c r="Z100" s="60"/>
      <x:c r="AA100" s="58">
        <x:f>(($O100*Y100)/100)+(Z100*12)</x:f>
      </x:c>
      <x:c r="AB100" s="47"/>
      <x:c r="AC100" s="60"/>
      <x:c r="AD100" s="58">
        <x:f>(($O100*AB100)/100)+(AC100*12)</x:f>
      </x:c>
      <x:c r="AE100" s="47"/>
      <x:c r="AF100" s="60"/>
      <x:c r="AG100" s="58">
        <x:f>(($O100*AE100)/100)+(AF100*12)</x:f>
      </x:c>
      <x:c r="AH100" s="47"/>
      <x:c r="AI100" s="60"/>
      <x:c r="AJ100" s="58">
        <x:f>(($O100*AH100)/100)+(AI100*12)</x:f>
      </x:c>
      <x:c r="AK100" s="47"/>
      <x:c r="AL100" s="60"/>
      <x:c r="AM100" s="58">
        <x:f>(($O100*AK100)/100)+(AL100*12)</x:f>
      </x:c>
      <x:c r="AN100" s="47"/>
      <x:c r="AO100" s="60"/>
      <x:c r="AP100" s="58">
        <x:f>(($O100*AN100)/100)+(AO100*12)</x:f>
      </x:c>
      <x:c r="AQ100" s="47"/>
      <x:c r="AR100" s="60"/>
      <x:c r="AS100" s="58">
        <x:f>(($O100*AQ100)/100)+(AR100*12)</x:f>
      </x:c>
      <x:c r="AT100" s="47"/>
      <x:c r="AU100" s="60"/>
      <x:c r="AV100" s="58">
        <x:f>(($O100*AT100)/100)+(AU100*12)</x:f>
      </x:c>
      <x:c r="AW100" s="47"/>
      <x:c r="AX100" s="60"/>
      <x:c r="AY100" s="58">
        <x:f>(($O100*AW100)/100)+(AX100*12)</x:f>
      </x:c>
      <x:c r="AZ100" s="47"/>
      <x:c r="BA100" s="60"/>
      <x:c r="BB100" s="58">
        <x:f>(($O100*AZ100)/100)+(BA100*12)</x:f>
      </x:c>
      <x:c r="BC100" s="47"/>
      <x:c r="BD100" s="60"/>
      <x:c r="BE100" s="58">
        <x:f>(($O100*BC100)/100)+(BD100*12)</x:f>
      </x:c>
      <x:c r="BF100" s="47"/>
      <x:c r="BG100" s="60"/>
      <x:c r="BH100" s="58">
        <x:f>(($O100*BF100)/100)+(BG100*12)</x:f>
      </x:c>
      <x:c r="BI100" s="47"/>
      <x:c r="BJ100" s="60"/>
      <x:c r="BK100" s="58">
        <x:f>(($O100*BI100)/100)+(BJ100*12)</x:f>
      </x:c>
      <x:c r="BL100" s="47"/>
      <x:c r="BM100" s="60"/>
      <x:c r="BN100" s="58">
        <x:f>(($O100*BL100)/100)+(BM100*12)</x:f>
      </x:c>
      <x:c r="BO100" s="47"/>
      <x:c r="BP100" s="60"/>
      <x:c r="BQ100" s="58">
        <x:f>(($O100*BO100)/100)+(BP100*12)</x:f>
      </x:c>
      <x:c r="BR100" s="47"/>
      <x:c r="BS100" s="60"/>
      <x:c r="BT100" s="58">
        <x:f>(($O100*BR100)/100)+(BS100*12)</x:f>
      </x:c>
      <x:c r="BU100" s="47"/>
      <x:c r="BV100" s="60"/>
      <x:c r="BW100" s="58">
        <x:f>(($O100*BU100)/100)+(BV100*12)</x:f>
      </x:c>
      <x:c r="BX100" s="47"/>
      <x:c r="BY100" s="60"/>
      <x:c r="BZ100" s="58">
        <x:f>(($O100*BX100)/100)+(BY100*12)</x:f>
      </x:c>
      <x:c r="CA100" s="47"/>
      <x:c r="CB100" s="60"/>
      <x:c r="CC100" s="58">
        <x:f>(($O100*CA100)/100)+(CB100*12)</x:f>
      </x:c>
      <x:c r="CD100" s="47"/>
      <x:c r="CE100" s="60"/>
      <x:c r="CF100" s="58">
        <x:f>(($O100*CD100)/100)+(CE100*12)</x:f>
      </x:c>
      <x:c r="CG100" s="47"/>
      <x:c r="CH100" s="60"/>
      <x:c r="CI100" s="58">
        <x:f>(($O100*CG100)/100)+(CH100*12)</x:f>
      </x:c>
      <x:c r="CJ100" s="47"/>
      <x:c r="CK100" s="60"/>
      <x:c r="CL100" s="58">
        <x:f>(($O100*CJ100)/100)+(CK100*12)</x:f>
      </x:c>
      <x:c r="CM100" s="47"/>
      <x:c r="CN100" s="60"/>
      <x:c r="CO100" s="58">
        <x:f>(($O100*CM100)/100)+(CN100*12)</x:f>
      </x:c>
      <x:c r="CP100" s="47"/>
      <x:c r="CQ100" s="60"/>
      <x:c r="CR100" s="58">
        <x:f>(($O100*CP100)/100)+(CQ100*12)</x:f>
      </x:c>
      <x:c r="CS100" s="47"/>
      <x:c r="CT100" s="60"/>
      <x:c r="CU100" s="58">
        <x:f>(($O100*CS100)/100)+(CT100*12)</x:f>
      </x:c>
      <x:c r="CV100" s="47"/>
      <x:c r="CW100" s="60"/>
      <x:c r="CX100" s="58"/>
      <x:c r="CY100" s="47"/>
      <x:c r="CZ100" s="60"/>
      <x:c r="DA100" s="58"/>
      <x:c r="DB100" s="47"/>
      <x:c r="DC100" s="60"/>
      <x:c r="DD100" s="58"/>
      <x:c r="DE100" s="47"/>
      <x:c r="DF100" s="60"/>
      <x:c r="DG100" s="58"/>
      <x:c r="DH100" s="47"/>
      <x:c r="DI100" s="60"/>
      <x:c r="DJ100" s="58"/>
      <x:c r="DK100" s="47"/>
      <x:c r="DL100" s="60"/>
      <x:c r="DM100" s="58"/>
      <x:c r="DN100" s="11"/>
      <x:c r="DO100" s="61"/>
      <x:c r="DP100" s="62"/>
      <x:c r="DQ100" s="11"/>
      <x:c r="DR100" s="61"/>
      <x:c r="DS100" s="62"/>
      <x:c r="DT100" s="11"/>
      <x:c r="DU100" s="61"/>
      <x:c r="DV100" s="62"/>
    </x:row>
    <x:row r="101" spans="1:126" x14ac:dyDescent="0.3">
      <x:c r="A101" s="47"/>
      <x:c r="B101" s="70"/>
      <x:c r="C101" s="70"/>
      <x:c r="D101" s="70"/>
      <x:c r="E101" s="70"/>
      <x:c r="F101" s="70"/>
      <x:c r="G101" s="70"/>
      <x:c r="H101" s="70"/>
      <x:c r="I101" s="70"/>
      <x:c r="J101" s="70"/>
      <x:c r="K101" s="190"/>
      <x:c r="L101" s="191"/>
      <x:c r="M101" s="192">
        <x:f>IF(ISERROR(INDEX('Meter Type Data'!$B$2:$E$1165,SUMPRODUCT(--('Meter Type Data'!$B$2:$B$1165&lt;=Analysis!L101)*('Meter Type Data'!$C$2:$C$1165&gt;=Analysis!L101),ROW('Meter Type Data'!$B$2:$B$1165))-1,4))," ",INDEX('Meter Type Data'!$B$2:$E$1165,SUMPRODUCT(--('Meter Type Data'!$B$2:$B$1165&lt;=Analysis!L101)*('Meter Type Data'!$C$2:$C$1165&gt;=Analysis!L101),ROW('Meter Type Data'!$B$2:$B$1165))-1,4))</x:f>
      </x:c>
      <x:c r="N101" s="192">
        <x:f>IF(ISERROR(INDEX('Meter Type Data'!$B$2:$D$1165,SUMPRODUCT(--('Meter Type Data'!$B$2:$B$1165&lt;=Analysis!L101)*('Meter Type Data'!$C$2:$C$1165&gt;=Analysis!L101),ROW('Meter Type Data'!$B$2:$B$1165))-1,3))," ",INDEX('Meter Type Data'!$B$2:$D$1165,SUMPRODUCT(--('Meter Type Data'!$B$2:$B$1165&lt;=Analysis!L101)*('Meter Type Data'!$C$2:$C$1165&gt;=Analysis!L101),ROW('Meter Type Data'!$B$2:$B$1165))-1,3))</x:f>
      </x:c>
      <x:c r="O101" s="69"/>
      <x:c r="P101" s="47"/>
      <x:c r="Q101" s="60"/>
      <x:c r="R101" s="58">
        <x:f>(($O101*P101)/100)+(Q101*12)</x:f>
      </x:c>
      <x:c r="S101" s="59"/>
      <x:c r="T101" s="59"/>
      <x:c r="U101" s="58">
        <x:f>(($O101*S101)/100)+(T101*12)</x:f>
      </x:c>
      <x:c r="V101" s="47"/>
      <x:c r="W101" s="60"/>
      <x:c r="X101" s="58">
        <x:f>(($O101*V101)/100)+(W101*12)</x:f>
      </x:c>
      <x:c r="Y101" s="47"/>
      <x:c r="Z101" s="60"/>
      <x:c r="AA101" s="58">
        <x:f>(($O101*Y101)/100)+(Z101*12)</x:f>
      </x:c>
      <x:c r="AB101" s="47"/>
      <x:c r="AC101" s="60"/>
      <x:c r="AD101" s="58">
        <x:f>(($O101*AB101)/100)+(AC101*12)</x:f>
      </x:c>
      <x:c r="AE101" s="47"/>
      <x:c r="AF101" s="60"/>
      <x:c r="AG101" s="58">
        <x:f>(($O101*AE101)/100)+(AF101*12)</x:f>
      </x:c>
      <x:c r="AH101" s="47"/>
      <x:c r="AI101" s="60"/>
      <x:c r="AJ101" s="58">
        <x:f>(($O101*AH101)/100)+(AI101*12)</x:f>
      </x:c>
      <x:c r="AK101" s="47"/>
      <x:c r="AL101" s="60"/>
      <x:c r="AM101" s="58">
        <x:f>(($O101*AK101)/100)+(AL101*12)</x:f>
      </x:c>
      <x:c r="AN101" s="47"/>
      <x:c r="AO101" s="60"/>
      <x:c r="AP101" s="58">
        <x:f>(($O101*AN101)/100)+(AO101*12)</x:f>
      </x:c>
      <x:c r="AQ101" s="47"/>
      <x:c r="AR101" s="60"/>
      <x:c r="AS101" s="58">
        <x:f>(($O101*AQ101)/100)+(AR101*12)</x:f>
      </x:c>
      <x:c r="AT101" s="47"/>
      <x:c r="AU101" s="60"/>
      <x:c r="AV101" s="58">
        <x:f>(($O101*AT101)/100)+(AU101*12)</x:f>
      </x:c>
      <x:c r="AW101" s="47"/>
      <x:c r="AX101" s="60"/>
      <x:c r="AY101" s="58">
        <x:f>(($O101*AW101)/100)+(AX101*12)</x:f>
      </x:c>
      <x:c r="AZ101" s="47"/>
      <x:c r="BA101" s="60"/>
      <x:c r="BB101" s="58">
        <x:f>(($O101*AZ101)/100)+(BA101*12)</x:f>
      </x:c>
      <x:c r="BC101" s="47"/>
      <x:c r="BD101" s="60"/>
      <x:c r="BE101" s="58">
        <x:f>(($O101*BC101)/100)+(BD101*12)</x:f>
      </x:c>
      <x:c r="BF101" s="47"/>
      <x:c r="BG101" s="60"/>
      <x:c r="BH101" s="58">
        <x:f>(($O101*BF101)/100)+(BG101*12)</x:f>
      </x:c>
      <x:c r="BI101" s="47"/>
      <x:c r="BJ101" s="60"/>
      <x:c r="BK101" s="58">
        <x:f>(($O101*BI101)/100)+(BJ101*12)</x:f>
      </x:c>
      <x:c r="BL101" s="47"/>
      <x:c r="BM101" s="60"/>
      <x:c r="BN101" s="58">
        <x:f>(($O101*BL101)/100)+(BM101*12)</x:f>
      </x:c>
      <x:c r="BO101" s="47"/>
      <x:c r="BP101" s="60"/>
      <x:c r="BQ101" s="58">
        <x:f>(($O101*BO101)/100)+(BP101*12)</x:f>
      </x:c>
      <x:c r="BR101" s="47"/>
      <x:c r="BS101" s="60"/>
      <x:c r="BT101" s="58">
        <x:f>(($O101*BR101)/100)+(BS101*12)</x:f>
      </x:c>
      <x:c r="BU101" s="47"/>
      <x:c r="BV101" s="60"/>
      <x:c r="BW101" s="58">
        <x:f>(($O101*BU101)/100)+(BV101*12)</x:f>
      </x:c>
      <x:c r="BX101" s="47"/>
      <x:c r="BY101" s="60"/>
      <x:c r="BZ101" s="58">
        <x:f>(($O101*BX101)/100)+(BY101*12)</x:f>
      </x:c>
      <x:c r="CA101" s="47"/>
      <x:c r="CB101" s="60"/>
      <x:c r="CC101" s="58">
        <x:f>(($O101*CA101)/100)+(CB101*12)</x:f>
      </x:c>
      <x:c r="CD101" s="47"/>
      <x:c r="CE101" s="60"/>
      <x:c r="CF101" s="58">
        <x:f>(($O101*CD101)/100)+(CE101*12)</x:f>
      </x:c>
      <x:c r="CG101" s="47"/>
      <x:c r="CH101" s="60"/>
      <x:c r="CI101" s="58">
        <x:f>(($O101*CG101)/100)+(CH101*12)</x:f>
      </x:c>
      <x:c r="CJ101" s="47"/>
      <x:c r="CK101" s="60"/>
      <x:c r="CL101" s="58">
        <x:f>(($O101*CJ101)/100)+(CK101*12)</x:f>
      </x:c>
      <x:c r="CM101" s="47"/>
      <x:c r="CN101" s="60"/>
      <x:c r="CO101" s="58">
        <x:f>(($O101*CM101)/100)+(CN101*12)</x:f>
      </x:c>
      <x:c r="CP101" s="47"/>
      <x:c r="CQ101" s="60"/>
      <x:c r="CR101" s="58">
        <x:f>(($O101*CP101)/100)+(CQ101*12)</x:f>
      </x:c>
      <x:c r="CS101" s="47"/>
      <x:c r="CT101" s="60"/>
      <x:c r="CU101" s="58">
        <x:f>(($O101*CS101)/100)+(CT101*12)</x:f>
      </x:c>
      <x:c r="CV101" s="47"/>
      <x:c r="CW101" s="60"/>
      <x:c r="CX101" s="58"/>
      <x:c r="CY101" s="47"/>
      <x:c r="CZ101" s="60"/>
      <x:c r="DA101" s="58"/>
      <x:c r="DB101" s="47"/>
      <x:c r="DC101" s="60"/>
      <x:c r="DD101" s="58"/>
      <x:c r="DE101" s="47"/>
      <x:c r="DF101" s="60"/>
      <x:c r="DG101" s="58"/>
      <x:c r="DH101" s="47"/>
      <x:c r="DI101" s="60"/>
      <x:c r="DJ101" s="58"/>
      <x:c r="DK101" s="47"/>
      <x:c r="DL101" s="60"/>
      <x:c r="DM101" s="58"/>
      <x:c r="DN101" s="11"/>
      <x:c r="DO101" s="61"/>
      <x:c r="DP101" s="62"/>
      <x:c r="DQ101" s="11"/>
      <x:c r="DR101" s="61"/>
      <x:c r="DS101" s="62"/>
      <x:c r="DT101" s="11"/>
      <x:c r="DU101" s="61"/>
      <x:c r="DV101" s="62"/>
    </x:row>
    <x:row r="102" spans="1:126" x14ac:dyDescent="0.3">
      <x:c r="A102" s="47"/>
      <x:c r="B102" s="70"/>
      <x:c r="C102" s="70"/>
      <x:c r="D102" s="70"/>
      <x:c r="E102" s="70"/>
      <x:c r="F102" s="70"/>
      <x:c r="G102" s="70"/>
      <x:c r="H102" s="70"/>
      <x:c r="I102" s="70"/>
      <x:c r="J102" s="70"/>
      <x:c r="K102" s="190"/>
      <x:c r="L102" s="191"/>
      <x:c r="M102" s="192">
        <x:f>IF(ISERROR(INDEX('Meter Type Data'!$B$2:$E$1165,SUMPRODUCT(--('Meter Type Data'!$B$2:$B$1165&lt;=Analysis!L102)*('Meter Type Data'!$C$2:$C$1165&gt;=Analysis!L102),ROW('Meter Type Data'!$B$2:$B$1165))-1,4))," ",INDEX('Meter Type Data'!$B$2:$E$1165,SUMPRODUCT(--('Meter Type Data'!$B$2:$B$1165&lt;=Analysis!L102)*('Meter Type Data'!$C$2:$C$1165&gt;=Analysis!L102),ROW('Meter Type Data'!$B$2:$B$1165))-1,4))</x:f>
      </x:c>
      <x:c r="N102" s="192">
        <x:f>IF(ISERROR(INDEX('Meter Type Data'!$B$2:$D$1165,SUMPRODUCT(--('Meter Type Data'!$B$2:$B$1165&lt;=Analysis!L102)*('Meter Type Data'!$C$2:$C$1165&gt;=Analysis!L102),ROW('Meter Type Data'!$B$2:$B$1165))-1,3))," ",INDEX('Meter Type Data'!$B$2:$D$1165,SUMPRODUCT(--('Meter Type Data'!$B$2:$B$1165&lt;=Analysis!L102)*('Meter Type Data'!$C$2:$C$1165&gt;=Analysis!L102),ROW('Meter Type Data'!$B$2:$B$1165))-1,3))</x:f>
      </x:c>
      <x:c r="O102" s="69"/>
      <x:c r="P102" s="47"/>
      <x:c r="Q102" s="60"/>
      <x:c r="R102" s="58">
        <x:f>(($O102*P102)/100)+(Q102*12)</x:f>
      </x:c>
      <x:c r="S102" s="59"/>
      <x:c r="T102" s="59"/>
      <x:c r="U102" s="58">
        <x:f>(($O102*S102)/100)+(T102*12)</x:f>
      </x:c>
      <x:c r="V102" s="47"/>
      <x:c r="W102" s="60"/>
      <x:c r="X102" s="58">
        <x:f>(($O102*V102)/100)+(W102*12)</x:f>
      </x:c>
      <x:c r="Y102" s="47"/>
      <x:c r="Z102" s="60"/>
      <x:c r="AA102" s="58">
        <x:f>(($O102*Y102)/100)+(Z102*12)</x:f>
      </x:c>
      <x:c r="AB102" s="47"/>
      <x:c r="AC102" s="60"/>
      <x:c r="AD102" s="58">
        <x:f>(($O102*AB102)/100)+(AC102*12)</x:f>
      </x:c>
      <x:c r="AE102" s="47"/>
      <x:c r="AF102" s="60"/>
      <x:c r="AG102" s="58">
        <x:f>(($O102*AE102)/100)+(AF102*12)</x:f>
      </x:c>
      <x:c r="AH102" s="47"/>
      <x:c r="AI102" s="60"/>
      <x:c r="AJ102" s="58">
        <x:f>(($O102*AH102)/100)+(AI102*12)</x:f>
      </x:c>
      <x:c r="AK102" s="47"/>
      <x:c r="AL102" s="60"/>
      <x:c r="AM102" s="58">
        <x:f>(($O102*AK102)/100)+(AL102*12)</x:f>
      </x:c>
      <x:c r="AN102" s="47"/>
      <x:c r="AO102" s="60"/>
      <x:c r="AP102" s="58">
        <x:f>(($O102*AN102)/100)+(AO102*12)</x:f>
      </x:c>
      <x:c r="AQ102" s="47"/>
      <x:c r="AR102" s="60"/>
      <x:c r="AS102" s="58">
        <x:f>(($O102*AQ102)/100)+(AR102*12)</x:f>
      </x:c>
      <x:c r="AT102" s="47"/>
      <x:c r="AU102" s="60"/>
      <x:c r="AV102" s="58">
        <x:f>(($O102*AT102)/100)+(AU102*12)</x:f>
      </x:c>
      <x:c r="AW102" s="47"/>
      <x:c r="AX102" s="60"/>
      <x:c r="AY102" s="58">
        <x:f>(($O102*AW102)/100)+(AX102*12)</x:f>
      </x:c>
      <x:c r="AZ102" s="47"/>
      <x:c r="BA102" s="60"/>
      <x:c r="BB102" s="58">
        <x:f>(($O102*AZ102)/100)+(BA102*12)</x:f>
      </x:c>
      <x:c r="BC102" s="47"/>
      <x:c r="BD102" s="60"/>
      <x:c r="BE102" s="58">
        <x:f>(($O102*BC102)/100)+(BD102*12)</x:f>
      </x:c>
      <x:c r="BF102" s="47"/>
      <x:c r="BG102" s="60"/>
      <x:c r="BH102" s="58">
        <x:f>(($O102*BF102)/100)+(BG102*12)</x:f>
      </x:c>
      <x:c r="BI102" s="47"/>
      <x:c r="BJ102" s="60"/>
      <x:c r="BK102" s="58">
        <x:f>(($O102*BI102)/100)+(BJ102*12)</x:f>
      </x:c>
      <x:c r="BL102" s="47"/>
      <x:c r="BM102" s="60"/>
      <x:c r="BN102" s="58">
        <x:f>(($O102*BL102)/100)+(BM102*12)</x:f>
      </x:c>
      <x:c r="BO102" s="47"/>
      <x:c r="BP102" s="60"/>
      <x:c r="BQ102" s="58">
        <x:f>(($O102*BO102)/100)+(BP102*12)</x:f>
      </x:c>
      <x:c r="BR102" s="47"/>
      <x:c r="BS102" s="60"/>
      <x:c r="BT102" s="58">
        <x:f>(($O102*BR102)/100)+(BS102*12)</x:f>
      </x:c>
      <x:c r="BU102" s="47"/>
      <x:c r="BV102" s="60"/>
      <x:c r="BW102" s="58">
        <x:f>(($O102*BU102)/100)+(BV102*12)</x:f>
      </x:c>
      <x:c r="BX102" s="47"/>
      <x:c r="BY102" s="60"/>
      <x:c r="BZ102" s="58">
        <x:f>(($O102*BX102)/100)+(BY102*12)</x:f>
      </x:c>
      <x:c r="CA102" s="47"/>
      <x:c r="CB102" s="60"/>
      <x:c r="CC102" s="58">
        <x:f>(($O102*CA102)/100)+(CB102*12)</x:f>
      </x:c>
      <x:c r="CD102" s="47"/>
      <x:c r="CE102" s="60"/>
      <x:c r="CF102" s="58">
        <x:f>(($O102*CD102)/100)+(CE102*12)</x:f>
      </x:c>
      <x:c r="CG102" s="47"/>
      <x:c r="CH102" s="60"/>
      <x:c r="CI102" s="58">
        <x:f>(($O102*CG102)/100)+(CH102*12)</x:f>
      </x:c>
      <x:c r="CJ102" s="47"/>
      <x:c r="CK102" s="60"/>
      <x:c r="CL102" s="58">
        <x:f>(($O102*CJ102)/100)+(CK102*12)</x:f>
      </x:c>
      <x:c r="CM102" s="47"/>
      <x:c r="CN102" s="60"/>
      <x:c r="CO102" s="58">
        <x:f>(($O102*CM102)/100)+(CN102*12)</x:f>
      </x:c>
      <x:c r="CP102" s="47"/>
      <x:c r="CQ102" s="60"/>
      <x:c r="CR102" s="58">
        <x:f>(($O102*CP102)/100)+(CQ102*12)</x:f>
      </x:c>
      <x:c r="CS102" s="47"/>
      <x:c r="CT102" s="60"/>
      <x:c r="CU102" s="58">
        <x:f>(($O102*CS102)/100)+(CT102*12)</x:f>
      </x:c>
      <x:c r="CV102" s="47"/>
      <x:c r="CW102" s="60"/>
      <x:c r="CX102" s="58"/>
      <x:c r="CY102" s="47"/>
      <x:c r="CZ102" s="60"/>
      <x:c r="DA102" s="58"/>
      <x:c r="DB102" s="47"/>
      <x:c r="DC102" s="60"/>
      <x:c r="DD102" s="58"/>
      <x:c r="DE102" s="47"/>
      <x:c r="DF102" s="60"/>
      <x:c r="DG102" s="58"/>
      <x:c r="DH102" s="47"/>
      <x:c r="DI102" s="60"/>
      <x:c r="DJ102" s="58"/>
      <x:c r="DK102" s="47"/>
      <x:c r="DL102" s="60"/>
      <x:c r="DM102" s="58"/>
      <x:c r="DN102" s="11"/>
      <x:c r="DO102" s="61"/>
      <x:c r="DP102" s="62"/>
      <x:c r="DQ102" s="11"/>
      <x:c r="DR102" s="61"/>
      <x:c r="DS102" s="62"/>
      <x:c r="DT102" s="11"/>
      <x:c r="DU102" s="61"/>
      <x:c r="DV102" s="62"/>
    </x:row>
    <x:row r="103" spans="1:126" x14ac:dyDescent="0.3">
      <x:c r="A103" s="47"/>
      <x:c r="B103" s="70"/>
      <x:c r="C103" s="70"/>
      <x:c r="D103" s="70"/>
      <x:c r="E103" s="70"/>
      <x:c r="F103" s="70"/>
      <x:c r="G103" s="70"/>
      <x:c r="H103" s="70"/>
      <x:c r="I103" s="70"/>
      <x:c r="J103" s="70"/>
      <x:c r="K103" s="190"/>
      <x:c r="L103" s="191"/>
      <x:c r="M103" s="192">
        <x:f>IF(ISERROR(INDEX('Meter Type Data'!$B$2:$E$1165,SUMPRODUCT(--('Meter Type Data'!$B$2:$B$1165&lt;=Analysis!L103)*('Meter Type Data'!$C$2:$C$1165&gt;=Analysis!L103),ROW('Meter Type Data'!$B$2:$B$1165))-1,4))," ",INDEX('Meter Type Data'!$B$2:$E$1165,SUMPRODUCT(--('Meter Type Data'!$B$2:$B$1165&lt;=Analysis!L103)*('Meter Type Data'!$C$2:$C$1165&gt;=Analysis!L103),ROW('Meter Type Data'!$B$2:$B$1165))-1,4))</x:f>
      </x:c>
      <x:c r="N103" s="192">
        <x:f>IF(ISERROR(INDEX('Meter Type Data'!$B$2:$D$1165,SUMPRODUCT(--('Meter Type Data'!$B$2:$B$1165&lt;=Analysis!L103)*('Meter Type Data'!$C$2:$C$1165&gt;=Analysis!L103),ROW('Meter Type Data'!$B$2:$B$1165))-1,3))," ",INDEX('Meter Type Data'!$B$2:$D$1165,SUMPRODUCT(--('Meter Type Data'!$B$2:$B$1165&lt;=Analysis!L103)*('Meter Type Data'!$C$2:$C$1165&gt;=Analysis!L103),ROW('Meter Type Data'!$B$2:$B$1165))-1,3))</x:f>
      </x:c>
      <x:c r="O103" s="69"/>
      <x:c r="P103" s="47"/>
      <x:c r="Q103" s="60"/>
      <x:c r="R103" s="58">
        <x:f>(($O103*P103)/100)+(Q103*12)</x:f>
      </x:c>
      <x:c r="S103" s="59"/>
      <x:c r="T103" s="59"/>
      <x:c r="U103" s="58">
        <x:f>(($O103*S103)/100)+(T103*12)</x:f>
      </x:c>
      <x:c r="V103" s="47"/>
      <x:c r="W103" s="60"/>
      <x:c r="X103" s="58">
        <x:f>(($O103*V103)/100)+(W103*12)</x:f>
      </x:c>
      <x:c r="Y103" s="47"/>
      <x:c r="Z103" s="60"/>
      <x:c r="AA103" s="58">
        <x:f>(($O103*Y103)/100)+(Z103*12)</x:f>
      </x:c>
      <x:c r="AB103" s="47"/>
      <x:c r="AC103" s="60"/>
      <x:c r="AD103" s="58">
        <x:f>(($O103*AB103)/100)+(AC103*12)</x:f>
      </x:c>
      <x:c r="AE103" s="47"/>
      <x:c r="AF103" s="60"/>
      <x:c r="AG103" s="58">
        <x:f>(($O103*AE103)/100)+(AF103*12)</x:f>
      </x:c>
      <x:c r="AH103" s="47"/>
      <x:c r="AI103" s="60"/>
      <x:c r="AJ103" s="58">
        <x:f>(($O103*AH103)/100)+(AI103*12)</x:f>
      </x:c>
      <x:c r="AK103" s="47"/>
      <x:c r="AL103" s="60"/>
      <x:c r="AM103" s="58">
        <x:f>(($O103*AK103)/100)+(AL103*12)</x:f>
      </x:c>
      <x:c r="AN103" s="47"/>
      <x:c r="AO103" s="60"/>
      <x:c r="AP103" s="58">
        <x:f>(($O103*AN103)/100)+(AO103*12)</x:f>
      </x:c>
      <x:c r="AQ103" s="47"/>
      <x:c r="AR103" s="60"/>
      <x:c r="AS103" s="58">
        <x:f>(($O103*AQ103)/100)+(AR103*12)</x:f>
      </x:c>
      <x:c r="AT103" s="47"/>
      <x:c r="AU103" s="60"/>
      <x:c r="AV103" s="58">
        <x:f>(($O103*AT103)/100)+(AU103*12)</x:f>
      </x:c>
      <x:c r="AW103" s="47"/>
      <x:c r="AX103" s="60"/>
      <x:c r="AY103" s="58">
        <x:f>(($O103*AW103)/100)+(AX103*12)</x:f>
      </x:c>
      <x:c r="AZ103" s="47"/>
      <x:c r="BA103" s="60"/>
      <x:c r="BB103" s="58">
        <x:f>(($O103*AZ103)/100)+(BA103*12)</x:f>
      </x:c>
      <x:c r="BC103" s="47"/>
      <x:c r="BD103" s="60"/>
      <x:c r="BE103" s="58">
        <x:f>(($O103*BC103)/100)+(BD103*12)</x:f>
      </x:c>
      <x:c r="BF103" s="47"/>
      <x:c r="BG103" s="60"/>
      <x:c r="BH103" s="58">
        <x:f>(($O103*BF103)/100)+(BG103*12)</x:f>
      </x:c>
      <x:c r="BI103" s="47"/>
      <x:c r="BJ103" s="60"/>
      <x:c r="BK103" s="58">
        <x:f>(($O103*BI103)/100)+(BJ103*12)</x:f>
      </x:c>
      <x:c r="BL103" s="47"/>
      <x:c r="BM103" s="60"/>
      <x:c r="BN103" s="58">
        <x:f>(($O103*BL103)/100)+(BM103*12)</x:f>
      </x:c>
      <x:c r="BO103" s="47"/>
      <x:c r="BP103" s="60"/>
      <x:c r="BQ103" s="58">
        <x:f>(($O103*BO103)/100)+(BP103*12)</x:f>
      </x:c>
      <x:c r="BR103" s="47"/>
      <x:c r="BS103" s="60"/>
      <x:c r="BT103" s="58">
        <x:f>(($O103*BR103)/100)+(BS103*12)</x:f>
      </x:c>
      <x:c r="BU103" s="47"/>
      <x:c r="BV103" s="60"/>
      <x:c r="BW103" s="58">
        <x:f>(($O103*BU103)/100)+(BV103*12)</x:f>
      </x:c>
      <x:c r="BX103" s="47"/>
      <x:c r="BY103" s="60"/>
      <x:c r="BZ103" s="58">
        <x:f>(($O103*BX103)/100)+(BY103*12)</x:f>
      </x:c>
      <x:c r="CA103" s="47"/>
      <x:c r="CB103" s="60"/>
      <x:c r="CC103" s="58">
        <x:f>(($O103*CA103)/100)+(CB103*12)</x:f>
      </x:c>
      <x:c r="CD103" s="47"/>
      <x:c r="CE103" s="60"/>
      <x:c r="CF103" s="58">
        <x:f>(($O103*CD103)/100)+(CE103*12)</x:f>
      </x:c>
      <x:c r="CG103" s="47"/>
      <x:c r="CH103" s="60"/>
      <x:c r="CI103" s="58">
        <x:f>(($O103*CG103)/100)+(CH103*12)</x:f>
      </x:c>
      <x:c r="CJ103" s="47"/>
      <x:c r="CK103" s="60"/>
      <x:c r="CL103" s="58">
        <x:f>(($O103*CJ103)/100)+(CK103*12)</x:f>
      </x:c>
      <x:c r="CM103" s="47"/>
      <x:c r="CN103" s="60"/>
      <x:c r="CO103" s="58">
        <x:f>(($O103*CM103)/100)+(CN103*12)</x:f>
      </x:c>
      <x:c r="CP103" s="47"/>
      <x:c r="CQ103" s="60"/>
      <x:c r="CR103" s="58">
        <x:f>(($O103*CP103)/100)+(CQ103*12)</x:f>
      </x:c>
      <x:c r="CS103" s="47"/>
      <x:c r="CT103" s="60"/>
      <x:c r="CU103" s="58">
        <x:f>(($O103*CS103)/100)+(CT103*12)</x:f>
      </x:c>
      <x:c r="CV103" s="47"/>
      <x:c r="CW103" s="60"/>
      <x:c r="CX103" s="58"/>
      <x:c r="CY103" s="47"/>
      <x:c r="CZ103" s="60"/>
      <x:c r="DA103" s="58"/>
      <x:c r="DB103" s="47"/>
      <x:c r="DC103" s="60"/>
      <x:c r="DD103" s="58"/>
      <x:c r="DE103" s="47"/>
      <x:c r="DF103" s="60"/>
      <x:c r="DG103" s="58"/>
      <x:c r="DH103" s="47"/>
      <x:c r="DI103" s="60"/>
      <x:c r="DJ103" s="58"/>
      <x:c r="DK103" s="47"/>
      <x:c r="DL103" s="60"/>
      <x:c r="DM103" s="58"/>
      <x:c r="DN103" s="11"/>
      <x:c r="DO103" s="61"/>
      <x:c r="DP103" s="62"/>
      <x:c r="DQ103" s="11"/>
      <x:c r="DR103" s="61"/>
      <x:c r="DS103" s="62"/>
      <x:c r="DT103" s="11"/>
      <x:c r="DU103" s="61"/>
      <x:c r="DV103" s="62"/>
    </x:row>
    <x:row r="104" spans="1:126" x14ac:dyDescent="0.3">
      <x:c r="A104" s="47"/>
      <x:c r="B104" s="70"/>
      <x:c r="C104" s="70"/>
      <x:c r="D104" s="70"/>
      <x:c r="E104" s="70"/>
      <x:c r="F104" s="70"/>
      <x:c r="G104" s="70"/>
      <x:c r="H104" s="70"/>
      <x:c r="I104" s="70"/>
      <x:c r="J104" s="70"/>
      <x:c r="K104" s="190"/>
      <x:c r="L104" s="191"/>
      <x:c r="M104" s="192">
        <x:f>IF(ISERROR(INDEX('Meter Type Data'!$B$2:$E$1165,SUMPRODUCT(--('Meter Type Data'!$B$2:$B$1165&lt;=Analysis!L104)*('Meter Type Data'!$C$2:$C$1165&gt;=Analysis!L104),ROW('Meter Type Data'!$B$2:$B$1165))-1,4))," ",INDEX('Meter Type Data'!$B$2:$E$1165,SUMPRODUCT(--('Meter Type Data'!$B$2:$B$1165&lt;=Analysis!L104)*('Meter Type Data'!$C$2:$C$1165&gt;=Analysis!L104),ROW('Meter Type Data'!$B$2:$B$1165))-1,4))</x:f>
      </x:c>
      <x:c r="N104" s="192">
        <x:f>IF(ISERROR(INDEX('Meter Type Data'!$B$2:$D$1165,SUMPRODUCT(--('Meter Type Data'!$B$2:$B$1165&lt;=Analysis!L104)*('Meter Type Data'!$C$2:$C$1165&gt;=Analysis!L104),ROW('Meter Type Data'!$B$2:$B$1165))-1,3))," ",INDEX('Meter Type Data'!$B$2:$D$1165,SUMPRODUCT(--('Meter Type Data'!$B$2:$B$1165&lt;=Analysis!L104)*('Meter Type Data'!$C$2:$C$1165&gt;=Analysis!L104),ROW('Meter Type Data'!$B$2:$B$1165))-1,3))</x:f>
      </x:c>
      <x:c r="O104" s="69"/>
      <x:c r="P104" s="47"/>
      <x:c r="Q104" s="60"/>
      <x:c r="R104" s="58">
        <x:f>(($O104*P104)/100)+(Q104*12)</x:f>
      </x:c>
      <x:c r="S104" s="59"/>
      <x:c r="T104" s="59"/>
      <x:c r="U104" s="58">
        <x:f>(($O104*S104)/100)+(T104*12)</x:f>
      </x:c>
      <x:c r="V104" s="47"/>
      <x:c r="W104" s="60"/>
      <x:c r="X104" s="58">
        <x:f>(($O104*V104)/100)+(W104*12)</x:f>
      </x:c>
      <x:c r="Y104" s="47"/>
      <x:c r="Z104" s="60"/>
      <x:c r="AA104" s="58">
        <x:f>(($O104*Y104)/100)+(Z104*12)</x:f>
      </x:c>
      <x:c r="AB104" s="47"/>
      <x:c r="AC104" s="60"/>
      <x:c r="AD104" s="58">
        <x:f>(($O104*AB104)/100)+(AC104*12)</x:f>
      </x:c>
      <x:c r="AE104" s="47"/>
      <x:c r="AF104" s="60"/>
      <x:c r="AG104" s="58">
        <x:f>(($O104*AE104)/100)+(AF104*12)</x:f>
      </x:c>
      <x:c r="AH104" s="47"/>
      <x:c r="AI104" s="60"/>
      <x:c r="AJ104" s="58">
        <x:f>(($O104*AH104)/100)+(AI104*12)</x:f>
      </x:c>
      <x:c r="AK104" s="47"/>
      <x:c r="AL104" s="60"/>
      <x:c r="AM104" s="58">
        <x:f>(($O104*AK104)/100)+(AL104*12)</x:f>
      </x:c>
      <x:c r="AN104" s="47"/>
      <x:c r="AO104" s="60"/>
      <x:c r="AP104" s="58">
        <x:f>(($O104*AN104)/100)+(AO104*12)</x:f>
      </x:c>
      <x:c r="AQ104" s="47"/>
      <x:c r="AR104" s="60"/>
      <x:c r="AS104" s="58">
        <x:f>(($O104*AQ104)/100)+(AR104*12)</x:f>
      </x:c>
      <x:c r="AT104" s="47"/>
      <x:c r="AU104" s="60"/>
      <x:c r="AV104" s="58">
        <x:f>(($O104*AT104)/100)+(AU104*12)</x:f>
      </x:c>
      <x:c r="AW104" s="47"/>
      <x:c r="AX104" s="60"/>
      <x:c r="AY104" s="58">
        <x:f>(($O104*AW104)/100)+(AX104*12)</x:f>
      </x:c>
      <x:c r="AZ104" s="47"/>
      <x:c r="BA104" s="60"/>
      <x:c r="BB104" s="58">
        <x:f>(($O104*AZ104)/100)+(BA104*12)</x:f>
      </x:c>
      <x:c r="BC104" s="47"/>
      <x:c r="BD104" s="60"/>
      <x:c r="BE104" s="58">
        <x:f>(($O104*BC104)/100)+(BD104*12)</x:f>
      </x:c>
      <x:c r="BF104" s="47"/>
      <x:c r="BG104" s="60"/>
      <x:c r="BH104" s="58">
        <x:f>(($O104*BF104)/100)+(BG104*12)</x:f>
      </x:c>
      <x:c r="BI104" s="47"/>
      <x:c r="BJ104" s="60"/>
      <x:c r="BK104" s="58">
        <x:f>(($O104*BI104)/100)+(BJ104*12)</x:f>
      </x:c>
      <x:c r="BL104" s="47"/>
      <x:c r="BM104" s="60"/>
      <x:c r="BN104" s="58">
        <x:f>(($O104*BL104)/100)+(BM104*12)</x:f>
      </x:c>
      <x:c r="BO104" s="47"/>
      <x:c r="BP104" s="60"/>
      <x:c r="BQ104" s="58">
        <x:f>(($O104*BO104)/100)+(BP104*12)</x:f>
      </x:c>
      <x:c r="BR104" s="47"/>
      <x:c r="BS104" s="60"/>
      <x:c r="BT104" s="58">
        <x:f>(($O104*BR104)/100)+(BS104*12)</x:f>
      </x:c>
      <x:c r="BU104" s="47"/>
      <x:c r="BV104" s="60"/>
      <x:c r="BW104" s="58">
        <x:f>(($O104*BU104)/100)+(BV104*12)</x:f>
      </x:c>
      <x:c r="BX104" s="47"/>
      <x:c r="BY104" s="60"/>
      <x:c r="BZ104" s="58">
        <x:f>(($O104*BX104)/100)+(BY104*12)</x:f>
      </x:c>
      <x:c r="CA104" s="47"/>
      <x:c r="CB104" s="60"/>
      <x:c r="CC104" s="58">
        <x:f>(($O104*CA104)/100)+(CB104*12)</x:f>
      </x:c>
      <x:c r="CD104" s="47"/>
      <x:c r="CE104" s="60"/>
      <x:c r="CF104" s="58">
        <x:f>(($O104*CD104)/100)+(CE104*12)</x:f>
      </x:c>
      <x:c r="CG104" s="47"/>
      <x:c r="CH104" s="60"/>
      <x:c r="CI104" s="58">
        <x:f>(($O104*CG104)/100)+(CH104*12)</x:f>
      </x:c>
      <x:c r="CJ104" s="47"/>
      <x:c r="CK104" s="60"/>
      <x:c r="CL104" s="58">
        <x:f>(($O104*CJ104)/100)+(CK104*12)</x:f>
      </x:c>
      <x:c r="CM104" s="47"/>
      <x:c r="CN104" s="60"/>
      <x:c r="CO104" s="58">
        <x:f>(($O104*CM104)/100)+(CN104*12)</x:f>
      </x:c>
      <x:c r="CP104" s="47"/>
      <x:c r="CQ104" s="60"/>
      <x:c r="CR104" s="58">
        <x:f>(($O104*CP104)/100)+(CQ104*12)</x:f>
      </x:c>
      <x:c r="CS104" s="47"/>
      <x:c r="CT104" s="60"/>
      <x:c r="CU104" s="58">
        <x:f>(($O104*CS104)/100)+(CT104*12)</x:f>
      </x:c>
      <x:c r="CV104" s="47"/>
      <x:c r="CW104" s="60"/>
      <x:c r="CX104" s="58"/>
      <x:c r="CY104" s="47"/>
      <x:c r="CZ104" s="60"/>
      <x:c r="DA104" s="58"/>
      <x:c r="DB104" s="47"/>
      <x:c r="DC104" s="60"/>
      <x:c r="DD104" s="58"/>
      <x:c r="DE104" s="47"/>
      <x:c r="DF104" s="60"/>
      <x:c r="DG104" s="58"/>
      <x:c r="DH104" s="47"/>
      <x:c r="DI104" s="60"/>
      <x:c r="DJ104" s="58"/>
      <x:c r="DK104" s="47"/>
      <x:c r="DL104" s="60"/>
      <x:c r="DM104" s="58"/>
      <x:c r="DN104" s="11"/>
      <x:c r="DO104" s="61"/>
      <x:c r="DP104" s="62"/>
      <x:c r="DQ104" s="11"/>
      <x:c r="DR104" s="61"/>
      <x:c r="DS104" s="62"/>
      <x:c r="DT104" s="11"/>
      <x:c r="DU104" s="61"/>
      <x:c r="DV104" s="62"/>
    </x:row>
    <x:row r="105" spans="1:126" x14ac:dyDescent="0.3">
      <x:c r="A105" s="47"/>
      <x:c r="B105" s="70"/>
      <x:c r="C105" s="70"/>
      <x:c r="D105" s="70"/>
      <x:c r="E105" s="70"/>
      <x:c r="F105" s="70"/>
      <x:c r="G105" s="70"/>
      <x:c r="H105" s="70"/>
      <x:c r="I105" s="70"/>
      <x:c r="J105" s="70"/>
      <x:c r="K105" s="190"/>
      <x:c r="L105" s="191"/>
      <x:c r="M105" s="192">
        <x:f>IF(ISERROR(INDEX('Meter Type Data'!$B$2:$E$1165,SUMPRODUCT(--('Meter Type Data'!$B$2:$B$1165&lt;=Analysis!L105)*('Meter Type Data'!$C$2:$C$1165&gt;=Analysis!L105),ROW('Meter Type Data'!$B$2:$B$1165))-1,4))," ",INDEX('Meter Type Data'!$B$2:$E$1165,SUMPRODUCT(--('Meter Type Data'!$B$2:$B$1165&lt;=Analysis!L105)*('Meter Type Data'!$C$2:$C$1165&gt;=Analysis!L105),ROW('Meter Type Data'!$B$2:$B$1165))-1,4))</x:f>
      </x:c>
      <x:c r="N105" s="192">
        <x:f>IF(ISERROR(INDEX('Meter Type Data'!$B$2:$D$1165,SUMPRODUCT(--('Meter Type Data'!$B$2:$B$1165&lt;=Analysis!L105)*('Meter Type Data'!$C$2:$C$1165&gt;=Analysis!L105),ROW('Meter Type Data'!$B$2:$B$1165))-1,3))," ",INDEX('Meter Type Data'!$B$2:$D$1165,SUMPRODUCT(--('Meter Type Data'!$B$2:$B$1165&lt;=Analysis!L105)*('Meter Type Data'!$C$2:$C$1165&gt;=Analysis!L105),ROW('Meter Type Data'!$B$2:$B$1165))-1,3))</x:f>
      </x:c>
      <x:c r="O105" s="69"/>
      <x:c r="P105" s="47"/>
      <x:c r="Q105" s="60"/>
      <x:c r="R105" s="58">
        <x:f>(($O105*P105)/100)+(Q105*12)</x:f>
      </x:c>
      <x:c r="S105" s="59"/>
      <x:c r="T105" s="59"/>
      <x:c r="U105" s="58">
        <x:f>(($O105*S105)/100)+(T105*12)</x:f>
      </x:c>
      <x:c r="V105" s="47"/>
      <x:c r="W105" s="60"/>
      <x:c r="X105" s="58">
        <x:f>(($O105*V105)/100)+(W105*12)</x:f>
      </x:c>
      <x:c r="Y105" s="47"/>
      <x:c r="Z105" s="60"/>
      <x:c r="AA105" s="58">
        <x:f>(($O105*Y105)/100)+(Z105*12)</x:f>
      </x:c>
      <x:c r="AB105" s="47"/>
      <x:c r="AC105" s="60"/>
      <x:c r="AD105" s="58">
        <x:f>(($O105*AB105)/100)+(AC105*12)</x:f>
      </x:c>
      <x:c r="AE105" s="47"/>
      <x:c r="AF105" s="60"/>
      <x:c r="AG105" s="58">
        <x:f>(($O105*AE105)/100)+(AF105*12)</x:f>
      </x:c>
      <x:c r="AH105" s="47"/>
      <x:c r="AI105" s="60"/>
      <x:c r="AJ105" s="58">
        <x:f>(($O105*AH105)/100)+(AI105*12)</x:f>
      </x:c>
      <x:c r="AK105" s="47"/>
      <x:c r="AL105" s="60"/>
      <x:c r="AM105" s="58">
        <x:f>(($O105*AK105)/100)+(AL105*12)</x:f>
      </x:c>
      <x:c r="AN105" s="47"/>
      <x:c r="AO105" s="60"/>
      <x:c r="AP105" s="58">
        <x:f>(($O105*AN105)/100)+(AO105*12)</x:f>
      </x:c>
      <x:c r="AQ105" s="47"/>
      <x:c r="AR105" s="60"/>
      <x:c r="AS105" s="58">
        <x:f>(($O105*AQ105)/100)+(AR105*12)</x:f>
      </x:c>
      <x:c r="AT105" s="47"/>
      <x:c r="AU105" s="60"/>
      <x:c r="AV105" s="58">
        <x:f>(($O105*AT105)/100)+(AU105*12)</x:f>
      </x:c>
      <x:c r="AW105" s="47"/>
      <x:c r="AX105" s="60"/>
      <x:c r="AY105" s="58">
        <x:f>(($O105*AW105)/100)+(AX105*12)</x:f>
      </x:c>
      <x:c r="AZ105" s="47"/>
      <x:c r="BA105" s="60"/>
      <x:c r="BB105" s="58">
        <x:f>(($O105*AZ105)/100)+(BA105*12)</x:f>
      </x:c>
      <x:c r="BC105" s="47"/>
      <x:c r="BD105" s="60"/>
      <x:c r="BE105" s="58">
        <x:f>(($O105*BC105)/100)+(BD105*12)</x:f>
      </x:c>
      <x:c r="BF105" s="47"/>
      <x:c r="BG105" s="60"/>
      <x:c r="BH105" s="58">
        <x:f>(($O105*BF105)/100)+(BG105*12)</x:f>
      </x:c>
      <x:c r="BI105" s="47"/>
      <x:c r="BJ105" s="60"/>
      <x:c r="BK105" s="58">
        <x:f>(($O105*BI105)/100)+(BJ105*12)</x:f>
      </x:c>
      <x:c r="BL105" s="47"/>
      <x:c r="BM105" s="60"/>
      <x:c r="BN105" s="58">
        <x:f>(($O105*BL105)/100)+(BM105*12)</x:f>
      </x:c>
      <x:c r="BO105" s="47"/>
      <x:c r="BP105" s="60"/>
      <x:c r="BQ105" s="58">
        <x:f>(($O105*BO105)/100)+(BP105*12)</x:f>
      </x:c>
      <x:c r="BR105" s="47"/>
      <x:c r="BS105" s="60"/>
      <x:c r="BT105" s="58">
        <x:f>(($O105*BR105)/100)+(BS105*12)</x:f>
      </x:c>
      <x:c r="BU105" s="47"/>
      <x:c r="BV105" s="60"/>
      <x:c r="BW105" s="58">
        <x:f>(($O105*BU105)/100)+(BV105*12)</x:f>
      </x:c>
      <x:c r="BX105" s="47"/>
      <x:c r="BY105" s="60"/>
      <x:c r="BZ105" s="58">
        <x:f>(($O105*BX105)/100)+(BY105*12)</x:f>
      </x:c>
      <x:c r="CA105" s="47"/>
      <x:c r="CB105" s="60"/>
      <x:c r="CC105" s="58">
        <x:f>(($O105*CA105)/100)+(CB105*12)</x:f>
      </x:c>
      <x:c r="CD105" s="47"/>
      <x:c r="CE105" s="60"/>
      <x:c r="CF105" s="58">
        <x:f>(($O105*CD105)/100)+(CE105*12)</x:f>
      </x:c>
      <x:c r="CG105" s="47"/>
      <x:c r="CH105" s="60"/>
      <x:c r="CI105" s="58">
        <x:f>(($O105*CG105)/100)+(CH105*12)</x:f>
      </x:c>
      <x:c r="CJ105" s="47"/>
      <x:c r="CK105" s="60"/>
      <x:c r="CL105" s="58">
        <x:f>(($O105*CJ105)/100)+(CK105*12)</x:f>
      </x:c>
      <x:c r="CM105" s="47"/>
      <x:c r="CN105" s="60"/>
      <x:c r="CO105" s="58">
        <x:f>(($O105*CM105)/100)+(CN105*12)</x:f>
      </x:c>
      <x:c r="CP105" s="47"/>
      <x:c r="CQ105" s="60"/>
      <x:c r="CR105" s="58">
        <x:f>(($O105*CP105)/100)+(CQ105*12)</x:f>
      </x:c>
      <x:c r="CS105" s="47"/>
      <x:c r="CT105" s="60"/>
      <x:c r="CU105" s="58">
        <x:f>(($O105*CS105)/100)+(CT105*12)</x:f>
      </x:c>
      <x:c r="CV105" s="47"/>
      <x:c r="CW105" s="60"/>
      <x:c r="CX105" s="58"/>
      <x:c r="CY105" s="47"/>
      <x:c r="CZ105" s="60"/>
      <x:c r="DA105" s="58"/>
      <x:c r="DB105" s="47"/>
      <x:c r="DC105" s="60"/>
      <x:c r="DD105" s="58"/>
      <x:c r="DE105" s="47"/>
      <x:c r="DF105" s="60"/>
      <x:c r="DG105" s="58"/>
      <x:c r="DH105" s="47"/>
      <x:c r="DI105" s="60"/>
      <x:c r="DJ105" s="58"/>
      <x:c r="DK105" s="47"/>
      <x:c r="DL105" s="60"/>
      <x:c r="DM105" s="58"/>
      <x:c r="DN105" s="11"/>
      <x:c r="DO105" s="61"/>
      <x:c r="DP105" s="62"/>
      <x:c r="DQ105" s="11"/>
      <x:c r="DR105" s="61"/>
      <x:c r="DS105" s="62"/>
      <x:c r="DT105" s="11"/>
      <x:c r="DU105" s="61"/>
      <x:c r="DV105" s="62"/>
    </x:row>
    <x:row r="106" spans="1:126" x14ac:dyDescent="0.3">
      <x:c r="A106" s="47"/>
      <x:c r="B106" s="70"/>
      <x:c r="C106" s="70"/>
      <x:c r="D106" s="70"/>
      <x:c r="E106" s="70"/>
      <x:c r="F106" s="70"/>
      <x:c r="G106" s="70"/>
      <x:c r="H106" s="70"/>
      <x:c r="I106" s="70"/>
      <x:c r="J106" s="70"/>
      <x:c r="K106" s="190"/>
      <x:c r="L106" s="191"/>
      <x:c r="M106" s="192">
        <x:f>IF(ISERROR(INDEX('Meter Type Data'!$B$2:$E$1165,SUMPRODUCT(--('Meter Type Data'!$B$2:$B$1165&lt;=Analysis!L106)*('Meter Type Data'!$C$2:$C$1165&gt;=Analysis!L106),ROW('Meter Type Data'!$B$2:$B$1165))-1,4))," ",INDEX('Meter Type Data'!$B$2:$E$1165,SUMPRODUCT(--('Meter Type Data'!$B$2:$B$1165&lt;=Analysis!L106)*('Meter Type Data'!$C$2:$C$1165&gt;=Analysis!L106),ROW('Meter Type Data'!$B$2:$B$1165))-1,4))</x:f>
      </x:c>
      <x:c r="N106" s="192">
        <x:f>IF(ISERROR(INDEX('Meter Type Data'!$B$2:$D$1165,SUMPRODUCT(--('Meter Type Data'!$B$2:$B$1165&lt;=Analysis!L106)*('Meter Type Data'!$C$2:$C$1165&gt;=Analysis!L106),ROW('Meter Type Data'!$B$2:$B$1165))-1,3))," ",INDEX('Meter Type Data'!$B$2:$D$1165,SUMPRODUCT(--('Meter Type Data'!$B$2:$B$1165&lt;=Analysis!L106)*('Meter Type Data'!$C$2:$C$1165&gt;=Analysis!L106),ROW('Meter Type Data'!$B$2:$B$1165))-1,3))</x:f>
      </x:c>
      <x:c r="O106" s="69"/>
      <x:c r="P106" s="47"/>
      <x:c r="Q106" s="60"/>
      <x:c r="R106" s="58">
        <x:f>(($O106*P106)/100)+(Q106*12)</x:f>
      </x:c>
      <x:c r="S106" s="59"/>
      <x:c r="T106" s="59"/>
      <x:c r="U106" s="58">
        <x:f>(($O106*S106)/100)+(T106*12)</x:f>
      </x:c>
      <x:c r="V106" s="47"/>
      <x:c r="W106" s="60"/>
      <x:c r="X106" s="58">
        <x:f>(($O106*V106)/100)+(W106*12)</x:f>
      </x:c>
      <x:c r="Y106" s="47"/>
      <x:c r="Z106" s="60"/>
      <x:c r="AA106" s="58">
        <x:f>(($O106*Y106)/100)+(Z106*12)</x:f>
      </x:c>
      <x:c r="AB106" s="47"/>
      <x:c r="AC106" s="60"/>
      <x:c r="AD106" s="58">
        <x:f>(($O106*AB106)/100)+(AC106*12)</x:f>
      </x:c>
      <x:c r="AE106" s="47"/>
      <x:c r="AF106" s="60"/>
      <x:c r="AG106" s="58">
        <x:f>(($O106*AE106)/100)+(AF106*12)</x:f>
      </x:c>
      <x:c r="AH106" s="47"/>
      <x:c r="AI106" s="60"/>
      <x:c r="AJ106" s="58">
        <x:f>(($O106*AH106)/100)+(AI106*12)</x:f>
      </x:c>
      <x:c r="AK106" s="47"/>
      <x:c r="AL106" s="60"/>
      <x:c r="AM106" s="58">
        <x:f>(($O106*AK106)/100)+(AL106*12)</x:f>
      </x:c>
      <x:c r="AN106" s="47"/>
      <x:c r="AO106" s="60"/>
      <x:c r="AP106" s="58">
        <x:f>(($O106*AN106)/100)+(AO106*12)</x:f>
      </x:c>
      <x:c r="AQ106" s="47"/>
      <x:c r="AR106" s="60"/>
      <x:c r="AS106" s="58">
        <x:f>(($O106*AQ106)/100)+(AR106*12)</x:f>
      </x:c>
      <x:c r="AT106" s="47"/>
      <x:c r="AU106" s="60"/>
      <x:c r="AV106" s="58">
        <x:f>(($O106*AT106)/100)+(AU106*12)</x:f>
      </x:c>
      <x:c r="AW106" s="47"/>
      <x:c r="AX106" s="60"/>
      <x:c r="AY106" s="58">
        <x:f>(($O106*AW106)/100)+(AX106*12)</x:f>
      </x:c>
      <x:c r="AZ106" s="47"/>
      <x:c r="BA106" s="60"/>
      <x:c r="BB106" s="58">
        <x:f>(($O106*AZ106)/100)+(BA106*12)</x:f>
      </x:c>
      <x:c r="BC106" s="47"/>
      <x:c r="BD106" s="60"/>
      <x:c r="BE106" s="58">
        <x:f>(($O106*BC106)/100)+(BD106*12)</x:f>
      </x:c>
      <x:c r="BF106" s="47"/>
      <x:c r="BG106" s="60"/>
      <x:c r="BH106" s="58">
        <x:f>(($O106*BF106)/100)+(BG106*12)</x:f>
      </x:c>
      <x:c r="BI106" s="47"/>
      <x:c r="BJ106" s="60"/>
      <x:c r="BK106" s="58">
        <x:f>(($O106*BI106)/100)+(BJ106*12)</x:f>
      </x:c>
      <x:c r="BL106" s="47"/>
      <x:c r="BM106" s="60"/>
      <x:c r="BN106" s="58">
        <x:f>(($O106*BL106)/100)+(BM106*12)</x:f>
      </x:c>
      <x:c r="BO106" s="47"/>
      <x:c r="BP106" s="60"/>
      <x:c r="BQ106" s="58">
        <x:f>(($O106*BO106)/100)+(BP106*12)</x:f>
      </x:c>
      <x:c r="BR106" s="47"/>
      <x:c r="BS106" s="60"/>
      <x:c r="BT106" s="58">
        <x:f>(($O106*BR106)/100)+(BS106*12)</x:f>
      </x:c>
      <x:c r="BU106" s="47"/>
      <x:c r="BV106" s="60"/>
      <x:c r="BW106" s="58">
        <x:f>(($O106*BU106)/100)+(BV106*12)</x:f>
      </x:c>
      <x:c r="BX106" s="47"/>
      <x:c r="BY106" s="60"/>
      <x:c r="BZ106" s="58">
        <x:f>(($O106*BX106)/100)+(BY106*12)</x:f>
      </x:c>
      <x:c r="CA106" s="47"/>
      <x:c r="CB106" s="60"/>
      <x:c r="CC106" s="58">
        <x:f>(($O106*CA106)/100)+(CB106*12)</x:f>
      </x:c>
      <x:c r="CD106" s="47"/>
      <x:c r="CE106" s="60"/>
      <x:c r="CF106" s="58">
        <x:f>(($O106*CD106)/100)+(CE106*12)</x:f>
      </x:c>
      <x:c r="CG106" s="47"/>
      <x:c r="CH106" s="60"/>
      <x:c r="CI106" s="58">
        <x:f>(($O106*CG106)/100)+(CH106*12)</x:f>
      </x:c>
      <x:c r="CJ106" s="47"/>
      <x:c r="CK106" s="60"/>
      <x:c r="CL106" s="58">
        <x:f>(($O106*CJ106)/100)+(CK106*12)</x:f>
      </x:c>
      <x:c r="CM106" s="47"/>
      <x:c r="CN106" s="60"/>
      <x:c r="CO106" s="58">
        <x:f>(($O106*CM106)/100)+(CN106*12)</x:f>
      </x:c>
      <x:c r="CP106" s="47"/>
      <x:c r="CQ106" s="60"/>
      <x:c r="CR106" s="58">
        <x:f>(($O106*CP106)/100)+(CQ106*12)</x:f>
      </x:c>
      <x:c r="CS106" s="47"/>
      <x:c r="CT106" s="60"/>
      <x:c r="CU106" s="58">
        <x:f>(($O106*CS106)/100)+(CT106*12)</x:f>
      </x:c>
      <x:c r="CV106" s="47"/>
      <x:c r="CW106" s="60"/>
      <x:c r="CX106" s="58"/>
      <x:c r="CY106" s="47"/>
      <x:c r="CZ106" s="60"/>
      <x:c r="DA106" s="58"/>
      <x:c r="DB106" s="47"/>
      <x:c r="DC106" s="60"/>
      <x:c r="DD106" s="58"/>
      <x:c r="DE106" s="47"/>
      <x:c r="DF106" s="60"/>
      <x:c r="DG106" s="58"/>
      <x:c r="DH106" s="47"/>
      <x:c r="DI106" s="60"/>
      <x:c r="DJ106" s="58"/>
      <x:c r="DK106" s="47"/>
      <x:c r="DL106" s="60"/>
      <x:c r="DM106" s="58"/>
      <x:c r="DN106" s="11"/>
      <x:c r="DO106" s="61"/>
      <x:c r="DP106" s="62"/>
      <x:c r="DQ106" s="11"/>
      <x:c r="DR106" s="61"/>
      <x:c r="DS106" s="62"/>
      <x:c r="DT106" s="11"/>
      <x:c r="DU106" s="61"/>
      <x:c r="DV106" s="62"/>
    </x:row>
    <x:row r="107" spans="1:126" x14ac:dyDescent="0.3">
      <x:c r="A107" s="47"/>
      <x:c r="B107" s="70"/>
      <x:c r="C107" s="70"/>
      <x:c r="D107" s="70"/>
      <x:c r="E107" s="70"/>
      <x:c r="F107" s="70"/>
      <x:c r="G107" s="70"/>
      <x:c r="H107" s="70"/>
      <x:c r="I107" s="70"/>
      <x:c r="J107" s="70"/>
      <x:c r="K107" s="190"/>
      <x:c r="L107" s="191"/>
      <x:c r="M107" s="192">
        <x:f>IF(ISERROR(INDEX('Meter Type Data'!$B$2:$E$1165,SUMPRODUCT(--('Meter Type Data'!$B$2:$B$1165&lt;=Analysis!L107)*('Meter Type Data'!$C$2:$C$1165&gt;=Analysis!L107),ROW('Meter Type Data'!$B$2:$B$1165))-1,4))," ",INDEX('Meter Type Data'!$B$2:$E$1165,SUMPRODUCT(--('Meter Type Data'!$B$2:$B$1165&lt;=Analysis!L107)*('Meter Type Data'!$C$2:$C$1165&gt;=Analysis!L107),ROW('Meter Type Data'!$B$2:$B$1165))-1,4))</x:f>
      </x:c>
      <x:c r="N107" s="192">
        <x:f>IF(ISERROR(INDEX('Meter Type Data'!$B$2:$D$1165,SUMPRODUCT(--('Meter Type Data'!$B$2:$B$1165&lt;=Analysis!L107)*('Meter Type Data'!$C$2:$C$1165&gt;=Analysis!L107),ROW('Meter Type Data'!$B$2:$B$1165))-1,3))," ",INDEX('Meter Type Data'!$B$2:$D$1165,SUMPRODUCT(--('Meter Type Data'!$B$2:$B$1165&lt;=Analysis!L107)*('Meter Type Data'!$C$2:$C$1165&gt;=Analysis!L107),ROW('Meter Type Data'!$B$2:$B$1165))-1,3))</x:f>
      </x:c>
      <x:c r="O107" s="69"/>
      <x:c r="P107" s="47"/>
      <x:c r="Q107" s="60"/>
      <x:c r="R107" s="58">
        <x:f>(($O107*P107)/100)+(Q107*12)</x:f>
      </x:c>
      <x:c r="S107" s="59"/>
      <x:c r="T107" s="59"/>
      <x:c r="U107" s="58">
        <x:f>(($O107*S107)/100)+(T107*12)</x:f>
      </x:c>
      <x:c r="V107" s="47"/>
      <x:c r="W107" s="60"/>
      <x:c r="X107" s="58">
        <x:f>(($O107*V107)/100)+(W107*12)</x:f>
      </x:c>
      <x:c r="Y107" s="47"/>
      <x:c r="Z107" s="60"/>
      <x:c r="AA107" s="58">
        <x:f>(($O107*Y107)/100)+(Z107*12)</x:f>
      </x:c>
      <x:c r="AB107" s="47"/>
      <x:c r="AC107" s="60"/>
      <x:c r="AD107" s="58">
        <x:f>(($O107*AB107)/100)+(AC107*12)</x:f>
      </x:c>
      <x:c r="AE107" s="47"/>
      <x:c r="AF107" s="60"/>
      <x:c r="AG107" s="58">
        <x:f>(($O107*AE107)/100)+(AF107*12)</x:f>
      </x:c>
      <x:c r="AH107" s="47"/>
      <x:c r="AI107" s="60"/>
      <x:c r="AJ107" s="58">
        <x:f>(($O107*AH107)/100)+(AI107*12)</x:f>
      </x:c>
      <x:c r="AK107" s="47"/>
      <x:c r="AL107" s="60"/>
      <x:c r="AM107" s="58">
        <x:f>(($O107*AK107)/100)+(AL107*12)</x:f>
      </x:c>
      <x:c r="AN107" s="47"/>
      <x:c r="AO107" s="60"/>
      <x:c r="AP107" s="58">
        <x:f>(($O107*AN107)/100)+(AO107*12)</x:f>
      </x:c>
      <x:c r="AQ107" s="47"/>
      <x:c r="AR107" s="60"/>
      <x:c r="AS107" s="58">
        <x:f>(($O107*AQ107)/100)+(AR107*12)</x:f>
      </x:c>
      <x:c r="AT107" s="47"/>
      <x:c r="AU107" s="60"/>
      <x:c r="AV107" s="58">
        <x:f>(($O107*AT107)/100)+(AU107*12)</x:f>
      </x:c>
      <x:c r="AW107" s="47"/>
      <x:c r="AX107" s="60"/>
      <x:c r="AY107" s="58">
        <x:f>(($O107*AW107)/100)+(AX107*12)</x:f>
      </x:c>
      <x:c r="AZ107" s="47"/>
      <x:c r="BA107" s="60"/>
      <x:c r="BB107" s="58">
        <x:f>(($O107*AZ107)/100)+(BA107*12)</x:f>
      </x:c>
      <x:c r="BC107" s="47"/>
      <x:c r="BD107" s="60"/>
      <x:c r="BE107" s="58">
        <x:f>(($O107*BC107)/100)+(BD107*12)</x:f>
      </x:c>
      <x:c r="BF107" s="47"/>
      <x:c r="BG107" s="60"/>
      <x:c r="BH107" s="58">
        <x:f>(($O107*BF107)/100)+(BG107*12)</x:f>
      </x:c>
      <x:c r="BI107" s="47"/>
      <x:c r="BJ107" s="60"/>
      <x:c r="BK107" s="58">
        <x:f>(($O107*BI107)/100)+(BJ107*12)</x:f>
      </x:c>
      <x:c r="BL107" s="47"/>
      <x:c r="BM107" s="60"/>
      <x:c r="BN107" s="58">
        <x:f>(($O107*BL107)/100)+(BM107*12)</x:f>
      </x:c>
      <x:c r="BO107" s="47"/>
      <x:c r="BP107" s="60"/>
      <x:c r="BQ107" s="58">
        <x:f>(($O107*BO107)/100)+(BP107*12)</x:f>
      </x:c>
      <x:c r="BR107" s="47"/>
      <x:c r="BS107" s="60"/>
      <x:c r="BT107" s="58">
        <x:f>(($O107*BR107)/100)+(BS107*12)</x:f>
      </x:c>
      <x:c r="BU107" s="47"/>
      <x:c r="BV107" s="60"/>
      <x:c r="BW107" s="58">
        <x:f>(($O107*BU107)/100)+(BV107*12)</x:f>
      </x:c>
      <x:c r="BX107" s="47"/>
      <x:c r="BY107" s="60"/>
      <x:c r="BZ107" s="58">
        <x:f>(($O107*BX107)/100)+(BY107*12)</x:f>
      </x:c>
      <x:c r="CA107" s="47"/>
      <x:c r="CB107" s="60"/>
      <x:c r="CC107" s="58">
        <x:f>(($O107*CA107)/100)+(CB107*12)</x:f>
      </x:c>
      <x:c r="CD107" s="47"/>
      <x:c r="CE107" s="60"/>
      <x:c r="CF107" s="58">
        <x:f>(($O107*CD107)/100)+(CE107*12)</x:f>
      </x:c>
      <x:c r="CG107" s="47"/>
      <x:c r="CH107" s="60"/>
      <x:c r="CI107" s="58">
        <x:f>(($O107*CG107)/100)+(CH107*12)</x:f>
      </x:c>
      <x:c r="CJ107" s="47"/>
      <x:c r="CK107" s="60"/>
      <x:c r="CL107" s="58">
        <x:f>(($O107*CJ107)/100)+(CK107*12)</x:f>
      </x:c>
      <x:c r="CM107" s="47"/>
      <x:c r="CN107" s="60"/>
      <x:c r="CO107" s="58">
        <x:f>(($O107*CM107)/100)+(CN107*12)</x:f>
      </x:c>
      <x:c r="CP107" s="47"/>
      <x:c r="CQ107" s="60"/>
      <x:c r="CR107" s="58">
        <x:f>(($O107*CP107)/100)+(CQ107*12)</x:f>
      </x:c>
      <x:c r="CS107" s="47"/>
      <x:c r="CT107" s="60"/>
      <x:c r="CU107" s="58">
        <x:f>(($O107*CS107)/100)+(CT107*12)</x:f>
      </x:c>
      <x:c r="CV107" s="47"/>
      <x:c r="CW107" s="60"/>
      <x:c r="CX107" s="58"/>
      <x:c r="CY107" s="47"/>
      <x:c r="CZ107" s="60"/>
      <x:c r="DA107" s="58"/>
      <x:c r="DB107" s="47"/>
      <x:c r="DC107" s="60"/>
      <x:c r="DD107" s="58"/>
      <x:c r="DE107" s="47"/>
      <x:c r="DF107" s="60"/>
      <x:c r="DG107" s="58"/>
      <x:c r="DH107" s="47"/>
      <x:c r="DI107" s="60"/>
      <x:c r="DJ107" s="58"/>
      <x:c r="DK107" s="47"/>
      <x:c r="DL107" s="60"/>
      <x:c r="DM107" s="58"/>
      <x:c r="DN107" s="11"/>
      <x:c r="DO107" s="61"/>
      <x:c r="DP107" s="62"/>
      <x:c r="DQ107" s="11"/>
      <x:c r="DR107" s="61"/>
      <x:c r="DS107" s="62"/>
      <x:c r="DT107" s="11"/>
      <x:c r="DU107" s="61"/>
      <x:c r="DV107" s="62"/>
    </x:row>
    <x:row r="108" spans="1:126" x14ac:dyDescent="0.3">
      <x:c r="A108" s="47"/>
      <x:c r="B108" s="70"/>
      <x:c r="C108" s="70"/>
      <x:c r="D108" s="70"/>
      <x:c r="E108" s="70"/>
      <x:c r="F108" s="70"/>
      <x:c r="G108" s="70"/>
      <x:c r="H108" s="70"/>
      <x:c r="I108" s="70"/>
      <x:c r="J108" s="70"/>
      <x:c r="K108" s="190"/>
      <x:c r="L108" s="191"/>
      <x:c r="M108" s="192">
        <x:f>IF(ISERROR(INDEX('Meter Type Data'!$B$2:$E$1165,SUMPRODUCT(--('Meter Type Data'!$B$2:$B$1165&lt;=Analysis!L108)*('Meter Type Data'!$C$2:$C$1165&gt;=Analysis!L108),ROW('Meter Type Data'!$B$2:$B$1165))-1,4))," ",INDEX('Meter Type Data'!$B$2:$E$1165,SUMPRODUCT(--('Meter Type Data'!$B$2:$B$1165&lt;=Analysis!L108)*('Meter Type Data'!$C$2:$C$1165&gt;=Analysis!L108),ROW('Meter Type Data'!$B$2:$B$1165))-1,4))</x:f>
      </x:c>
      <x:c r="N108" s="192">
        <x:f>IF(ISERROR(INDEX('Meter Type Data'!$B$2:$D$1165,SUMPRODUCT(--('Meter Type Data'!$B$2:$B$1165&lt;=Analysis!L108)*('Meter Type Data'!$C$2:$C$1165&gt;=Analysis!L108),ROW('Meter Type Data'!$B$2:$B$1165))-1,3))," ",INDEX('Meter Type Data'!$B$2:$D$1165,SUMPRODUCT(--('Meter Type Data'!$B$2:$B$1165&lt;=Analysis!L108)*('Meter Type Data'!$C$2:$C$1165&gt;=Analysis!L108),ROW('Meter Type Data'!$B$2:$B$1165))-1,3))</x:f>
      </x:c>
      <x:c r="O108" s="69"/>
      <x:c r="P108" s="47"/>
      <x:c r="Q108" s="60"/>
      <x:c r="R108" s="58">
        <x:f>(($O108*P108)/100)+(Q108*12)</x:f>
      </x:c>
      <x:c r="S108" s="59"/>
      <x:c r="T108" s="59"/>
      <x:c r="U108" s="58">
        <x:f>(($O108*S108)/100)+(T108*12)</x:f>
      </x:c>
      <x:c r="V108" s="47"/>
      <x:c r="W108" s="60"/>
      <x:c r="X108" s="58">
        <x:f>(($O108*V108)/100)+(W108*12)</x:f>
      </x:c>
      <x:c r="Y108" s="47"/>
      <x:c r="Z108" s="60"/>
      <x:c r="AA108" s="58">
        <x:f>(($O108*Y108)/100)+(Z108*12)</x:f>
      </x:c>
      <x:c r="AB108" s="47"/>
      <x:c r="AC108" s="60"/>
      <x:c r="AD108" s="58">
        <x:f>(($O108*AB108)/100)+(AC108*12)</x:f>
      </x:c>
      <x:c r="AE108" s="47"/>
      <x:c r="AF108" s="60"/>
      <x:c r="AG108" s="58">
        <x:f>(($O108*AE108)/100)+(AF108*12)</x:f>
      </x:c>
      <x:c r="AH108" s="47"/>
      <x:c r="AI108" s="60"/>
      <x:c r="AJ108" s="58">
        <x:f>(($O108*AH108)/100)+(AI108*12)</x:f>
      </x:c>
      <x:c r="AK108" s="47"/>
      <x:c r="AL108" s="60"/>
      <x:c r="AM108" s="58">
        <x:f>(($O108*AK108)/100)+(AL108*12)</x:f>
      </x:c>
      <x:c r="AN108" s="47"/>
      <x:c r="AO108" s="60"/>
      <x:c r="AP108" s="58">
        <x:f>(($O108*AN108)/100)+(AO108*12)</x:f>
      </x:c>
      <x:c r="AQ108" s="47"/>
      <x:c r="AR108" s="60"/>
      <x:c r="AS108" s="58">
        <x:f>(($O108*AQ108)/100)+(AR108*12)</x:f>
      </x:c>
      <x:c r="AT108" s="47"/>
      <x:c r="AU108" s="60"/>
      <x:c r="AV108" s="58">
        <x:f>(($O108*AT108)/100)+(AU108*12)</x:f>
      </x:c>
      <x:c r="AW108" s="47"/>
      <x:c r="AX108" s="60"/>
      <x:c r="AY108" s="58">
        <x:f>(($O108*AW108)/100)+(AX108*12)</x:f>
      </x:c>
      <x:c r="AZ108" s="47"/>
      <x:c r="BA108" s="60"/>
      <x:c r="BB108" s="58">
        <x:f>(($O108*AZ108)/100)+(BA108*12)</x:f>
      </x:c>
      <x:c r="BC108" s="47"/>
      <x:c r="BD108" s="60"/>
      <x:c r="BE108" s="58">
        <x:f>(($O108*BC108)/100)+(BD108*12)</x:f>
      </x:c>
      <x:c r="BF108" s="47"/>
      <x:c r="BG108" s="60"/>
      <x:c r="BH108" s="58">
        <x:f>(($O108*BF108)/100)+(BG108*12)</x:f>
      </x:c>
      <x:c r="BI108" s="47"/>
      <x:c r="BJ108" s="60"/>
      <x:c r="BK108" s="58">
        <x:f>(($O108*BI108)/100)+(BJ108*12)</x:f>
      </x:c>
      <x:c r="BL108" s="47"/>
      <x:c r="BM108" s="60"/>
      <x:c r="BN108" s="58">
        <x:f>(($O108*BL108)/100)+(BM108*12)</x:f>
      </x:c>
      <x:c r="BO108" s="47"/>
      <x:c r="BP108" s="60"/>
      <x:c r="BQ108" s="58">
        <x:f>(($O108*BO108)/100)+(BP108*12)</x:f>
      </x:c>
      <x:c r="BR108" s="47"/>
      <x:c r="BS108" s="60"/>
      <x:c r="BT108" s="58">
        <x:f>(($O108*BR108)/100)+(BS108*12)</x:f>
      </x:c>
      <x:c r="BU108" s="47"/>
      <x:c r="BV108" s="60"/>
      <x:c r="BW108" s="58">
        <x:f>(($O108*BU108)/100)+(BV108*12)</x:f>
      </x:c>
      <x:c r="BX108" s="47"/>
      <x:c r="BY108" s="60"/>
      <x:c r="BZ108" s="58">
        <x:f>(($O108*BX108)/100)+(BY108*12)</x:f>
      </x:c>
      <x:c r="CA108" s="47"/>
      <x:c r="CB108" s="60"/>
      <x:c r="CC108" s="58">
        <x:f>(($O108*CA108)/100)+(CB108*12)</x:f>
      </x:c>
      <x:c r="CD108" s="47"/>
      <x:c r="CE108" s="60"/>
      <x:c r="CF108" s="58">
        <x:f>(($O108*CD108)/100)+(CE108*12)</x:f>
      </x:c>
      <x:c r="CG108" s="47"/>
      <x:c r="CH108" s="60"/>
      <x:c r="CI108" s="58">
        <x:f>(($O108*CG108)/100)+(CH108*12)</x:f>
      </x:c>
      <x:c r="CJ108" s="47"/>
      <x:c r="CK108" s="60"/>
      <x:c r="CL108" s="58">
        <x:f>(($O108*CJ108)/100)+(CK108*12)</x:f>
      </x:c>
      <x:c r="CM108" s="47"/>
      <x:c r="CN108" s="60"/>
      <x:c r="CO108" s="58">
        <x:f>(($O108*CM108)/100)+(CN108*12)</x:f>
      </x:c>
      <x:c r="CP108" s="47"/>
      <x:c r="CQ108" s="60"/>
      <x:c r="CR108" s="58">
        <x:f>(($O108*CP108)/100)+(CQ108*12)</x:f>
      </x:c>
      <x:c r="CS108" s="47"/>
      <x:c r="CT108" s="60"/>
      <x:c r="CU108" s="58">
        <x:f>(($O108*CS108)/100)+(CT108*12)</x:f>
      </x:c>
      <x:c r="CV108" s="47"/>
      <x:c r="CW108" s="60"/>
      <x:c r="CX108" s="58"/>
      <x:c r="CY108" s="47"/>
      <x:c r="CZ108" s="60"/>
      <x:c r="DA108" s="58"/>
      <x:c r="DB108" s="47"/>
      <x:c r="DC108" s="60"/>
      <x:c r="DD108" s="58"/>
      <x:c r="DE108" s="47"/>
      <x:c r="DF108" s="60"/>
      <x:c r="DG108" s="58"/>
      <x:c r="DH108" s="47"/>
      <x:c r="DI108" s="60"/>
      <x:c r="DJ108" s="58"/>
      <x:c r="DK108" s="47"/>
      <x:c r="DL108" s="60"/>
      <x:c r="DM108" s="58"/>
      <x:c r="DN108" s="11"/>
      <x:c r="DO108" s="61"/>
      <x:c r="DP108" s="62"/>
      <x:c r="DQ108" s="11"/>
      <x:c r="DR108" s="61"/>
      <x:c r="DS108" s="62"/>
      <x:c r="DT108" s="11"/>
      <x:c r="DU108" s="61"/>
      <x:c r="DV108" s="62"/>
    </x:row>
    <x:row r="109" spans="1:126" x14ac:dyDescent="0.3">
      <x:c r="A109" s="47"/>
      <x:c r="B109" s="70"/>
      <x:c r="C109" s="70"/>
      <x:c r="D109" s="70"/>
      <x:c r="E109" s="70"/>
      <x:c r="F109" s="70"/>
      <x:c r="G109" s="70"/>
      <x:c r="H109" s="70"/>
      <x:c r="I109" s="70"/>
      <x:c r="J109" s="70"/>
      <x:c r="K109" s="190"/>
      <x:c r="L109" s="191"/>
      <x:c r="M109" s="192">
        <x:f>IF(ISERROR(INDEX('Meter Type Data'!$B$2:$E$1165,SUMPRODUCT(--('Meter Type Data'!$B$2:$B$1165&lt;=Analysis!L109)*('Meter Type Data'!$C$2:$C$1165&gt;=Analysis!L109),ROW('Meter Type Data'!$B$2:$B$1165))-1,4))," ",INDEX('Meter Type Data'!$B$2:$E$1165,SUMPRODUCT(--('Meter Type Data'!$B$2:$B$1165&lt;=Analysis!L109)*('Meter Type Data'!$C$2:$C$1165&gt;=Analysis!L109),ROW('Meter Type Data'!$B$2:$B$1165))-1,4))</x:f>
      </x:c>
      <x:c r="N109" s="192">
        <x:f>IF(ISERROR(INDEX('Meter Type Data'!$B$2:$D$1165,SUMPRODUCT(--('Meter Type Data'!$B$2:$B$1165&lt;=Analysis!L109)*('Meter Type Data'!$C$2:$C$1165&gt;=Analysis!L109),ROW('Meter Type Data'!$B$2:$B$1165))-1,3))," ",INDEX('Meter Type Data'!$B$2:$D$1165,SUMPRODUCT(--('Meter Type Data'!$B$2:$B$1165&lt;=Analysis!L109)*('Meter Type Data'!$C$2:$C$1165&gt;=Analysis!L109),ROW('Meter Type Data'!$B$2:$B$1165))-1,3))</x:f>
      </x:c>
      <x:c r="O109" s="69"/>
      <x:c r="P109" s="47"/>
      <x:c r="Q109" s="60"/>
      <x:c r="R109" s="58">
        <x:f>(($O109*P109)/100)+(Q109*12)</x:f>
      </x:c>
      <x:c r="S109" s="59"/>
      <x:c r="T109" s="59"/>
      <x:c r="U109" s="58">
        <x:f>(($O109*S109)/100)+(T109*12)</x:f>
      </x:c>
      <x:c r="V109" s="47"/>
      <x:c r="W109" s="60"/>
      <x:c r="X109" s="58">
        <x:f>(($O109*V109)/100)+(W109*12)</x:f>
      </x:c>
      <x:c r="Y109" s="47"/>
      <x:c r="Z109" s="60"/>
      <x:c r="AA109" s="58">
        <x:f>(($O109*Y109)/100)+(Z109*12)</x:f>
      </x:c>
      <x:c r="AB109" s="47"/>
      <x:c r="AC109" s="60"/>
      <x:c r="AD109" s="58">
        <x:f>(($O109*AB109)/100)+(AC109*12)</x:f>
      </x:c>
      <x:c r="AE109" s="47"/>
      <x:c r="AF109" s="60"/>
      <x:c r="AG109" s="58">
        <x:f>(($O109*AE109)/100)+(AF109*12)</x:f>
      </x:c>
      <x:c r="AH109" s="47"/>
      <x:c r="AI109" s="60"/>
      <x:c r="AJ109" s="58">
        <x:f>(($O109*AH109)/100)+(AI109*12)</x:f>
      </x:c>
      <x:c r="AK109" s="47"/>
      <x:c r="AL109" s="60"/>
      <x:c r="AM109" s="58">
        <x:f>(($O109*AK109)/100)+(AL109*12)</x:f>
      </x:c>
      <x:c r="AN109" s="47"/>
      <x:c r="AO109" s="60"/>
      <x:c r="AP109" s="58">
        <x:f>(($O109*AN109)/100)+(AO109*12)</x:f>
      </x:c>
      <x:c r="AQ109" s="47"/>
      <x:c r="AR109" s="60"/>
      <x:c r="AS109" s="58">
        <x:f>(($O109*AQ109)/100)+(AR109*12)</x:f>
      </x:c>
      <x:c r="AT109" s="47"/>
      <x:c r="AU109" s="60"/>
      <x:c r="AV109" s="58">
        <x:f>(($O109*AT109)/100)+(AU109*12)</x:f>
      </x:c>
      <x:c r="AW109" s="47"/>
      <x:c r="AX109" s="60"/>
      <x:c r="AY109" s="58">
        <x:f>(($O109*AW109)/100)+(AX109*12)</x:f>
      </x:c>
      <x:c r="AZ109" s="47"/>
      <x:c r="BA109" s="60"/>
      <x:c r="BB109" s="58">
        <x:f>(($O109*AZ109)/100)+(BA109*12)</x:f>
      </x:c>
      <x:c r="BC109" s="47"/>
      <x:c r="BD109" s="60"/>
      <x:c r="BE109" s="58">
        <x:f>(($O109*BC109)/100)+(BD109*12)</x:f>
      </x:c>
      <x:c r="BF109" s="47"/>
      <x:c r="BG109" s="60"/>
      <x:c r="BH109" s="58">
        <x:f>(($O109*BF109)/100)+(BG109*12)</x:f>
      </x:c>
      <x:c r="BI109" s="47"/>
      <x:c r="BJ109" s="60"/>
      <x:c r="BK109" s="58">
        <x:f>(($O109*BI109)/100)+(BJ109*12)</x:f>
      </x:c>
      <x:c r="BL109" s="47"/>
      <x:c r="BM109" s="60"/>
      <x:c r="BN109" s="58">
        <x:f>(($O109*BL109)/100)+(BM109*12)</x:f>
      </x:c>
      <x:c r="BO109" s="47"/>
      <x:c r="BP109" s="60"/>
      <x:c r="BQ109" s="58">
        <x:f>(($O109*BO109)/100)+(BP109*12)</x:f>
      </x:c>
      <x:c r="BR109" s="47"/>
      <x:c r="BS109" s="60"/>
      <x:c r="BT109" s="58">
        <x:f>(($O109*BR109)/100)+(BS109*12)</x:f>
      </x:c>
      <x:c r="BU109" s="47"/>
      <x:c r="BV109" s="60"/>
      <x:c r="BW109" s="58">
        <x:f>(($O109*BU109)/100)+(BV109*12)</x:f>
      </x:c>
      <x:c r="BX109" s="47"/>
      <x:c r="BY109" s="60"/>
      <x:c r="BZ109" s="58">
        <x:f>(($O109*BX109)/100)+(BY109*12)</x:f>
      </x:c>
      <x:c r="CA109" s="47"/>
      <x:c r="CB109" s="60"/>
      <x:c r="CC109" s="58">
        <x:f>(($O109*CA109)/100)+(CB109*12)</x:f>
      </x:c>
      <x:c r="CD109" s="47"/>
      <x:c r="CE109" s="60"/>
      <x:c r="CF109" s="58">
        <x:f>(($O109*CD109)/100)+(CE109*12)</x:f>
      </x:c>
      <x:c r="CG109" s="47"/>
      <x:c r="CH109" s="60"/>
      <x:c r="CI109" s="58">
        <x:f>(($O109*CG109)/100)+(CH109*12)</x:f>
      </x:c>
      <x:c r="CJ109" s="47"/>
      <x:c r="CK109" s="60"/>
      <x:c r="CL109" s="58">
        <x:f>(($O109*CJ109)/100)+(CK109*12)</x:f>
      </x:c>
      <x:c r="CM109" s="47"/>
      <x:c r="CN109" s="60"/>
      <x:c r="CO109" s="58">
        <x:f>(($O109*CM109)/100)+(CN109*12)</x:f>
      </x:c>
      <x:c r="CP109" s="47"/>
      <x:c r="CQ109" s="60"/>
      <x:c r="CR109" s="58">
        <x:f>(($O109*CP109)/100)+(CQ109*12)</x:f>
      </x:c>
      <x:c r="CS109" s="47"/>
      <x:c r="CT109" s="60"/>
      <x:c r="CU109" s="58">
        <x:f>(($O109*CS109)/100)+(CT109*12)</x:f>
      </x:c>
      <x:c r="CV109" s="47"/>
      <x:c r="CW109" s="60"/>
      <x:c r="CX109" s="58"/>
      <x:c r="CY109" s="47"/>
      <x:c r="CZ109" s="60"/>
      <x:c r="DA109" s="58"/>
      <x:c r="DB109" s="47"/>
      <x:c r="DC109" s="60"/>
      <x:c r="DD109" s="58"/>
      <x:c r="DE109" s="47"/>
      <x:c r="DF109" s="60"/>
      <x:c r="DG109" s="58"/>
      <x:c r="DH109" s="47"/>
      <x:c r="DI109" s="60"/>
      <x:c r="DJ109" s="58"/>
      <x:c r="DK109" s="47"/>
      <x:c r="DL109" s="60"/>
      <x:c r="DM109" s="58"/>
      <x:c r="DN109" s="11"/>
      <x:c r="DO109" s="61"/>
      <x:c r="DP109" s="62"/>
      <x:c r="DQ109" s="11"/>
      <x:c r="DR109" s="61"/>
      <x:c r="DS109" s="62"/>
      <x:c r="DT109" s="11"/>
      <x:c r="DU109" s="61"/>
      <x:c r="DV109" s="62"/>
    </x:row>
    <x:row r="110" spans="1:126" x14ac:dyDescent="0.3">
      <x:c r="A110" s="47"/>
      <x:c r="B110" s="70"/>
      <x:c r="C110" s="70"/>
      <x:c r="D110" s="70"/>
      <x:c r="E110" s="70"/>
      <x:c r="F110" s="70"/>
      <x:c r="G110" s="70"/>
      <x:c r="H110" s="70"/>
      <x:c r="I110" s="70"/>
      <x:c r="J110" s="70"/>
      <x:c r="K110" s="190"/>
      <x:c r="L110" s="191"/>
      <x:c r="M110" s="192">
        <x:f>IF(ISERROR(INDEX('Meter Type Data'!$B$2:$E$1165,SUMPRODUCT(--('Meter Type Data'!$B$2:$B$1165&lt;=Analysis!L110)*('Meter Type Data'!$C$2:$C$1165&gt;=Analysis!L110),ROW('Meter Type Data'!$B$2:$B$1165))-1,4))," ",INDEX('Meter Type Data'!$B$2:$E$1165,SUMPRODUCT(--('Meter Type Data'!$B$2:$B$1165&lt;=Analysis!L110)*('Meter Type Data'!$C$2:$C$1165&gt;=Analysis!L110),ROW('Meter Type Data'!$B$2:$B$1165))-1,4))</x:f>
      </x:c>
      <x:c r="N110" s="192">
        <x:f>IF(ISERROR(INDEX('Meter Type Data'!$B$2:$D$1165,SUMPRODUCT(--('Meter Type Data'!$B$2:$B$1165&lt;=Analysis!L110)*('Meter Type Data'!$C$2:$C$1165&gt;=Analysis!L110),ROW('Meter Type Data'!$B$2:$B$1165))-1,3))," ",INDEX('Meter Type Data'!$B$2:$D$1165,SUMPRODUCT(--('Meter Type Data'!$B$2:$B$1165&lt;=Analysis!L110)*('Meter Type Data'!$C$2:$C$1165&gt;=Analysis!L110),ROW('Meter Type Data'!$B$2:$B$1165))-1,3))</x:f>
      </x:c>
      <x:c r="O110" s="69"/>
      <x:c r="P110" s="47"/>
      <x:c r="Q110" s="60"/>
      <x:c r="R110" s="58">
        <x:f>(($O110*P110)/100)+(Q110*12)</x:f>
      </x:c>
      <x:c r="S110" s="59"/>
      <x:c r="T110" s="59"/>
      <x:c r="U110" s="58">
        <x:f>(($O110*S110)/100)+(T110*12)</x:f>
      </x:c>
      <x:c r="V110" s="47"/>
      <x:c r="W110" s="60"/>
      <x:c r="X110" s="58">
        <x:f>(($O110*V110)/100)+(W110*12)</x:f>
      </x:c>
      <x:c r="Y110" s="47"/>
      <x:c r="Z110" s="60"/>
      <x:c r="AA110" s="58">
        <x:f>(($O110*Y110)/100)+(Z110*12)</x:f>
      </x:c>
      <x:c r="AB110" s="47"/>
      <x:c r="AC110" s="60"/>
      <x:c r="AD110" s="58">
        <x:f>(($O110*AB110)/100)+(AC110*12)</x:f>
      </x:c>
      <x:c r="AE110" s="47"/>
      <x:c r="AF110" s="60"/>
      <x:c r="AG110" s="58">
        <x:f>(($O110*AE110)/100)+(AF110*12)</x:f>
      </x:c>
      <x:c r="AH110" s="47"/>
      <x:c r="AI110" s="60"/>
      <x:c r="AJ110" s="58">
        <x:f>(($O110*AH110)/100)+(AI110*12)</x:f>
      </x:c>
      <x:c r="AK110" s="47"/>
      <x:c r="AL110" s="60"/>
      <x:c r="AM110" s="58">
        <x:f>(($O110*AK110)/100)+(AL110*12)</x:f>
      </x:c>
      <x:c r="AN110" s="47"/>
      <x:c r="AO110" s="60"/>
      <x:c r="AP110" s="58">
        <x:f>(($O110*AN110)/100)+(AO110*12)</x:f>
      </x:c>
      <x:c r="AQ110" s="47"/>
      <x:c r="AR110" s="60"/>
      <x:c r="AS110" s="58">
        <x:f>(($O110*AQ110)/100)+(AR110*12)</x:f>
      </x:c>
      <x:c r="AT110" s="47"/>
      <x:c r="AU110" s="60"/>
      <x:c r="AV110" s="58">
        <x:f>(($O110*AT110)/100)+(AU110*12)</x:f>
      </x:c>
      <x:c r="AW110" s="47"/>
      <x:c r="AX110" s="60"/>
      <x:c r="AY110" s="58">
        <x:f>(($O110*AW110)/100)+(AX110*12)</x:f>
      </x:c>
      <x:c r="AZ110" s="47"/>
      <x:c r="BA110" s="60"/>
      <x:c r="BB110" s="58">
        <x:f>(($O110*AZ110)/100)+(BA110*12)</x:f>
      </x:c>
      <x:c r="BC110" s="47"/>
      <x:c r="BD110" s="60"/>
      <x:c r="BE110" s="58">
        <x:f>(($O110*BC110)/100)+(BD110*12)</x:f>
      </x:c>
      <x:c r="BF110" s="47"/>
      <x:c r="BG110" s="60"/>
      <x:c r="BH110" s="58">
        <x:f>(($O110*BF110)/100)+(BG110*12)</x:f>
      </x:c>
      <x:c r="BI110" s="47"/>
      <x:c r="BJ110" s="60"/>
      <x:c r="BK110" s="58">
        <x:f>(($O110*BI110)/100)+(BJ110*12)</x:f>
      </x:c>
      <x:c r="BL110" s="47"/>
      <x:c r="BM110" s="60"/>
      <x:c r="BN110" s="58">
        <x:f>(($O110*BL110)/100)+(BM110*12)</x:f>
      </x:c>
      <x:c r="BO110" s="47"/>
      <x:c r="BP110" s="60"/>
      <x:c r="BQ110" s="58">
        <x:f>(($O110*BO110)/100)+(BP110*12)</x:f>
      </x:c>
      <x:c r="BR110" s="47"/>
      <x:c r="BS110" s="60"/>
      <x:c r="BT110" s="58">
        <x:f>(($O110*BR110)/100)+(BS110*12)</x:f>
      </x:c>
      <x:c r="BU110" s="47"/>
      <x:c r="BV110" s="60"/>
      <x:c r="BW110" s="58">
        <x:f>(($O110*BU110)/100)+(BV110*12)</x:f>
      </x:c>
      <x:c r="BX110" s="47"/>
      <x:c r="BY110" s="60"/>
      <x:c r="BZ110" s="58">
        <x:f>(($O110*BX110)/100)+(BY110*12)</x:f>
      </x:c>
      <x:c r="CA110" s="47"/>
      <x:c r="CB110" s="60"/>
      <x:c r="CC110" s="58">
        <x:f>(($O110*CA110)/100)+(CB110*12)</x:f>
      </x:c>
      <x:c r="CD110" s="47"/>
      <x:c r="CE110" s="60"/>
      <x:c r="CF110" s="58">
        <x:f>(($O110*CD110)/100)+(CE110*12)</x:f>
      </x:c>
      <x:c r="CG110" s="47"/>
      <x:c r="CH110" s="60"/>
      <x:c r="CI110" s="58">
        <x:f>(($O110*CG110)/100)+(CH110*12)</x:f>
      </x:c>
      <x:c r="CJ110" s="47"/>
      <x:c r="CK110" s="60"/>
      <x:c r="CL110" s="58">
        <x:f>(($O110*CJ110)/100)+(CK110*12)</x:f>
      </x:c>
      <x:c r="CM110" s="47"/>
      <x:c r="CN110" s="60"/>
      <x:c r="CO110" s="58">
        <x:f>(($O110*CM110)/100)+(CN110*12)</x:f>
      </x:c>
      <x:c r="CP110" s="47"/>
      <x:c r="CQ110" s="60"/>
      <x:c r="CR110" s="58">
        <x:f>(($O110*CP110)/100)+(CQ110*12)</x:f>
      </x:c>
      <x:c r="CS110" s="47"/>
      <x:c r="CT110" s="60"/>
      <x:c r="CU110" s="58">
        <x:f>(($O110*CS110)/100)+(CT110*12)</x:f>
      </x:c>
      <x:c r="CV110" s="47"/>
      <x:c r="CW110" s="60"/>
      <x:c r="CX110" s="58"/>
      <x:c r="CY110" s="47"/>
      <x:c r="CZ110" s="60"/>
      <x:c r="DA110" s="58"/>
      <x:c r="DB110" s="47"/>
      <x:c r="DC110" s="60"/>
      <x:c r="DD110" s="58"/>
      <x:c r="DE110" s="47"/>
      <x:c r="DF110" s="60"/>
      <x:c r="DG110" s="58"/>
      <x:c r="DH110" s="47"/>
      <x:c r="DI110" s="60"/>
      <x:c r="DJ110" s="58"/>
      <x:c r="DK110" s="47"/>
      <x:c r="DL110" s="60"/>
      <x:c r="DM110" s="58"/>
      <x:c r="DN110" s="11"/>
      <x:c r="DO110" s="61"/>
      <x:c r="DP110" s="62"/>
      <x:c r="DQ110" s="11"/>
      <x:c r="DR110" s="61"/>
      <x:c r="DS110" s="62"/>
      <x:c r="DT110" s="11"/>
      <x:c r="DU110" s="61"/>
      <x:c r="DV110" s="62"/>
    </x:row>
    <x:row r="111" spans="1:126" x14ac:dyDescent="0.3">
      <x:c r="A111" s="47"/>
      <x:c r="B111" s="70"/>
      <x:c r="C111" s="70"/>
      <x:c r="D111" s="70"/>
      <x:c r="E111" s="70"/>
      <x:c r="F111" s="70"/>
      <x:c r="G111" s="70"/>
      <x:c r="H111" s="70"/>
      <x:c r="I111" s="70"/>
      <x:c r="J111" s="70"/>
      <x:c r="K111" s="190"/>
      <x:c r="L111" s="191"/>
      <x:c r="M111" s="192">
        <x:f>IF(ISERROR(INDEX('Meter Type Data'!$B$2:$E$1165,SUMPRODUCT(--('Meter Type Data'!$B$2:$B$1165&lt;=Analysis!L111)*('Meter Type Data'!$C$2:$C$1165&gt;=Analysis!L111),ROW('Meter Type Data'!$B$2:$B$1165))-1,4))," ",INDEX('Meter Type Data'!$B$2:$E$1165,SUMPRODUCT(--('Meter Type Data'!$B$2:$B$1165&lt;=Analysis!L111)*('Meter Type Data'!$C$2:$C$1165&gt;=Analysis!L111),ROW('Meter Type Data'!$B$2:$B$1165))-1,4))</x:f>
      </x:c>
      <x:c r="N111" s="192">
        <x:f>IF(ISERROR(INDEX('Meter Type Data'!$B$2:$D$1165,SUMPRODUCT(--('Meter Type Data'!$B$2:$B$1165&lt;=Analysis!L111)*('Meter Type Data'!$C$2:$C$1165&gt;=Analysis!L111),ROW('Meter Type Data'!$B$2:$B$1165))-1,3))," ",INDEX('Meter Type Data'!$B$2:$D$1165,SUMPRODUCT(--('Meter Type Data'!$B$2:$B$1165&lt;=Analysis!L111)*('Meter Type Data'!$C$2:$C$1165&gt;=Analysis!L111),ROW('Meter Type Data'!$B$2:$B$1165))-1,3))</x:f>
      </x:c>
      <x:c r="O111" s="69"/>
      <x:c r="P111" s="47"/>
      <x:c r="Q111" s="60"/>
      <x:c r="R111" s="58">
        <x:f>(($O111*P111)/100)+(Q111*12)</x:f>
      </x:c>
      <x:c r="S111" s="59"/>
      <x:c r="T111" s="59"/>
      <x:c r="U111" s="58">
        <x:f>(($O111*S111)/100)+(T111*12)</x:f>
      </x:c>
      <x:c r="V111" s="47"/>
      <x:c r="W111" s="60"/>
      <x:c r="X111" s="58">
        <x:f>(($O111*V111)/100)+(W111*12)</x:f>
      </x:c>
      <x:c r="Y111" s="47"/>
      <x:c r="Z111" s="60"/>
      <x:c r="AA111" s="58">
        <x:f>(($O111*Y111)/100)+(Z111*12)</x:f>
      </x:c>
      <x:c r="AB111" s="47"/>
      <x:c r="AC111" s="60"/>
      <x:c r="AD111" s="58">
        <x:f>(($O111*AB111)/100)+(AC111*12)</x:f>
      </x:c>
      <x:c r="AE111" s="47"/>
      <x:c r="AF111" s="60"/>
      <x:c r="AG111" s="58">
        <x:f>(($O111*AE111)/100)+(AF111*12)</x:f>
      </x:c>
      <x:c r="AH111" s="47"/>
      <x:c r="AI111" s="60"/>
      <x:c r="AJ111" s="58">
        <x:f>(($O111*AH111)/100)+(AI111*12)</x:f>
      </x:c>
      <x:c r="AK111" s="47"/>
      <x:c r="AL111" s="60"/>
      <x:c r="AM111" s="58">
        <x:f>(($O111*AK111)/100)+(AL111*12)</x:f>
      </x:c>
      <x:c r="AN111" s="47"/>
      <x:c r="AO111" s="60"/>
      <x:c r="AP111" s="58">
        <x:f>(($O111*AN111)/100)+(AO111*12)</x:f>
      </x:c>
      <x:c r="AQ111" s="47"/>
      <x:c r="AR111" s="60"/>
      <x:c r="AS111" s="58">
        <x:f>(($O111*AQ111)/100)+(AR111*12)</x:f>
      </x:c>
      <x:c r="AT111" s="47"/>
      <x:c r="AU111" s="60"/>
      <x:c r="AV111" s="58">
        <x:f>(($O111*AT111)/100)+(AU111*12)</x:f>
      </x:c>
      <x:c r="AW111" s="47"/>
      <x:c r="AX111" s="60"/>
      <x:c r="AY111" s="58">
        <x:f>(($O111*AW111)/100)+(AX111*12)</x:f>
      </x:c>
      <x:c r="AZ111" s="47"/>
      <x:c r="BA111" s="60"/>
      <x:c r="BB111" s="58">
        <x:f>(($O111*AZ111)/100)+(BA111*12)</x:f>
      </x:c>
      <x:c r="BC111" s="47"/>
      <x:c r="BD111" s="60"/>
      <x:c r="BE111" s="58">
        <x:f>(($O111*BC111)/100)+(BD111*12)</x:f>
      </x:c>
      <x:c r="BF111" s="47"/>
      <x:c r="BG111" s="60"/>
      <x:c r="BH111" s="58">
        <x:f>(($O111*BF111)/100)+(BG111*12)</x:f>
      </x:c>
      <x:c r="BI111" s="47"/>
      <x:c r="BJ111" s="60"/>
      <x:c r="BK111" s="58">
        <x:f>(($O111*BI111)/100)+(BJ111*12)</x:f>
      </x:c>
      <x:c r="BL111" s="47"/>
      <x:c r="BM111" s="60"/>
      <x:c r="BN111" s="58">
        <x:f>(($O111*BL111)/100)+(BM111*12)</x:f>
      </x:c>
      <x:c r="BO111" s="47"/>
      <x:c r="BP111" s="60"/>
      <x:c r="BQ111" s="58">
        <x:f>(($O111*BO111)/100)+(BP111*12)</x:f>
      </x:c>
      <x:c r="BR111" s="47"/>
      <x:c r="BS111" s="60"/>
      <x:c r="BT111" s="58">
        <x:f>(($O111*BR111)/100)+(BS111*12)</x:f>
      </x:c>
      <x:c r="BU111" s="47"/>
      <x:c r="BV111" s="60"/>
      <x:c r="BW111" s="58">
        <x:f>(($O111*BU111)/100)+(BV111*12)</x:f>
      </x:c>
      <x:c r="BX111" s="47"/>
      <x:c r="BY111" s="60"/>
      <x:c r="BZ111" s="58">
        <x:f>(($O111*BX111)/100)+(BY111*12)</x:f>
      </x:c>
      <x:c r="CA111" s="47"/>
      <x:c r="CB111" s="60"/>
      <x:c r="CC111" s="58">
        <x:f>(($O111*CA111)/100)+(CB111*12)</x:f>
      </x:c>
      <x:c r="CD111" s="47"/>
      <x:c r="CE111" s="60"/>
      <x:c r="CF111" s="58">
        <x:f>(($O111*CD111)/100)+(CE111*12)</x:f>
      </x:c>
      <x:c r="CG111" s="47"/>
      <x:c r="CH111" s="60"/>
      <x:c r="CI111" s="58">
        <x:f>(($O111*CG111)/100)+(CH111*12)</x:f>
      </x:c>
      <x:c r="CJ111" s="47"/>
      <x:c r="CK111" s="60"/>
      <x:c r="CL111" s="58">
        <x:f>(($O111*CJ111)/100)+(CK111*12)</x:f>
      </x:c>
      <x:c r="CM111" s="47"/>
      <x:c r="CN111" s="60"/>
      <x:c r="CO111" s="58">
        <x:f>(($O111*CM111)/100)+(CN111*12)</x:f>
      </x:c>
      <x:c r="CP111" s="47"/>
      <x:c r="CQ111" s="60"/>
      <x:c r="CR111" s="58">
        <x:f>(($O111*CP111)/100)+(CQ111*12)</x:f>
      </x:c>
      <x:c r="CS111" s="47"/>
      <x:c r="CT111" s="60"/>
      <x:c r="CU111" s="58">
        <x:f>(($O111*CS111)/100)+(CT111*12)</x:f>
      </x:c>
      <x:c r="CV111" s="47"/>
      <x:c r="CW111" s="60"/>
      <x:c r="CX111" s="58"/>
      <x:c r="CY111" s="47"/>
      <x:c r="CZ111" s="60"/>
      <x:c r="DA111" s="58"/>
      <x:c r="DB111" s="47"/>
      <x:c r="DC111" s="60"/>
      <x:c r="DD111" s="58"/>
      <x:c r="DE111" s="47"/>
      <x:c r="DF111" s="60"/>
      <x:c r="DG111" s="58"/>
      <x:c r="DH111" s="47"/>
      <x:c r="DI111" s="60"/>
      <x:c r="DJ111" s="58"/>
      <x:c r="DK111" s="47"/>
      <x:c r="DL111" s="60"/>
      <x:c r="DM111" s="58"/>
      <x:c r="DN111" s="11"/>
      <x:c r="DO111" s="61"/>
      <x:c r="DP111" s="62"/>
      <x:c r="DQ111" s="11"/>
      <x:c r="DR111" s="61"/>
      <x:c r="DS111" s="62"/>
      <x:c r="DT111" s="11"/>
      <x:c r="DU111" s="61"/>
      <x:c r="DV111" s="62"/>
    </x:row>
    <x:row r="112" spans="1:126" x14ac:dyDescent="0.3">
      <x:c r="A112" s="47"/>
      <x:c r="B112" s="70"/>
      <x:c r="C112" s="70"/>
      <x:c r="D112" s="70"/>
      <x:c r="E112" s="70"/>
      <x:c r="F112" s="70"/>
      <x:c r="G112" s="70"/>
      <x:c r="H112" s="70"/>
      <x:c r="I112" s="70"/>
      <x:c r="J112" s="70"/>
      <x:c r="K112" s="190"/>
      <x:c r="L112" s="191"/>
      <x:c r="M112" s="192">
        <x:f>IF(ISERROR(INDEX('Meter Type Data'!$B$2:$E$1165,SUMPRODUCT(--('Meter Type Data'!$B$2:$B$1165&lt;=Analysis!L112)*('Meter Type Data'!$C$2:$C$1165&gt;=Analysis!L112),ROW('Meter Type Data'!$B$2:$B$1165))-1,4))," ",INDEX('Meter Type Data'!$B$2:$E$1165,SUMPRODUCT(--('Meter Type Data'!$B$2:$B$1165&lt;=Analysis!L112)*('Meter Type Data'!$C$2:$C$1165&gt;=Analysis!L112),ROW('Meter Type Data'!$B$2:$B$1165))-1,4))</x:f>
      </x:c>
      <x:c r="N112" s="192">
        <x:f>IF(ISERROR(INDEX('Meter Type Data'!$B$2:$D$1165,SUMPRODUCT(--('Meter Type Data'!$B$2:$B$1165&lt;=Analysis!L112)*('Meter Type Data'!$C$2:$C$1165&gt;=Analysis!L112),ROW('Meter Type Data'!$B$2:$B$1165))-1,3))," ",INDEX('Meter Type Data'!$B$2:$D$1165,SUMPRODUCT(--('Meter Type Data'!$B$2:$B$1165&lt;=Analysis!L112)*('Meter Type Data'!$C$2:$C$1165&gt;=Analysis!L112),ROW('Meter Type Data'!$B$2:$B$1165))-1,3))</x:f>
      </x:c>
      <x:c r="O112" s="69"/>
      <x:c r="P112" s="47"/>
      <x:c r="Q112" s="60"/>
      <x:c r="R112" s="58">
        <x:f>(($O112*P112)/100)+(Q112*12)</x:f>
      </x:c>
      <x:c r="S112" s="59"/>
      <x:c r="T112" s="59"/>
      <x:c r="U112" s="58">
        <x:f>(($O112*S112)/100)+(T112*12)</x:f>
      </x:c>
      <x:c r="V112" s="47"/>
      <x:c r="W112" s="60"/>
      <x:c r="X112" s="58">
        <x:f>(($O112*V112)/100)+(W112*12)</x:f>
      </x:c>
      <x:c r="Y112" s="47"/>
      <x:c r="Z112" s="60"/>
      <x:c r="AA112" s="58">
        <x:f>(($O112*Y112)/100)+(Z112*12)</x:f>
      </x:c>
      <x:c r="AB112" s="47"/>
      <x:c r="AC112" s="60"/>
      <x:c r="AD112" s="58">
        <x:f>(($O112*AB112)/100)+(AC112*12)</x:f>
      </x:c>
      <x:c r="AE112" s="47"/>
      <x:c r="AF112" s="60"/>
      <x:c r="AG112" s="58">
        <x:f>(($O112*AE112)/100)+(AF112*12)</x:f>
      </x:c>
      <x:c r="AH112" s="47"/>
      <x:c r="AI112" s="60"/>
      <x:c r="AJ112" s="58">
        <x:f>(($O112*AH112)/100)+(AI112*12)</x:f>
      </x:c>
      <x:c r="AK112" s="47"/>
      <x:c r="AL112" s="60"/>
      <x:c r="AM112" s="58">
        <x:f>(($O112*AK112)/100)+(AL112*12)</x:f>
      </x:c>
      <x:c r="AN112" s="47"/>
      <x:c r="AO112" s="60"/>
      <x:c r="AP112" s="58">
        <x:f>(($O112*AN112)/100)+(AO112*12)</x:f>
      </x:c>
      <x:c r="AQ112" s="47"/>
      <x:c r="AR112" s="60"/>
      <x:c r="AS112" s="58">
        <x:f>(($O112*AQ112)/100)+(AR112*12)</x:f>
      </x:c>
      <x:c r="AT112" s="47"/>
      <x:c r="AU112" s="60"/>
      <x:c r="AV112" s="58">
        <x:f>(($O112*AT112)/100)+(AU112*12)</x:f>
      </x:c>
      <x:c r="AW112" s="47"/>
      <x:c r="AX112" s="60"/>
      <x:c r="AY112" s="58">
        <x:f>(($O112*AW112)/100)+(AX112*12)</x:f>
      </x:c>
      <x:c r="AZ112" s="47"/>
      <x:c r="BA112" s="60"/>
      <x:c r="BB112" s="58">
        <x:f>(($O112*AZ112)/100)+(BA112*12)</x:f>
      </x:c>
      <x:c r="BC112" s="47"/>
      <x:c r="BD112" s="60"/>
      <x:c r="BE112" s="58">
        <x:f>(($O112*BC112)/100)+(BD112*12)</x:f>
      </x:c>
      <x:c r="BF112" s="47"/>
      <x:c r="BG112" s="60"/>
      <x:c r="BH112" s="58">
        <x:f>(($O112*BF112)/100)+(BG112*12)</x:f>
      </x:c>
      <x:c r="BI112" s="47"/>
      <x:c r="BJ112" s="60"/>
      <x:c r="BK112" s="58">
        <x:f>(($O112*BI112)/100)+(BJ112*12)</x:f>
      </x:c>
      <x:c r="BL112" s="47"/>
      <x:c r="BM112" s="60"/>
      <x:c r="BN112" s="58">
        <x:f>(($O112*BL112)/100)+(BM112*12)</x:f>
      </x:c>
      <x:c r="BO112" s="47"/>
      <x:c r="BP112" s="60"/>
      <x:c r="BQ112" s="58">
        <x:f>(($O112*BO112)/100)+(BP112*12)</x:f>
      </x:c>
      <x:c r="BR112" s="47"/>
      <x:c r="BS112" s="60"/>
      <x:c r="BT112" s="58">
        <x:f>(($O112*BR112)/100)+(BS112*12)</x:f>
      </x:c>
      <x:c r="BU112" s="47"/>
      <x:c r="BV112" s="60"/>
      <x:c r="BW112" s="58">
        <x:f>(($O112*BU112)/100)+(BV112*12)</x:f>
      </x:c>
      <x:c r="BX112" s="47"/>
      <x:c r="BY112" s="60"/>
      <x:c r="BZ112" s="58">
        <x:f>(($O112*BX112)/100)+(BY112*12)</x:f>
      </x:c>
      <x:c r="CA112" s="47"/>
      <x:c r="CB112" s="60"/>
      <x:c r="CC112" s="58">
        <x:f>(($O112*CA112)/100)+(CB112*12)</x:f>
      </x:c>
      <x:c r="CD112" s="47"/>
      <x:c r="CE112" s="60"/>
      <x:c r="CF112" s="58">
        <x:f>(($O112*CD112)/100)+(CE112*12)</x:f>
      </x:c>
      <x:c r="CG112" s="47"/>
      <x:c r="CH112" s="60"/>
      <x:c r="CI112" s="58">
        <x:f>(($O112*CG112)/100)+(CH112*12)</x:f>
      </x:c>
      <x:c r="CJ112" s="47"/>
      <x:c r="CK112" s="60"/>
      <x:c r="CL112" s="58">
        <x:f>(($O112*CJ112)/100)+(CK112*12)</x:f>
      </x:c>
      <x:c r="CM112" s="47"/>
      <x:c r="CN112" s="60"/>
      <x:c r="CO112" s="58">
        <x:f>(($O112*CM112)/100)+(CN112*12)</x:f>
      </x:c>
      <x:c r="CP112" s="47"/>
      <x:c r="CQ112" s="60"/>
      <x:c r="CR112" s="58">
        <x:f>(($O112*CP112)/100)+(CQ112*12)</x:f>
      </x:c>
      <x:c r="CS112" s="47"/>
      <x:c r="CT112" s="60"/>
      <x:c r="CU112" s="58">
        <x:f>(($O112*CS112)/100)+(CT112*12)</x:f>
      </x:c>
      <x:c r="CV112" s="47"/>
      <x:c r="CW112" s="60"/>
      <x:c r="CX112" s="58"/>
      <x:c r="CY112" s="47"/>
      <x:c r="CZ112" s="60"/>
      <x:c r="DA112" s="58"/>
      <x:c r="DB112" s="47"/>
      <x:c r="DC112" s="60"/>
      <x:c r="DD112" s="58"/>
      <x:c r="DE112" s="47"/>
      <x:c r="DF112" s="60"/>
      <x:c r="DG112" s="58"/>
      <x:c r="DH112" s="47"/>
      <x:c r="DI112" s="60"/>
      <x:c r="DJ112" s="58"/>
      <x:c r="DK112" s="47"/>
      <x:c r="DL112" s="60"/>
      <x:c r="DM112" s="58"/>
      <x:c r="DN112" s="11"/>
      <x:c r="DO112" s="61"/>
      <x:c r="DP112" s="62"/>
      <x:c r="DQ112" s="11"/>
      <x:c r="DR112" s="61"/>
      <x:c r="DS112" s="62"/>
      <x:c r="DT112" s="11"/>
      <x:c r="DU112" s="61"/>
      <x:c r="DV112" s="62"/>
    </x:row>
    <x:row r="113" spans="1:126" x14ac:dyDescent="0.3">
      <x:c r="A113" s="47"/>
      <x:c r="B113" s="70"/>
      <x:c r="C113" s="70"/>
      <x:c r="D113" s="70"/>
      <x:c r="E113" s="70"/>
      <x:c r="F113" s="70"/>
      <x:c r="G113" s="70"/>
      <x:c r="H113" s="70"/>
      <x:c r="I113" s="70"/>
      <x:c r="J113" s="70"/>
      <x:c r="K113" s="190"/>
      <x:c r="L113" s="191"/>
      <x:c r="M113" s="192">
        <x:f>IF(ISERROR(INDEX('Meter Type Data'!$B$2:$E$1165,SUMPRODUCT(--('Meter Type Data'!$B$2:$B$1165&lt;=Analysis!L113)*('Meter Type Data'!$C$2:$C$1165&gt;=Analysis!L113),ROW('Meter Type Data'!$B$2:$B$1165))-1,4))," ",INDEX('Meter Type Data'!$B$2:$E$1165,SUMPRODUCT(--('Meter Type Data'!$B$2:$B$1165&lt;=Analysis!L113)*('Meter Type Data'!$C$2:$C$1165&gt;=Analysis!L113),ROW('Meter Type Data'!$B$2:$B$1165))-1,4))</x:f>
      </x:c>
      <x:c r="N113" s="192">
        <x:f>IF(ISERROR(INDEX('Meter Type Data'!$B$2:$D$1165,SUMPRODUCT(--('Meter Type Data'!$B$2:$B$1165&lt;=Analysis!L113)*('Meter Type Data'!$C$2:$C$1165&gt;=Analysis!L113),ROW('Meter Type Data'!$B$2:$B$1165))-1,3))," ",INDEX('Meter Type Data'!$B$2:$D$1165,SUMPRODUCT(--('Meter Type Data'!$B$2:$B$1165&lt;=Analysis!L113)*('Meter Type Data'!$C$2:$C$1165&gt;=Analysis!L113),ROW('Meter Type Data'!$B$2:$B$1165))-1,3))</x:f>
      </x:c>
      <x:c r="O113" s="69"/>
      <x:c r="P113" s="47"/>
      <x:c r="Q113" s="60"/>
      <x:c r="R113" s="58">
        <x:f>(($O113*P113)/100)+(Q113*12)</x:f>
      </x:c>
      <x:c r="S113" s="59"/>
      <x:c r="T113" s="59"/>
      <x:c r="U113" s="58">
        <x:f>(($O113*S113)/100)+(T113*12)</x:f>
      </x:c>
      <x:c r="V113" s="47"/>
      <x:c r="W113" s="60"/>
      <x:c r="X113" s="58">
        <x:f>(($O113*V113)/100)+(W113*12)</x:f>
      </x:c>
      <x:c r="Y113" s="47"/>
      <x:c r="Z113" s="60"/>
      <x:c r="AA113" s="58">
        <x:f>(($O113*Y113)/100)+(Z113*12)</x:f>
      </x:c>
      <x:c r="AB113" s="47"/>
      <x:c r="AC113" s="60"/>
      <x:c r="AD113" s="58">
        <x:f>(($O113*AB113)/100)+(AC113*12)</x:f>
      </x:c>
      <x:c r="AE113" s="47"/>
      <x:c r="AF113" s="60"/>
      <x:c r="AG113" s="58">
        <x:f>(($O113*AE113)/100)+(AF113*12)</x:f>
      </x:c>
      <x:c r="AH113" s="47"/>
      <x:c r="AI113" s="60"/>
      <x:c r="AJ113" s="58">
        <x:f>(($O113*AH113)/100)+(AI113*12)</x:f>
      </x:c>
      <x:c r="AK113" s="47"/>
      <x:c r="AL113" s="60"/>
      <x:c r="AM113" s="58">
        <x:f>(($O113*AK113)/100)+(AL113*12)</x:f>
      </x:c>
      <x:c r="AN113" s="47"/>
      <x:c r="AO113" s="60"/>
      <x:c r="AP113" s="58">
        <x:f>(($O113*AN113)/100)+(AO113*12)</x:f>
      </x:c>
      <x:c r="AQ113" s="47"/>
      <x:c r="AR113" s="60"/>
      <x:c r="AS113" s="58">
        <x:f>(($O113*AQ113)/100)+(AR113*12)</x:f>
      </x:c>
      <x:c r="AT113" s="47"/>
      <x:c r="AU113" s="60"/>
      <x:c r="AV113" s="58">
        <x:f>(($O113*AT113)/100)+(AU113*12)</x:f>
      </x:c>
      <x:c r="AW113" s="47"/>
      <x:c r="AX113" s="60"/>
      <x:c r="AY113" s="58">
        <x:f>(($O113*AW113)/100)+(AX113*12)</x:f>
      </x:c>
      <x:c r="AZ113" s="47"/>
      <x:c r="BA113" s="60"/>
      <x:c r="BB113" s="58">
        <x:f>(($O113*AZ113)/100)+(BA113*12)</x:f>
      </x:c>
      <x:c r="BC113" s="47"/>
      <x:c r="BD113" s="60"/>
      <x:c r="BE113" s="58">
        <x:f>(($O113*BC113)/100)+(BD113*12)</x:f>
      </x:c>
      <x:c r="BF113" s="47"/>
      <x:c r="BG113" s="60"/>
      <x:c r="BH113" s="58">
        <x:f>(($O113*BF113)/100)+(BG113*12)</x:f>
      </x:c>
      <x:c r="BI113" s="47"/>
      <x:c r="BJ113" s="60"/>
      <x:c r="BK113" s="58">
        <x:f>(($O113*BI113)/100)+(BJ113*12)</x:f>
      </x:c>
      <x:c r="BL113" s="47"/>
      <x:c r="BM113" s="60"/>
      <x:c r="BN113" s="58">
        <x:f>(($O113*BL113)/100)+(BM113*12)</x:f>
      </x:c>
      <x:c r="BO113" s="47"/>
      <x:c r="BP113" s="60"/>
      <x:c r="BQ113" s="58">
        <x:f>(($O113*BO113)/100)+(BP113*12)</x:f>
      </x:c>
      <x:c r="BR113" s="47"/>
      <x:c r="BS113" s="60"/>
      <x:c r="BT113" s="58">
        <x:f>(($O113*BR113)/100)+(BS113*12)</x:f>
      </x:c>
      <x:c r="BU113" s="47"/>
      <x:c r="BV113" s="60"/>
      <x:c r="BW113" s="58">
        <x:f>(($O113*BU113)/100)+(BV113*12)</x:f>
      </x:c>
      <x:c r="BX113" s="47"/>
      <x:c r="BY113" s="60"/>
      <x:c r="BZ113" s="58">
        <x:f>(($O113*BX113)/100)+(BY113*12)</x:f>
      </x:c>
      <x:c r="CA113" s="47"/>
      <x:c r="CB113" s="60"/>
      <x:c r="CC113" s="58">
        <x:f>(($O113*CA113)/100)+(CB113*12)</x:f>
      </x:c>
      <x:c r="CD113" s="47"/>
      <x:c r="CE113" s="60"/>
      <x:c r="CF113" s="58">
        <x:f>(($O113*CD113)/100)+(CE113*12)</x:f>
      </x:c>
      <x:c r="CG113" s="47"/>
      <x:c r="CH113" s="60"/>
      <x:c r="CI113" s="58">
        <x:f>(($O113*CG113)/100)+(CH113*12)</x:f>
      </x:c>
      <x:c r="CJ113" s="47"/>
      <x:c r="CK113" s="60"/>
      <x:c r="CL113" s="58">
        <x:f>(($O113*CJ113)/100)+(CK113*12)</x:f>
      </x:c>
      <x:c r="CM113" s="47"/>
      <x:c r="CN113" s="60"/>
      <x:c r="CO113" s="58">
        <x:f>(($O113*CM113)/100)+(CN113*12)</x:f>
      </x:c>
      <x:c r="CP113" s="47"/>
      <x:c r="CQ113" s="60"/>
      <x:c r="CR113" s="58">
        <x:f>(($O113*CP113)/100)+(CQ113*12)</x:f>
      </x:c>
      <x:c r="CS113" s="47"/>
      <x:c r="CT113" s="60"/>
      <x:c r="CU113" s="58">
        <x:f>(($O113*CS113)/100)+(CT113*12)</x:f>
      </x:c>
      <x:c r="CV113" s="47"/>
      <x:c r="CW113" s="60"/>
      <x:c r="CX113" s="58"/>
      <x:c r="CY113" s="47"/>
      <x:c r="CZ113" s="60"/>
      <x:c r="DA113" s="58"/>
      <x:c r="DB113" s="47"/>
      <x:c r="DC113" s="60"/>
      <x:c r="DD113" s="58"/>
      <x:c r="DE113" s="47"/>
      <x:c r="DF113" s="60"/>
      <x:c r="DG113" s="58"/>
      <x:c r="DH113" s="47"/>
      <x:c r="DI113" s="60"/>
      <x:c r="DJ113" s="58"/>
      <x:c r="DK113" s="47"/>
      <x:c r="DL113" s="60"/>
      <x:c r="DM113" s="58"/>
      <x:c r="DN113" s="11"/>
      <x:c r="DO113" s="61"/>
      <x:c r="DP113" s="62"/>
      <x:c r="DQ113" s="11"/>
      <x:c r="DR113" s="61"/>
      <x:c r="DS113" s="62"/>
      <x:c r="DT113" s="11"/>
      <x:c r="DU113" s="61"/>
      <x:c r="DV113" s="62"/>
    </x:row>
    <x:row r="114" spans="1:126" x14ac:dyDescent="0.3">
      <x:c r="A114" s="47"/>
      <x:c r="B114" s="70"/>
      <x:c r="C114" s="70"/>
      <x:c r="D114" s="70"/>
      <x:c r="E114" s="70"/>
      <x:c r="F114" s="70"/>
      <x:c r="G114" s="70"/>
      <x:c r="H114" s="70"/>
      <x:c r="I114" s="70"/>
      <x:c r="J114" s="70"/>
      <x:c r="K114" s="190"/>
      <x:c r="L114" s="191"/>
      <x:c r="M114" s="192">
        <x:f>IF(ISERROR(INDEX('Meter Type Data'!$B$2:$E$1165,SUMPRODUCT(--('Meter Type Data'!$B$2:$B$1165&lt;=Analysis!L114)*('Meter Type Data'!$C$2:$C$1165&gt;=Analysis!L114),ROW('Meter Type Data'!$B$2:$B$1165))-1,4))," ",INDEX('Meter Type Data'!$B$2:$E$1165,SUMPRODUCT(--('Meter Type Data'!$B$2:$B$1165&lt;=Analysis!L114)*('Meter Type Data'!$C$2:$C$1165&gt;=Analysis!L114),ROW('Meter Type Data'!$B$2:$B$1165))-1,4))</x:f>
      </x:c>
      <x:c r="N114" s="192">
        <x:f>IF(ISERROR(INDEX('Meter Type Data'!$B$2:$D$1165,SUMPRODUCT(--('Meter Type Data'!$B$2:$B$1165&lt;=Analysis!L114)*('Meter Type Data'!$C$2:$C$1165&gt;=Analysis!L114),ROW('Meter Type Data'!$B$2:$B$1165))-1,3))," ",INDEX('Meter Type Data'!$B$2:$D$1165,SUMPRODUCT(--('Meter Type Data'!$B$2:$B$1165&lt;=Analysis!L114)*('Meter Type Data'!$C$2:$C$1165&gt;=Analysis!L114),ROW('Meter Type Data'!$B$2:$B$1165))-1,3))</x:f>
      </x:c>
      <x:c r="O114" s="69"/>
      <x:c r="P114" s="47"/>
      <x:c r="Q114" s="60"/>
      <x:c r="R114" s="58">
        <x:f>(($O114*P114)/100)+(Q114*12)</x:f>
      </x:c>
      <x:c r="S114" s="59"/>
      <x:c r="T114" s="59"/>
      <x:c r="U114" s="58">
        <x:f>(($O114*S114)/100)+(T114*12)</x:f>
      </x:c>
      <x:c r="V114" s="47"/>
      <x:c r="W114" s="60"/>
      <x:c r="X114" s="58">
        <x:f>(($O114*V114)/100)+(W114*12)</x:f>
      </x:c>
      <x:c r="Y114" s="47"/>
      <x:c r="Z114" s="60"/>
      <x:c r="AA114" s="58">
        <x:f>(($O114*Y114)/100)+(Z114*12)</x:f>
      </x:c>
      <x:c r="AB114" s="47"/>
      <x:c r="AC114" s="60"/>
      <x:c r="AD114" s="58">
        <x:f>(($O114*AB114)/100)+(AC114*12)</x:f>
      </x:c>
      <x:c r="AE114" s="47"/>
      <x:c r="AF114" s="60"/>
      <x:c r="AG114" s="58">
        <x:f>(($O114*AE114)/100)+(AF114*12)</x:f>
      </x:c>
      <x:c r="AH114" s="47"/>
      <x:c r="AI114" s="60"/>
      <x:c r="AJ114" s="58">
        <x:f>(($O114*AH114)/100)+(AI114*12)</x:f>
      </x:c>
      <x:c r="AK114" s="47"/>
      <x:c r="AL114" s="60"/>
      <x:c r="AM114" s="58">
        <x:f>(($O114*AK114)/100)+(AL114*12)</x:f>
      </x:c>
      <x:c r="AN114" s="47"/>
      <x:c r="AO114" s="60"/>
      <x:c r="AP114" s="58">
        <x:f>(($O114*AN114)/100)+(AO114*12)</x:f>
      </x:c>
      <x:c r="AQ114" s="47"/>
      <x:c r="AR114" s="60"/>
      <x:c r="AS114" s="58">
        <x:f>(($O114*AQ114)/100)+(AR114*12)</x:f>
      </x:c>
      <x:c r="AT114" s="47"/>
      <x:c r="AU114" s="60"/>
      <x:c r="AV114" s="58">
        <x:f>(($O114*AT114)/100)+(AU114*12)</x:f>
      </x:c>
      <x:c r="AW114" s="47"/>
      <x:c r="AX114" s="60"/>
      <x:c r="AY114" s="58">
        <x:f>(($O114*AW114)/100)+(AX114*12)</x:f>
      </x:c>
      <x:c r="AZ114" s="47"/>
      <x:c r="BA114" s="60"/>
      <x:c r="BB114" s="58">
        <x:f>(($O114*AZ114)/100)+(BA114*12)</x:f>
      </x:c>
      <x:c r="BC114" s="47"/>
      <x:c r="BD114" s="60"/>
      <x:c r="BE114" s="58">
        <x:f>(($O114*BC114)/100)+(BD114*12)</x:f>
      </x:c>
      <x:c r="BF114" s="47"/>
      <x:c r="BG114" s="60"/>
      <x:c r="BH114" s="58">
        <x:f>(($O114*BF114)/100)+(BG114*12)</x:f>
      </x:c>
      <x:c r="BI114" s="47"/>
      <x:c r="BJ114" s="60"/>
      <x:c r="BK114" s="58">
        <x:f>(($O114*BI114)/100)+(BJ114*12)</x:f>
      </x:c>
      <x:c r="BL114" s="47"/>
      <x:c r="BM114" s="60"/>
      <x:c r="BN114" s="58">
        <x:f>(($O114*BL114)/100)+(BM114*12)</x:f>
      </x:c>
      <x:c r="BO114" s="47"/>
      <x:c r="BP114" s="60"/>
      <x:c r="BQ114" s="58">
        <x:f>(($O114*BO114)/100)+(BP114*12)</x:f>
      </x:c>
      <x:c r="BR114" s="47"/>
      <x:c r="BS114" s="60"/>
      <x:c r="BT114" s="58">
        <x:f>(($O114*BR114)/100)+(BS114*12)</x:f>
      </x:c>
      <x:c r="BU114" s="47"/>
      <x:c r="BV114" s="60"/>
      <x:c r="BW114" s="58">
        <x:f>(($O114*BU114)/100)+(BV114*12)</x:f>
      </x:c>
      <x:c r="BX114" s="47"/>
      <x:c r="BY114" s="60"/>
      <x:c r="BZ114" s="58">
        <x:f>(($O114*BX114)/100)+(BY114*12)</x:f>
      </x:c>
      <x:c r="CA114" s="47"/>
      <x:c r="CB114" s="60"/>
      <x:c r="CC114" s="58">
        <x:f>(($O114*CA114)/100)+(CB114*12)</x:f>
      </x:c>
      <x:c r="CD114" s="47"/>
      <x:c r="CE114" s="60"/>
      <x:c r="CF114" s="58">
        <x:f>(($O114*CD114)/100)+(CE114*12)</x:f>
      </x:c>
      <x:c r="CG114" s="47"/>
      <x:c r="CH114" s="60"/>
      <x:c r="CI114" s="58">
        <x:f>(($O114*CG114)/100)+(CH114*12)</x:f>
      </x:c>
      <x:c r="CJ114" s="47"/>
      <x:c r="CK114" s="60"/>
      <x:c r="CL114" s="58">
        <x:f>(($O114*CJ114)/100)+(CK114*12)</x:f>
      </x:c>
      <x:c r="CM114" s="47"/>
      <x:c r="CN114" s="60"/>
      <x:c r="CO114" s="58">
        <x:f>(($O114*CM114)/100)+(CN114*12)</x:f>
      </x:c>
      <x:c r="CP114" s="47"/>
      <x:c r="CQ114" s="60"/>
      <x:c r="CR114" s="58">
        <x:f>(($O114*CP114)/100)+(CQ114*12)</x:f>
      </x:c>
      <x:c r="CS114" s="47"/>
      <x:c r="CT114" s="60"/>
      <x:c r="CU114" s="58">
        <x:f>(($O114*CS114)/100)+(CT114*12)</x:f>
      </x:c>
      <x:c r="CV114" s="47"/>
      <x:c r="CW114" s="60"/>
      <x:c r="CX114" s="58"/>
      <x:c r="CY114" s="47"/>
      <x:c r="CZ114" s="60"/>
      <x:c r="DA114" s="58"/>
      <x:c r="DB114" s="47"/>
      <x:c r="DC114" s="60"/>
      <x:c r="DD114" s="58"/>
      <x:c r="DE114" s="47"/>
      <x:c r="DF114" s="60"/>
      <x:c r="DG114" s="58"/>
      <x:c r="DH114" s="47"/>
      <x:c r="DI114" s="60"/>
      <x:c r="DJ114" s="58"/>
      <x:c r="DK114" s="47"/>
      <x:c r="DL114" s="60"/>
      <x:c r="DM114" s="58"/>
      <x:c r="DN114" s="11"/>
      <x:c r="DO114" s="61"/>
      <x:c r="DP114" s="62"/>
      <x:c r="DQ114" s="11"/>
      <x:c r="DR114" s="61"/>
      <x:c r="DS114" s="62"/>
      <x:c r="DT114" s="11"/>
      <x:c r="DU114" s="61"/>
      <x:c r="DV114" s="62"/>
    </x:row>
    <x:row r="115" spans="1:126" x14ac:dyDescent="0.3">
      <x:c r="A115" s="47"/>
      <x:c r="B115" s="70"/>
      <x:c r="C115" s="70"/>
      <x:c r="D115" s="70"/>
      <x:c r="E115" s="70"/>
      <x:c r="F115" s="70"/>
      <x:c r="G115" s="70"/>
      <x:c r="H115" s="70"/>
      <x:c r="I115" s="70"/>
      <x:c r="J115" s="70"/>
      <x:c r="K115" s="190"/>
      <x:c r="L115" s="191"/>
      <x:c r="M115" s="192">
        <x:f>IF(ISERROR(INDEX('Meter Type Data'!$B$2:$E$1165,SUMPRODUCT(--('Meter Type Data'!$B$2:$B$1165&lt;=Analysis!L115)*('Meter Type Data'!$C$2:$C$1165&gt;=Analysis!L115),ROW('Meter Type Data'!$B$2:$B$1165))-1,4))," ",INDEX('Meter Type Data'!$B$2:$E$1165,SUMPRODUCT(--('Meter Type Data'!$B$2:$B$1165&lt;=Analysis!L115)*('Meter Type Data'!$C$2:$C$1165&gt;=Analysis!L115),ROW('Meter Type Data'!$B$2:$B$1165))-1,4))</x:f>
      </x:c>
      <x:c r="N115" s="192">
        <x:f>IF(ISERROR(INDEX('Meter Type Data'!$B$2:$D$1165,SUMPRODUCT(--('Meter Type Data'!$B$2:$B$1165&lt;=Analysis!L115)*('Meter Type Data'!$C$2:$C$1165&gt;=Analysis!L115),ROW('Meter Type Data'!$B$2:$B$1165))-1,3))," ",INDEX('Meter Type Data'!$B$2:$D$1165,SUMPRODUCT(--('Meter Type Data'!$B$2:$B$1165&lt;=Analysis!L115)*('Meter Type Data'!$C$2:$C$1165&gt;=Analysis!L115),ROW('Meter Type Data'!$B$2:$B$1165))-1,3))</x:f>
      </x:c>
      <x:c r="O115" s="69"/>
      <x:c r="P115" s="47"/>
      <x:c r="Q115" s="60"/>
      <x:c r="R115" s="58">
        <x:f>(($O115*P115)/100)+(Q115*12)</x:f>
      </x:c>
      <x:c r="S115" s="59"/>
      <x:c r="T115" s="59"/>
      <x:c r="U115" s="58">
        <x:f>(($O115*S115)/100)+(T115*12)</x:f>
      </x:c>
      <x:c r="V115" s="47"/>
      <x:c r="W115" s="60"/>
      <x:c r="X115" s="58">
        <x:f>(($O115*V115)/100)+(W115*12)</x:f>
      </x:c>
      <x:c r="Y115" s="47"/>
      <x:c r="Z115" s="60"/>
      <x:c r="AA115" s="58">
        <x:f>(($O115*Y115)/100)+(Z115*12)</x:f>
      </x:c>
      <x:c r="AB115" s="47"/>
      <x:c r="AC115" s="60"/>
      <x:c r="AD115" s="58">
        <x:f>(($O115*AB115)/100)+(AC115*12)</x:f>
      </x:c>
      <x:c r="AE115" s="47"/>
      <x:c r="AF115" s="60"/>
      <x:c r="AG115" s="58">
        <x:f>(($O115*AE115)/100)+(AF115*12)</x:f>
      </x:c>
      <x:c r="AH115" s="47"/>
      <x:c r="AI115" s="60"/>
      <x:c r="AJ115" s="58">
        <x:f>(($O115*AH115)/100)+(AI115*12)</x:f>
      </x:c>
      <x:c r="AK115" s="47"/>
      <x:c r="AL115" s="60"/>
      <x:c r="AM115" s="58">
        <x:f>(($O115*AK115)/100)+(AL115*12)</x:f>
      </x:c>
      <x:c r="AN115" s="47"/>
      <x:c r="AO115" s="60"/>
      <x:c r="AP115" s="58">
        <x:f>(($O115*AN115)/100)+(AO115*12)</x:f>
      </x:c>
      <x:c r="AQ115" s="47"/>
      <x:c r="AR115" s="60"/>
      <x:c r="AS115" s="58">
        <x:f>(($O115*AQ115)/100)+(AR115*12)</x:f>
      </x:c>
      <x:c r="AT115" s="47"/>
      <x:c r="AU115" s="60"/>
      <x:c r="AV115" s="58">
        <x:f>(($O115*AT115)/100)+(AU115*12)</x:f>
      </x:c>
      <x:c r="AW115" s="47"/>
      <x:c r="AX115" s="60"/>
      <x:c r="AY115" s="58">
        <x:f>(($O115*AW115)/100)+(AX115*12)</x:f>
      </x:c>
      <x:c r="AZ115" s="47"/>
      <x:c r="BA115" s="60"/>
      <x:c r="BB115" s="58">
        <x:f>(($O115*AZ115)/100)+(BA115*12)</x:f>
      </x:c>
      <x:c r="BC115" s="47"/>
      <x:c r="BD115" s="60"/>
      <x:c r="BE115" s="58">
        <x:f>(($O115*BC115)/100)+(BD115*12)</x:f>
      </x:c>
      <x:c r="BF115" s="47"/>
      <x:c r="BG115" s="60"/>
      <x:c r="BH115" s="58">
        <x:f>(($O115*BF115)/100)+(BG115*12)</x:f>
      </x:c>
      <x:c r="BI115" s="47"/>
      <x:c r="BJ115" s="60"/>
      <x:c r="BK115" s="58">
        <x:f>(($O115*BI115)/100)+(BJ115*12)</x:f>
      </x:c>
      <x:c r="BL115" s="47"/>
      <x:c r="BM115" s="60"/>
      <x:c r="BN115" s="58">
        <x:f>(($O115*BL115)/100)+(BM115*12)</x:f>
      </x:c>
      <x:c r="BO115" s="47"/>
      <x:c r="BP115" s="60"/>
      <x:c r="BQ115" s="58">
        <x:f>(($O115*BO115)/100)+(BP115*12)</x:f>
      </x:c>
      <x:c r="BR115" s="47"/>
      <x:c r="BS115" s="60"/>
      <x:c r="BT115" s="58">
        <x:f>(($O115*BR115)/100)+(BS115*12)</x:f>
      </x:c>
      <x:c r="BU115" s="47"/>
      <x:c r="BV115" s="60"/>
      <x:c r="BW115" s="58">
        <x:f>(($O115*BU115)/100)+(BV115*12)</x:f>
      </x:c>
      <x:c r="BX115" s="47"/>
      <x:c r="BY115" s="60"/>
      <x:c r="BZ115" s="58">
        <x:f>(($O115*BX115)/100)+(BY115*12)</x:f>
      </x:c>
      <x:c r="CA115" s="47"/>
      <x:c r="CB115" s="60"/>
      <x:c r="CC115" s="58">
        <x:f>(($O115*CA115)/100)+(CB115*12)</x:f>
      </x:c>
      <x:c r="CD115" s="47"/>
      <x:c r="CE115" s="60"/>
      <x:c r="CF115" s="58">
        <x:f>(($O115*CD115)/100)+(CE115*12)</x:f>
      </x:c>
      <x:c r="CG115" s="47"/>
      <x:c r="CH115" s="60"/>
      <x:c r="CI115" s="58">
        <x:f>(($O115*CG115)/100)+(CH115*12)</x:f>
      </x:c>
      <x:c r="CJ115" s="47"/>
      <x:c r="CK115" s="60"/>
      <x:c r="CL115" s="58">
        <x:f>(($O115*CJ115)/100)+(CK115*12)</x:f>
      </x:c>
      <x:c r="CM115" s="47"/>
      <x:c r="CN115" s="60"/>
      <x:c r="CO115" s="58">
        <x:f>(($O115*CM115)/100)+(CN115*12)</x:f>
      </x:c>
      <x:c r="CP115" s="47"/>
      <x:c r="CQ115" s="60"/>
      <x:c r="CR115" s="58">
        <x:f>(($O115*CP115)/100)+(CQ115*12)</x:f>
      </x:c>
      <x:c r="CS115" s="47"/>
      <x:c r="CT115" s="60"/>
      <x:c r="CU115" s="58">
        <x:f>(($O115*CS115)/100)+(CT115*12)</x:f>
      </x:c>
      <x:c r="CV115" s="47"/>
      <x:c r="CW115" s="60"/>
      <x:c r="CX115" s="58"/>
      <x:c r="CY115" s="47"/>
      <x:c r="CZ115" s="60"/>
      <x:c r="DA115" s="58"/>
      <x:c r="DB115" s="47"/>
      <x:c r="DC115" s="60"/>
      <x:c r="DD115" s="58"/>
      <x:c r="DE115" s="47"/>
      <x:c r="DF115" s="60"/>
      <x:c r="DG115" s="58"/>
      <x:c r="DH115" s="47"/>
      <x:c r="DI115" s="60"/>
      <x:c r="DJ115" s="58"/>
      <x:c r="DK115" s="47"/>
      <x:c r="DL115" s="60"/>
      <x:c r="DM115" s="58"/>
      <x:c r="DN115" s="11"/>
      <x:c r="DO115" s="61"/>
      <x:c r="DP115" s="62"/>
      <x:c r="DQ115" s="11"/>
      <x:c r="DR115" s="61"/>
      <x:c r="DS115" s="62"/>
      <x:c r="DT115" s="11"/>
      <x:c r="DU115" s="61"/>
      <x:c r="DV115" s="62"/>
    </x:row>
    <x:row r="116" spans="1:126" x14ac:dyDescent="0.3">
      <x:c r="A116" s="47"/>
      <x:c r="B116" s="70"/>
      <x:c r="C116" s="70"/>
      <x:c r="D116" s="70"/>
      <x:c r="E116" s="70"/>
      <x:c r="F116" s="70"/>
      <x:c r="G116" s="70"/>
      <x:c r="H116" s="70"/>
      <x:c r="I116" s="70"/>
      <x:c r="J116" s="70"/>
      <x:c r="K116" s="190"/>
      <x:c r="L116" s="191"/>
      <x:c r="M116" s="192">
        <x:f>IF(ISERROR(INDEX('Meter Type Data'!$B$2:$E$1165,SUMPRODUCT(--('Meter Type Data'!$B$2:$B$1165&lt;=Analysis!L116)*('Meter Type Data'!$C$2:$C$1165&gt;=Analysis!L116),ROW('Meter Type Data'!$B$2:$B$1165))-1,4))," ",INDEX('Meter Type Data'!$B$2:$E$1165,SUMPRODUCT(--('Meter Type Data'!$B$2:$B$1165&lt;=Analysis!L116)*('Meter Type Data'!$C$2:$C$1165&gt;=Analysis!L116),ROW('Meter Type Data'!$B$2:$B$1165))-1,4))</x:f>
      </x:c>
      <x:c r="N116" s="192">
        <x:f>IF(ISERROR(INDEX('Meter Type Data'!$B$2:$D$1165,SUMPRODUCT(--('Meter Type Data'!$B$2:$B$1165&lt;=Analysis!L116)*('Meter Type Data'!$C$2:$C$1165&gt;=Analysis!L116),ROW('Meter Type Data'!$B$2:$B$1165))-1,3))," ",INDEX('Meter Type Data'!$B$2:$D$1165,SUMPRODUCT(--('Meter Type Data'!$B$2:$B$1165&lt;=Analysis!L116)*('Meter Type Data'!$C$2:$C$1165&gt;=Analysis!L116),ROW('Meter Type Data'!$B$2:$B$1165))-1,3))</x:f>
      </x:c>
      <x:c r="O116" s="69"/>
      <x:c r="P116" s="47"/>
      <x:c r="Q116" s="60"/>
      <x:c r="R116" s="58">
        <x:f>(($O116*P116)/100)+(Q116*12)</x:f>
      </x:c>
      <x:c r="S116" s="59"/>
      <x:c r="T116" s="59"/>
      <x:c r="U116" s="58">
        <x:f>(($O116*S116)/100)+(T116*12)</x:f>
      </x:c>
      <x:c r="V116" s="47"/>
      <x:c r="W116" s="60"/>
      <x:c r="X116" s="58">
        <x:f>(($O116*V116)/100)+(W116*12)</x:f>
      </x:c>
      <x:c r="Y116" s="47"/>
      <x:c r="Z116" s="60"/>
      <x:c r="AA116" s="58">
        <x:f>(($O116*Y116)/100)+(Z116*12)</x:f>
      </x:c>
      <x:c r="AB116" s="47"/>
      <x:c r="AC116" s="60"/>
      <x:c r="AD116" s="58">
        <x:f>(($O116*AB116)/100)+(AC116*12)</x:f>
      </x:c>
      <x:c r="AE116" s="47"/>
      <x:c r="AF116" s="60"/>
      <x:c r="AG116" s="58">
        <x:f>(($O116*AE116)/100)+(AF116*12)</x:f>
      </x:c>
      <x:c r="AH116" s="47"/>
      <x:c r="AI116" s="60"/>
      <x:c r="AJ116" s="58">
        <x:f>(($O116*AH116)/100)+(AI116*12)</x:f>
      </x:c>
      <x:c r="AK116" s="47"/>
      <x:c r="AL116" s="60"/>
      <x:c r="AM116" s="58">
        <x:f>(($O116*AK116)/100)+(AL116*12)</x:f>
      </x:c>
      <x:c r="AN116" s="47"/>
      <x:c r="AO116" s="60"/>
      <x:c r="AP116" s="58">
        <x:f>(($O116*AN116)/100)+(AO116*12)</x:f>
      </x:c>
      <x:c r="AQ116" s="47"/>
      <x:c r="AR116" s="60"/>
      <x:c r="AS116" s="58">
        <x:f>(($O116*AQ116)/100)+(AR116*12)</x:f>
      </x:c>
      <x:c r="AT116" s="47"/>
      <x:c r="AU116" s="60"/>
      <x:c r="AV116" s="58">
        <x:f>(($O116*AT116)/100)+(AU116*12)</x:f>
      </x:c>
      <x:c r="AW116" s="47"/>
      <x:c r="AX116" s="60"/>
      <x:c r="AY116" s="58">
        <x:f>(($O116*AW116)/100)+(AX116*12)</x:f>
      </x:c>
      <x:c r="AZ116" s="47"/>
      <x:c r="BA116" s="60"/>
      <x:c r="BB116" s="58">
        <x:f>(($O116*AZ116)/100)+(BA116*12)</x:f>
      </x:c>
      <x:c r="BC116" s="47"/>
      <x:c r="BD116" s="60"/>
      <x:c r="BE116" s="58">
        <x:f>(($O116*BC116)/100)+(BD116*12)</x:f>
      </x:c>
      <x:c r="BF116" s="47"/>
      <x:c r="BG116" s="60"/>
      <x:c r="BH116" s="58">
        <x:f>(($O116*BF116)/100)+(BG116*12)</x:f>
      </x:c>
      <x:c r="BI116" s="47"/>
      <x:c r="BJ116" s="60"/>
      <x:c r="BK116" s="58">
        <x:f>(($O116*BI116)/100)+(BJ116*12)</x:f>
      </x:c>
      <x:c r="BL116" s="47"/>
      <x:c r="BM116" s="60"/>
      <x:c r="BN116" s="58">
        <x:f>(($O116*BL116)/100)+(BM116*12)</x:f>
      </x:c>
      <x:c r="BO116" s="47"/>
      <x:c r="BP116" s="60"/>
      <x:c r="BQ116" s="58">
        <x:f>(($O116*BO116)/100)+(BP116*12)</x:f>
      </x:c>
      <x:c r="BR116" s="47"/>
      <x:c r="BS116" s="60"/>
      <x:c r="BT116" s="58">
        <x:f>(($O116*BR116)/100)+(BS116*12)</x:f>
      </x:c>
      <x:c r="BU116" s="47"/>
      <x:c r="BV116" s="60"/>
      <x:c r="BW116" s="58">
        <x:f>(($O116*BU116)/100)+(BV116*12)</x:f>
      </x:c>
      <x:c r="BX116" s="47"/>
      <x:c r="BY116" s="60"/>
      <x:c r="BZ116" s="58">
        <x:f>(($O116*BX116)/100)+(BY116*12)</x:f>
      </x:c>
      <x:c r="CA116" s="47"/>
      <x:c r="CB116" s="60"/>
      <x:c r="CC116" s="58">
        <x:f>(($O116*CA116)/100)+(CB116*12)</x:f>
      </x:c>
      <x:c r="CD116" s="47"/>
      <x:c r="CE116" s="60"/>
      <x:c r="CF116" s="58">
        <x:f>(($O116*CD116)/100)+(CE116*12)</x:f>
      </x:c>
      <x:c r="CG116" s="47"/>
      <x:c r="CH116" s="60"/>
      <x:c r="CI116" s="58">
        <x:f>(($O116*CG116)/100)+(CH116*12)</x:f>
      </x:c>
      <x:c r="CJ116" s="47"/>
      <x:c r="CK116" s="60"/>
      <x:c r="CL116" s="58">
        <x:f>(($O116*CJ116)/100)+(CK116*12)</x:f>
      </x:c>
      <x:c r="CM116" s="47"/>
      <x:c r="CN116" s="60"/>
      <x:c r="CO116" s="58">
        <x:f>(($O116*CM116)/100)+(CN116*12)</x:f>
      </x:c>
      <x:c r="CP116" s="47"/>
      <x:c r="CQ116" s="60"/>
      <x:c r="CR116" s="58">
        <x:f>(($O116*CP116)/100)+(CQ116*12)</x:f>
      </x:c>
      <x:c r="CS116" s="47"/>
      <x:c r="CT116" s="60"/>
      <x:c r="CU116" s="58">
        <x:f>(($O116*CS116)/100)+(CT116*12)</x:f>
      </x:c>
      <x:c r="CV116" s="47"/>
      <x:c r="CW116" s="60"/>
      <x:c r="CX116" s="58"/>
      <x:c r="CY116" s="47"/>
      <x:c r="CZ116" s="60"/>
      <x:c r="DA116" s="58"/>
      <x:c r="DB116" s="47"/>
      <x:c r="DC116" s="60"/>
      <x:c r="DD116" s="58"/>
      <x:c r="DE116" s="47"/>
      <x:c r="DF116" s="60"/>
      <x:c r="DG116" s="58"/>
      <x:c r="DH116" s="47"/>
      <x:c r="DI116" s="60"/>
      <x:c r="DJ116" s="58"/>
      <x:c r="DK116" s="47"/>
      <x:c r="DL116" s="60"/>
      <x:c r="DM116" s="58"/>
      <x:c r="DN116" s="11"/>
      <x:c r="DO116" s="61"/>
      <x:c r="DP116" s="62"/>
      <x:c r="DQ116" s="11"/>
      <x:c r="DR116" s="61"/>
      <x:c r="DS116" s="62"/>
      <x:c r="DT116" s="11"/>
      <x:c r="DU116" s="61"/>
      <x:c r="DV116" s="62"/>
    </x:row>
    <x:row r="117" spans="1:126" x14ac:dyDescent="0.3">
      <x:c r="A117" s="47"/>
      <x:c r="B117" s="70"/>
      <x:c r="C117" s="70"/>
      <x:c r="D117" s="70"/>
      <x:c r="E117" s="70"/>
      <x:c r="F117" s="70"/>
      <x:c r="G117" s="70"/>
      <x:c r="H117" s="70"/>
      <x:c r="I117" s="70"/>
      <x:c r="J117" s="70"/>
      <x:c r="K117" s="190"/>
      <x:c r="L117" s="191"/>
      <x:c r="M117" s="192">
        <x:f>IF(ISERROR(INDEX('Meter Type Data'!$B$2:$E$1165,SUMPRODUCT(--('Meter Type Data'!$B$2:$B$1165&lt;=Analysis!L117)*('Meter Type Data'!$C$2:$C$1165&gt;=Analysis!L117),ROW('Meter Type Data'!$B$2:$B$1165))-1,4))," ",INDEX('Meter Type Data'!$B$2:$E$1165,SUMPRODUCT(--('Meter Type Data'!$B$2:$B$1165&lt;=Analysis!L117)*('Meter Type Data'!$C$2:$C$1165&gt;=Analysis!L117),ROW('Meter Type Data'!$B$2:$B$1165))-1,4))</x:f>
      </x:c>
      <x:c r="N117" s="192">
        <x:f>IF(ISERROR(INDEX('Meter Type Data'!$B$2:$D$1165,SUMPRODUCT(--('Meter Type Data'!$B$2:$B$1165&lt;=Analysis!L117)*('Meter Type Data'!$C$2:$C$1165&gt;=Analysis!L117),ROW('Meter Type Data'!$B$2:$B$1165))-1,3))," ",INDEX('Meter Type Data'!$B$2:$D$1165,SUMPRODUCT(--('Meter Type Data'!$B$2:$B$1165&lt;=Analysis!L117)*('Meter Type Data'!$C$2:$C$1165&gt;=Analysis!L117),ROW('Meter Type Data'!$B$2:$B$1165))-1,3))</x:f>
      </x:c>
      <x:c r="O117" s="69"/>
      <x:c r="P117" s="47"/>
      <x:c r="Q117" s="60"/>
      <x:c r="R117" s="58">
        <x:f>(($O117*P117)/100)+(Q117*12)</x:f>
      </x:c>
      <x:c r="S117" s="59"/>
      <x:c r="T117" s="59"/>
      <x:c r="U117" s="58">
        <x:f>(($O117*S117)/100)+(T117*12)</x:f>
      </x:c>
      <x:c r="V117" s="47"/>
      <x:c r="W117" s="60"/>
      <x:c r="X117" s="58">
        <x:f>(($O117*V117)/100)+(W117*12)</x:f>
      </x:c>
      <x:c r="Y117" s="47"/>
      <x:c r="Z117" s="60"/>
      <x:c r="AA117" s="58">
        <x:f>(($O117*Y117)/100)+(Z117*12)</x:f>
      </x:c>
      <x:c r="AB117" s="47"/>
      <x:c r="AC117" s="60"/>
      <x:c r="AD117" s="58">
        <x:f>(($O117*AB117)/100)+(AC117*12)</x:f>
      </x:c>
      <x:c r="AE117" s="47"/>
      <x:c r="AF117" s="60"/>
      <x:c r="AG117" s="58">
        <x:f>(($O117*AE117)/100)+(AF117*12)</x:f>
      </x:c>
      <x:c r="AH117" s="47"/>
      <x:c r="AI117" s="60"/>
      <x:c r="AJ117" s="58">
        <x:f>(($O117*AH117)/100)+(AI117*12)</x:f>
      </x:c>
      <x:c r="AK117" s="47"/>
      <x:c r="AL117" s="60"/>
      <x:c r="AM117" s="58">
        <x:f>(($O117*AK117)/100)+(AL117*12)</x:f>
      </x:c>
      <x:c r="AN117" s="47"/>
      <x:c r="AO117" s="60"/>
      <x:c r="AP117" s="58">
        <x:f>(($O117*AN117)/100)+(AO117*12)</x:f>
      </x:c>
      <x:c r="AQ117" s="47"/>
      <x:c r="AR117" s="60"/>
      <x:c r="AS117" s="58">
        <x:f>(($O117*AQ117)/100)+(AR117*12)</x:f>
      </x:c>
      <x:c r="AT117" s="47"/>
      <x:c r="AU117" s="60"/>
      <x:c r="AV117" s="58">
        <x:f>(($O117*AT117)/100)+(AU117*12)</x:f>
      </x:c>
      <x:c r="AW117" s="47"/>
      <x:c r="AX117" s="60"/>
      <x:c r="AY117" s="58">
        <x:f>(($O117*AW117)/100)+(AX117*12)</x:f>
      </x:c>
      <x:c r="AZ117" s="47"/>
      <x:c r="BA117" s="60"/>
      <x:c r="BB117" s="58">
        <x:f>(($O117*AZ117)/100)+(BA117*12)</x:f>
      </x:c>
      <x:c r="BC117" s="47"/>
      <x:c r="BD117" s="60"/>
      <x:c r="BE117" s="58">
        <x:f>(($O117*BC117)/100)+(BD117*12)</x:f>
      </x:c>
      <x:c r="BF117" s="47"/>
      <x:c r="BG117" s="60"/>
      <x:c r="BH117" s="58">
        <x:f>(($O117*BF117)/100)+(BG117*12)</x:f>
      </x:c>
      <x:c r="BI117" s="47"/>
      <x:c r="BJ117" s="60"/>
      <x:c r="BK117" s="58">
        <x:f>(($O117*BI117)/100)+(BJ117*12)</x:f>
      </x:c>
      <x:c r="BL117" s="47"/>
      <x:c r="BM117" s="60"/>
      <x:c r="BN117" s="58">
        <x:f>(($O117*BL117)/100)+(BM117*12)</x:f>
      </x:c>
      <x:c r="BO117" s="47"/>
      <x:c r="BP117" s="60"/>
      <x:c r="BQ117" s="58">
        <x:f>(($O117*BO117)/100)+(BP117*12)</x:f>
      </x:c>
      <x:c r="BR117" s="47"/>
      <x:c r="BS117" s="60"/>
      <x:c r="BT117" s="58">
        <x:f>(($O117*BR117)/100)+(BS117*12)</x:f>
      </x:c>
      <x:c r="BU117" s="47"/>
      <x:c r="BV117" s="60"/>
      <x:c r="BW117" s="58">
        <x:f>(($O117*BU117)/100)+(BV117*12)</x:f>
      </x:c>
      <x:c r="BX117" s="47"/>
      <x:c r="BY117" s="60"/>
      <x:c r="BZ117" s="58">
        <x:f>(($O117*BX117)/100)+(BY117*12)</x:f>
      </x:c>
      <x:c r="CA117" s="47"/>
      <x:c r="CB117" s="60"/>
      <x:c r="CC117" s="58">
        <x:f>(($O117*CA117)/100)+(CB117*12)</x:f>
      </x:c>
      <x:c r="CD117" s="47"/>
      <x:c r="CE117" s="60"/>
      <x:c r="CF117" s="58">
        <x:f>(($O117*CD117)/100)+(CE117*12)</x:f>
      </x:c>
      <x:c r="CG117" s="47"/>
      <x:c r="CH117" s="60"/>
      <x:c r="CI117" s="58">
        <x:f>(($O117*CG117)/100)+(CH117*12)</x:f>
      </x:c>
      <x:c r="CJ117" s="47"/>
      <x:c r="CK117" s="60"/>
      <x:c r="CL117" s="58">
        <x:f>(($O117*CJ117)/100)+(CK117*12)</x:f>
      </x:c>
      <x:c r="CM117" s="47"/>
      <x:c r="CN117" s="60"/>
      <x:c r="CO117" s="58">
        <x:f>(($O117*CM117)/100)+(CN117*12)</x:f>
      </x:c>
      <x:c r="CP117" s="47"/>
      <x:c r="CQ117" s="60"/>
      <x:c r="CR117" s="58">
        <x:f>(($O117*CP117)/100)+(CQ117*12)</x:f>
      </x:c>
      <x:c r="CS117" s="47"/>
      <x:c r="CT117" s="60"/>
      <x:c r="CU117" s="58">
        <x:f>(($O117*CS117)/100)+(CT117*12)</x:f>
      </x:c>
      <x:c r="CV117" s="47"/>
      <x:c r="CW117" s="60"/>
      <x:c r="CX117" s="58"/>
      <x:c r="CY117" s="47"/>
      <x:c r="CZ117" s="60"/>
      <x:c r="DA117" s="58"/>
      <x:c r="DB117" s="47"/>
      <x:c r="DC117" s="60"/>
      <x:c r="DD117" s="58"/>
      <x:c r="DE117" s="47"/>
      <x:c r="DF117" s="60"/>
      <x:c r="DG117" s="58"/>
      <x:c r="DH117" s="47"/>
      <x:c r="DI117" s="60"/>
      <x:c r="DJ117" s="58"/>
      <x:c r="DK117" s="47"/>
      <x:c r="DL117" s="60"/>
      <x:c r="DM117" s="58"/>
      <x:c r="DN117" s="11"/>
      <x:c r="DO117" s="61"/>
      <x:c r="DP117" s="62"/>
      <x:c r="DQ117" s="11"/>
      <x:c r="DR117" s="61"/>
      <x:c r="DS117" s="62"/>
      <x:c r="DT117" s="11"/>
      <x:c r="DU117" s="61"/>
      <x:c r="DV117" s="62"/>
    </x:row>
    <x:row r="118" spans="1:126" x14ac:dyDescent="0.3">
      <x:c r="A118" s="47"/>
      <x:c r="B118" s="70"/>
      <x:c r="C118" s="70"/>
      <x:c r="D118" s="70"/>
      <x:c r="E118" s="70"/>
      <x:c r="F118" s="70"/>
      <x:c r="G118" s="70"/>
      <x:c r="H118" s="70"/>
      <x:c r="I118" s="70"/>
      <x:c r="J118" s="70"/>
      <x:c r="K118" s="190"/>
      <x:c r="L118" s="191"/>
      <x:c r="M118" s="192">
        <x:f>IF(ISERROR(INDEX('Meter Type Data'!$B$2:$E$1165,SUMPRODUCT(--('Meter Type Data'!$B$2:$B$1165&lt;=Analysis!L118)*('Meter Type Data'!$C$2:$C$1165&gt;=Analysis!L118),ROW('Meter Type Data'!$B$2:$B$1165))-1,4))," ",INDEX('Meter Type Data'!$B$2:$E$1165,SUMPRODUCT(--('Meter Type Data'!$B$2:$B$1165&lt;=Analysis!L118)*('Meter Type Data'!$C$2:$C$1165&gt;=Analysis!L118),ROW('Meter Type Data'!$B$2:$B$1165))-1,4))</x:f>
      </x:c>
      <x:c r="N118" s="192">
        <x:f>IF(ISERROR(INDEX('Meter Type Data'!$B$2:$D$1165,SUMPRODUCT(--('Meter Type Data'!$B$2:$B$1165&lt;=Analysis!L118)*('Meter Type Data'!$C$2:$C$1165&gt;=Analysis!L118),ROW('Meter Type Data'!$B$2:$B$1165))-1,3))," ",INDEX('Meter Type Data'!$B$2:$D$1165,SUMPRODUCT(--('Meter Type Data'!$B$2:$B$1165&lt;=Analysis!L118)*('Meter Type Data'!$C$2:$C$1165&gt;=Analysis!L118),ROW('Meter Type Data'!$B$2:$B$1165))-1,3))</x:f>
      </x:c>
      <x:c r="O118" s="69"/>
      <x:c r="P118" s="47"/>
      <x:c r="Q118" s="60"/>
      <x:c r="R118" s="58">
        <x:f>(($O118*P118)/100)+(Q118*12)</x:f>
      </x:c>
      <x:c r="S118" s="59"/>
      <x:c r="T118" s="59"/>
      <x:c r="U118" s="58">
        <x:f>(($O118*S118)/100)+(T118*12)</x:f>
      </x:c>
      <x:c r="V118" s="47"/>
      <x:c r="W118" s="60"/>
      <x:c r="X118" s="58">
        <x:f>(($O118*V118)/100)+(W118*12)</x:f>
      </x:c>
      <x:c r="Y118" s="47"/>
      <x:c r="Z118" s="60"/>
      <x:c r="AA118" s="58">
        <x:f>(($O118*Y118)/100)+(Z118*12)</x:f>
      </x:c>
      <x:c r="AB118" s="47"/>
      <x:c r="AC118" s="60"/>
      <x:c r="AD118" s="58">
        <x:f>(($O118*AB118)/100)+(AC118*12)</x:f>
      </x:c>
      <x:c r="AE118" s="47"/>
      <x:c r="AF118" s="60"/>
      <x:c r="AG118" s="58">
        <x:f>(($O118*AE118)/100)+(AF118*12)</x:f>
      </x:c>
      <x:c r="AH118" s="47"/>
      <x:c r="AI118" s="60"/>
      <x:c r="AJ118" s="58">
        <x:f>(($O118*AH118)/100)+(AI118*12)</x:f>
      </x:c>
      <x:c r="AK118" s="47"/>
      <x:c r="AL118" s="60"/>
      <x:c r="AM118" s="58">
        <x:f>(($O118*AK118)/100)+(AL118*12)</x:f>
      </x:c>
      <x:c r="AN118" s="47"/>
      <x:c r="AO118" s="60"/>
      <x:c r="AP118" s="58">
        <x:f>(($O118*AN118)/100)+(AO118*12)</x:f>
      </x:c>
      <x:c r="AQ118" s="47"/>
      <x:c r="AR118" s="60"/>
      <x:c r="AS118" s="58">
        <x:f>(($O118*AQ118)/100)+(AR118*12)</x:f>
      </x:c>
      <x:c r="AT118" s="47"/>
      <x:c r="AU118" s="60"/>
      <x:c r="AV118" s="58">
        <x:f>(($O118*AT118)/100)+(AU118*12)</x:f>
      </x:c>
      <x:c r="AW118" s="47"/>
      <x:c r="AX118" s="60"/>
      <x:c r="AY118" s="58">
        <x:f>(($O118*AW118)/100)+(AX118*12)</x:f>
      </x:c>
      <x:c r="AZ118" s="47"/>
      <x:c r="BA118" s="60"/>
      <x:c r="BB118" s="58">
        <x:f>(($O118*AZ118)/100)+(BA118*12)</x:f>
      </x:c>
      <x:c r="BC118" s="47"/>
      <x:c r="BD118" s="60"/>
      <x:c r="BE118" s="58">
        <x:f>(($O118*BC118)/100)+(BD118*12)</x:f>
      </x:c>
      <x:c r="BF118" s="47"/>
      <x:c r="BG118" s="60"/>
      <x:c r="BH118" s="58">
        <x:f>(($O118*BF118)/100)+(BG118*12)</x:f>
      </x:c>
      <x:c r="BI118" s="47"/>
      <x:c r="BJ118" s="60"/>
      <x:c r="BK118" s="58">
        <x:f>(($O118*BI118)/100)+(BJ118*12)</x:f>
      </x:c>
      <x:c r="BL118" s="47"/>
      <x:c r="BM118" s="60"/>
      <x:c r="BN118" s="58">
        <x:f>(($O118*BL118)/100)+(BM118*12)</x:f>
      </x:c>
      <x:c r="BO118" s="47"/>
      <x:c r="BP118" s="60"/>
      <x:c r="BQ118" s="58">
        <x:f>(($O118*BO118)/100)+(BP118*12)</x:f>
      </x:c>
      <x:c r="BR118" s="47"/>
      <x:c r="BS118" s="60"/>
      <x:c r="BT118" s="58">
        <x:f>(($O118*BR118)/100)+(BS118*12)</x:f>
      </x:c>
      <x:c r="BU118" s="47"/>
      <x:c r="BV118" s="60"/>
      <x:c r="BW118" s="58">
        <x:f>(($O118*BU118)/100)+(BV118*12)</x:f>
      </x:c>
      <x:c r="BX118" s="47"/>
      <x:c r="BY118" s="60"/>
      <x:c r="BZ118" s="58">
        <x:f>(($O118*BX118)/100)+(BY118*12)</x:f>
      </x:c>
      <x:c r="CA118" s="47"/>
      <x:c r="CB118" s="60"/>
      <x:c r="CC118" s="58">
        <x:f>(($O118*CA118)/100)+(CB118*12)</x:f>
      </x:c>
      <x:c r="CD118" s="47"/>
      <x:c r="CE118" s="60"/>
      <x:c r="CF118" s="58">
        <x:f>(($O118*CD118)/100)+(CE118*12)</x:f>
      </x:c>
      <x:c r="CG118" s="47"/>
      <x:c r="CH118" s="60"/>
      <x:c r="CI118" s="58">
        <x:f>(($O118*CG118)/100)+(CH118*12)</x:f>
      </x:c>
      <x:c r="CJ118" s="47"/>
      <x:c r="CK118" s="60"/>
      <x:c r="CL118" s="58">
        <x:f>(($O118*CJ118)/100)+(CK118*12)</x:f>
      </x:c>
      <x:c r="CM118" s="47"/>
      <x:c r="CN118" s="60"/>
      <x:c r="CO118" s="58">
        <x:f>(($O118*CM118)/100)+(CN118*12)</x:f>
      </x:c>
      <x:c r="CP118" s="47"/>
      <x:c r="CQ118" s="60"/>
      <x:c r="CR118" s="58">
        <x:f>(($O118*CP118)/100)+(CQ118*12)</x:f>
      </x:c>
      <x:c r="CS118" s="47"/>
      <x:c r="CT118" s="60"/>
      <x:c r="CU118" s="58">
        <x:f>(($O118*CS118)/100)+(CT118*12)</x:f>
      </x:c>
      <x:c r="CV118" s="47"/>
      <x:c r="CW118" s="60"/>
      <x:c r="CX118" s="58"/>
      <x:c r="CY118" s="47"/>
      <x:c r="CZ118" s="60"/>
      <x:c r="DA118" s="58"/>
      <x:c r="DB118" s="47"/>
      <x:c r="DC118" s="60"/>
      <x:c r="DD118" s="58"/>
      <x:c r="DE118" s="47"/>
      <x:c r="DF118" s="60"/>
      <x:c r="DG118" s="58"/>
      <x:c r="DH118" s="47"/>
      <x:c r="DI118" s="60"/>
      <x:c r="DJ118" s="58"/>
      <x:c r="DK118" s="47"/>
      <x:c r="DL118" s="60"/>
      <x:c r="DM118" s="58"/>
      <x:c r="DN118" s="11"/>
      <x:c r="DO118" s="61"/>
      <x:c r="DP118" s="62"/>
      <x:c r="DQ118" s="11"/>
      <x:c r="DR118" s="61"/>
      <x:c r="DS118" s="62"/>
      <x:c r="DT118" s="11"/>
      <x:c r="DU118" s="61"/>
      <x:c r="DV118" s="62"/>
    </x:row>
    <x:row r="119" spans="1:126" x14ac:dyDescent="0.3">
      <x:c r="A119" s="47"/>
      <x:c r="B119" s="70"/>
      <x:c r="C119" s="70"/>
      <x:c r="D119" s="70"/>
      <x:c r="E119" s="70"/>
      <x:c r="F119" s="70"/>
      <x:c r="G119" s="70"/>
      <x:c r="H119" s="70"/>
      <x:c r="I119" s="70"/>
      <x:c r="J119" s="70"/>
      <x:c r="K119" s="190"/>
      <x:c r="L119" s="191"/>
      <x:c r="M119" s="192">
        <x:f>IF(ISERROR(INDEX('Meter Type Data'!$B$2:$E$1165,SUMPRODUCT(--('Meter Type Data'!$B$2:$B$1165&lt;=Analysis!L119)*('Meter Type Data'!$C$2:$C$1165&gt;=Analysis!L119),ROW('Meter Type Data'!$B$2:$B$1165))-1,4))," ",INDEX('Meter Type Data'!$B$2:$E$1165,SUMPRODUCT(--('Meter Type Data'!$B$2:$B$1165&lt;=Analysis!L119)*('Meter Type Data'!$C$2:$C$1165&gt;=Analysis!L119),ROW('Meter Type Data'!$B$2:$B$1165))-1,4))</x:f>
      </x:c>
      <x:c r="N119" s="192">
        <x:f>IF(ISERROR(INDEX('Meter Type Data'!$B$2:$D$1165,SUMPRODUCT(--('Meter Type Data'!$B$2:$B$1165&lt;=Analysis!L119)*('Meter Type Data'!$C$2:$C$1165&gt;=Analysis!L119),ROW('Meter Type Data'!$B$2:$B$1165))-1,3))," ",INDEX('Meter Type Data'!$B$2:$D$1165,SUMPRODUCT(--('Meter Type Data'!$B$2:$B$1165&lt;=Analysis!L119)*('Meter Type Data'!$C$2:$C$1165&gt;=Analysis!L119),ROW('Meter Type Data'!$B$2:$B$1165))-1,3))</x:f>
      </x:c>
      <x:c r="O119" s="69"/>
      <x:c r="P119" s="47"/>
      <x:c r="Q119" s="60"/>
      <x:c r="R119" s="58">
        <x:f>(($O119*P119)/100)+(Q119*12)</x:f>
      </x:c>
      <x:c r="S119" s="59"/>
      <x:c r="T119" s="59"/>
      <x:c r="U119" s="58">
        <x:f>(($O119*S119)/100)+(T119*12)</x:f>
      </x:c>
      <x:c r="V119" s="47"/>
      <x:c r="W119" s="60"/>
      <x:c r="X119" s="58">
        <x:f>(($O119*V119)/100)+(W119*12)</x:f>
      </x:c>
      <x:c r="Y119" s="47"/>
      <x:c r="Z119" s="60"/>
      <x:c r="AA119" s="58">
        <x:f>(($O119*Y119)/100)+(Z119*12)</x:f>
      </x:c>
      <x:c r="AB119" s="47"/>
      <x:c r="AC119" s="60"/>
      <x:c r="AD119" s="58">
        <x:f>(($O119*AB119)/100)+(AC119*12)</x:f>
      </x:c>
      <x:c r="AE119" s="47"/>
      <x:c r="AF119" s="60"/>
      <x:c r="AG119" s="58">
        <x:f>(($O119*AE119)/100)+(AF119*12)</x:f>
      </x:c>
      <x:c r="AH119" s="47"/>
      <x:c r="AI119" s="60"/>
      <x:c r="AJ119" s="58">
        <x:f>(($O119*AH119)/100)+(AI119*12)</x:f>
      </x:c>
      <x:c r="AK119" s="47"/>
      <x:c r="AL119" s="60"/>
      <x:c r="AM119" s="58">
        <x:f>(($O119*AK119)/100)+(AL119*12)</x:f>
      </x:c>
      <x:c r="AN119" s="47"/>
      <x:c r="AO119" s="60"/>
      <x:c r="AP119" s="58">
        <x:f>(($O119*AN119)/100)+(AO119*12)</x:f>
      </x:c>
      <x:c r="AQ119" s="47"/>
      <x:c r="AR119" s="60"/>
      <x:c r="AS119" s="58">
        <x:f>(($O119*AQ119)/100)+(AR119*12)</x:f>
      </x:c>
      <x:c r="AT119" s="47"/>
      <x:c r="AU119" s="60"/>
      <x:c r="AV119" s="58">
        <x:f>(($O119*AT119)/100)+(AU119*12)</x:f>
      </x:c>
      <x:c r="AW119" s="47"/>
      <x:c r="AX119" s="60"/>
      <x:c r="AY119" s="58">
        <x:f>(($O119*AW119)/100)+(AX119*12)</x:f>
      </x:c>
      <x:c r="AZ119" s="47"/>
      <x:c r="BA119" s="60"/>
      <x:c r="BB119" s="58">
        <x:f>(($O119*AZ119)/100)+(BA119*12)</x:f>
      </x:c>
      <x:c r="BC119" s="47"/>
      <x:c r="BD119" s="60"/>
      <x:c r="BE119" s="58">
        <x:f>(($O119*BC119)/100)+(BD119*12)</x:f>
      </x:c>
      <x:c r="BF119" s="47"/>
      <x:c r="BG119" s="60"/>
      <x:c r="BH119" s="58">
        <x:f>(($O119*BF119)/100)+(BG119*12)</x:f>
      </x:c>
      <x:c r="BI119" s="47"/>
      <x:c r="BJ119" s="60"/>
      <x:c r="BK119" s="58">
        <x:f>(($O119*BI119)/100)+(BJ119*12)</x:f>
      </x:c>
      <x:c r="BL119" s="47"/>
      <x:c r="BM119" s="60"/>
      <x:c r="BN119" s="58">
        <x:f>(($O119*BL119)/100)+(BM119*12)</x:f>
      </x:c>
      <x:c r="BO119" s="47"/>
      <x:c r="BP119" s="60"/>
      <x:c r="BQ119" s="58">
        <x:f>(($O119*BO119)/100)+(BP119*12)</x:f>
      </x:c>
      <x:c r="BR119" s="47"/>
      <x:c r="BS119" s="60"/>
      <x:c r="BT119" s="58">
        <x:f>(($O119*BR119)/100)+(BS119*12)</x:f>
      </x:c>
      <x:c r="BU119" s="47"/>
      <x:c r="BV119" s="60"/>
      <x:c r="BW119" s="58">
        <x:f>(($O119*BU119)/100)+(BV119*12)</x:f>
      </x:c>
      <x:c r="BX119" s="47"/>
      <x:c r="BY119" s="60"/>
      <x:c r="BZ119" s="58">
        <x:f>(($O119*BX119)/100)+(BY119*12)</x:f>
      </x:c>
      <x:c r="CA119" s="47"/>
      <x:c r="CB119" s="60"/>
      <x:c r="CC119" s="58">
        <x:f>(($O119*CA119)/100)+(CB119*12)</x:f>
      </x:c>
      <x:c r="CD119" s="47"/>
      <x:c r="CE119" s="60"/>
      <x:c r="CF119" s="58">
        <x:f>(($O119*CD119)/100)+(CE119*12)</x:f>
      </x:c>
      <x:c r="CG119" s="47"/>
      <x:c r="CH119" s="60"/>
      <x:c r="CI119" s="58">
        <x:f>(($O119*CG119)/100)+(CH119*12)</x:f>
      </x:c>
      <x:c r="CJ119" s="47"/>
      <x:c r="CK119" s="60"/>
      <x:c r="CL119" s="58">
        <x:f>(($O119*CJ119)/100)+(CK119*12)</x:f>
      </x:c>
      <x:c r="CM119" s="47"/>
      <x:c r="CN119" s="60"/>
      <x:c r="CO119" s="58">
        <x:f>(($O119*CM119)/100)+(CN119*12)</x:f>
      </x:c>
      <x:c r="CP119" s="47"/>
      <x:c r="CQ119" s="60"/>
      <x:c r="CR119" s="58">
        <x:f>(($O119*CP119)/100)+(CQ119*12)</x:f>
      </x:c>
      <x:c r="CS119" s="47"/>
      <x:c r="CT119" s="60"/>
      <x:c r="CU119" s="58">
        <x:f>(($O119*CS119)/100)+(CT119*12)</x:f>
      </x:c>
      <x:c r="CV119" s="47"/>
      <x:c r="CW119" s="60"/>
      <x:c r="CX119" s="58"/>
      <x:c r="CY119" s="47"/>
      <x:c r="CZ119" s="60"/>
      <x:c r="DA119" s="58"/>
      <x:c r="DB119" s="47"/>
      <x:c r="DC119" s="60"/>
      <x:c r="DD119" s="58"/>
      <x:c r="DE119" s="47"/>
      <x:c r="DF119" s="60"/>
      <x:c r="DG119" s="58"/>
      <x:c r="DH119" s="47"/>
      <x:c r="DI119" s="60"/>
      <x:c r="DJ119" s="58"/>
      <x:c r="DK119" s="47"/>
      <x:c r="DL119" s="60"/>
      <x:c r="DM119" s="58"/>
      <x:c r="DN119" s="11"/>
      <x:c r="DO119" s="61"/>
      <x:c r="DP119" s="62"/>
      <x:c r="DQ119" s="11"/>
      <x:c r="DR119" s="61"/>
      <x:c r="DS119" s="62"/>
      <x:c r="DT119" s="11"/>
      <x:c r="DU119" s="61"/>
      <x:c r="DV119" s="62"/>
    </x:row>
    <x:row r="120" spans="1:126" x14ac:dyDescent="0.3">
      <x:c r="A120" s="47"/>
      <x:c r="B120" s="70"/>
      <x:c r="C120" s="70"/>
      <x:c r="D120" s="70"/>
      <x:c r="E120" s="70"/>
      <x:c r="F120" s="70"/>
      <x:c r="G120" s="70"/>
      <x:c r="H120" s="70"/>
      <x:c r="I120" s="70"/>
      <x:c r="J120" s="70"/>
      <x:c r="K120" s="190"/>
      <x:c r="L120" s="191"/>
      <x:c r="M120" s="192">
        <x:f>IF(ISERROR(INDEX('Meter Type Data'!$B$2:$E$1165,SUMPRODUCT(--('Meter Type Data'!$B$2:$B$1165&lt;=Analysis!L120)*('Meter Type Data'!$C$2:$C$1165&gt;=Analysis!L120),ROW('Meter Type Data'!$B$2:$B$1165))-1,4))," ",INDEX('Meter Type Data'!$B$2:$E$1165,SUMPRODUCT(--('Meter Type Data'!$B$2:$B$1165&lt;=Analysis!L120)*('Meter Type Data'!$C$2:$C$1165&gt;=Analysis!L120),ROW('Meter Type Data'!$B$2:$B$1165))-1,4))</x:f>
      </x:c>
      <x:c r="N120" s="192">
        <x:f>IF(ISERROR(INDEX('Meter Type Data'!$B$2:$D$1165,SUMPRODUCT(--('Meter Type Data'!$B$2:$B$1165&lt;=Analysis!L120)*('Meter Type Data'!$C$2:$C$1165&gt;=Analysis!L120),ROW('Meter Type Data'!$B$2:$B$1165))-1,3))," ",INDEX('Meter Type Data'!$B$2:$D$1165,SUMPRODUCT(--('Meter Type Data'!$B$2:$B$1165&lt;=Analysis!L120)*('Meter Type Data'!$C$2:$C$1165&gt;=Analysis!L120),ROW('Meter Type Data'!$B$2:$B$1165))-1,3))</x:f>
      </x:c>
      <x:c r="O120" s="69"/>
      <x:c r="P120" s="47"/>
      <x:c r="Q120" s="60"/>
      <x:c r="R120" s="58">
        <x:f>(($O120*P120)/100)+(Q120*12)</x:f>
      </x:c>
      <x:c r="S120" s="59"/>
      <x:c r="T120" s="59"/>
      <x:c r="U120" s="58">
        <x:f>(($O120*S120)/100)+(T120*12)</x:f>
      </x:c>
      <x:c r="V120" s="47"/>
      <x:c r="W120" s="60"/>
      <x:c r="X120" s="58">
        <x:f>(($O120*V120)/100)+(W120*12)</x:f>
      </x:c>
      <x:c r="Y120" s="47"/>
      <x:c r="Z120" s="60"/>
      <x:c r="AA120" s="58">
        <x:f>(($O120*Y120)/100)+(Z120*12)</x:f>
      </x:c>
      <x:c r="AB120" s="47"/>
      <x:c r="AC120" s="60"/>
      <x:c r="AD120" s="58">
        <x:f>(($O120*AB120)/100)+(AC120*12)</x:f>
      </x:c>
      <x:c r="AE120" s="47"/>
      <x:c r="AF120" s="60"/>
      <x:c r="AG120" s="58">
        <x:f>(($O120*AE120)/100)+(AF120*12)</x:f>
      </x:c>
      <x:c r="AH120" s="47"/>
      <x:c r="AI120" s="60"/>
      <x:c r="AJ120" s="58">
        <x:f>(($O120*AH120)/100)+(AI120*12)</x:f>
      </x:c>
      <x:c r="AK120" s="47"/>
      <x:c r="AL120" s="60"/>
      <x:c r="AM120" s="58">
        <x:f>(($O120*AK120)/100)+(AL120*12)</x:f>
      </x:c>
      <x:c r="AN120" s="47"/>
      <x:c r="AO120" s="60"/>
      <x:c r="AP120" s="58">
        <x:f>(($O120*AN120)/100)+(AO120*12)</x:f>
      </x:c>
      <x:c r="AQ120" s="47"/>
      <x:c r="AR120" s="60"/>
      <x:c r="AS120" s="58">
        <x:f>(($O120*AQ120)/100)+(AR120*12)</x:f>
      </x:c>
      <x:c r="AT120" s="47"/>
      <x:c r="AU120" s="60"/>
      <x:c r="AV120" s="58">
        <x:f>(($O120*AT120)/100)+(AU120*12)</x:f>
      </x:c>
      <x:c r="AW120" s="47"/>
      <x:c r="AX120" s="60"/>
      <x:c r="AY120" s="58">
        <x:f>(($O120*AW120)/100)+(AX120*12)</x:f>
      </x:c>
      <x:c r="AZ120" s="47"/>
      <x:c r="BA120" s="60"/>
      <x:c r="BB120" s="58">
        <x:f>(($O120*AZ120)/100)+(BA120*12)</x:f>
      </x:c>
      <x:c r="BC120" s="47"/>
      <x:c r="BD120" s="60"/>
      <x:c r="BE120" s="58">
        <x:f>(($O120*BC120)/100)+(BD120*12)</x:f>
      </x:c>
      <x:c r="BF120" s="47"/>
      <x:c r="BG120" s="60"/>
      <x:c r="BH120" s="58">
        <x:f>(($O120*BF120)/100)+(BG120*12)</x:f>
      </x:c>
      <x:c r="BI120" s="47"/>
      <x:c r="BJ120" s="60"/>
      <x:c r="BK120" s="58">
        <x:f>(($O120*BI120)/100)+(BJ120*12)</x:f>
      </x:c>
      <x:c r="BL120" s="47"/>
      <x:c r="BM120" s="60"/>
      <x:c r="BN120" s="58">
        <x:f>(($O120*BL120)/100)+(BM120*12)</x:f>
      </x:c>
      <x:c r="BO120" s="47"/>
      <x:c r="BP120" s="60"/>
      <x:c r="BQ120" s="58">
        <x:f>(($O120*BO120)/100)+(BP120*12)</x:f>
      </x:c>
      <x:c r="BR120" s="47"/>
      <x:c r="BS120" s="60"/>
      <x:c r="BT120" s="58">
        <x:f>(($O120*BR120)/100)+(BS120*12)</x:f>
      </x:c>
      <x:c r="BU120" s="47"/>
      <x:c r="BV120" s="60"/>
      <x:c r="BW120" s="58">
        <x:f>(($O120*BU120)/100)+(BV120*12)</x:f>
      </x:c>
      <x:c r="BX120" s="47"/>
      <x:c r="BY120" s="60"/>
      <x:c r="BZ120" s="58">
        <x:f>(($O120*BX120)/100)+(BY120*12)</x:f>
      </x:c>
      <x:c r="CA120" s="47"/>
      <x:c r="CB120" s="60"/>
      <x:c r="CC120" s="58">
        <x:f>(($O120*CA120)/100)+(CB120*12)</x:f>
      </x:c>
      <x:c r="CD120" s="47"/>
      <x:c r="CE120" s="60"/>
      <x:c r="CF120" s="58">
        <x:f>(($O120*CD120)/100)+(CE120*12)</x:f>
      </x:c>
      <x:c r="CG120" s="47"/>
      <x:c r="CH120" s="60"/>
      <x:c r="CI120" s="58">
        <x:f>(($O120*CG120)/100)+(CH120*12)</x:f>
      </x:c>
      <x:c r="CJ120" s="47"/>
      <x:c r="CK120" s="60"/>
      <x:c r="CL120" s="58">
        <x:f>(($O120*CJ120)/100)+(CK120*12)</x:f>
      </x:c>
      <x:c r="CM120" s="47"/>
      <x:c r="CN120" s="60"/>
      <x:c r="CO120" s="58">
        <x:f>(($O120*CM120)/100)+(CN120*12)</x:f>
      </x:c>
      <x:c r="CP120" s="47"/>
      <x:c r="CQ120" s="60"/>
      <x:c r="CR120" s="58">
        <x:f>(($O120*CP120)/100)+(CQ120*12)</x:f>
      </x:c>
      <x:c r="CS120" s="47"/>
      <x:c r="CT120" s="60"/>
      <x:c r="CU120" s="58">
        <x:f>(($O120*CS120)/100)+(CT120*12)</x:f>
      </x:c>
      <x:c r="CV120" s="47"/>
      <x:c r="CW120" s="60"/>
      <x:c r="CX120" s="58"/>
      <x:c r="CY120" s="47"/>
      <x:c r="CZ120" s="60"/>
      <x:c r="DA120" s="58"/>
      <x:c r="DB120" s="47"/>
      <x:c r="DC120" s="60"/>
      <x:c r="DD120" s="58"/>
      <x:c r="DE120" s="47"/>
      <x:c r="DF120" s="60"/>
      <x:c r="DG120" s="58"/>
      <x:c r="DH120" s="47"/>
      <x:c r="DI120" s="60"/>
      <x:c r="DJ120" s="58"/>
      <x:c r="DK120" s="47"/>
      <x:c r="DL120" s="60"/>
      <x:c r="DM120" s="58"/>
      <x:c r="DN120" s="11"/>
      <x:c r="DO120" s="61"/>
      <x:c r="DP120" s="62"/>
      <x:c r="DQ120" s="11"/>
      <x:c r="DR120" s="61"/>
      <x:c r="DS120" s="62"/>
      <x:c r="DT120" s="11"/>
      <x:c r="DU120" s="61"/>
      <x:c r="DV120" s="62"/>
    </x:row>
    <x:row r="121" spans="1:126" x14ac:dyDescent="0.3">
      <x:c r="A121" s="47"/>
      <x:c r="B121" s="70"/>
      <x:c r="C121" s="70"/>
      <x:c r="D121" s="70"/>
      <x:c r="E121" s="70"/>
      <x:c r="F121" s="70"/>
      <x:c r="G121" s="70"/>
      <x:c r="H121" s="70"/>
      <x:c r="I121" s="70"/>
      <x:c r="J121" s="70"/>
      <x:c r="K121" s="190"/>
      <x:c r="L121" s="191"/>
      <x:c r="M121" s="192">
        <x:f>IF(ISERROR(INDEX('Meter Type Data'!$B$2:$E$1165,SUMPRODUCT(--('Meter Type Data'!$B$2:$B$1165&lt;=Analysis!L121)*('Meter Type Data'!$C$2:$C$1165&gt;=Analysis!L121),ROW('Meter Type Data'!$B$2:$B$1165))-1,4))," ",INDEX('Meter Type Data'!$B$2:$E$1165,SUMPRODUCT(--('Meter Type Data'!$B$2:$B$1165&lt;=Analysis!L121)*('Meter Type Data'!$C$2:$C$1165&gt;=Analysis!L121),ROW('Meter Type Data'!$B$2:$B$1165))-1,4))</x:f>
      </x:c>
      <x:c r="N121" s="192">
        <x:f>IF(ISERROR(INDEX('Meter Type Data'!$B$2:$D$1165,SUMPRODUCT(--('Meter Type Data'!$B$2:$B$1165&lt;=Analysis!L121)*('Meter Type Data'!$C$2:$C$1165&gt;=Analysis!L121),ROW('Meter Type Data'!$B$2:$B$1165))-1,3))," ",INDEX('Meter Type Data'!$B$2:$D$1165,SUMPRODUCT(--('Meter Type Data'!$B$2:$B$1165&lt;=Analysis!L121)*('Meter Type Data'!$C$2:$C$1165&gt;=Analysis!L121),ROW('Meter Type Data'!$B$2:$B$1165))-1,3))</x:f>
      </x:c>
      <x:c r="O121" s="69"/>
      <x:c r="P121" s="47"/>
      <x:c r="Q121" s="60"/>
      <x:c r="R121" s="58">
        <x:f>(($O121*P121)/100)+(Q121*12)</x:f>
      </x:c>
      <x:c r="S121" s="59"/>
      <x:c r="T121" s="59"/>
      <x:c r="U121" s="58">
        <x:f>(($O121*S121)/100)+(T121*12)</x:f>
      </x:c>
      <x:c r="V121" s="47"/>
      <x:c r="W121" s="60"/>
      <x:c r="X121" s="58">
        <x:f>(($O121*V121)/100)+(W121*12)</x:f>
      </x:c>
      <x:c r="Y121" s="47"/>
      <x:c r="Z121" s="60"/>
      <x:c r="AA121" s="58">
        <x:f>(($O121*Y121)/100)+(Z121*12)</x:f>
      </x:c>
      <x:c r="AB121" s="47"/>
      <x:c r="AC121" s="60"/>
      <x:c r="AD121" s="58">
        <x:f>(($O121*AB121)/100)+(AC121*12)</x:f>
      </x:c>
      <x:c r="AE121" s="47"/>
      <x:c r="AF121" s="60"/>
      <x:c r="AG121" s="58">
        <x:f>(($O121*AE121)/100)+(AF121*12)</x:f>
      </x:c>
      <x:c r="AH121" s="47"/>
      <x:c r="AI121" s="60"/>
      <x:c r="AJ121" s="58">
        <x:f>(($O121*AH121)/100)+(AI121*12)</x:f>
      </x:c>
      <x:c r="AK121" s="47"/>
      <x:c r="AL121" s="60"/>
      <x:c r="AM121" s="58">
        <x:f>(($O121*AK121)/100)+(AL121*12)</x:f>
      </x:c>
      <x:c r="AN121" s="47"/>
      <x:c r="AO121" s="60"/>
      <x:c r="AP121" s="58">
        <x:f>(($O121*AN121)/100)+(AO121*12)</x:f>
      </x:c>
      <x:c r="AQ121" s="47"/>
      <x:c r="AR121" s="60"/>
      <x:c r="AS121" s="58">
        <x:f>(($O121*AQ121)/100)+(AR121*12)</x:f>
      </x:c>
      <x:c r="AT121" s="47"/>
      <x:c r="AU121" s="60"/>
      <x:c r="AV121" s="58">
        <x:f>(($O121*AT121)/100)+(AU121*12)</x:f>
      </x:c>
      <x:c r="AW121" s="47"/>
      <x:c r="AX121" s="60"/>
      <x:c r="AY121" s="58">
        <x:f>(($O121*AW121)/100)+(AX121*12)</x:f>
      </x:c>
      <x:c r="AZ121" s="47"/>
      <x:c r="BA121" s="60"/>
      <x:c r="BB121" s="58">
        <x:f>(($O121*AZ121)/100)+(BA121*12)</x:f>
      </x:c>
      <x:c r="BC121" s="47"/>
      <x:c r="BD121" s="60"/>
      <x:c r="BE121" s="58">
        <x:f>(($O121*BC121)/100)+(BD121*12)</x:f>
      </x:c>
      <x:c r="BF121" s="47"/>
      <x:c r="BG121" s="60"/>
      <x:c r="BH121" s="58">
        <x:f>(($O121*BF121)/100)+(BG121*12)</x:f>
      </x:c>
      <x:c r="BI121" s="47"/>
      <x:c r="BJ121" s="60"/>
      <x:c r="BK121" s="58">
        <x:f>(($O121*BI121)/100)+(BJ121*12)</x:f>
      </x:c>
      <x:c r="BL121" s="47"/>
      <x:c r="BM121" s="60"/>
      <x:c r="BN121" s="58">
        <x:f>(($O121*BL121)/100)+(BM121*12)</x:f>
      </x:c>
      <x:c r="BO121" s="47"/>
      <x:c r="BP121" s="60"/>
      <x:c r="BQ121" s="58">
        <x:f>(($O121*BO121)/100)+(BP121*12)</x:f>
      </x:c>
      <x:c r="BR121" s="47"/>
      <x:c r="BS121" s="60"/>
      <x:c r="BT121" s="58">
        <x:f>(($O121*BR121)/100)+(BS121*12)</x:f>
      </x:c>
      <x:c r="BU121" s="47"/>
      <x:c r="BV121" s="60"/>
      <x:c r="BW121" s="58">
        <x:f>(($O121*BU121)/100)+(BV121*12)</x:f>
      </x:c>
      <x:c r="BX121" s="47"/>
      <x:c r="BY121" s="60"/>
      <x:c r="BZ121" s="58">
        <x:f>(($O121*BX121)/100)+(BY121*12)</x:f>
      </x:c>
      <x:c r="CA121" s="47"/>
      <x:c r="CB121" s="60"/>
      <x:c r="CC121" s="58">
        <x:f>(($O121*CA121)/100)+(CB121*12)</x:f>
      </x:c>
      <x:c r="CD121" s="47"/>
      <x:c r="CE121" s="60"/>
      <x:c r="CF121" s="58">
        <x:f>(($O121*CD121)/100)+(CE121*12)</x:f>
      </x:c>
      <x:c r="CG121" s="47"/>
      <x:c r="CH121" s="60"/>
      <x:c r="CI121" s="58">
        <x:f>(($O121*CG121)/100)+(CH121*12)</x:f>
      </x:c>
      <x:c r="CJ121" s="47"/>
      <x:c r="CK121" s="60"/>
      <x:c r="CL121" s="58">
        <x:f>(($O121*CJ121)/100)+(CK121*12)</x:f>
      </x:c>
      <x:c r="CM121" s="47"/>
      <x:c r="CN121" s="60"/>
      <x:c r="CO121" s="58">
        <x:f>(($O121*CM121)/100)+(CN121*12)</x:f>
      </x:c>
      <x:c r="CP121" s="47"/>
      <x:c r="CQ121" s="60"/>
      <x:c r="CR121" s="58">
        <x:f>(($O121*CP121)/100)+(CQ121*12)</x:f>
      </x:c>
      <x:c r="CS121" s="47"/>
      <x:c r="CT121" s="60"/>
      <x:c r="CU121" s="58">
        <x:f>(($O121*CS121)/100)+(CT121*12)</x:f>
      </x:c>
      <x:c r="CV121" s="47"/>
      <x:c r="CW121" s="60"/>
      <x:c r="CX121" s="58"/>
      <x:c r="CY121" s="47"/>
      <x:c r="CZ121" s="60"/>
      <x:c r="DA121" s="58"/>
      <x:c r="DB121" s="47"/>
      <x:c r="DC121" s="60"/>
      <x:c r="DD121" s="58"/>
      <x:c r="DE121" s="47"/>
      <x:c r="DF121" s="60"/>
      <x:c r="DG121" s="58"/>
      <x:c r="DH121" s="47"/>
      <x:c r="DI121" s="60"/>
      <x:c r="DJ121" s="58"/>
      <x:c r="DK121" s="47"/>
      <x:c r="DL121" s="60"/>
      <x:c r="DM121" s="58"/>
      <x:c r="DN121" s="11"/>
      <x:c r="DO121" s="61"/>
      <x:c r="DP121" s="62"/>
      <x:c r="DQ121" s="11"/>
      <x:c r="DR121" s="61"/>
      <x:c r="DS121" s="62"/>
      <x:c r="DT121" s="11"/>
      <x:c r="DU121" s="61"/>
      <x:c r="DV121" s="62"/>
    </x:row>
    <x:row r="122" spans="1:126" x14ac:dyDescent="0.3">
      <x:c r="A122" s="47"/>
      <x:c r="B122" s="70"/>
      <x:c r="C122" s="70"/>
      <x:c r="D122" s="70"/>
      <x:c r="E122" s="70"/>
      <x:c r="F122" s="70"/>
      <x:c r="G122" s="70"/>
      <x:c r="H122" s="70"/>
      <x:c r="I122" s="70"/>
      <x:c r="J122" s="70"/>
      <x:c r="K122" s="190"/>
      <x:c r="L122" s="191"/>
      <x:c r="M122" s="192">
        <x:f>IF(ISERROR(INDEX('Meter Type Data'!$B$2:$E$1165,SUMPRODUCT(--('Meter Type Data'!$B$2:$B$1165&lt;=Analysis!L122)*('Meter Type Data'!$C$2:$C$1165&gt;=Analysis!L122),ROW('Meter Type Data'!$B$2:$B$1165))-1,4))," ",INDEX('Meter Type Data'!$B$2:$E$1165,SUMPRODUCT(--('Meter Type Data'!$B$2:$B$1165&lt;=Analysis!L122)*('Meter Type Data'!$C$2:$C$1165&gt;=Analysis!L122),ROW('Meter Type Data'!$B$2:$B$1165))-1,4))</x:f>
      </x:c>
      <x:c r="N122" s="192">
        <x:f>IF(ISERROR(INDEX('Meter Type Data'!$B$2:$D$1165,SUMPRODUCT(--('Meter Type Data'!$B$2:$B$1165&lt;=Analysis!L122)*('Meter Type Data'!$C$2:$C$1165&gt;=Analysis!L122),ROW('Meter Type Data'!$B$2:$B$1165))-1,3))," ",INDEX('Meter Type Data'!$B$2:$D$1165,SUMPRODUCT(--('Meter Type Data'!$B$2:$B$1165&lt;=Analysis!L122)*('Meter Type Data'!$C$2:$C$1165&gt;=Analysis!L122),ROW('Meter Type Data'!$B$2:$B$1165))-1,3))</x:f>
      </x:c>
      <x:c r="O122" s="69"/>
      <x:c r="P122" s="47"/>
      <x:c r="Q122" s="60"/>
      <x:c r="R122" s="58">
        <x:f>(($O122*P122)/100)+(Q122*12)</x:f>
      </x:c>
      <x:c r="S122" s="59"/>
      <x:c r="T122" s="59"/>
      <x:c r="U122" s="58">
        <x:f>(($O122*S122)/100)+(T122*12)</x:f>
      </x:c>
      <x:c r="V122" s="47"/>
      <x:c r="W122" s="60"/>
      <x:c r="X122" s="58">
        <x:f>(($O122*V122)/100)+(W122*12)</x:f>
      </x:c>
      <x:c r="Y122" s="47"/>
      <x:c r="Z122" s="60"/>
      <x:c r="AA122" s="58">
        <x:f>(($O122*Y122)/100)+(Z122*12)</x:f>
      </x:c>
      <x:c r="AB122" s="47"/>
      <x:c r="AC122" s="60"/>
      <x:c r="AD122" s="58">
        <x:f>(($O122*AB122)/100)+(AC122*12)</x:f>
      </x:c>
      <x:c r="AE122" s="47"/>
      <x:c r="AF122" s="60"/>
      <x:c r="AG122" s="58">
        <x:f>(($O122*AE122)/100)+(AF122*12)</x:f>
      </x:c>
      <x:c r="AH122" s="47"/>
      <x:c r="AI122" s="60"/>
      <x:c r="AJ122" s="58">
        <x:f>(($O122*AH122)/100)+(AI122*12)</x:f>
      </x:c>
      <x:c r="AK122" s="47"/>
      <x:c r="AL122" s="60"/>
      <x:c r="AM122" s="58">
        <x:f>(($O122*AK122)/100)+(AL122*12)</x:f>
      </x:c>
      <x:c r="AN122" s="47"/>
      <x:c r="AO122" s="60"/>
      <x:c r="AP122" s="58">
        <x:f>(($O122*AN122)/100)+(AO122*12)</x:f>
      </x:c>
      <x:c r="AQ122" s="47"/>
      <x:c r="AR122" s="60"/>
      <x:c r="AS122" s="58">
        <x:f>(($O122*AQ122)/100)+(AR122*12)</x:f>
      </x:c>
      <x:c r="AT122" s="47"/>
      <x:c r="AU122" s="60"/>
      <x:c r="AV122" s="58">
        <x:f>(($O122*AT122)/100)+(AU122*12)</x:f>
      </x:c>
      <x:c r="AW122" s="47"/>
      <x:c r="AX122" s="60"/>
      <x:c r="AY122" s="58">
        <x:f>(($O122*AW122)/100)+(AX122*12)</x:f>
      </x:c>
      <x:c r="AZ122" s="47"/>
      <x:c r="BA122" s="60"/>
      <x:c r="BB122" s="58">
        <x:f>(($O122*AZ122)/100)+(BA122*12)</x:f>
      </x:c>
      <x:c r="BC122" s="47"/>
      <x:c r="BD122" s="60"/>
      <x:c r="BE122" s="58">
        <x:f>(($O122*BC122)/100)+(BD122*12)</x:f>
      </x:c>
      <x:c r="BF122" s="47"/>
      <x:c r="BG122" s="60"/>
      <x:c r="BH122" s="58">
        <x:f>(($O122*BF122)/100)+(BG122*12)</x:f>
      </x:c>
      <x:c r="BI122" s="47"/>
      <x:c r="BJ122" s="60"/>
      <x:c r="BK122" s="58">
        <x:f>(($O122*BI122)/100)+(BJ122*12)</x:f>
      </x:c>
      <x:c r="BL122" s="47"/>
      <x:c r="BM122" s="60"/>
      <x:c r="BN122" s="58">
        <x:f>(($O122*BL122)/100)+(BM122*12)</x:f>
      </x:c>
      <x:c r="BO122" s="47"/>
      <x:c r="BP122" s="60"/>
      <x:c r="BQ122" s="58">
        <x:f>(($O122*BO122)/100)+(BP122*12)</x:f>
      </x:c>
      <x:c r="BR122" s="47"/>
      <x:c r="BS122" s="60"/>
      <x:c r="BT122" s="58">
        <x:f>(($O122*BR122)/100)+(BS122*12)</x:f>
      </x:c>
      <x:c r="BU122" s="47"/>
      <x:c r="BV122" s="60"/>
      <x:c r="BW122" s="58">
        <x:f>(($O122*BU122)/100)+(BV122*12)</x:f>
      </x:c>
      <x:c r="BX122" s="47"/>
      <x:c r="BY122" s="60"/>
      <x:c r="BZ122" s="58">
        <x:f>(($O122*BX122)/100)+(BY122*12)</x:f>
      </x:c>
      <x:c r="CA122" s="47"/>
      <x:c r="CB122" s="60"/>
      <x:c r="CC122" s="58">
        <x:f>(($O122*CA122)/100)+(CB122*12)</x:f>
      </x:c>
      <x:c r="CD122" s="47"/>
      <x:c r="CE122" s="60"/>
      <x:c r="CF122" s="58">
        <x:f>(($O122*CD122)/100)+(CE122*12)</x:f>
      </x:c>
      <x:c r="CG122" s="47"/>
      <x:c r="CH122" s="60"/>
      <x:c r="CI122" s="58">
        <x:f>(($O122*CG122)/100)+(CH122*12)</x:f>
      </x:c>
      <x:c r="CJ122" s="47"/>
      <x:c r="CK122" s="60"/>
      <x:c r="CL122" s="58">
        <x:f>(($O122*CJ122)/100)+(CK122*12)</x:f>
      </x:c>
      <x:c r="CM122" s="47"/>
      <x:c r="CN122" s="60"/>
      <x:c r="CO122" s="58">
        <x:f>(($O122*CM122)/100)+(CN122*12)</x:f>
      </x:c>
      <x:c r="CP122" s="47"/>
      <x:c r="CQ122" s="60"/>
      <x:c r="CR122" s="58">
        <x:f>(($O122*CP122)/100)+(CQ122*12)</x:f>
      </x:c>
      <x:c r="CS122" s="47"/>
      <x:c r="CT122" s="60"/>
      <x:c r="CU122" s="58">
        <x:f>(($O122*CS122)/100)+(CT122*12)</x:f>
      </x:c>
      <x:c r="CV122" s="47"/>
      <x:c r="CW122" s="60"/>
      <x:c r="CX122" s="58"/>
      <x:c r="CY122" s="47"/>
      <x:c r="CZ122" s="60"/>
      <x:c r="DA122" s="58"/>
      <x:c r="DB122" s="47"/>
      <x:c r="DC122" s="60"/>
      <x:c r="DD122" s="58"/>
      <x:c r="DE122" s="47"/>
      <x:c r="DF122" s="60"/>
      <x:c r="DG122" s="58"/>
      <x:c r="DH122" s="47"/>
      <x:c r="DI122" s="60"/>
      <x:c r="DJ122" s="58"/>
      <x:c r="DK122" s="47"/>
      <x:c r="DL122" s="60"/>
      <x:c r="DM122" s="58"/>
      <x:c r="DN122" s="11"/>
      <x:c r="DO122" s="61"/>
      <x:c r="DP122" s="62"/>
      <x:c r="DQ122" s="11"/>
      <x:c r="DR122" s="61"/>
      <x:c r="DS122" s="62"/>
      <x:c r="DT122" s="11"/>
      <x:c r="DU122" s="61"/>
      <x:c r="DV122" s="62"/>
    </x:row>
    <x:row r="123" spans="1:126" x14ac:dyDescent="0.3">
      <x:c r="A123" s="47"/>
      <x:c r="B123" s="70"/>
      <x:c r="C123" s="70"/>
      <x:c r="D123" s="70"/>
      <x:c r="E123" s="70"/>
      <x:c r="F123" s="70"/>
      <x:c r="G123" s="70"/>
      <x:c r="H123" s="70"/>
      <x:c r="I123" s="70"/>
      <x:c r="J123" s="70"/>
      <x:c r="K123" s="190"/>
      <x:c r="L123" s="191"/>
      <x:c r="M123" s="192">
        <x:f>IF(ISERROR(INDEX('Meter Type Data'!$B$2:$E$1165,SUMPRODUCT(--('Meter Type Data'!$B$2:$B$1165&lt;=Analysis!L123)*('Meter Type Data'!$C$2:$C$1165&gt;=Analysis!L123),ROW('Meter Type Data'!$B$2:$B$1165))-1,4))," ",INDEX('Meter Type Data'!$B$2:$E$1165,SUMPRODUCT(--('Meter Type Data'!$B$2:$B$1165&lt;=Analysis!L123)*('Meter Type Data'!$C$2:$C$1165&gt;=Analysis!L123),ROW('Meter Type Data'!$B$2:$B$1165))-1,4))</x:f>
      </x:c>
      <x:c r="N123" s="192">
        <x:f>IF(ISERROR(INDEX('Meter Type Data'!$B$2:$D$1165,SUMPRODUCT(--('Meter Type Data'!$B$2:$B$1165&lt;=Analysis!L123)*('Meter Type Data'!$C$2:$C$1165&gt;=Analysis!L123),ROW('Meter Type Data'!$B$2:$B$1165))-1,3))," ",INDEX('Meter Type Data'!$B$2:$D$1165,SUMPRODUCT(--('Meter Type Data'!$B$2:$B$1165&lt;=Analysis!L123)*('Meter Type Data'!$C$2:$C$1165&gt;=Analysis!L123),ROW('Meter Type Data'!$B$2:$B$1165))-1,3))</x:f>
      </x:c>
      <x:c r="O123" s="69"/>
      <x:c r="P123" s="47"/>
      <x:c r="Q123" s="60"/>
      <x:c r="R123" s="58">
        <x:f>(($O123*P123)/100)+(Q123*12)</x:f>
      </x:c>
      <x:c r="S123" s="59"/>
      <x:c r="T123" s="59"/>
      <x:c r="U123" s="58">
        <x:f>(($O123*S123)/100)+(T123*12)</x:f>
      </x:c>
      <x:c r="V123" s="47"/>
      <x:c r="W123" s="60"/>
      <x:c r="X123" s="58">
        <x:f>(($O123*V123)/100)+(W123*12)</x:f>
      </x:c>
      <x:c r="Y123" s="47"/>
      <x:c r="Z123" s="60"/>
      <x:c r="AA123" s="58">
        <x:f>(($O123*Y123)/100)+(Z123*12)</x:f>
      </x:c>
      <x:c r="AB123" s="47"/>
      <x:c r="AC123" s="60"/>
      <x:c r="AD123" s="58">
        <x:f>(($O123*AB123)/100)+(AC123*12)</x:f>
      </x:c>
      <x:c r="AE123" s="47"/>
      <x:c r="AF123" s="60"/>
      <x:c r="AG123" s="58">
        <x:f>(($O123*AE123)/100)+(AF123*12)</x:f>
      </x:c>
      <x:c r="AH123" s="47"/>
      <x:c r="AI123" s="60"/>
      <x:c r="AJ123" s="58">
        <x:f>(($O123*AH123)/100)+(AI123*12)</x:f>
      </x:c>
      <x:c r="AK123" s="47"/>
      <x:c r="AL123" s="60"/>
      <x:c r="AM123" s="58">
        <x:f>(($O123*AK123)/100)+(AL123*12)</x:f>
      </x:c>
      <x:c r="AN123" s="47"/>
      <x:c r="AO123" s="60"/>
      <x:c r="AP123" s="58">
        <x:f>(($O123*AN123)/100)+(AO123*12)</x:f>
      </x:c>
      <x:c r="AQ123" s="47"/>
      <x:c r="AR123" s="60"/>
      <x:c r="AS123" s="58">
        <x:f>(($O123*AQ123)/100)+(AR123*12)</x:f>
      </x:c>
      <x:c r="AT123" s="47"/>
      <x:c r="AU123" s="60"/>
      <x:c r="AV123" s="58">
        <x:f>(($O123*AT123)/100)+(AU123*12)</x:f>
      </x:c>
      <x:c r="AW123" s="47"/>
      <x:c r="AX123" s="60"/>
      <x:c r="AY123" s="58">
        <x:f>(($O123*AW123)/100)+(AX123*12)</x:f>
      </x:c>
      <x:c r="AZ123" s="47"/>
      <x:c r="BA123" s="60"/>
      <x:c r="BB123" s="58">
        <x:f>(($O123*AZ123)/100)+(BA123*12)</x:f>
      </x:c>
      <x:c r="BC123" s="47"/>
      <x:c r="BD123" s="60"/>
      <x:c r="BE123" s="58">
        <x:f>(($O123*BC123)/100)+(BD123*12)</x:f>
      </x:c>
      <x:c r="BF123" s="47"/>
      <x:c r="BG123" s="60"/>
      <x:c r="BH123" s="58">
        <x:f>(($O123*BF123)/100)+(BG123*12)</x:f>
      </x:c>
      <x:c r="BI123" s="47"/>
      <x:c r="BJ123" s="60"/>
      <x:c r="BK123" s="58">
        <x:f>(($O123*BI123)/100)+(BJ123*12)</x:f>
      </x:c>
      <x:c r="BL123" s="47"/>
      <x:c r="BM123" s="60"/>
      <x:c r="BN123" s="58">
        <x:f>(($O123*BL123)/100)+(BM123*12)</x:f>
      </x:c>
      <x:c r="BO123" s="47"/>
      <x:c r="BP123" s="60"/>
      <x:c r="BQ123" s="58">
        <x:f>(($O123*BO123)/100)+(BP123*12)</x:f>
      </x:c>
      <x:c r="BR123" s="47"/>
      <x:c r="BS123" s="60"/>
      <x:c r="BT123" s="58">
        <x:f>(($O123*BR123)/100)+(BS123*12)</x:f>
      </x:c>
      <x:c r="BU123" s="47"/>
      <x:c r="BV123" s="60"/>
      <x:c r="BW123" s="58">
        <x:f>(($O123*BU123)/100)+(BV123*12)</x:f>
      </x:c>
      <x:c r="BX123" s="47"/>
      <x:c r="BY123" s="60"/>
      <x:c r="BZ123" s="58">
        <x:f>(($O123*BX123)/100)+(BY123*12)</x:f>
      </x:c>
      <x:c r="CA123" s="47"/>
      <x:c r="CB123" s="60"/>
      <x:c r="CC123" s="58">
        <x:f>(($O123*CA123)/100)+(CB123*12)</x:f>
      </x:c>
      <x:c r="CD123" s="47"/>
      <x:c r="CE123" s="60"/>
      <x:c r="CF123" s="58">
        <x:f>(($O123*CD123)/100)+(CE123*12)</x:f>
      </x:c>
      <x:c r="CG123" s="47"/>
      <x:c r="CH123" s="60"/>
      <x:c r="CI123" s="58">
        <x:f>(($O123*CG123)/100)+(CH123*12)</x:f>
      </x:c>
      <x:c r="CJ123" s="47"/>
      <x:c r="CK123" s="60"/>
      <x:c r="CL123" s="58">
        <x:f>(($O123*CJ123)/100)+(CK123*12)</x:f>
      </x:c>
      <x:c r="CM123" s="47"/>
      <x:c r="CN123" s="60"/>
      <x:c r="CO123" s="58">
        <x:f>(($O123*CM123)/100)+(CN123*12)</x:f>
      </x:c>
      <x:c r="CP123" s="47"/>
      <x:c r="CQ123" s="60"/>
      <x:c r="CR123" s="58">
        <x:f>(($O123*CP123)/100)+(CQ123*12)</x:f>
      </x:c>
      <x:c r="CS123" s="47"/>
      <x:c r="CT123" s="60"/>
      <x:c r="CU123" s="58">
        <x:f>(($O123*CS123)/100)+(CT123*12)</x:f>
      </x:c>
      <x:c r="CV123" s="47"/>
      <x:c r="CW123" s="60"/>
      <x:c r="CX123" s="58"/>
      <x:c r="CY123" s="47"/>
      <x:c r="CZ123" s="60"/>
      <x:c r="DA123" s="58"/>
      <x:c r="DB123" s="47"/>
      <x:c r="DC123" s="60"/>
      <x:c r="DD123" s="58"/>
      <x:c r="DE123" s="47"/>
      <x:c r="DF123" s="60"/>
      <x:c r="DG123" s="58"/>
      <x:c r="DH123" s="47"/>
      <x:c r="DI123" s="60"/>
      <x:c r="DJ123" s="58"/>
      <x:c r="DK123" s="47"/>
      <x:c r="DL123" s="60"/>
      <x:c r="DM123" s="58"/>
      <x:c r="DN123" s="11"/>
      <x:c r="DO123" s="61"/>
      <x:c r="DP123" s="62"/>
      <x:c r="DQ123" s="11"/>
      <x:c r="DR123" s="61"/>
      <x:c r="DS123" s="62"/>
      <x:c r="DT123" s="11"/>
      <x:c r="DU123" s="61"/>
      <x:c r="DV123" s="62"/>
    </x:row>
    <x:row r="124" spans="1:126" x14ac:dyDescent="0.3">
      <x:c r="A124" s="47"/>
      <x:c r="B124" s="70"/>
      <x:c r="C124" s="70"/>
      <x:c r="D124" s="70"/>
      <x:c r="E124" s="70"/>
      <x:c r="F124" s="70"/>
      <x:c r="G124" s="70"/>
      <x:c r="H124" s="70"/>
      <x:c r="I124" s="70"/>
      <x:c r="J124" s="70"/>
      <x:c r="K124" s="190"/>
      <x:c r="L124" s="191"/>
      <x:c r="M124" s="192">
        <x:f>IF(ISERROR(INDEX('Meter Type Data'!$B$2:$E$1165,SUMPRODUCT(--('Meter Type Data'!$B$2:$B$1165&lt;=Analysis!L124)*('Meter Type Data'!$C$2:$C$1165&gt;=Analysis!L124),ROW('Meter Type Data'!$B$2:$B$1165))-1,4))," ",INDEX('Meter Type Data'!$B$2:$E$1165,SUMPRODUCT(--('Meter Type Data'!$B$2:$B$1165&lt;=Analysis!L124)*('Meter Type Data'!$C$2:$C$1165&gt;=Analysis!L124),ROW('Meter Type Data'!$B$2:$B$1165))-1,4))</x:f>
      </x:c>
      <x:c r="N124" s="192">
        <x:f>IF(ISERROR(INDEX('Meter Type Data'!$B$2:$D$1165,SUMPRODUCT(--('Meter Type Data'!$B$2:$B$1165&lt;=Analysis!L124)*('Meter Type Data'!$C$2:$C$1165&gt;=Analysis!L124),ROW('Meter Type Data'!$B$2:$B$1165))-1,3))," ",INDEX('Meter Type Data'!$B$2:$D$1165,SUMPRODUCT(--('Meter Type Data'!$B$2:$B$1165&lt;=Analysis!L124)*('Meter Type Data'!$C$2:$C$1165&gt;=Analysis!L124),ROW('Meter Type Data'!$B$2:$B$1165))-1,3))</x:f>
      </x:c>
      <x:c r="O124" s="69"/>
      <x:c r="P124" s="47"/>
      <x:c r="Q124" s="60"/>
      <x:c r="R124" s="58">
        <x:f>(($O124*P124)/100)+(Q124*12)</x:f>
      </x:c>
      <x:c r="S124" s="59"/>
      <x:c r="T124" s="59"/>
      <x:c r="U124" s="58">
        <x:f>(($O124*S124)/100)+(T124*12)</x:f>
      </x:c>
      <x:c r="V124" s="47"/>
      <x:c r="W124" s="60"/>
      <x:c r="X124" s="58">
        <x:f>(($O124*V124)/100)+(W124*12)</x:f>
      </x:c>
      <x:c r="Y124" s="47"/>
      <x:c r="Z124" s="60"/>
      <x:c r="AA124" s="58">
        <x:f>(($O124*Y124)/100)+(Z124*12)</x:f>
      </x:c>
      <x:c r="AB124" s="47"/>
      <x:c r="AC124" s="60"/>
      <x:c r="AD124" s="58">
        <x:f>(($O124*AB124)/100)+(AC124*12)</x:f>
      </x:c>
      <x:c r="AE124" s="47"/>
      <x:c r="AF124" s="60"/>
      <x:c r="AG124" s="58">
        <x:f>(($O124*AE124)/100)+(AF124*12)</x:f>
      </x:c>
      <x:c r="AH124" s="47"/>
      <x:c r="AI124" s="60"/>
      <x:c r="AJ124" s="58">
        <x:f>(($O124*AH124)/100)+(AI124*12)</x:f>
      </x:c>
      <x:c r="AK124" s="47"/>
      <x:c r="AL124" s="60"/>
      <x:c r="AM124" s="58">
        <x:f>(($O124*AK124)/100)+(AL124*12)</x:f>
      </x:c>
      <x:c r="AN124" s="47"/>
      <x:c r="AO124" s="60"/>
      <x:c r="AP124" s="58">
        <x:f>(($O124*AN124)/100)+(AO124*12)</x:f>
      </x:c>
      <x:c r="AQ124" s="47"/>
      <x:c r="AR124" s="60"/>
      <x:c r="AS124" s="58">
        <x:f>(($O124*AQ124)/100)+(AR124*12)</x:f>
      </x:c>
      <x:c r="AT124" s="47"/>
      <x:c r="AU124" s="60"/>
      <x:c r="AV124" s="58">
        <x:f>(($O124*AT124)/100)+(AU124*12)</x:f>
      </x:c>
      <x:c r="AW124" s="47"/>
      <x:c r="AX124" s="60"/>
      <x:c r="AY124" s="58">
        <x:f>(($O124*AW124)/100)+(AX124*12)</x:f>
      </x:c>
      <x:c r="AZ124" s="47"/>
      <x:c r="BA124" s="60"/>
      <x:c r="BB124" s="58">
        <x:f>(($O124*AZ124)/100)+(BA124*12)</x:f>
      </x:c>
      <x:c r="BC124" s="47"/>
      <x:c r="BD124" s="60"/>
      <x:c r="BE124" s="58">
        <x:f>(($O124*BC124)/100)+(BD124*12)</x:f>
      </x:c>
      <x:c r="BF124" s="47"/>
      <x:c r="BG124" s="60"/>
      <x:c r="BH124" s="58">
        <x:f>(($O124*BF124)/100)+(BG124*12)</x:f>
      </x:c>
      <x:c r="BI124" s="47"/>
      <x:c r="BJ124" s="60"/>
      <x:c r="BK124" s="58">
        <x:f>(($O124*BI124)/100)+(BJ124*12)</x:f>
      </x:c>
      <x:c r="BL124" s="47"/>
      <x:c r="BM124" s="60"/>
      <x:c r="BN124" s="58">
        <x:f>(($O124*BL124)/100)+(BM124*12)</x:f>
      </x:c>
      <x:c r="BO124" s="47"/>
      <x:c r="BP124" s="60"/>
      <x:c r="BQ124" s="58">
        <x:f>(($O124*BO124)/100)+(BP124*12)</x:f>
      </x:c>
      <x:c r="BR124" s="47"/>
      <x:c r="BS124" s="60"/>
      <x:c r="BT124" s="58">
        <x:f>(($O124*BR124)/100)+(BS124*12)</x:f>
      </x:c>
      <x:c r="BU124" s="47"/>
      <x:c r="BV124" s="60"/>
      <x:c r="BW124" s="58">
        <x:f>(($O124*BU124)/100)+(BV124*12)</x:f>
      </x:c>
      <x:c r="BX124" s="47"/>
      <x:c r="BY124" s="60"/>
      <x:c r="BZ124" s="58">
        <x:f>(($O124*BX124)/100)+(BY124*12)</x:f>
      </x:c>
      <x:c r="CA124" s="47"/>
      <x:c r="CB124" s="60"/>
      <x:c r="CC124" s="58">
        <x:f>(($O124*CA124)/100)+(CB124*12)</x:f>
      </x:c>
      <x:c r="CD124" s="47"/>
      <x:c r="CE124" s="60"/>
      <x:c r="CF124" s="58">
        <x:f>(($O124*CD124)/100)+(CE124*12)</x:f>
      </x:c>
      <x:c r="CG124" s="47"/>
      <x:c r="CH124" s="60"/>
      <x:c r="CI124" s="58">
        <x:f>(($O124*CG124)/100)+(CH124*12)</x:f>
      </x:c>
      <x:c r="CJ124" s="47"/>
      <x:c r="CK124" s="60"/>
      <x:c r="CL124" s="58">
        <x:f>(($O124*CJ124)/100)+(CK124*12)</x:f>
      </x:c>
      <x:c r="CM124" s="47"/>
      <x:c r="CN124" s="60"/>
      <x:c r="CO124" s="58">
        <x:f>(($O124*CM124)/100)+(CN124*12)</x:f>
      </x:c>
      <x:c r="CP124" s="47"/>
      <x:c r="CQ124" s="60"/>
      <x:c r="CR124" s="58">
        <x:f>(($O124*CP124)/100)+(CQ124*12)</x:f>
      </x:c>
      <x:c r="CS124" s="47"/>
      <x:c r="CT124" s="60"/>
      <x:c r="CU124" s="58">
        <x:f>(($O124*CS124)/100)+(CT124*12)</x:f>
      </x:c>
      <x:c r="CV124" s="47"/>
      <x:c r="CW124" s="60"/>
      <x:c r="CX124" s="58"/>
      <x:c r="CY124" s="47"/>
      <x:c r="CZ124" s="60"/>
      <x:c r="DA124" s="58"/>
      <x:c r="DB124" s="47"/>
      <x:c r="DC124" s="60"/>
      <x:c r="DD124" s="58"/>
      <x:c r="DE124" s="47"/>
      <x:c r="DF124" s="60"/>
      <x:c r="DG124" s="58"/>
      <x:c r="DH124" s="47"/>
      <x:c r="DI124" s="60"/>
      <x:c r="DJ124" s="58"/>
      <x:c r="DK124" s="47"/>
      <x:c r="DL124" s="60"/>
      <x:c r="DM124" s="58"/>
      <x:c r="DN124" s="11"/>
      <x:c r="DO124" s="61"/>
      <x:c r="DP124" s="62"/>
      <x:c r="DQ124" s="11"/>
      <x:c r="DR124" s="61"/>
      <x:c r="DS124" s="62"/>
      <x:c r="DT124" s="11"/>
      <x:c r="DU124" s="61"/>
      <x:c r="DV124" s="62"/>
    </x:row>
    <x:row r="125" spans="1:126" x14ac:dyDescent="0.3">
      <x:c r="A125" s="47"/>
      <x:c r="B125" s="70"/>
      <x:c r="C125" s="70"/>
      <x:c r="D125" s="70"/>
      <x:c r="E125" s="70"/>
      <x:c r="F125" s="70"/>
      <x:c r="G125" s="70"/>
      <x:c r="H125" s="70"/>
      <x:c r="I125" s="70"/>
      <x:c r="J125" s="70"/>
      <x:c r="K125" s="190"/>
      <x:c r="L125" s="191"/>
      <x:c r="M125" s="192">
        <x:f>IF(ISERROR(INDEX('Meter Type Data'!$B$2:$E$1165,SUMPRODUCT(--('Meter Type Data'!$B$2:$B$1165&lt;=Analysis!L125)*('Meter Type Data'!$C$2:$C$1165&gt;=Analysis!L125),ROW('Meter Type Data'!$B$2:$B$1165))-1,4))," ",INDEX('Meter Type Data'!$B$2:$E$1165,SUMPRODUCT(--('Meter Type Data'!$B$2:$B$1165&lt;=Analysis!L125)*('Meter Type Data'!$C$2:$C$1165&gt;=Analysis!L125),ROW('Meter Type Data'!$B$2:$B$1165))-1,4))</x:f>
      </x:c>
      <x:c r="N125" s="192">
        <x:f>IF(ISERROR(INDEX('Meter Type Data'!$B$2:$D$1165,SUMPRODUCT(--('Meter Type Data'!$B$2:$B$1165&lt;=Analysis!L125)*('Meter Type Data'!$C$2:$C$1165&gt;=Analysis!L125),ROW('Meter Type Data'!$B$2:$B$1165))-1,3))," ",INDEX('Meter Type Data'!$B$2:$D$1165,SUMPRODUCT(--('Meter Type Data'!$B$2:$B$1165&lt;=Analysis!L125)*('Meter Type Data'!$C$2:$C$1165&gt;=Analysis!L125),ROW('Meter Type Data'!$B$2:$B$1165))-1,3))</x:f>
      </x:c>
      <x:c r="O125" s="69"/>
      <x:c r="P125" s="47"/>
      <x:c r="Q125" s="60"/>
      <x:c r="R125" s="58">
        <x:f>(($O125*P125)/100)+(Q125*12)</x:f>
      </x:c>
      <x:c r="S125" s="59"/>
      <x:c r="T125" s="59"/>
      <x:c r="U125" s="58">
        <x:f>(($O125*S125)/100)+(T125*12)</x:f>
      </x:c>
      <x:c r="V125" s="47"/>
      <x:c r="W125" s="60"/>
      <x:c r="X125" s="58">
        <x:f>(($O125*V125)/100)+(W125*12)</x:f>
      </x:c>
      <x:c r="Y125" s="47"/>
      <x:c r="Z125" s="60"/>
      <x:c r="AA125" s="58">
        <x:f>(($O125*Y125)/100)+(Z125*12)</x:f>
      </x:c>
      <x:c r="AB125" s="47"/>
      <x:c r="AC125" s="60"/>
      <x:c r="AD125" s="58">
        <x:f>(($O125*AB125)/100)+(AC125*12)</x:f>
      </x:c>
      <x:c r="AE125" s="47"/>
      <x:c r="AF125" s="60"/>
      <x:c r="AG125" s="58">
        <x:f>(($O125*AE125)/100)+(AF125*12)</x:f>
      </x:c>
      <x:c r="AH125" s="47"/>
      <x:c r="AI125" s="60"/>
      <x:c r="AJ125" s="58">
        <x:f>(($O125*AH125)/100)+(AI125*12)</x:f>
      </x:c>
      <x:c r="AK125" s="47"/>
      <x:c r="AL125" s="60"/>
      <x:c r="AM125" s="58">
        <x:f>(($O125*AK125)/100)+(AL125*12)</x:f>
      </x:c>
      <x:c r="AN125" s="47"/>
      <x:c r="AO125" s="60"/>
      <x:c r="AP125" s="58">
        <x:f>(($O125*AN125)/100)+(AO125*12)</x:f>
      </x:c>
      <x:c r="AQ125" s="47"/>
      <x:c r="AR125" s="60"/>
      <x:c r="AS125" s="58">
        <x:f>(($O125*AQ125)/100)+(AR125*12)</x:f>
      </x:c>
      <x:c r="AT125" s="47"/>
      <x:c r="AU125" s="60"/>
      <x:c r="AV125" s="58">
        <x:f>(($O125*AT125)/100)+(AU125*12)</x:f>
      </x:c>
      <x:c r="AW125" s="47"/>
      <x:c r="AX125" s="60"/>
      <x:c r="AY125" s="58">
        <x:f>(($O125*AW125)/100)+(AX125*12)</x:f>
      </x:c>
      <x:c r="AZ125" s="47"/>
      <x:c r="BA125" s="60"/>
      <x:c r="BB125" s="58">
        <x:f>(($O125*AZ125)/100)+(BA125*12)</x:f>
      </x:c>
      <x:c r="BC125" s="47"/>
      <x:c r="BD125" s="60"/>
      <x:c r="BE125" s="58">
        <x:f>(($O125*BC125)/100)+(BD125*12)</x:f>
      </x:c>
      <x:c r="BF125" s="47"/>
      <x:c r="BG125" s="60"/>
      <x:c r="BH125" s="58">
        <x:f>(($O125*BF125)/100)+(BG125*12)</x:f>
      </x:c>
      <x:c r="BI125" s="47"/>
      <x:c r="BJ125" s="60"/>
      <x:c r="BK125" s="58">
        <x:f>(($O125*BI125)/100)+(BJ125*12)</x:f>
      </x:c>
      <x:c r="BL125" s="47"/>
      <x:c r="BM125" s="60"/>
      <x:c r="BN125" s="58">
        <x:f>(($O125*BL125)/100)+(BM125*12)</x:f>
      </x:c>
      <x:c r="BO125" s="47"/>
      <x:c r="BP125" s="60"/>
      <x:c r="BQ125" s="58">
        <x:f>(($O125*BO125)/100)+(BP125*12)</x:f>
      </x:c>
      <x:c r="BR125" s="47"/>
      <x:c r="BS125" s="60"/>
      <x:c r="BT125" s="58">
        <x:f>(($O125*BR125)/100)+(BS125*12)</x:f>
      </x:c>
      <x:c r="BU125" s="47"/>
      <x:c r="BV125" s="60"/>
      <x:c r="BW125" s="58">
        <x:f>(($O125*BU125)/100)+(BV125*12)</x:f>
      </x:c>
      <x:c r="BX125" s="47"/>
      <x:c r="BY125" s="60"/>
      <x:c r="BZ125" s="58">
        <x:f>(($O125*BX125)/100)+(BY125*12)</x:f>
      </x:c>
      <x:c r="CA125" s="47"/>
      <x:c r="CB125" s="60"/>
      <x:c r="CC125" s="58">
        <x:f>(($O125*CA125)/100)+(CB125*12)</x:f>
      </x:c>
      <x:c r="CD125" s="47"/>
      <x:c r="CE125" s="60"/>
      <x:c r="CF125" s="58">
        <x:f>(($O125*CD125)/100)+(CE125*12)</x:f>
      </x:c>
      <x:c r="CG125" s="47"/>
      <x:c r="CH125" s="60"/>
      <x:c r="CI125" s="58">
        <x:f>(($O125*CG125)/100)+(CH125*12)</x:f>
      </x:c>
      <x:c r="CJ125" s="47"/>
      <x:c r="CK125" s="60"/>
      <x:c r="CL125" s="58">
        <x:f>(($O125*CJ125)/100)+(CK125*12)</x:f>
      </x:c>
      <x:c r="CM125" s="47"/>
      <x:c r="CN125" s="60"/>
      <x:c r="CO125" s="58">
        <x:f>(($O125*CM125)/100)+(CN125*12)</x:f>
      </x:c>
      <x:c r="CP125" s="47"/>
      <x:c r="CQ125" s="60"/>
      <x:c r="CR125" s="58">
        <x:f>(($O125*CP125)/100)+(CQ125*12)</x:f>
      </x:c>
      <x:c r="CS125" s="47"/>
      <x:c r="CT125" s="60"/>
      <x:c r="CU125" s="58">
        <x:f>(($O125*CS125)/100)+(CT125*12)</x:f>
      </x:c>
      <x:c r="CV125" s="47"/>
      <x:c r="CW125" s="60"/>
      <x:c r="CX125" s="58"/>
      <x:c r="CY125" s="47"/>
      <x:c r="CZ125" s="60"/>
      <x:c r="DA125" s="58"/>
      <x:c r="DB125" s="47"/>
      <x:c r="DC125" s="60"/>
      <x:c r="DD125" s="58"/>
      <x:c r="DE125" s="47"/>
      <x:c r="DF125" s="60"/>
      <x:c r="DG125" s="58"/>
      <x:c r="DH125" s="47"/>
      <x:c r="DI125" s="60"/>
      <x:c r="DJ125" s="58"/>
      <x:c r="DK125" s="47"/>
      <x:c r="DL125" s="60"/>
      <x:c r="DM125" s="58"/>
      <x:c r="DN125" s="11"/>
      <x:c r="DO125" s="61"/>
      <x:c r="DP125" s="62"/>
      <x:c r="DQ125" s="11"/>
      <x:c r="DR125" s="61"/>
      <x:c r="DS125" s="62"/>
      <x:c r="DT125" s="11"/>
      <x:c r="DU125" s="61"/>
      <x:c r="DV125" s="62"/>
    </x:row>
    <x:row r="126" spans="1:126" x14ac:dyDescent="0.3">
      <x:c r="A126" s="47"/>
      <x:c r="B126" s="70"/>
      <x:c r="C126" s="70"/>
      <x:c r="D126" s="70"/>
      <x:c r="E126" s="70"/>
      <x:c r="F126" s="70"/>
      <x:c r="G126" s="70"/>
      <x:c r="H126" s="70"/>
      <x:c r="I126" s="70"/>
      <x:c r="J126" s="70"/>
      <x:c r="K126" s="190"/>
      <x:c r="L126" s="191"/>
      <x:c r="M126" s="192">
        <x:f>IF(ISERROR(INDEX('Meter Type Data'!$B$2:$E$1165,SUMPRODUCT(--('Meter Type Data'!$B$2:$B$1165&lt;=Analysis!L126)*('Meter Type Data'!$C$2:$C$1165&gt;=Analysis!L126),ROW('Meter Type Data'!$B$2:$B$1165))-1,4))," ",INDEX('Meter Type Data'!$B$2:$E$1165,SUMPRODUCT(--('Meter Type Data'!$B$2:$B$1165&lt;=Analysis!L126)*('Meter Type Data'!$C$2:$C$1165&gt;=Analysis!L126),ROW('Meter Type Data'!$B$2:$B$1165))-1,4))</x:f>
      </x:c>
      <x:c r="N126" s="192">
        <x:f>IF(ISERROR(INDEX('Meter Type Data'!$B$2:$D$1165,SUMPRODUCT(--('Meter Type Data'!$B$2:$B$1165&lt;=Analysis!L126)*('Meter Type Data'!$C$2:$C$1165&gt;=Analysis!L126),ROW('Meter Type Data'!$B$2:$B$1165))-1,3))," ",INDEX('Meter Type Data'!$B$2:$D$1165,SUMPRODUCT(--('Meter Type Data'!$B$2:$B$1165&lt;=Analysis!L126)*('Meter Type Data'!$C$2:$C$1165&gt;=Analysis!L126),ROW('Meter Type Data'!$B$2:$B$1165))-1,3))</x:f>
      </x:c>
      <x:c r="O126" s="69"/>
      <x:c r="P126" s="47"/>
      <x:c r="Q126" s="60"/>
      <x:c r="R126" s="58">
        <x:f>(($O126*P126)/100)+(Q126*12)</x:f>
      </x:c>
      <x:c r="S126" s="59"/>
      <x:c r="T126" s="59"/>
      <x:c r="U126" s="58">
        <x:f>(($O126*S126)/100)+(T126*12)</x:f>
      </x:c>
      <x:c r="V126" s="47"/>
      <x:c r="W126" s="60"/>
      <x:c r="X126" s="58">
        <x:f>(($O126*V126)/100)+(W126*12)</x:f>
      </x:c>
      <x:c r="Y126" s="47"/>
      <x:c r="Z126" s="60"/>
      <x:c r="AA126" s="58">
        <x:f>(($O126*Y126)/100)+(Z126*12)</x:f>
      </x:c>
      <x:c r="AB126" s="47"/>
      <x:c r="AC126" s="60"/>
      <x:c r="AD126" s="58">
        <x:f>(($O126*AB126)/100)+(AC126*12)</x:f>
      </x:c>
      <x:c r="AE126" s="47"/>
      <x:c r="AF126" s="60"/>
      <x:c r="AG126" s="58">
        <x:f>(($O126*AE126)/100)+(AF126*12)</x:f>
      </x:c>
      <x:c r="AH126" s="47"/>
      <x:c r="AI126" s="60"/>
      <x:c r="AJ126" s="58">
        <x:f>(($O126*AH126)/100)+(AI126*12)</x:f>
      </x:c>
      <x:c r="AK126" s="47"/>
      <x:c r="AL126" s="60"/>
      <x:c r="AM126" s="58">
        <x:f>(($O126*AK126)/100)+(AL126*12)</x:f>
      </x:c>
      <x:c r="AN126" s="47"/>
      <x:c r="AO126" s="60"/>
      <x:c r="AP126" s="58">
        <x:f>(($O126*AN126)/100)+(AO126*12)</x:f>
      </x:c>
      <x:c r="AQ126" s="47"/>
      <x:c r="AR126" s="60"/>
      <x:c r="AS126" s="58">
        <x:f>(($O126*AQ126)/100)+(AR126*12)</x:f>
      </x:c>
      <x:c r="AT126" s="47"/>
      <x:c r="AU126" s="60"/>
      <x:c r="AV126" s="58">
        <x:f>(($O126*AT126)/100)+(AU126*12)</x:f>
      </x:c>
      <x:c r="AW126" s="47"/>
      <x:c r="AX126" s="60"/>
      <x:c r="AY126" s="58">
        <x:f>(($O126*AW126)/100)+(AX126*12)</x:f>
      </x:c>
      <x:c r="AZ126" s="47"/>
      <x:c r="BA126" s="60"/>
      <x:c r="BB126" s="58">
        <x:f>(($O126*AZ126)/100)+(BA126*12)</x:f>
      </x:c>
      <x:c r="BC126" s="47"/>
      <x:c r="BD126" s="60"/>
      <x:c r="BE126" s="58">
        <x:f>(($O126*BC126)/100)+(BD126*12)</x:f>
      </x:c>
      <x:c r="BF126" s="47"/>
      <x:c r="BG126" s="60"/>
      <x:c r="BH126" s="58">
        <x:f>(($O126*BF126)/100)+(BG126*12)</x:f>
      </x:c>
      <x:c r="BI126" s="47"/>
      <x:c r="BJ126" s="60"/>
      <x:c r="BK126" s="58">
        <x:f>(($O126*BI126)/100)+(BJ126*12)</x:f>
      </x:c>
      <x:c r="BL126" s="47"/>
      <x:c r="BM126" s="60"/>
      <x:c r="BN126" s="58">
        <x:f>(($O126*BL126)/100)+(BM126*12)</x:f>
      </x:c>
      <x:c r="BO126" s="47"/>
      <x:c r="BP126" s="60"/>
      <x:c r="BQ126" s="58">
        <x:f>(($O126*BO126)/100)+(BP126*12)</x:f>
      </x:c>
      <x:c r="BR126" s="47"/>
      <x:c r="BS126" s="60"/>
      <x:c r="BT126" s="58">
        <x:f>(($O126*BR126)/100)+(BS126*12)</x:f>
      </x:c>
      <x:c r="BU126" s="47"/>
      <x:c r="BV126" s="60"/>
      <x:c r="BW126" s="58">
        <x:f>(($O126*BU126)/100)+(BV126*12)</x:f>
      </x:c>
      <x:c r="BX126" s="47"/>
      <x:c r="BY126" s="60"/>
      <x:c r="BZ126" s="58">
        <x:f>(($O126*BX126)/100)+(BY126*12)</x:f>
      </x:c>
      <x:c r="CA126" s="47"/>
      <x:c r="CB126" s="60"/>
      <x:c r="CC126" s="58">
        <x:f>(($O126*CA126)/100)+(CB126*12)</x:f>
      </x:c>
      <x:c r="CD126" s="47"/>
      <x:c r="CE126" s="60"/>
      <x:c r="CF126" s="58">
        <x:f>(($O126*CD126)/100)+(CE126*12)</x:f>
      </x:c>
      <x:c r="CG126" s="47"/>
      <x:c r="CH126" s="60"/>
      <x:c r="CI126" s="58">
        <x:f>(($O126*CG126)/100)+(CH126*12)</x:f>
      </x:c>
      <x:c r="CJ126" s="47"/>
      <x:c r="CK126" s="60"/>
      <x:c r="CL126" s="58">
        <x:f>(($O126*CJ126)/100)+(CK126*12)</x:f>
      </x:c>
      <x:c r="CM126" s="47"/>
      <x:c r="CN126" s="60"/>
      <x:c r="CO126" s="58">
        <x:f>(($O126*CM126)/100)+(CN126*12)</x:f>
      </x:c>
      <x:c r="CP126" s="47"/>
      <x:c r="CQ126" s="60"/>
      <x:c r="CR126" s="58">
        <x:f>(($O126*CP126)/100)+(CQ126*12)</x:f>
      </x:c>
      <x:c r="CS126" s="47"/>
      <x:c r="CT126" s="60"/>
      <x:c r="CU126" s="58">
        <x:f>(($O126*CS126)/100)+(CT126*12)</x:f>
      </x:c>
      <x:c r="CV126" s="47"/>
      <x:c r="CW126" s="60"/>
      <x:c r="CX126" s="58"/>
      <x:c r="CY126" s="47"/>
      <x:c r="CZ126" s="60"/>
      <x:c r="DA126" s="58"/>
      <x:c r="DB126" s="47"/>
      <x:c r="DC126" s="60"/>
      <x:c r="DD126" s="58"/>
      <x:c r="DE126" s="47"/>
      <x:c r="DF126" s="60"/>
      <x:c r="DG126" s="58"/>
      <x:c r="DH126" s="47"/>
      <x:c r="DI126" s="60"/>
      <x:c r="DJ126" s="58"/>
      <x:c r="DK126" s="47"/>
      <x:c r="DL126" s="60"/>
      <x:c r="DM126" s="58"/>
      <x:c r="DN126" s="11"/>
      <x:c r="DO126" s="61"/>
      <x:c r="DP126" s="62"/>
      <x:c r="DQ126" s="11"/>
      <x:c r="DR126" s="61"/>
      <x:c r="DS126" s="62"/>
      <x:c r="DT126" s="11"/>
      <x:c r="DU126" s="61"/>
      <x:c r="DV126" s="62"/>
    </x:row>
    <x:row r="127" spans="1:126" x14ac:dyDescent="0.3">
      <x:c r="A127" s="47"/>
      <x:c r="B127" s="70"/>
      <x:c r="C127" s="70"/>
      <x:c r="D127" s="70"/>
      <x:c r="E127" s="70"/>
      <x:c r="F127" s="70"/>
      <x:c r="G127" s="70"/>
      <x:c r="H127" s="70"/>
      <x:c r="I127" s="70"/>
      <x:c r="J127" s="70"/>
      <x:c r="K127" s="190"/>
      <x:c r="L127" s="191"/>
      <x:c r="M127" s="192">
        <x:f>IF(ISERROR(INDEX('Meter Type Data'!$B$2:$E$1165,SUMPRODUCT(--('Meter Type Data'!$B$2:$B$1165&lt;=Analysis!L127)*('Meter Type Data'!$C$2:$C$1165&gt;=Analysis!L127),ROW('Meter Type Data'!$B$2:$B$1165))-1,4))," ",INDEX('Meter Type Data'!$B$2:$E$1165,SUMPRODUCT(--('Meter Type Data'!$B$2:$B$1165&lt;=Analysis!L127)*('Meter Type Data'!$C$2:$C$1165&gt;=Analysis!L127),ROW('Meter Type Data'!$B$2:$B$1165))-1,4))</x:f>
      </x:c>
      <x:c r="N127" s="192">
        <x:f>IF(ISERROR(INDEX('Meter Type Data'!$B$2:$D$1165,SUMPRODUCT(--('Meter Type Data'!$B$2:$B$1165&lt;=Analysis!L127)*('Meter Type Data'!$C$2:$C$1165&gt;=Analysis!L127),ROW('Meter Type Data'!$B$2:$B$1165))-1,3))," ",INDEX('Meter Type Data'!$B$2:$D$1165,SUMPRODUCT(--('Meter Type Data'!$B$2:$B$1165&lt;=Analysis!L127)*('Meter Type Data'!$C$2:$C$1165&gt;=Analysis!L127),ROW('Meter Type Data'!$B$2:$B$1165))-1,3))</x:f>
      </x:c>
      <x:c r="O127" s="69"/>
      <x:c r="P127" s="47"/>
      <x:c r="Q127" s="60"/>
      <x:c r="R127" s="58">
        <x:f>(($O127*P127)/100)+(Q127*12)</x:f>
      </x:c>
      <x:c r="S127" s="59"/>
      <x:c r="T127" s="59"/>
      <x:c r="U127" s="58">
        <x:f>(($O127*S127)/100)+(T127*12)</x:f>
      </x:c>
      <x:c r="V127" s="47"/>
      <x:c r="W127" s="60"/>
      <x:c r="X127" s="58">
        <x:f>(($O127*V127)/100)+(W127*12)</x:f>
      </x:c>
      <x:c r="Y127" s="47"/>
      <x:c r="Z127" s="60"/>
      <x:c r="AA127" s="58">
        <x:f>(($O127*Y127)/100)+(Z127*12)</x:f>
      </x:c>
      <x:c r="AB127" s="47"/>
      <x:c r="AC127" s="60"/>
      <x:c r="AD127" s="58">
        <x:f>(($O127*AB127)/100)+(AC127*12)</x:f>
      </x:c>
      <x:c r="AE127" s="47"/>
      <x:c r="AF127" s="60"/>
      <x:c r="AG127" s="58">
        <x:f>(($O127*AE127)/100)+(AF127*12)</x:f>
      </x:c>
      <x:c r="AH127" s="47"/>
      <x:c r="AI127" s="60"/>
      <x:c r="AJ127" s="58">
        <x:f>(($O127*AH127)/100)+(AI127*12)</x:f>
      </x:c>
      <x:c r="AK127" s="47"/>
      <x:c r="AL127" s="60"/>
      <x:c r="AM127" s="58">
        <x:f>(($O127*AK127)/100)+(AL127*12)</x:f>
      </x:c>
      <x:c r="AN127" s="47"/>
      <x:c r="AO127" s="60"/>
      <x:c r="AP127" s="58">
        <x:f>(($O127*AN127)/100)+(AO127*12)</x:f>
      </x:c>
      <x:c r="AQ127" s="47"/>
      <x:c r="AR127" s="60"/>
      <x:c r="AS127" s="58">
        <x:f>(($O127*AQ127)/100)+(AR127*12)</x:f>
      </x:c>
      <x:c r="AT127" s="47"/>
      <x:c r="AU127" s="60"/>
      <x:c r="AV127" s="58">
        <x:f>(($O127*AT127)/100)+(AU127*12)</x:f>
      </x:c>
      <x:c r="AW127" s="47"/>
      <x:c r="AX127" s="60"/>
      <x:c r="AY127" s="58">
        <x:f>(($O127*AW127)/100)+(AX127*12)</x:f>
      </x:c>
      <x:c r="AZ127" s="47"/>
      <x:c r="BA127" s="60"/>
      <x:c r="BB127" s="58">
        <x:f>(($O127*AZ127)/100)+(BA127*12)</x:f>
      </x:c>
      <x:c r="BC127" s="47"/>
      <x:c r="BD127" s="60"/>
      <x:c r="BE127" s="58">
        <x:f>(($O127*BC127)/100)+(BD127*12)</x:f>
      </x:c>
      <x:c r="BF127" s="47"/>
      <x:c r="BG127" s="60"/>
      <x:c r="BH127" s="58">
        <x:f>(($O127*BF127)/100)+(BG127*12)</x:f>
      </x:c>
      <x:c r="BI127" s="47"/>
      <x:c r="BJ127" s="60"/>
      <x:c r="BK127" s="58">
        <x:f>(($O127*BI127)/100)+(BJ127*12)</x:f>
      </x:c>
      <x:c r="BL127" s="47"/>
      <x:c r="BM127" s="60"/>
      <x:c r="BN127" s="58">
        <x:f>(($O127*BL127)/100)+(BM127*12)</x:f>
      </x:c>
      <x:c r="BO127" s="47"/>
      <x:c r="BP127" s="60"/>
      <x:c r="BQ127" s="58">
        <x:f>(($O127*BO127)/100)+(BP127*12)</x:f>
      </x:c>
      <x:c r="BR127" s="47"/>
      <x:c r="BS127" s="60"/>
      <x:c r="BT127" s="58">
        <x:f>(($O127*BR127)/100)+(BS127*12)</x:f>
      </x:c>
      <x:c r="BU127" s="47"/>
      <x:c r="BV127" s="60"/>
      <x:c r="BW127" s="58">
        <x:f>(($O127*BU127)/100)+(BV127*12)</x:f>
      </x:c>
      <x:c r="BX127" s="47"/>
      <x:c r="BY127" s="60"/>
      <x:c r="BZ127" s="58">
        <x:f>(($O127*BX127)/100)+(BY127*12)</x:f>
      </x:c>
      <x:c r="CA127" s="47"/>
      <x:c r="CB127" s="60"/>
      <x:c r="CC127" s="58">
        <x:f>(($O127*CA127)/100)+(CB127*12)</x:f>
      </x:c>
      <x:c r="CD127" s="47"/>
      <x:c r="CE127" s="60"/>
      <x:c r="CF127" s="58">
        <x:f>(($O127*CD127)/100)+(CE127*12)</x:f>
      </x:c>
      <x:c r="CG127" s="47"/>
      <x:c r="CH127" s="60"/>
      <x:c r="CI127" s="58">
        <x:f>(($O127*CG127)/100)+(CH127*12)</x:f>
      </x:c>
      <x:c r="CJ127" s="47"/>
      <x:c r="CK127" s="60"/>
      <x:c r="CL127" s="58">
        <x:f>(($O127*CJ127)/100)+(CK127*12)</x:f>
      </x:c>
      <x:c r="CM127" s="47"/>
      <x:c r="CN127" s="60"/>
      <x:c r="CO127" s="58">
        <x:f>(($O127*CM127)/100)+(CN127*12)</x:f>
      </x:c>
      <x:c r="CP127" s="47"/>
      <x:c r="CQ127" s="60"/>
      <x:c r="CR127" s="58">
        <x:f>(($O127*CP127)/100)+(CQ127*12)</x:f>
      </x:c>
      <x:c r="CS127" s="47"/>
      <x:c r="CT127" s="60"/>
      <x:c r="CU127" s="58">
        <x:f>(($O127*CS127)/100)+(CT127*12)</x:f>
      </x:c>
      <x:c r="CV127" s="47"/>
      <x:c r="CW127" s="60"/>
      <x:c r="CX127" s="58"/>
      <x:c r="CY127" s="47"/>
      <x:c r="CZ127" s="60"/>
      <x:c r="DA127" s="58"/>
      <x:c r="DB127" s="47"/>
      <x:c r="DC127" s="60"/>
      <x:c r="DD127" s="58"/>
      <x:c r="DE127" s="47"/>
      <x:c r="DF127" s="60"/>
      <x:c r="DG127" s="58"/>
      <x:c r="DH127" s="47"/>
      <x:c r="DI127" s="60"/>
      <x:c r="DJ127" s="58"/>
      <x:c r="DK127" s="47"/>
      <x:c r="DL127" s="60"/>
      <x:c r="DM127" s="58"/>
      <x:c r="DN127" s="11"/>
      <x:c r="DO127" s="61"/>
      <x:c r="DP127" s="62"/>
      <x:c r="DQ127" s="11"/>
      <x:c r="DR127" s="61"/>
      <x:c r="DS127" s="62"/>
      <x:c r="DT127" s="11"/>
      <x:c r="DU127" s="61"/>
      <x:c r="DV127" s="62"/>
    </x:row>
    <x:row r="128" spans="1:126" x14ac:dyDescent="0.3">
      <x:c r="A128" s="47"/>
      <x:c r="B128" s="70"/>
      <x:c r="C128" s="70"/>
      <x:c r="D128" s="70"/>
      <x:c r="E128" s="70"/>
      <x:c r="F128" s="70"/>
      <x:c r="G128" s="70"/>
      <x:c r="H128" s="70"/>
      <x:c r="I128" s="70"/>
      <x:c r="J128" s="70"/>
      <x:c r="K128" s="190"/>
      <x:c r="L128" s="191"/>
      <x:c r="M128" s="192">
        <x:f>IF(ISERROR(INDEX('Meter Type Data'!$B$2:$E$1165,SUMPRODUCT(--('Meter Type Data'!$B$2:$B$1165&lt;=Analysis!L128)*('Meter Type Data'!$C$2:$C$1165&gt;=Analysis!L128),ROW('Meter Type Data'!$B$2:$B$1165))-1,4))," ",INDEX('Meter Type Data'!$B$2:$E$1165,SUMPRODUCT(--('Meter Type Data'!$B$2:$B$1165&lt;=Analysis!L128)*('Meter Type Data'!$C$2:$C$1165&gt;=Analysis!L128),ROW('Meter Type Data'!$B$2:$B$1165))-1,4))</x:f>
      </x:c>
      <x:c r="N128" s="192">
        <x:f>IF(ISERROR(INDEX('Meter Type Data'!$B$2:$D$1165,SUMPRODUCT(--('Meter Type Data'!$B$2:$B$1165&lt;=Analysis!L128)*('Meter Type Data'!$C$2:$C$1165&gt;=Analysis!L128),ROW('Meter Type Data'!$B$2:$B$1165))-1,3))," ",INDEX('Meter Type Data'!$B$2:$D$1165,SUMPRODUCT(--('Meter Type Data'!$B$2:$B$1165&lt;=Analysis!L128)*('Meter Type Data'!$C$2:$C$1165&gt;=Analysis!L128),ROW('Meter Type Data'!$B$2:$B$1165))-1,3))</x:f>
      </x:c>
      <x:c r="O128" s="69"/>
      <x:c r="P128" s="47"/>
      <x:c r="Q128" s="60"/>
      <x:c r="R128" s="58">
        <x:f>(($O128*P128)/100)+(Q128*12)</x:f>
      </x:c>
      <x:c r="S128" s="59"/>
      <x:c r="T128" s="59"/>
      <x:c r="U128" s="58">
        <x:f>(($O128*S128)/100)+(T128*12)</x:f>
      </x:c>
      <x:c r="V128" s="47"/>
      <x:c r="W128" s="60"/>
      <x:c r="X128" s="58">
        <x:f>(($O128*V128)/100)+(W128*12)</x:f>
      </x:c>
      <x:c r="Y128" s="47"/>
      <x:c r="Z128" s="60"/>
      <x:c r="AA128" s="58">
        <x:f>(($O128*Y128)/100)+(Z128*12)</x:f>
      </x:c>
      <x:c r="AB128" s="47"/>
      <x:c r="AC128" s="60"/>
      <x:c r="AD128" s="58">
        <x:f>(($O128*AB128)/100)+(AC128*12)</x:f>
      </x:c>
      <x:c r="AE128" s="47"/>
      <x:c r="AF128" s="60"/>
      <x:c r="AG128" s="58">
        <x:f>(($O128*AE128)/100)+(AF128*12)</x:f>
      </x:c>
      <x:c r="AH128" s="47"/>
      <x:c r="AI128" s="60"/>
      <x:c r="AJ128" s="58">
        <x:f>(($O128*AH128)/100)+(AI128*12)</x:f>
      </x:c>
      <x:c r="AK128" s="47"/>
      <x:c r="AL128" s="60"/>
      <x:c r="AM128" s="58">
        <x:f>(($O128*AK128)/100)+(AL128*12)</x:f>
      </x:c>
      <x:c r="AN128" s="47"/>
      <x:c r="AO128" s="60"/>
      <x:c r="AP128" s="58">
        <x:f>(($O128*AN128)/100)+(AO128*12)</x:f>
      </x:c>
      <x:c r="AQ128" s="47"/>
      <x:c r="AR128" s="60"/>
      <x:c r="AS128" s="58">
        <x:f>(($O128*AQ128)/100)+(AR128*12)</x:f>
      </x:c>
      <x:c r="AT128" s="47"/>
      <x:c r="AU128" s="60"/>
      <x:c r="AV128" s="58">
        <x:f>(($O128*AT128)/100)+(AU128*12)</x:f>
      </x:c>
      <x:c r="AW128" s="47"/>
      <x:c r="AX128" s="60"/>
      <x:c r="AY128" s="58">
        <x:f>(($O128*AW128)/100)+(AX128*12)</x:f>
      </x:c>
      <x:c r="AZ128" s="47"/>
      <x:c r="BA128" s="60"/>
      <x:c r="BB128" s="58">
        <x:f>(($O128*AZ128)/100)+(BA128*12)</x:f>
      </x:c>
      <x:c r="BC128" s="47"/>
      <x:c r="BD128" s="60"/>
      <x:c r="BE128" s="58">
        <x:f>(($O128*BC128)/100)+(BD128*12)</x:f>
      </x:c>
      <x:c r="BF128" s="47"/>
      <x:c r="BG128" s="60"/>
      <x:c r="BH128" s="58">
        <x:f>(($O128*BF128)/100)+(BG128*12)</x:f>
      </x:c>
      <x:c r="BI128" s="47"/>
      <x:c r="BJ128" s="60"/>
      <x:c r="BK128" s="58">
        <x:f>(($O128*BI128)/100)+(BJ128*12)</x:f>
      </x:c>
      <x:c r="BL128" s="47"/>
      <x:c r="BM128" s="60"/>
      <x:c r="BN128" s="58">
        <x:f>(($O128*BL128)/100)+(BM128*12)</x:f>
      </x:c>
      <x:c r="BO128" s="47"/>
      <x:c r="BP128" s="60"/>
      <x:c r="BQ128" s="58">
        <x:f>(($O128*BO128)/100)+(BP128*12)</x:f>
      </x:c>
      <x:c r="BR128" s="47"/>
      <x:c r="BS128" s="60"/>
      <x:c r="BT128" s="58">
        <x:f>(($O128*BR128)/100)+(BS128*12)</x:f>
      </x:c>
      <x:c r="BU128" s="47"/>
      <x:c r="BV128" s="60"/>
      <x:c r="BW128" s="58">
        <x:f>(($O128*BU128)/100)+(BV128*12)</x:f>
      </x:c>
      <x:c r="BX128" s="47"/>
      <x:c r="BY128" s="60"/>
      <x:c r="BZ128" s="58">
        <x:f>(($O128*BX128)/100)+(BY128*12)</x:f>
      </x:c>
      <x:c r="CA128" s="47"/>
      <x:c r="CB128" s="60"/>
      <x:c r="CC128" s="58">
        <x:f>(($O128*CA128)/100)+(CB128*12)</x:f>
      </x:c>
      <x:c r="CD128" s="47"/>
      <x:c r="CE128" s="60"/>
      <x:c r="CF128" s="58">
        <x:f>(($O128*CD128)/100)+(CE128*12)</x:f>
      </x:c>
      <x:c r="CG128" s="47"/>
      <x:c r="CH128" s="60"/>
      <x:c r="CI128" s="58">
        <x:f>(($O128*CG128)/100)+(CH128*12)</x:f>
      </x:c>
      <x:c r="CJ128" s="47"/>
      <x:c r="CK128" s="60"/>
      <x:c r="CL128" s="58">
        <x:f>(($O128*CJ128)/100)+(CK128*12)</x:f>
      </x:c>
      <x:c r="CM128" s="47"/>
      <x:c r="CN128" s="60"/>
      <x:c r="CO128" s="58">
        <x:f>(($O128*CM128)/100)+(CN128*12)</x:f>
      </x:c>
      <x:c r="CP128" s="47"/>
      <x:c r="CQ128" s="60"/>
      <x:c r="CR128" s="58">
        <x:f>(($O128*CP128)/100)+(CQ128*12)</x:f>
      </x:c>
      <x:c r="CS128" s="47"/>
      <x:c r="CT128" s="60"/>
      <x:c r="CU128" s="58">
        <x:f>(($O128*CS128)/100)+(CT128*12)</x:f>
      </x:c>
      <x:c r="CV128" s="47"/>
      <x:c r="CW128" s="60"/>
      <x:c r="CX128" s="58"/>
      <x:c r="CY128" s="47"/>
      <x:c r="CZ128" s="60"/>
      <x:c r="DA128" s="58"/>
      <x:c r="DB128" s="47"/>
      <x:c r="DC128" s="60"/>
      <x:c r="DD128" s="58"/>
      <x:c r="DE128" s="47"/>
      <x:c r="DF128" s="60"/>
      <x:c r="DG128" s="58"/>
      <x:c r="DH128" s="47"/>
      <x:c r="DI128" s="60"/>
      <x:c r="DJ128" s="58"/>
      <x:c r="DK128" s="47"/>
      <x:c r="DL128" s="60"/>
      <x:c r="DM128" s="58"/>
      <x:c r="DN128" s="11"/>
      <x:c r="DO128" s="61"/>
      <x:c r="DP128" s="62"/>
      <x:c r="DQ128" s="11"/>
      <x:c r="DR128" s="61"/>
      <x:c r="DS128" s="62"/>
      <x:c r="DT128" s="11"/>
      <x:c r="DU128" s="61"/>
      <x:c r="DV128" s="62"/>
    </x:row>
    <x:row r="129" spans="1:126" x14ac:dyDescent="0.3">
      <x:c r="A129" s="47"/>
      <x:c r="B129" s="70"/>
      <x:c r="C129" s="70"/>
      <x:c r="D129" s="70"/>
      <x:c r="E129" s="70"/>
      <x:c r="F129" s="70"/>
      <x:c r="G129" s="70"/>
      <x:c r="H129" s="70"/>
      <x:c r="I129" s="70"/>
      <x:c r="J129" s="70"/>
      <x:c r="K129" s="190"/>
      <x:c r="L129" s="191"/>
      <x:c r="M129" s="192">
        <x:f>IF(ISERROR(INDEX('Meter Type Data'!$B$2:$E$1165,SUMPRODUCT(--('Meter Type Data'!$B$2:$B$1165&lt;=Analysis!L129)*('Meter Type Data'!$C$2:$C$1165&gt;=Analysis!L129),ROW('Meter Type Data'!$B$2:$B$1165))-1,4))," ",INDEX('Meter Type Data'!$B$2:$E$1165,SUMPRODUCT(--('Meter Type Data'!$B$2:$B$1165&lt;=Analysis!L129)*('Meter Type Data'!$C$2:$C$1165&gt;=Analysis!L129),ROW('Meter Type Data'!$B$2:$B$1165))-1,4))</x:f>
      </x:c>
      <x:c r="N129" s="192">
        <x:f>IF(ISERROR(INDEX('Meter Type Data'!$B$2:$D$1165,SUMPRODUCT(--('Meter Type Data'!$B$2:$B$1165&lt;=Analysis!L129)*('Meter Type Data'!$C$2:$C$1165&gt;=Analysis!L129),ROW('Meter Type Data'!$B$2:$B$1165))-1,3))," ",INDEX('Meter Type Data'!$B$2:$D$1165,SUMPRODUCT(--('Meter Type Data'!$B$2:$B$1165&lt;=Analysis!L129)*('Meter Type Data'!$C$2:$C$1165&gt;=Analysis!L129),ROW('Meter Type Data'!$B$2:$B$1165))-1,3))</x:f>
      </x:c>
      <x:c r="O129" s="69"/>
      <x:c r="P129" s="47"/>
      <x:c r="Q129" s="60"/>
      <x:c r="R129" s="58">
        <x:f>(($O129*P129)/100)+(Q129*12)</x:f>
      </x:c>
      <x:c r="S129" s="59"/>
      <x:c r="T129" s="59"/>
      <x:c r="U129" s="58">
        <x:f>(($O129*S129)/100)+(T129*12)</x:f>
      </x:c>
      <x:c r="V129" s="47"/>
      <x:c r="W129" s="60"/>
      <x:c r="X129" s="58">
        <x:f>(($O129*V129)/100)+(W129*12)</x:f>
      </x:c>
      <x:c r="Y129" s="47"/>
      <x:c r="Z129" s="60"/>
      <x:c r="AA129" s="58">
        <x:f>(($O129*Y129)/100)+(Z129*12)</x:f>
      </x:c>
      <x:c r="AB129" s="47"/>
      <x:c r="AC129" s="60"/>
      <x:c r="AD129" s="58">
        <x:f>(($O129*AB129)/100)+(AC129*12)</x:f>
      </x:c>
      <x:c r="AE129" s="47"/>
      <x:c r="AF129" s="60"/>
      <x:c r="AG129" s="58">
        <x:f>(($O129*AE129)/100)+(AF129*12)</x:f>
      </x:c>
      <x:c r="AH129" s="47"/>
      <x:c r="AI129" s="60"/>
      <x:c r="AJ129" s="58">
        <x:f>(($O129*AH129)/100)+(AI129*12)</x:f>
      </x:c>
      <x:c r="AK129" s="47"/>
      <x:c r="AL129" s="60"/>
      <x:c r="AM129" s="58">
        <x:f>(($O129*AK129)/100)+(AL129*12)</x:f>
      </x:c>
      <x:c r="AN129" s="47"/>
      <x:c r="AO129" s="60"/>
      <x:c r="AP129" s="58">
        <x:f>(($O129*AN129)/100)+(AO129*12)</x:f>
      </x:c>
      <x:c r="AQ129" s="47"/>
      <x:c r="AR129" s="60"/>
      <x:c r="AS129" s="58">
        <x:f>(($O129*AQ129)/100)+(AR129*12)</x:f>
      </x:c>
      <x:c r="AT129" s="47"/>
      <x:c r="AU129" s="60"/>
      <x:c r="AV129" s="58">
        <x:f>(($O129*AT129)/100)+(AU129*12)</x:f>
      </x:c>
      <x:c r="AW129" s="47"/>
      <x:c r="AX129" s="60"/>
      <x:c r="AY129" s="58">
        <x:f>(($O129*AW129)/100)+(AX129*12)</x:f>
      </x:c>
      <x:c r="AZ129" s="47"/>
      <x:c r="BA129" s="60"/>
      <x:c r="BB129" s="58">
        <x:f>(($O129*AZ129)/100)+(BA129*12)</x:f>
      </x:c>
      <x:c r="BC129" s="47"/>
      <x:c r="BD129" s="60"/>
      <x:c r="BE129" s="58">
        <x:f>(($O129*BC129)/100)+(BD129*12)</x:f>
      </x:c>
      <x:c r="BF129" s="47"/>
      <x:c r="BG129" s="60"/>
      <x:c r="BH129" s="58">
        <x:f>(($O129*BF129)/100)+(BG129*12)</x:f>
      </x:c>
      <x:c r="BI129" s="47"/>
      <x:c r="BJ129" s="60"/>
      <x:c r="BK129" s="58">
        <x:f>(($O129*BI129)/100)+(BJ129*12)</x:f>
      </x:c>
      <x:c r="BL129" s="47"/>
      <x:c r="BM129" s="60"/>
      <x:c r="BN129" s="58">
        <x:f>(($O129*BL129)/100)+(BM129*12)</x:f>
      </x:c>
      <x:c r="BO129" s="47"/>
      <x:c r="BP129" s="60"/>
      <x:c r="BQ129" s="58">
        <x:f>(($O129*BO129)/100)+(BP129*12)</x:f>
      </x:c>
      <x:c r="BR129" s="47"/>
      <x:c r="BS129" s="60"/>
      <x:c r="BT129" s="58">
        <x:f>(($O129*BR129)/100)+(BS129*12)</x:f>
      </x:c>
      <x:c r="BU129" s="47"/>
      <x:c r="BV129" s="60"/>
      <x:c r="BW129" s="58">
        <x:f>(($O129*BU129)/100)+(BV129*12)</x:f>
      </x:c>
      <x:c r="BX129" s="47"/>
      <x:c r="BY129" s="60"/>
      <x:c r="BZ129" s="58">
        <x:f>(($O129*BX129)/100)+(BY129*12)</x:f>
      </x:c>
      <x:c r="CA129" s="47"/>
      <x:c r="CB129" s="60"/>
      <x:c r="CC129" s="58">
        <x:f>(($O129*CA129)/100)+(CB129*12)</x:f>
      </x:c>
      <x:c r="CD129" s="47"/>
      <x:c r="CE129" s="60"/>
      <x:c r="CF129" s="58">
        <x:f>(($O129*CD129)/100)+(CE129*12)</x:f>
      </x:c>
      <x:c r="CG129" s="47"/>
      <x:c r="CH129" s="60"/>
      <x:c r="CI129" s="58">
        <x:f>(($O129*CG129)/100)+(CH129*12)</x:f>
      </x:c>
      <x:c r="CJ129" s="47"/>
      <x:c r="CK129" s="60"/>
      <x:c r="CL129" s="58">
        <x:f>(($O129*CJ129)/100)+(CK129*12)</x:f>
      </x:c>
      <x:c r="CM129" s="47"/>
      <x:c r="CN129" s="60"/>
      <x:c r="CO129" s="58">
        <x:f>(($O129*CM129)/100)+(CN129*12)</x:f>
      </x:c>
      <x:c r="CP129" s="47"/>
      <x:c r="CQ129" s="60"/>
      <x:c r="CR129" s="58">
        <x:f>(($O129*CP129)/100)+(CQ129*12)</x:f>
      </x:c>
      <x:c r="CS129" s="47"/>
      <x:c r="CT129" s="60"/>
      <x:c r="CU129" s="58">
        <x:f>(($O129*CS129)/100)+(CT129*12)</x:f>
      </x:c>
      <x:c r="CV129" s="47"/>
      <x:c r="CW129" s="60"/>
      <x:c r="CX129" s="58"/>
      <x:c r="CY129" s="47"/>
      <x:c r="CZ129" s="60"/>
      <x:c r="DA129" s="58"/>
      <x:c r="DB129" s="47"/>
      <x:c r="DC129" s="60"/>
      <x:c r="DD129" s="58"/>
      <x:c r="DE129" s="47"/>
      <x:c r="DF129" s="60"/>
      <x:c r="DG129" s="58"/>
      <x:c r="DH129" s="47"/>
      <x:c r="DI129" s="60"/>
      <x:c r="DJ129" s="58"/>
      <x:c r="DK129" s="47"/>
      <x:c r="DL129" s="60"/>
      <x:c r="DM129" s="58"/>
      <x:c r="DN129" s="11"/>
      <x:c r="DO129" s="61"/>
      <x:c r="DP129" s="62"/>
      <x:c r="DQ129" s="11"/>
      <x:c r="DR129" s="61"/>
      <x:c r="DS129" s="62"/>
      <x:c r="DT129" s="11"/>
      <x:c r="DU129" s="61"/>
      <x:c r="DV129" s="62"/>
    </x:row>
    <x:row r="130" spans="1:126" x14ac:dyDescent="0.3">
      <x:c r="A130" s="47"/>
      <x:c r="B130" s="70"/>
      <x:c r="C130" s="70"/>
      <x:c r="D130" s="70"/>
      <x:c r="E130" s="70"/>
      <x:c r="F130" s="70"/>
      <x:c r="G130" s="70"/>
      <x:c r="H130" s="70"/>
      <x:c r="I130" s="70"/>
      <x:c r="J130" s="70"/>
      <x:c r="K130" s="190"/>
      <x:c r="L130" s="191"/>
      <x:c r="M130" s="192">
        <x:f>IF(ISERROR(INDEX('Meter Type Data'!$B$2:$E$1165,SUMPRODUCT(--('Meter Type Data'!$B$2:$B$1165&lt;=Analysis!L130)*('Meter Type Data'!$C$2:$C$1165&gt;=Analysis!L130),ROW('Meter Type Data'!$B$2:$B$1165))-1,4))," ",INDEX('Meter Type Data'!$B$2:$E$1165,SUMPRODUCT(--('Meter Type Data'!$B$2:$B$1165&lt;=Analysis!L130)*('Meter Type Data'!$C$2:$C$1165&gt;=Analysis!L130),ROW('Meter Type Data'!$B$2:$B$1165))-1,4))</x:f>
      </x:c>
      <x:c r="N130" s="192">
        <x:f>IF(ISERROR(INDEX('Meter Type Data'!$B$2:$D$1165,SUMPRODUCT(--('Meter Type Data'!$B$2:$B$1165&lt;=Analysis!L130)*('Meter Type Data'!$C$2:$C$1165&gt;=Analysis!L130),ROW('Meter Type Data'!$B$2:$B$1165))-1,3))," ",INDEX('Meter Type Data'!$B$2:$D$1165,SUMPRODUCT(--('Meter Type Data'!$B$2:$B$1165&lt;=Analysis!L130)*('Meter Type Data'!$C$2:$C$1165&gt;=Analysis!L130),ROW('Meter Type Data'!$B$2:$B$1165))-1,3))</x:f>
      </x:c>
      <x:c r="O130" s="69"/>
      <x:c r="P130" s="47"/>
      <x:c r="Q130" s="60"/>
      <x:c r="R130" s="58">
        <x:f>(($O130*P130)/100)+(Q130*12)</x:f>
      </x:c>
      <x:c r="S130" s="59"/>
      <x:c r="T130" s="59"/>
      <x:c r="U130" s="58">
        <x:f>(($O130*S130)/100)+(T130*12)</x:f>
      </x:c>
      <x:c r="V130" s="47"/>
      <x:c r="W130" s="60"/>
      <x:c r="X130" s="58">
        <x:f>(($O130*V130)/100)+(W130*12)</x:f>
      </x:c>
      <x:c r="Y130" s="47"/>
      <x:c r="Z130" s="60"/>
      <x:c r="AA130" s="58">
        <x:f>(($O130*Y130)/100)+(Z130*12)</x:f>
      </x:c>
      <x:c r="AB130" s="47"/>
      <x:c r="AC130" s="60"/>
      <x:c r="AD130" s="58">
        <x:f>(($O130*AB130)/100)+(AC130*12)</x:f>
      </x:c>
      <x:c r="AE130" s="47"/>
      <x:c r="AF130" s="60"/>
      <x:c r="AG130" s="58">
        <x:f>(($O130*AE130)/100)+(AF130*12)</x:f>
      </x:c>
      <x:c r="AH130" s="47"/>
      <x:c r="AI130" s="60"/>
      <x:c r="AJ130" s="58">
        <x:f>(($O130*AH130)/100)+(AI130*12)</x:f>
      </x:c>
      <x:c r="AK130" s="47"/>
      <x:c r="AL130" s="60"/>
      <x:c r="AM130" s="58">
        <x:f>(($O130*AK130)/100)+(AL130*12)</x:f>
      </x:c>
      <x:c r="AN130" s="47"/>
      <x:c r="AO130" s="60"/>
      <x:c r="AP130" s="58">
        <x:f>(($O130*AN130)/100)+(AO130*12)</x:f>
      </x:c>
      <x:c r="AQ130" s="47"/>
      <x:c r="AR130" s="60"/>
      <x:c r="AS130" s="58">
        <x:f>(($O130*AQ130)/100)+(AR130*12)</x:f>
      </x:c>
      <x:c r="AT130" s="47"/>
      <x:c r="AU130" s="60"/>
      <x:c r="AV130" s="58">
        <x:f>(($O130*AT130)/100)+(AU130*12)</x:f>
      </x:c>
      <x:c r="AW130" s="47"/>
      <x:c r="AX130" s="60"/>
      <x:c r="AY130" s="58">
        <x:f>(($O130*AW130)/100)+(AX130*12)</x:f>
      </x:c>
      <x:c r="AZ130" s="47"/>
      <x:c r="BA130" s="60"/>
      <x:c r="BB130" s="58">
        <x:f>(($O130*AZ130)/100)+(BA130*12)</x:f>
      </x:c>
      <x:c r="BC130" s="47"/>
      <x:c r="BD130" s="60"/>
      <x:c r="BE130" s="58">
        <x:f>(($O130*BC130)/100)+(BD130*12)</x:f>
      </x:c>
      <x:c r="BF130" s="47"/>
      <x:c r="BG130" s="60"/>
      <x:c r="BH130" s="58">
        <x:f>(($O130*BF130)/100)+(BG130*12)</x:f>
      </x:c>
      <x:c r="BI130" s="47"/>
      <x:c r="BJ130" s="60"/>
      <x:c r="BK130" s="58">
        <x:f>(($O130*BI130)/100)+(BJ130*12)</x:f>
      </x:c>
      <x:c r="BL130" s="47"/>
      <x:c r="BM130" s="60"/>
      <x:c r="BN130" s="58">
        <x:f>(($O130*BL130)/100)+(BM130*12)</x:f>
      </x:c>
      <x:c r="BO130" s="47"/>
      <x:c r="BP130" s="60"/>
      <x:c r="BQ130" s="58">
        <x:f>(($O130*BO130)/100)+(BP130*12)</x:f>
      </x:c>
      <x:c r="BR130" s="47"/>
      <x:c r="BS130" s="60"/>
      <x:c r="BT130" s="58">
        <x:f>(($O130*BR130)/100)+(BS130*12)</x:f>
      </x:c>
      <x:c r="BU130" s="47"/>
      <x:c r="BV130" s="60"/>
      <x:c r="BW130" s="58">
        <x:f>(($O130*BU130)/100)+(BV130*12)</x:f>
      </x:c>
      <x:c r="BX130" s="47"/>
      <x:c r="BY130" s="60"/>
      <x:c r="BZ130" s="58">
        <x:f>(($O130*BX130)/100)+(BY130*12)</x:f>
      </x:c>
      <x:c r="CA130" s="47"/>
      <x:c r="CB130" s="60"/>
      <x:c r="CC130" s="58">
        <x:f>(($O130*CA130)/100)+(CB130*12)</x:f>
      </x:c>
      <x:c r="CD130" s="47"/>
      <x:c r="CE130" s="60"/>
      <x:c r="CF130" s="58">
        <x:f>(($O130*CD130)/100)+(CE130*12)</x:f>
      </x:c>
      <x:c r="CG130" s="47"/>
      <x:c r="CH130" s="60"/>
      <x:c r="CI130" s="58">
        <x:f>(($O130*CG130)/100)+(CH130*12)</x:f>
      </x:c>
      <x:c r="CJ130" s="47"/>
      <x:c r="CK130" s="60"/>
      <x:c r="CL130" s="58">
        <x:f>(($O130*CJ130)/100)+(CK130*12)</x:f>
      </x:c>
      <x:c r="CM130" s="47"/>
      <x:c r="CN130" s="60"/>
      <x:c r="CO130" s="58">
        <x:f>(($O130*CM130)/100)+(CN130*12)</x:f>
      </x:c>
      <x:c r="CP130" s="47"/>
      <x:c r="CQ130" s="60"/>
      <x:c r="CR130" s="58">
        <x:f>(($O130*CP130)/100)+(CQ130*12)</x:f>
      </x:c>
      <x:c r="CS130" s="47"/>
      <x:c r="CT130" s="60"/>
      <x:c r="CU130" s="58">
        <x:f>(($O130*CS130)/100)+(CT130*12)</x:f>
      </x:c>
      <x:c r="CV130" s="47"/>
      <x:c r="CW130" s="60"/>
      <x:c r="CX130" s="58"/>
      <x:c r="CY130" s="47"/>
      <x:c r="CZ130" s="60"/>
      <x:c r="DA130" s="58"/>
      <x:c r="DB130" s="47"/>
      <x:c r="DC130" s="60"/>
      <x:c r="DD130" s="58"/>
      <x:c r="DE130" s="47"/>
      <x:c r="DF130" s="60"/>
      <x:c r="DG130" s="58"/>
      <x:c r="DH130" s="47"/>
      <x:c r="DI130" s="60"/>
      <x:c r="DJ130" s="58"/>
      <x:c r="DK130" s="47"/>
      <x:c r="DL130" s="60"/>
      <x:c r="DM130" s="58"/>
      <x:c r="DN130" s="11"/>
      <x:c r="DO130" s="61"/>
      <x:c r="DP130" s="62"/>
      <x:c r="DQ130" s="11"/>
      <x:c r="DR130" s="61"/>
      <x:c r="DS130" s="62"/>
      <x:c r="DT130" s="11"/>
      <x:c r="DU130" s="61"/>
      <x:c r="DV130" s="62"/>
    </x:row>
    <x:row r="131" spans="1:126" x14ac:dyDescent="0.3">
      <x:c r="A131" s="47"/>
      <x:c r="B131" s="70"/>
      <x:c r="C131" s="70"/>
      <x:c r="D131" s="70"/>
      <x:c r="E131" s="70"/>
      <x:c r="F131" s="70"/>
      <x:c r="G131" s="70"/>
      <x:c r="H131" s="70"/>
      <x:c r="I131" s="70"/>
      <x:c r="J131" s="70"/>
      <x:c r="K131" s="190"/>
      <x:c r="L131" s="191"/>
      <x:c r="M131" s="192">
        <x:f>IF(ISERROR(INDEX('Meter Type Data'!$B$2:$E$1165,SUMPRODUCT(--('Meter Type Data'!$B$2:$B$1165&lt;=Analysis!L131)*('Meter Type Data'!$C$2:$C$1165&gt;=Analysis!L131),ROW('Meter Type Data'!$B$2:$B$1165))-1,4))," ",INDEX('Meter Type Data'!$B$2:$E$1165,SUMPRODUCT(--('Meter Type Data'!$B$2:$B$1165&lt;=Analysis!L131)*('Meter Type Data'!$C$2:$C$1165&gt;=Analysis!L131),ROW('Meter Type Data'!$B$2:$B$1165))-1,4))</x:f>
      </x:c>
      <x:c r="N131" s="192">
        <x:f>IF(ISERROR(INDEX('Meter Type Data'!$B$2:$D$1165,SUMPRODUCT(--('Meter Type Data'!$B$2:$B$1165&lt;=Analysis!L131)*('Meter Type Data'!$C$2:$C$1165&gt;=Analysis!L131),ROW('Meter Type Data'!$B$2:$B$1165))-1,3))," ",INDEX('Meter Type Data'!$B$2:$D$1165,SUMPRODUCT(--('Meter Type Data'!$B$2:$B$1165&lt;=Analysis!L131)*('Meter Type Data'!$C$2:$C$1165&gt;=Analysis!L131),ROW('Meter Type Data'!$B$2:$B$1165))-1,3))</x:f>
      </x:c>
      <x:c r="O131" s="69"/>
      <x:c r="P131" s="47"/>
      <x:c r="Q131" s="60"/>
      <x:c r="R131" s="58">
        <x:f>(($O131*P131)/100)+(Q131*12)</x:f>
      </x:c>
      <x:c r="S131" s="59"/>
      <x:c r="T131" s="59"/>
      <x:c r="U131" s="58">
        <x:f>(($O131*S131)/100)+(T131*12)</x:f>
      </x:c>
      <x:c r="V131" s="47"/>
      <x:c r="W131" s="60"/>
      <x:c r="X131" s="58">
        <x:f>(($O131*V131)/100)+(W131*12)</x:f>
      </x:c>
      <x:c r="Y131" s="47"/>
      <x:c r="Z131" s="60"/>
      <x:c r="AA131" s="58">
        <x:f>(($O131*Y131)/100)+(Z131*12)</x:f>
      </x:c>
      <x:c r="AB131" s="47"/>
      <x:c r="AC131" s="60"/>
      <x:c r="AD131" s="58">
        <x:f>(($O131*AB131)/100)+(AC131*12)</x:f>
      </x:c>
      <x:c r="AE131" s="47"/>
      <x:c r="AF131" s="60"/>
      <x:c r="AG131" s="58">
        <x:f>(($O131*AE131)/100)+(AF131*12)</x:f>
      </x:c>
      <x:c r="AH131" s="47"/>
      <x:c r="AI131" s="60"/>
      <x:c r="AJ131" s="58">
        <x:f>(($O131*AH131)/100)+(AI131*12)</x:f>
      </x:c>
      <x:c r="AK131" s="47"/>
      <x:c r="AL131" s="60"/>
      <x:c r="AM131" s="58">
        <x:f>(($O131*AK131)/100)+(AL131*12)</x:f>
      </x:c>
      <x:c r="AN131" s="47"/>
      <x:c r="AO131" s="60"/>
      <x:c r="AP131" s="58">
        <x:f>(($O131*AN131)/100)+(AO131*12)</x:f>
      </x:c>
      <x:c r="AQ131" s="47"/>
      <x:c r="AR131" s="60"/>
      <x:c r="AS131" s="58">
        <x:f>(($O131*AQ131)/100)+(AR131*12)</x:f>
      </x:c>
      <x:c r="AT131" s="47"/>
      <x:c r="AU131" s="60"/>
      <x:c r="AV131" s="58">
        <x:f>(($O131*AT131)/100)+(AU131*12)</x:f>
      </x:c>
      <x:c r="AW131" s="47"/>
      <x:c r="AX131" s="60"/>
      <x:c r="AY131" s="58">
        <x:f>(($O131*AW131)/100)+(AX131*12)</x:f>
      </x:c>
      <x:c r="AZ131" s="47"/>
      <x:c r="BA131" s="60"/>
      <x:c r="BB131" s="58">
        <x:f>(($O131*AZ131)/100)+(BA131*12)</x:f>
      </x:c>
      <x:c r="BC131" s="47"/>
      <x:c r="BD131" s="60"/>
      <x:c r="BE131" s="58">
        <x:f>(($O131*BC131)/100)+(BD131*12)</x:f>
      </x:c>
      <x:c r="BF131" s="47"/>
      <x:c r="BG131" s="60"/>
      <x:c r="BH131" s="58">
        <x:f>(($O131*BF131)/100)+(BG131*12)</x:f>
      </x:c>
      <x:c r="BI131" s="47"/>
      <x:c r="BJ131" s="60"/>
      <x:c r="BK131" s="58">
        <x:f>(($O131*BI131)/100)+(BJ131*12)</x:f>
      </x:c>
      <x:c r="BL131" s="47"/>
      <x:c r="BM131" s="60"/>
      <x:c r="BN131" s="58">
        <x:f>(($O131*BL131)/100)+(BM131*12)</x:f>
      </x:c>
      <x:c r="BO131" s="47"/>
      <x:c r="BP131" s="60"/>
      <x:c r="BQ131" s="58">
        <x:f>(($O131*BO131)/100)+(BP131*12)</x:f>
      </x:c>
      <x:c r="BR131" s="47"/>
      <x:c r="BS131" s="60"/>
      <x:c r="BT131" s="58">
        <x:f>(($O131*BR131)/100)+(BS131*12)</x:f>
      </x:c>
      <x:c r="BU131" s="47"/>
      <x:c r="BV131" s="60"/>
      <x:c r="BW131" s="58">
        <x:f>(($O131*BU131)/100)+(BV131*12)</x:f>
      </x:c>
      <x:c r="BX131" s="47"/>
      <x:c r="BY131" s="60"/>
      <x:c r="BZ131" s="58">
        <x:f>(($O131*BX131)/100)+(BY131*12)</x:f>
      </x:c>
      <x:c r="CA131" s="47"/>
      <x:c r="CB131" s="60"/>
      <x:c r="CC131" s="58">
        <x:f>(($O131*CA131)/100)+(CB131*12)</x:f>
      </x:c>
      <x:c r="CD131" s="47"/>
      <x:c r="CE131" s="60"/>
      <x:c r="CF131" s="58">
        <x:f>(($O131*CD131)/100)+(CE131*12)</x:f>
      </x:c>
      <x:c r="CG131" s="47"/>
      <x:c r="CH131" s="60"/>
      <x:c r="CI131" s="58">
        <x:f>(($O131*CG131)/100)+(CH131*12)</x:f>
      </x:c>
      <x:c r="CJ131" s="47"/>
      <x:c r="CK131" s="60"/>
      <x:c r="CL131" s="58">
        <x:f>(($O131*CJ131)/100)+(CK131*12)</x:f>
      </x:c>
      <x:c r="CM131" s="47"/>
      <x:c r="CN131" s="60"/>
      <x:c r="CO131" s="58">
        <x:f>(($O131*CM131)/100)+(CN131*12)</x:f>
      </x:c>
      <x:c r="CP131" s="47"/>
      <x:c r="CQ131" s="60"/>
      <x:c r="CR131" s="58">
        <x:f>(($O131*CP131)/100)+(CQ131*12)</x:f>
      </x:c>
      <x:c r="CS131" s="47"/>
      <x:c r="CT131" s="60"/>
      <x:c r="CU131" s="58">
        <x:f>(($O131*CS131)/100)+(CT131*12)</x:f>
      </x:c>
      <x:c r="CV131" s="47"/>
      <x:c r="CW131" s="60"/>
      <x:c r="CX131" s="58"/>
      <x:c r="CY131" s="47"/>
      <x:c r="CZ131" s="60"/>
      <x:c r="DA131" s="58"/>
      <x:c r="DB131" s="47"/>
      <x:c r="DC131" s="60"/>
      <x:c r="DD131" s="58"/>
      <x:c r="DE131" s="47"/>
      <x:c r="DF131" s="60"/>
      <x:c r="DG131" s="58"/>
      <x:c r="DH131" s="47"/>
      <x:c r="DI131" s="60"/>
      <x:c r="DJ131" s="58"/>
      <x:c r="DK131" s="47"/>
      <x:c r="DL131" s="60"/>
      <x:c r="DM131" s="58"/>
      <x:c r="DN131" s="11"/>
      <x:c r="DO131" s="61"/>
      <x:c r="DP131" s="62"/>
      <x:c r="DQ131" s="11"/>
      <x:c r="DR131" s="61"/>
      <x:c r="DS131" s="62"/>
      <x:c r="DT131" s="11"/>
      <x:c r="DU131" s="61"/>
      <x:c r="DV131" s="62"/>
    </x:row>
    <x:row r="132" spans="1:126" x14ac:dyDescent="0.3">
      <x:c r="A132" s="47"/>
      <x:c r="B132" s="70"/>
      <x:c r="C132" s="70"/>
      <x:c r="D132" s="70"/>
      <x:c r="E132" s="70"/>
      <x:c r="F132" s="70"/>
      <x:c r="G132" s="70"/>
      <x:c r="H132" s="70"/>
      <x:c r="I132" s="70"/>
      <x:c r="J132" s="70"/>
      <x:c r="K132" s="190"/>
      <x:c r="L132" s="191"/>
      <x:c r="M132" s="192">
        <x:f>IF(ISERROR(INDEX('Meter Type Data'!$B$2:$E$1165,SUMPRODUCT(--('Meter Type Data'!$B$2:$B$1165&lt;=Analysis!L132)*('Meter Type Data'!$C$2:$C$1165&gt;=Analysis!L132),ROW('Meter Type Data'!$B$2:$B$1165))-1,4))," ",INDEX('Meter Type Data'!$B$2:$E$1165,SUMPRODUCT(--('Meter Type Data'!$B$2:$B$1165&lt;=Analysis!L132)*('Meter Type Data'!$C$2:$C$1165&gt;=Analysis!L132),ROW('Meter Type Data'!$B$2:$B$1165))-1,4))</x:f>
      </x:c>
      <x:c r="N132" s="192">
        <x:f>IF(ISERROR(INDEX('Meter Type Data'!$B$2:$D$1165,SUMPRODUCT(--('Meter Type Data'!$B$2:$B$1165&lt;=Analysis!L132)*('Meter Type Data'!$C$2:$C$1165&gt;=Analysis!L132),ROW('Meter Type Data'!$B$2:$B$1165))-1,3))," ",INDEX('Meter Type Data'!$B$2:$D$1165,SUMPRODUCT(--('Meter Type Data'!$B$2:$B$1165&lt;=Analysis!L132)*('Meter Type Data'!$C$2:$C$1165&gt;=Analysis!L132),ROW('Meter Type Data'!$B$2:$B$1165))-1,3))</x:f>
      </x:c>
      <x:c r="O132" s="69"/>
      <x:c r="P132" s="47"/>
      <x:c r="Q132" s="60"/>
      <x:c r="R132" s="58">
        <x:f>(($O132*P132)/100)+(Q132*12)</x:f>
      </x:c>
      <x:c r="S132" s="59"/>
      <x:c r="T132" s="59"/>
      <x:c r="U132" s="58">
        <x:f>(($O132*S132)/100)+(T132*12)</x:f>
      </x:c>
      <x:c r="V132" s="47"/>
      <x:c r="W132" s="60"/>
      <x:c r="X132" s="58">
        <x:f>(($O132*V132)/100)+(W132*12)</x:f>
      </x:c>
      <x:c r="Y132" s="47"/>
      <x:c r="Z132" s="60"/>
      <x:c r="AA132" s="58">
        <x:f>(($O132*Y132)/100)+(Z132*12)</x:f>
      </x:c>
      <x:c r="AB132" s="47"/>
      <x:c r="AC132" s="60"/>
      <x:c r="AD132" s="58">
        <x:f>(($O132*AB132)/100)+(AC132*12)</x:f>
      </x:c>
      <x:c r="AE132" s="47"/>
      <x:c r="AF132" s="60"/>
      <x:c r="AG132" s="58">
        <x:f>(($O132*AE132)/100)+(AF132*12)</x:f>
      </x:c>
      <x:c r="AH132" s="47"/>
      <x:c r="AI132" s="60"/>
      <x:c r="AJ132" s="58">
        <x:f>(($O132*AH132)/100)+(AI132*12)</x:f>
      </x:c>
      <x:c r="AK132" s="47"/>
      <x:c r="AL132" s="60"/>
      <x:c r="AM132" s="58">
        <x:f>(($O132*AK132)/100)+(AL132*12)</x:f>
      </x:c>
      <x:c r="AN132" s="47"/>
      <x:c r="AO132" s="60"/>
      <x:c r="AP132" s="58">
        <x:f>(($O132*AN132)/100)+(AO132*12)</x:f>
      </x:c>
      <x:c r="AQ132" s="47"/>
      <x:c r="AR132" s="60"/>
      <x:c r="AS132" s="58">
        <x:f>(($O132*AQ132)/100)+(AR132*12)</x:f>
      </x:c>
      <x:c r="AT132" s="47"/>
      <x:c r="AU132" s="60"/>
      <x:c r="AV132" s="58">
        <x:f>(($O132*AT132)/100)+(AU132*12)</x:f>
      </x:c>
      <x:c r="AW132" s="47"/>
      <x:c r="AX132" s="60"/>
      <x:c r="AY132" s="58">
        <x:f>(($O132*AW132)/100)+(AX132*12)</x:f>
      </x:c>
      <x:c r="AZ132" s="47"/>
      <x:c r="BA132" s="60"/>
      <x:c r="BB132" s="58">
        <x:f>(($O132*AZ132)/100)+(BA132*12)</x:f>
      </x:c>
      <x:c r="BC132" s="47"/>
      <x:c r="BD132" s="60"/>
      <x:c r="BE132" s="58">
        <x:f>(($O132*BC132)/100)+(BD132*12)</x:f>
      </x:c>
      <x:c r="BF132" s="47"/>
      <x:c r="BG132" s="60"/>
      <x:c r="BH132" s="58">
        <x:f>(($O132*BF132)/100)+(BG132*12)</x:f>
      </x:c>
      <x:c r="BI132" s="47"/>
      <x:c r="BJ132" s="60"/>
      <x:c r="BK132" s="58">
        <x:f>(($O132*BI132)/100)+(BJ132*12)</x:f>
      </x:c>
      <x:c r="BL132" s="47"/>
      <x:c r="BM132" s="60"/>
      <x:c r="BN132" s="58">
        <x:f>(($O132*BL132)/100)+(BM132*12)</x:f>
      </x:c>
      <x:c r="BO132" s="47"/>
      <x:c r="BP132" s="60"/>
      <x:c r="BQ132" s="58">
        <x:f>(($O132*BO132)/100)+(BP132*12)</x:f>
      </x:c>
      <x:c r="BR132" s="47"/>
      <x:c r="BS132" s="60"/>
      <x:c r="BT132" s="58">
        <x:f>(($O132*BR132)/100)+(BS132*12)</x:f>
      </x:c>
      <x:c r="BU132" s="47"/>
      <x:c r="BV132" s="60"/>
      <x:c r="BW132" s="58">
        <x:f>(($O132*BU132)/100)+(BV132*12)</x:f>
      </x:c>
      <x:c r="BX132" s="47"/>
      <x:c r="BY132" s="60"/>
      <x:c r="BZ132" s="58">
        <x:f>(($O132*BX132)/100)+(BY132*12)</x:f>
      </x:c>
      <x:c r="CA132" s="47"/>
      <x:c r="CB132" s="60"/>
      <x:c r="CC132" s="58">
        <x:f>(($O132*CA132)/100)+(CB132*12)</x:f>
      </x:c>
      <x:c r="CD132" s="47"/>
      <x:c r="CE132" s="60"/>
      <x:c r="CF132" s="58">
        <x:f>(($O132*CD132)/100)+(CE132*12)</x:f>
      </x:c>
      <x:c r="CG132" s="47"/>
      <x:c r="CH132" s="60"/>
      <x:c r="CI132" s="58">
        <x:f>(($O132*CG132)/100)+(CH132*12)</x:f>
      </x:c>
      <x:c r="CJ132" s="47"/>
      <x:c r="CK132" s="60"/>
      <x:c r="CL132" s="58">
        <x:f>(($O132*CJ132)/100)+(CK132*12)</x:f>
      </x:c>
      <x:c r="CM132" s="47"/>
      <x:c r="CN132" s="60"/>
      <x:c r="CO132" s="58">
        <x:f>(($O132*CM132)/100)+(CN132*12)</x:f>
      </x:c>
      <x:c r="CP132" s="47"/>
      <x:c r="CQ132" s="60"/>
      <x:c r="CR132" s="58">
        <x:f>(($O132*CP132)/100)+(CQ132*12)</x:f>
      </x:c>
      <x:c r="CS132" s="47"/>
      <x:c r="CT132" s="60"/>
      <x:c r="CU132" s="58">
        <x:f>(($O132*CS132)/100)+(CT132*12)</x:f>
      </x:c>
      <x:c r="CV132" s="47"/>
      <x:c r="CW132" s="60"/>
      <x:c r="CX132" s="58"/>
      <x:c r="CY132" s="47"/>
      <x:c r="CZ132" s="60"/>
      <x:c r="DA132" s="58"/>
      <x:c r="DB132" s="47"/>
      <x:c r="DC132" s="60"/>
      <x:c r="DD132" s="58"/>
      <x:c r="DE132" s="47"/>
      <x:c r="DF132" s="60"/>
      <x:c r="DG132" s="58"/>
      <x:c r="DH132" s="47"/>
      <x:c r="DI132" s="60"/>
      <x:c r="DJ132" s="58"/>
      <x:c r="DK132" s="47"/>
      <x:c r="DL132" s="60"/>
      <x:c r="DM132" s="58"/>
      <x:c r="DN132" s="11"/>
      <x:c r="DO132" s="61"/>
      <x:c r="DP132" s="62"/>
      <x:c r="DQ132" s="11"/>
      <x:c r="DR132" s="61"/>
      <x:c r="DS132" s="62"/>
      <x:c r="DT132" s="11"/>
      <x:c r="DU132" s="61"/>
      <x:c r="DV132" s="62"/>
    </x:row>
    <x:row r="133" spans="1:126" x14ac:dyDescent="0.3">
      <x:c r="A133" s="47"/>
      <x:c r="B133" s="70"/>
      <x:c r="C133" s="70"/>
      <x:c r="D133" s="70"/>
      <x:c r="E133" s="70"/>
      <x:c r="F133" s="70"/>
      <x:c r="G133" s="70"/>
      <x:c r="H133" s="70"/>
      <x:c r="I133" s="70"/>
      <x:c r="J133" s="70"/>
      <x:c r="K133" s="190"/>
      <x:c r="L133" s="191"/>
      <x:c r="M133" s="192">
        <x:f>IF(ISERROR(INDEX('Meter Type Data'!$B$2:$E$1165,SUMPRODUCT(--('Meter Type Data'!$B$2:$B$1165&lt;=Analysis!L133)*('Meter Type Data'!$C$2:$C$1165&gt;=Analysis!L133),ROW('Meter Type Data'!$B$2:$B$1165))-1,4))," ",INDEX('Meter Type Data'!$B$2:$E$1165,SUMPRODUCT(--('Meter Type Data'!$B$2:$B$1165&lt;=Analysis!L133)*('Meter Type Data'!$C$2:$C$1165&gt;=Analysis!L133),ROW('Meter Type Data'!$B$2:$B$1165))-1,4))</x:f>
      </x:c>
      <x:c r="N133" s="192">
        <x:f>IF(ISERROR(INDEX('Meter Type Data'!$B$2:$D$1165,SUMPRODUCT(--('Meter Type Data'!$B$2:$B$1165&lt;=Analysis!L133)*('Meter Type Data'!$C$2:$C$1165&gt;=Analysis!L133),ROW('Meter Type Data'!$B$2:$B$1165))-1,3))," ",INDEX('Meter Type Data'!$B$2:$D$1165,SUMPRODUCT(--('Meter Type Data'!$B$2:$B$1165&lt;=Analysis!L133)*('Meter Type Data'!$C$2:$C$1165&gt;=Analysis!L133),ROW('Meter Type Data'!$B$2:$B$1165))-1,3))</x:f>
      </x:c>
      <x:c r="O133" s="69"/>
      <x:c r="P133" s="47"/>
      <x:c r="Q133" s="60"/>
      <x:c r="R133" s="58">
        <x:f>(($O133*P133)/100)+(Q133*12)</x:f>
      </x:c>
      <x:c r="S133" s="59"/>
      <x:c r="T133" s="59"/>
      <x:c r="U133" s="58">
        <x:f>(($O133*S133)/100)+(T133*12)</x:f>
      </x:c>
      <x:c r="V133" s="47"/>
      <x:c r="W133" s="60"/>
      <x:c r="X133" s="58">
        <x:f>(($O133*V133)/100)+(W133*12)</x:f>
      </x:c>
      <x:c r="Y133" s="47"/>
      <x:c r="Z133" s="60"/>
      <x:c r="AA133" s="58">
        <x:f>(($O133*Y133)/100)+(Z133*12)</x:f>
      </x:c>
      <x:c r="AB133" s="47"/>
      <x:c r="AC133" s="60"/>
      <x:c r="AD133" s="58">
        <x:f>(($O133*AB133)/100)+(AC133*12)</x:f>
      </x:c>
      <x:c r="AE133" s="47"/>
      <x:c r="AF133" s="60"/>
      <x:c r="AG133" s="58">
        <x:f>(($O133*AE133)/100)+(AF133*12)</x:f>
      </x:c>
      <x:c r="AH133" s="47"/>
      <x:c r="AI133" s="60"/>
      <x:c r="AJ133" s="58">
        <x:f>(($O133*AH133)/100)+(AI133*12)</x:f>
      </x:c>
      <x:c r="AK133" s="47"/>
      <x:c r="AL133" s="60"/>
      <x:c r="AM133" s="58">
        <x:f>(($O133*AK133)/100)+(AL133*12)</x:f>
      </x:c>
      <x:c r="AN133" s="47"/>
      <x:c r="AO133" s="60"/>
      <x:c r="AP133" s="58">
        <x:f>(($O133*AN133)/100)+(AO133*12)</x:f>
      </x:c>
      <x:c r="AQ133" s="47"/>
      <x:c r="AR133" s="60"/>
      <x:c r="AS133" s="58">
        <x:f>(($O133*AQ133)/100)+(AR133*12)</x:f>
      </x:c>
      <x:c r="AT133" s="47"/>
      <x:c r="AU133" s="60"/>
      <x:c r="AV133" s="58">
        <x:f>(($O133*AT133)/100)+(AU133*12)</x:f>
      </x:c>
      <x:c r="AW133" s="47"/>
      <x:c r="AX133" s="60"/>
      <x:c r="AY133" s="58">
        <x:f>(($O133*AW133)/100)+(AX133*12)</x:f>
      </x:c>
      <x:c r="AZ133" s="47"/>
      <x:c r="BA133" s="60"/>
      <x:c r="BB133" s="58">
        <x:f>(($O133*AZ133)/100)+(BA133*12)</x:f>
      </x:c>
      <x:c r="BC133" s="47"/>
      <x:c r="BD133" s="60"/>
      <x:c r="BE133" s="58">
        <x:f>(($O133*BC133)/100)+(BD133*12)</x:f>
      </x:c>
      <x:c r="BF133" s="47"/>
      <x:c r="BG133" s="60"/>
      <x:c r="BH133" s="58">
        <x:f>(($O133*BF133)/100)+(BG133*12)</x:f>
      </x:c>
      <x:c r="BI133" s="47"/>
      <x:c r="BJ133" s="60"/>
      <x:c r="BK133" s="58">
        <x:f>(($O133*BI133)/100)+(BJ133*12)</x:f>
      </x:c>
      <x:c r="BL133" s="47"/>
      <x:c r="BM133" s="60"/>
      <x:c r="BN133" s="58">
        <x:f>(($O133*BL133)/100)+(BM133*12)</x:f>
      </x:c>
      <x:c r="BO133" s="47"/>
      <x:c r="BP133" s="60"/>
      <x:c r="BQ133" s="58">
        <x:f>(($O133*BO133)/100)+(BP133*12)</x:f>
      </x:c>
      <x:c r="BR133" s="47"/>
      <x:c r="BS133" s="60"/>
      <x:c r="BT133" s="58">
        <x:f>(($O133*BR133)/100)+(BS133*12)</x:f>
      </x:c>
      <x:c r="BU133" s="47"/>
      <x:c r="BV133" s="60"/>
      <x:c r="BW133" s="58">
        <x:f>(($O133*BU133)/100)+(BV133*12)</x:f>
      </x:c>
      <x:c r="BX133" s="47"/>
      <x:c r="BY133" s="60"/>
      <x:c r="BZ133" s="58">
        <x:f>(($O133*BX133)/100)+(BY133*12)</x:f>
      </x:c>
      <x:c r="CA133" s="47"/>
      <x:c r="CB133" s="60"/>
      <x:c r="CC133" s="58">
        <x:f>(($O133*CA133)/100)+(CB133*12)</x:f>
      </x:c>
      <x:c r="CD133" s="47"/>
      <x:c r="CE133" s="60"/>
      <x:c r="CF133" s="58">
        <x:f>(($O133*CD133)/100)+(CE133*12)</x:f>
      </x:c>
      <x:c r="CG133" s="47"/>
      <x:c r="CH133" s="60"/>
      <x:c r="CI133" s="58">
        <x:f>(($O133*CG133)/100)+(CH133*12)</x:f>
      </x:c>
      <x:c r="CJ133" s="47"/>
      <x:c r="CK133" s="60"/>
      <x:c r="CL133" s="58">
        <x:f>(($O133*CJ133)/100)+(CK133*12)</x:f>
      </x:c>
      <x:c r="CM133" s="47"/>
      <x:c r="CN133" s="60"/>
      <x:c r="CO133" s="58">
        <x:f>(($O133*CM133)/100)+(CN133*12)</x:f>
      </x:c>
      <x:c r="CP133" s="47"/>
      <x:c r="CQ133" s="60"/>
      <x:c r="CR133" s="58">
        <x:f>(($O133*CP133)/100)+(CQ133*12)</x:f>
      </x:c>
      <x:c r="CS133" s="47"/>
      <x:c r="CT133" s="60"/>
      <x:c r="CU133" s="58">
        <x:f>(($O133*CS133)/100)+(CT133*12)</x:f>
      </x:c>
      <x:c r="CV133" s="47"/>
      <x:c r="CW133" s="60"/>
      <x:c r="CX133" s="58"/>
      <x:c r="CY133" s="47"/>
      <x:c r="CZ133" s="60"/>
      <x:c r="DA133" s="58"/>
      <x:c r="DB133" s="47"/>
      <x:c r="DC133" s="60"/>
      <x:c r="DD133" s="58"/>
      <x:c r="DE133" s="47"/>
      <x:c r="DF133" s="60"/>
      <x:c r="DG133" s="58"/>
      <x:c r="DH133" s="47"/>
      <x:c r="DI133" s="60"/>
      <x:c r="DJ133" s="58"/>
      <x:c r="DK133" s="47"/>
      <x:c r="DL133" s="60"/>
      <x:c r="DM133" s="58"/>
      <x:c r="DN133" s="11"/>
      <x:c r="DO133" s="61"/>
      <x:c r="DP133" s="62"/>
      <x:c r="DQ133" s="11"/>
      <x:c r="DR133" s="61"/>
      <x:c r="DS133" s="62"/>
      <x:c r="DT133" s="11"/>
      <x:c r="DU133" s="61"/>
      <x:c r="DV133" s="62"/>
    </x:row>
    <x:row r="134" spans="1:126" x14ac:dyDescent="0.3">
      <x:c r="A134" s="47"/>
      <x:c r="B134" s="70"/>
      <x:c r="C134" s="70"/>
      <x:c r="D134" s="70"/>
      <x:c r="E134" s="70"/>
      <x:c r="F134" s="70"/>
      <x:c r="G134" s="70"/>
      <x:c r="H134" s="70"/>
      <x:c r="I134" s="70"/>
      <x:c r="J134" s="70"/>
      <x:c r="K134" s="190"/>
      <x:c r="L134" s="191"/>
      <x:c r="M134" s="192">
        <x:f>IF(ISERROR(INDEX('Meter Type Data'!$B$2:$E$1165,SUMPRODUCT(--('Meter Type Data'!$B$2:$B$1165&lt;=Analysis!L134)*('Meter Type Data'!$C$2:$C$1165&gt;=Analysis!L134),ROW('Meter Type Data'!$B$2:$B$1165))-1,4))," ",INDEX('Meter Type Data'!$B$2:$E$1165,SUMPRODUCT(--('Meter Type Data'!$B$2:$B$1165&lt;=Analysis!L134)*('Meter Type Data'!$C$2:$C$1165&gt;=Analysis!L134),ROW('Meter Type Data'!$B$2:$B$1165))-1,4))</x:f>
      </x:c>
      <x:c r="N134" s="192">
        <x:f>IF(ISERROR(INDEX('Meter Type Data'!$B$2:$D$1165,SUMPRODUCT(--('Meter Type Data'!$B$2:$B$1165&lt;=Analysis!L134)*('Meter Type Data'!$C$2:$C$1165&gt;=Analysis!L134),ROW('Meter Type Data'!$B$2:$B$1165))-1,3))," ",INDEX('Meter Type Data'!$B$2:$D$1165,SUMPRODUCT(--('Meter Type Data'!$B$2:$B$1165&lt;=Analysis!L134)*('Meter Type Data'!$C$2:$C$1165&gt;=Analysis!L134),ROW('Meter Type Data'!$B$2:$B$1165))-1,3))</x:f>
      </x:c>
      <x:c r="O134" s="69"/>
      <x:c r="P134" s="47"/>
      <x:c r="Q134" s="60"/>
      <x:c r="R134" s="58">
        <x:f>(($O134*P134)/100)+(Q134*12)</x:f>
      </x:c>
      <x:c r="S134" s="59"/>
      <x:c r="T134" s="59"/>
      <x:c r="U134" s="58">
        <x:f>(($O134*S134)/100)+(T134*12)</x:f>
      </x:c>
      <x:c r="V134" s="47"/>
      <x:c r="W134" s="60"/>
      <x:c r="X134" s="58">
        <x:f>(($O134*V134)/100)+(W134*12)</x:f>
      </x:c>
      <x:c r="Y134" s="47"/>
      <x:c r="Z134" s="60"/>
      <x:c r="AA134" s="58">
        <x:f>(($O134*Y134)/100)+(Z134*12)</x:f>
      </x:c>
      <x:c r="AB134" s="47"/>
      <x:c r="AC134" s="60"/>
      <x:c r="AD134" s="58">
        <x:f>(($O134*AB134)/100)+(AC134*12)</x:f>
      </x:c>
      <x:c r="AE134" s="47"/>
      <x:c r="AF134" s="60"/>
      <x:c r="AG134" s="58">
        <x:f>(($O134*AE134)/100)+(AF134*12)</x:f>
      </x:c>
      <x:c r="AH134" s="47"/>
      <x:c r="AI134" s="60"/>
      <x:c r="AJ134" s="58">
        <x:f>(($O134*AH134)/100)+(AI134*12)</x:f>
      </x:c>
      <x:c r="AK134" s="47"/>
      <x:c r="AL134" s="60"/>
      <x:c r="AM134" s="58">
        <x:f>(($O134*AK134)/100)+(AL134*12)</x:f>
      </x:c>
      <x:c r="AN134" s="47"/>
      <x:c r="AO134" s="60"/>
      <x:c r="AP134" s="58">
        <x:f>(($O134*AN134)/100)+(AO134*12)</x:f>
      </x:c>
      <x:c r="AQ134" s="47"/>
      <x:c r="AR134" s="60"/>
      <x:c r="AS134" s="58">
        <x:f>(($O134*AQ134)/100)+(AR134*12)</x:f>
      </x:c>
      <x:c r="AT134" s="47"/>
      <x:c r="AU134" s="60"/>
      <x:c r="AV134" s="58">
        <x:f>(($O134*AT134)/100)+(AU134*12)</x:f>
      </x:c>
      <x:c r="AW134" s="47"/>
      <x:c r="AX134" s="60"/>
      <x:c r="AY134" s="58">
        <x:f>(($O134*AW134)/100)+(AX134*12)</x:f>
      </x:c>
      <x:c r="AZ134" s="47"/>
      <x:c r="BA134" s="60"/>
      <x:c r="BB134" s="58">
        <x:f>(($O134*AZ134)/100)+(BA134*12)</x:f>
      </x:c>
      <x:c r="BC134" s="47"/>
      <x:c r="BD134" s="60"/>
      <x:c r="BE134" s="58">
        <x:f>(($O134*BC134)/100)+(BD134*12)</x:f>
      </x:c>
      <x:c r="BF134" s="47"/>
      <x:c r="BG134" s="60"/>
      <x:c r="BH134" s="58">
        <x:f>(($O134*BF134)/100)+(BG134*12)</x:f>
      </x:c>
      <x:c r="BI134" s="47"/>
      <x:c r="BJ134" s="60"/>
      <x:c r="BK134" s="58">
        <x:f>(($O134*BI134)/100)+(BJ134*12)</x:f>
      </x:c>
      <x:c r="BL134" s="47"/>
      <x:c r="BM134" s="60"/>
      <x:c r="BN134" s="58">
        <x:f>(($O134*BL134)/100)+(BM134*12)</x:f>
      </x:c>
      <x:c r="BO134" s="47"/>
      <x:c r="BP134" s="60"/>
      <x:c r="BQ134" s="58">
        <x:f>(($O134*BO134)/100)+(BP134*12)</x:f>
      </x:c>
      <x:c r="BR134" s="47"/>
      <x:c r="BS134" s="60"/>
      <x:c r="BT134" s="58">
        <x:f>(($O134*BR134)/100)+(BS134*12)</x:f>
      </x:c>
      <x:c r="BU134" s="47"/>
      <x:c r="BV134" s="60"/>
      <x:c r="BW134" s="58">
        <x:f>(($O134*BU134)/100)+(BV134*12)</x:f>
      </x:c>
      <x:c r="BX134" s="47"/>
      <x:c r="BY134" s="60"/>
      <x:c r="BZ134" s="58">
        <x:f>(($O134*BX134)/100)+(BY134*12)</x:f>
      </x:c>
      <x:c r="CA134" s="47"/>
      <x:c r="CB134" s="60"/>
      <x:c r="CC134" s="58">
        <x:f>(($O134*CA134)/100)+(CB134*12)</x:f>
      </x:c>
      <x:c r="CD134" s="47"/>
      <x:c r="CE134" s="60"/>
      <x:c r="CF134" s="58">
        <x:f>(($O134*CD134)/100)+(CE134*12)</x:f>
      </x:c>
      <x:c r="CG134" s="47"/>
      <x:c r="CH134" s="60"/>
      <x:c r="CI134" s="58">
        <x:f>(($O134*CG134)/100)+(CH134*12)</x:f>
      </x:c>
      <x:c r="CJ134" s="47"/>
      <x:c r="CK134" s="60"/>
      <x:c r="CL134" s="58">
        <x:f>(($O134*CJ134)/100)+(CK134*12)</x:f>
      </x:c>
      <x:c r="CM134" s="47"/>
      <x:c r="CN134" s="60"/>
      <x:c r="CO134" s="58">
        <x:f>(($O134*CM134)/100)+(CN134*12)</x:f>
      </x:c>
      <x:c r="CP134" s="47"/>
      <x:c r="CQ134" s="60"/>
      <x:c r="CR134" s="58">
        <x:f>(($O134*CP134)/100)+(CQ134*12)</x:f>
      </x:c>
      <x:c r="CS134" s="47"/>
      <x:c r="CT134" s="60"/>
      <x:c r="CU134" s="58">
        <x:f>(($O134*CS134)/100)+(CT134*12)</x:f>
      </x:c>
      <x:c r="CV134" s="47"/>
      <x:c r="CW134" s="60"/>
      <x:c r="CX134" s="58"/>
      <x:c r="CY134" s="47"/>
      <x:c r="CZ134" s="60"/>
      <x:c r="DA134" s="58"/>
      <x:c r="DB134" s="47"/>
      <x:c r="DC134" s="60"/>
      <x:c r="DD134" s="58"/>
      <x:c r="DE134" s="47"/>
      <x:c r="DF134" s="60"/>
      <x:c r="DG134" s="58"/>
      <x:c r="DH134" s="47"/>
      <x:c r="DI134" s="60"/>
      <x:c r="DJ134" s="58"/>
      <x:c r="DK134" s="47"/>
      <x:c r="DL134" s="60"/>
      <x:c r="DM134" s="58"/>
      <x:c r="DN134" s="11"/>
      <x:c r="DO134" s="61"/>
      <x:c r="DP134" s="62"/>
      <x:c r="DQ134" s="11"/>
      <x:c r="DR134" s="61"/>
      <x:c r="DS134" s="62"/>
      <x:c r="DT134" s="11"/>
      <x:c r="DU134" s="61"/>
      <x:c r="DV134" s="62"/>
    </x:row>
    <x:row r="135" spans="1:126" x14ac:dyDescent="0.3">
      <x:c r="A135" s="47"/>
      <x:c r="B135" s="70"/>
      <x:c r="C135" s="70"/>
      <x:c r="D135" s="70"/>
      <x:c r="E135" s="70"/>
      <x:c r="F135" s="70"/>
      <x:c r="G135" s="70"/>
      <x:c r="H135" s="70"/>
      <x:c r="I135" s="70"/>
      <x:c r="J135" s="70"/>
      <x:c r="K135" s="190"/>
      <x:c r="L135" s="191"/>
      <x:c r="M135" s="192">
        <x:f>IF(ISERROR(INDEX('Meter Type Data'!$B$2:$E$1165,SUMPRODUCT(--('Meter Type Data'!$B$2:$B$1165&lt;=Analysis!L135)*('Meter Type Data'!$C$2:$C$1165&gt;=Analysis!L135),ROW('Meter Type Data'!$B$2:$B$1165))-1,4))," ",INDEX('Meter Type Data'!$B$2:$E$1165,SUMPRODUCT(--('Meter Type Data'!$B$2:$B$1165&lt;=Analysis!L135)*('Meter Type Data'!$C$2:$C$1165&gt;=Analysis!L135),ROW('Meter Type Data'!$B$2:$B$1165))-1,4))</x:f>
      </x:c>
      <x:c r="N135" s="192">
        <x:f>IF(ISERROR(INDEX('Meter Type Data'!$B$2:$D$1165,SUMPRODUCT(--('Meter Type Data'!$B$2:$B$1165&lt;=Analysis!L135)*('Meter Type Data'!$C$2:$C$1165&gt;=Analysis!L135),ROW('Meter Type Data'!$B$2:$B$1165))-1,3))," ",INDEX('Meter Type Data'!$B$2:$D$1165,SUMPRODUCT(--('Meter Type Data'!$B$2:$B$1165&lt;=Analysis!L135)*('Meter Type Data'!$C$2:$C$1165&gt;=Analysis!L135),ROW('Meter Type Data'!$B$2:$B$1165))-1,3))</x:f>
      </x:c>
      <x:c r="O135" s="69"/>
      <x:c r="P135" s="47"/>
      <x:c r="Q135" s="60"/>
      <x:c r="R135" s="58">
        <x:f>(($O135*P135)/100)+(Q135*12)</x:f>
      </x:c>
      <x:c r="S135" s="59"/>
      <x:c r="T135" s="59"/>
      <x:c r="U135" s="58">
        <x:f>(($O135*S135)/100)+(T135*12)</x:f>
      </x:c>
      <x:c r="V135" s="47"/>
      <x:c r="W135" s="60"/>
      <x:c r="X135" s="58">
        <x:f>(($O135*V135)/100)+(W135*12)</x:f>
      </x:c>
      <x:c r="Y135" s="47"/>
      <x:c r="Z135" s="60"/>
      <x:c r="AA135" s="58">
        <x:f>(($O135*Y135)/100)+(Z135*12)</x:f>
      </x:c>
      <x:c r="AB135" s="47"/>
      <x:c r="AC135" s="60"/>
      <x:c r="AD135" s="58">
        <x:f>(($O135*AB135)/100)+(AC135*12)</x:f>
      </x:c>
      <x:c r="AE135" s="47"/>
      <x:c r="AF135" s="60"/>
      <x:c r="AG135" s="58">
        <x:f>(($O135*AE135)/100)+(AF135*12)</x:f>
      </x:c>
      <x:c r="AH135" s="47"/>
      <x:c r="AI135" s="60"/>
      <x:c r="AJ135" s="58">
        <x:f>(($O135*AH135)/100)+(AI135*12)</x:f>
      </x:c>
      <x:c r="AK135" s="47"/>
      <x:c r="AL135" s="60"/>
      <x:c r="AM135" s="58">
        <x:f>(($O135*AK135)/100)+(AL135*12)</x:f>
      </x:c>
      <x:c r="AN135" s="47"/>
      <x:c r="AO135" s="60"/>
      <x:c r="AP135" s="58">
        <x:f>(($O135*AN135)/100)+(AO135*12)</x:f>
      </x:c>
      <x:c r="AQ135" s="47"/>
      <x:c r="AR135" s="60"/>
      <x:c r="AS135" s="58">
        <x:f>(($O135*AQ135)/100)+(AR135*12)</x:f>
      </x:c>
      <x:c r="AT135" s="47"/>
      <x:c r="AU135" s="60"/>
      <x:c r="AV135" s="58">
        <x:f>(($O135*AT135)/100)+(AU135*12)</x:f>
      </x:c>
      <x:c r="AW135" s="47"/>
      <x:c r="AX135" s="60"/>
      <x:c r="AY135" s="58">
        <x:f>(($O135*AW135)/100)+(AX135*12)</x:f>
      </x:c>
      <x:c r="AZ135" s="47"/>
      <x:c r="BA135" s="60"/>
      <x:c r="BB135" s="58">
        <x:f>(($O135*AZ135)/100)+(BA135*12)</x:f>
      </x:c>
      <x:c r="BC135" s="47"/>
      <x:c r="BD135" s="60"/>
      <x:c r="BE135" s="58">
        <x:f>(($O135*BC135)/100)+(BD135*12)</x:f>
      </x:c>
      <x:c r="BF135" s="47"/>
      <x:c r="BG135" s="60"/>
      <x:c r="BH135" s="58">
        <x:f>(($O135*BF135)/100)+(BG135*12)</x:f>
      </x:c>
      <x:c r="BI135" s="47"/>
      <x:c r="BJ135" s="60"/>
      <x:c r="BK135" s="58">
        <x:f>(($O135*BI135)/100)+(BJ135*12)</x:f>
      </x:c>
      <x:c r="BL135" s="47"/>
      <x:c r="BM135" s="60"/>
      <x:c r="BN135" s="58">
        <x:f>(($O135*BL135)/100)+(BM135*12)</x:f>
      </x:c>
      <x:c r="BO135" s="47"/>
      <x:c r="BP135" s="60"/>
      <x:c r="BQ135" s="58">
        <x:f>(($O135*BO135)/100)+(BP135*12)</x:f>
      </x:c>
      <x:c r="BR135" s="47"/>
      <x:c r="BS135" s="60"/>
      <x:c r="BT135" s="58">
        <x:f>(($O135*BR135)/100)+(BS135*12)</x:f>
      </x:c>
      <x:c r="BU135" s="47"/>
      <x:c r="BV135" s="60"/>
      <x:c r="BW135" s="58">
        <x:f>(($O135*BU135)/100)+(BV135*12)</x:f>
      </x:c>
      <x:c r="BX135" s="47"/>
      <x:c r="BY135" s="60"/>
      <x:c r="BZ135" s="58">
        <x:f>(($O135*BX135)/100)+(BY135*12)</x:f>
      </x:c>
      <x:c r="CA135" s="47"/>
      <x:c r="CB135" s="60"/>
      <x:c r="CC135" s="58">
        <x:f>(($O135*CA135)/100)+(CB135*12)</x:f>
      </x:c>
      <x:c r="CD135" s="47"/>
      <x:c r="CE135" s="60"/>
      <x:c r="CF135" s="58">
        <x:f>(($O135*CD135)/100)+(CE135*12)</x:f>
      </x:c>
      <x:c r="CG135" s="47"/>
      <x:c r="CH135" s="60"/>
      <x:c r="CI135" s="58">
        <x:f>(($O135*CG135)/100)+(CH135*12)</x:f>
      </x:c>
      <x:c r="CJ135" s="47"/>
      <x:c r="CK135" s="60"/>
      <x:c r="CL135" s="58">
        <x:f>(($O135*CJ135)/100)+(CK135*12)</x:f>
      </x:c>
      <x:c r="CM135" s="47"/>
      <x:c r="CN135" s="60"/>
      <x:c r="CO135" s="58">
        <x:f>(($O135*CM135)/100)+(CN135*12)</x:f>
      </x:c>
      <x:c r="CP135" s="47"/>
      <x:c r="CQ135" s="60"/>
      <x:c r="CR135" s="58">
        <x:f>(($O135*CP135)/100)+(CQ135*12)</x:f>
      </x:c>
      <x:c r="CS135" s="47"/>
      <x:c r="CT135" s="60"/>
      <x:c r="CU135" s="58">
        <x:f>(($O135*CS135)/100)+(CT135*12)</x:f>
      </x:c>
      <x:c r="CV135" s="47"/>
      <x:c r="CW135" s="60"/>
      <x:c r="CX135" s="58"/>
      <x:c r="CY135" s="47"/>
      <x:c r="CZ135" s="60"/>
      <x:c r="DA135" s="58"/>
      <x:c r="DB135" s="47"/>
      <x:c r="DC135" s="60"/>
      <x:c r="DD135" s="58"/>
      <x:c r="DE135" s="47"/>
      <x:c r="DF135" s="60"/>
      <x:c r="DG135" s="58"/>
      <x:c r="DH135" s="47"/>
      <x:c r="DI135" s="60"/>
      <x:c r="DJ135" s="58"/>
      <x:c r="DK135" s="47"/>
      <x:c r="DL135" s="60"/>
      <x:c r="DM135" s="58"/>
      <x:c r="DN135" s="11"/>
      <x:c r="DO135" s="61"/>
      <x:c r="DP135" s="62"/>
      <x:c r="DQ135" s="11"/>
      <x:c r="DR135" s="61"/>
      <x:c r="DS135" s="62"/>
      <x:c r="DT135" s="11"/>
      <x:c r="DU135" s="61"/>
      <x:c r="DV135" s="62"/>
    </x:row>
    <x:row r="136" spans="1:126" x14ac:dyDescent="0.3">
      <x:c r="A136" s="47"/>
      <x:c r="B136" s="70"/>
      <x:c r="C136" s="70"/>
      <x:c r="D136" s="70"/>
      <x:c r="E136" s="70"/>
      <x:c r="F136" s="70"/>
      <x:c r="G136" s="70"/>
      <x:c r="H136" s="70"/>
      <x:c r="I136" s="70"/>
      <x:c r="J136" s="70"/>
      <x:c r="K136" s="190"/>
      <x:c r="L136" s="191"/>
      <x:c r="M136" s="192">
        <x:f>IF(ISERROR(INDEX('Meter Type Data'!$B$2:$E$1165,SUMPRODUCT(--('Meter Type Data'!$B$2:$B$1165&lt;=Analysis!L136)*('Meter Type Data'!$C$2:$C$1165&gt;=Analysis!L136),ROW('Meter Type Data'!$B$2:$B$1165))-1,4))," ",INDEX('Meter Type Data'!$B$2:$E$1165,SUMPRODUCT(--('Meter Type Data'!$B$2:$B$1165&lt;=Analysis!L136)*('Meter Type Data'!$C$2:$C$1165&gt;=Analysis!L136),ROW('Meter Type Data'!$B$2:$B$1165))-1,4))</x:f>
      </x:c>
      <x:c r="N136" s="192">
        <x:f>IF(ISERROR(INDEX('Meter Type Data'!$B$2:$D$1165,SUMPRODUCT(--('Meter Type Data'!$B$2:$B$1165&lt;=Analysis!L136)*('Meter Type Data'!$C$2:$C$1165&gt;=Analysis!L136),ROW('Meter Type Data'!$B$2:$B$1165))-1,3))," ",INDEX('Meter Type Data'!$B$2:$D$1165,SUMPRODUCT(--('Meter Type Data'!$B$2:$B$1165&lt;=Analysis!L136)*('Meter Type Data'!$C$2:$C$1165&gt;=Analysis!L136),ROW('Meter Type Data'!$B$2:$B$1165))-1,3))</x:f>
      </x:c>
      <x:c r="O136" s="69"/>
      <x:c r="P136" s="47"/>
      <x:c r="Q136" s="60"/>
      <x:c r="R136" s="58">
        <x:f>(($O136*P136)/100)+(Q136*12)</x:f>
      </x:c>
      <x:c r="S136" s="59"/>
      <x:c r="T136" s="59"/>
      <x:c r="U136" s="58">
        <x:f>(($O136*S136)/100)+(T136*12)</x:f>
      </x:c>
      <x:c r="V136" s="47"/>
      <x:c r="W136" s="60"/>
      <x:c r="X136" s="58">
        <x:f>(($O136*V136)/100)+(W136*12)</x:f>
      </x:c>
      <x:c r="Y136" s="47"/>
      <x:c r="Z136" s="60"/>
      <x:c r="AA136" s="58">
        <x:f>(($O136*Y136)/100)+(Z136*12)</x:f>
      </x:c>
      <x:c r="AB136" s="47"/>
      <x:c r="AC136" s="60"/>
      <x:c r="AD136" s="58">
        <x:f>(($O136*AB136)/100)+(AC136*12)</x:f>
      </x:c>
      <x:c r="AE136" s="47"/>
      <x:c r="AF136" s="60"/>
      <x:c r="AG136" s="58">
        <x:f>(($O136*AE136)/100)+(AF136*12)</x:f>
      </x:c>
      <x:c r="AH136" s="47"/>
      <x:c r="AI136" s="60"/>
      <x:c r="AJ136" s="58">
        <x:f>(($O136*AH136)/100)+(AI136*12)</x:f>
      </x:c>
      <x:c r="AK136" s="47"/>
      <x:c r="AL136" s="60"/>
      <x:c r="AM136" s="58">
        <x:f>(($O136*AK136)/100)+(AL136*12)</x:f>
      </x:c>
      <x:c r="AN136" s="47"/>
      <x:c r="AO136" s="60"/>
      <x:c r="AP136" s="58">
        <x:f>(($O136*AN136)/100)+(AO136*12)</x:f>
      </x:c>
      <x:c r="AQ136" s="47"/>
      <x:c r="AR136" s="60"/>
      <x:c r="AS136" s="58">
        <x:f>(($O136*AQ136)/100)+(AR136*12)</x:f>
      </x:c>
      <x:c r="AT136" s="47"/>
      <x:c r="AU136" s="60"/>
      <x:c r="AV136" s="58">
        <x:f>(($O136*AT136)/100)+(AU136*12)</x:f>
      </x:c>
      <x:c r="AW136" s="47"/>
      <x:c r="AX136" s="60"/>
      <x:c r="AY136" s="58">
        <x:f>(($O136*AW136)/100)+(AX136*12)</x:f>
      </x:c>
      <x:c r="AZ136" s="47"/>
      <x:c r="BA136" s="60"/>
      <x:c r="BB136" s="58">
        <x:f>(($O136*AZ136)/100)+(BA136*12)</x:f>
      </x:c>
      <x:c r="BC136" s="47"/>
      <x:c r="BD136" s="60"/>
      <x:c r="BE136" s="58">
        <x:f>(($O136*BC136)/100)+(BD136*12)</x:f>
      </x:c>
      <x:c r="BF136" s="47"/>
      <x:c r="BG136" s="60"/>
      <x:c r="BH136" s="58">
        <x:f>(($O136*BF136)/100)+(BG136*12)</x:f>
      </x:c>
      <x:c r="BI136" s="47"/>
      <x:c r="BJ136" s="60"/>
      <x:c r="BK136" s="58">
        <x:f>(($O136*BI136)/100)+(BJ136*12)</x:f>
      </x:c>
      <x:c r="BL136" s="47"/>
      <x:c r="BM136" s="60"/>
      <x:c r="BN136" s="58">
        <x:f>(($O136*BL136)/100)+(BM136*12)</x:f>
      </x:c>
      <x:c r="BO136" s="47"/>
      <x:c r="BP136" s="60"/>
      <x:c r="BQ136" s="58">
        <x:f>(($O136*BO136)/100)+(BP136*12)</x:f>
      </x:c>
      <x:c r="BR136" s="47"/>
      <x:c r="BS136" s="60"/>
      <x:c r="BT136" s="58">
        <x:f>(($O136*BR136)/100)+(BS136*12)</x:f>
      </x:c>
      <x:c r="BU136" s="47"/>
      <x:c r="BV136" s="60"/>
      <x:c r="BW136" s="58">
        <x:f>(($O136*BU136)/100)+(BV136*12)</x:f>
      </x:c>
      <x:c r="BX136" s="47"/>
      <x:c r="BY136" s="60"/>
      <x:c r="BZ136" s="58">
        <x:f>(($O136*BX136)/100)+(BY136*12)</x:f>
      </x:c>
      <x:c r="CA136" s="47"/>
      <x:c r="CB136" s="60"/>
      <x:c r="CC136" s="58">
        <x:f>(($O136*CA136)/100)+(CB136*12)</x:f>
      </x:c>
      <x:c r="CD136" s="47"/>
      <x:c r="CE136" s="60"/>
      <x:c r="CF136" s="58">
        <x:f>(($O136*CD136)/100)+(CE136*12)</x:f>
      </x:c>
      <x:c r="CG136" s="47"/>
      <x:c r="CH136" s="60"/>
      <x:c r="CI136" s="58">
        <x:f>(($O136*CG136)/100)+(CH136*12)</x:f>
      </x:c>
      <x:c r="CJ136" s="47"/>
      <x:c r="CK136" s="60"/>
      <x:c r="CL136" s="58">
        <x:f>(($O136*CJ136)/100)+(CK136*12)</x:f>
      </x:c>
      <x:c r="CM136" s="47"/>
      <x:c r="CN136" s="60"/>
      <x:c r="CO136" s="58">
        <x:f>(($O136*CM136)/100)+(CN136*12)</x:f>
      </x:c>
      <x:c r="CP136" s="47"/>
      <x:c r="CQ136" s="60"/>
      <x:c r="CR136" s="58">
        <x:f>(($O136*CP136)/100)+(CQ136*12)</x:f>
      </x:c>
      <x:c r="CS136" s="47"/>
      <x:c r="CT136" s="60"/>
      <x:c r="CU136" s="58">
        <x:f>(($O136*CS136)/100)+(CT136*12)</x:f>
      </x:c>
      <x:c r="CV136" s="47"/>
      <x:c r="CW136" s="60"/>
      <x:c r="CX136" s="58"/>
      <x:c r="CY136" s="47"/>
      <x:c r="CZ136" s="60"/>
      <x:c r="DA136" s="58"/>
      <x:c r="DB136" s="47"/>
      <x:c r="DC136" s="60"/>
      <x:c r="DD136" s="58"/>
      <x:c r="DE136" s="47"/>
      <x:c r="DF136" s="60"/>
      <x:c r="DG136" s="58"/>
      <x:c r="DH136" s="47"/>
      <x:c r="DI136" s="60"/>
      <x:c r="DJ136" s="58"/>
      <x:c r="DK136" s="47"/>
      <x:c r="DL136" s="60"/>
      <x:c r="DM136" s="58"/>
      <x:c r="DN136" s="11"/>
      <x:c r="DO136" s="61"/>
      <x:c r="DP136" s="62"/>
      <x:c r="DQ136" s="11"/>
      <x:c r="DR136" s="61"/>
      <x:c r="DS136" s="62"/>
      <x:c r="DT136" s="11"/>
      <x:c r="DU136" s="61"/>
      <x:c r="DV136" s="62"/>
    </x:row>
    <x:row r="137" spans="1:126" x14ac:dyDescent="0.3">
      <x:c r="A137" s="47"/>
      <x:c r="B137" s="70"/>
      <x:c r="C137" s="70"/>
      <x:c r="D137" s="70"/>
      <x:c r="E137" s="70"/>
      <x:c r="F137" s="70"/>
      <x:c r="G137" s="70"/>
      <x:c r="H137" s="70"/>
      <x:c r="I137" s="70"/>
      <x:c r="J137" s="70"/>
      <x:c r="K137" s="190"/>
      <x:c r="L137" s="191"/>
      <x:c r="M137" s="192">
        <x:f>IF(ISERROR(INDEX('Meter Type Data'!$B$2:$E$1165,SUMPRODUCT(--('Meter Type Data'!$B$2:$B$1165&lt;=Analysis!L137)*('Meter Type Data'!$C$2:$C$1165&gt;=Analysis!L137),ROW('Meter Type Data'!$B$2:$B$1165))-1,4))," ",INDEX('Meter Type Data'!$B$2:$E$1165,SUMPRODUCT(--('Meter Type Data'!$B$2:$B$1165&lt;=Analysis!L137)*('Meter Type Data'!$C$2:$C$1165&gt;=Analysis!L137),ROW('Meter Type Data'!$B$2:$B$1165))-1,4))</x:f>
      </x:c>
      <x:c r="N137" s="192">
        <x:f>IF(ISERROR(INDEX('Meter Type Data'!$B$2:$D$1165,SUMPRODUCT(--('Meter Type Data'!$B$2:$B$1165&lt;=Analysis!L137)*('Meter Type Data'!$C$2:$C$1165&gt;=Analysis!L137),ROW('Meter Type Data'!$B$2:$B$1165))-1,3))," ",INDEX('Meter Type Data'!$B$2:$D$1165,SUMPRODUCT(--('Meter Type Data'!$B$2:$B$1165&lt;=Analysis!L137)*('Meter Type Data'!$C$2:$C$1165&gt;=Analysis!L137),ROW('Meter Type Data'!$B$2:$B$1165))-1,3))</x:f>
      </x:c>
      <x:c r="O137" s="69"/>
      <x:c r="P137" s="47"/>
      <x:c r="Q137" s="60"/>
      <x:c r="R137" s="58">
        <x:f>(($O137*P137)/100)+(Q137*12)</x:f>
      </x:c>
      <x:c r="S137" s="59"/>
      <x:c r="T137" s="59"/>
      <x:c r="U137" s="58">
        <x:f>(($O137*S137)/100)+(T137*12)</x:f>
      </x:c>
      <x:c r="V137" s="47"/>
      <x:c r="W137" s="60"/>
      <x:c r="X137" s="58">
        <x:f>(($O137*V137)/100)+(W137*12)</x:f>
      </x:c>
      <x:c r="Y137" s="47"/>
      <x:c r="Z137" s="60"/>
      <x:c r="AA137" s="58">
        <x:f>(($O137*Y137)/100)+(Z137*12)</x:f>
      </x:c>
      <x:c r="AB137" s="47"/>
      <x:c r="AC137" s="60"/>
      <x:c r="AD137" s="58">
        <x:f>(($O137*AB137)/100)+(AC137*12)</x:f>
      </x:c>
      <x:c r="AE137" s="47"/>
      <x:c r="AF137" s="60"/>
      <x:c r="AG137" s="58">
        <x:f>(($O137*AE137)/100)+(AF137*12)</x:f>
      </x:c>
      <x:c r="AH137" s="47"/>
      <x:c r="AI137" s="60"/>
      <x:c r="AJ137" s="58">
        <x:f>(($O137*AH137)/100)+(AI137*12)</x:f>
      </x:c>
      <x:c r="AK137" s="47"/>
      <x:c r="AL137" s="60"/>
      <x:c r="AM137" s="58">
        <x:f>(($O137*AK137)/100)+(AL137*12)</x:f>
      </x:c>
      <x:c r="AN137" s="47"/>
      <x:c r="AO137" s="60"/>
      <x:c r="AP137" s="58">
        <x:f>(($O137*AN137)/100)+(AO137*12)</x:f>
      </x:c>
      <x:c r="AQ137" s="47"/>
      <x:c r="AR137" s="60"/>
      <x:c r="AS137" s="58">
        <x:f>(($O137*AQ137)/100)+(AR137*12)</x:f>
      </x:c>
      <x:c r="AT137" s="47"/>
      <x:c r="AU137" s="60"/>
      <x:c r="AV137" s="58">
        <x:f>(($O137*AT137)/100)+(AU137*12)</x:f>
      </x:c>
      <x:c r="AW137" s="47"/>
      <x:c r="AX137" s="60"/>
      <x:c r="AY137" s="58">
        <x:f>(($O137*AW137)/100)+(AX137*12)</x:f>
      </x:c>
      <x:c r="AZ137" s="47"/>
      <x:c r="BA137" s="60"/>
      <x:c r="BB137" s="58">
        <x:f>(($O137*AZ137)/100)+(BA137*12)</x:f>
      </x:c>
      <x:c r="BC137" s="47"/>
      <x:c r="BD137" s="60"/>
      <x:c r="BE137" s="58">
        <x:f>(($O137*BC137)/100)+(BD137*12)</x:f>
      </x:c>
      <x:c r="BF137" s="47"/>
      <x:c r="BG137" s="60"/>
      <x:c r="BH137" s="58">
        <x:f>(($O137*BF137)/100)+(BG137*12)</x:f>
      </x:c>
      <x:c r="BI137" s="47"/>
      <x:c r="BJ137" s="60"/>
      <x:c r="BK137" s="58">
        <x:f>(($O137*BI137)/100)+(BJ137*12)</x:f>
      </x:c>
      <x:c r="BL137" s="47"/>
      <x:c r="BM137" s="60"/>
      <x:c r="BN137" s="58">
        <x:f>(($O137*BL137)/100)+(BM137*12)</x:f>
      </x:c>
      <x:c r="BO137" s="47"/>
      <x:c r="BP137" s="60"/>
      <x:c r="BQ137" s="58">
        <x:f>(($O137*BO137)/100)+(BP137*12)</x:f>
      </x:c>
      <x:c r="BR137" s="47"/>
      <x:c r="BS137" s="60"/>
      <x:c r="BT137" s="58">
        <x:f>(($O137*BR137)/100)+(BS137*12)</x:f>
      </x:c>
      <x:c r="BU137" s="47"/>
      <x:c r="BV137" s="60"/>
      <x:c r="BW137" s="58">
        <x:f>(($O137*BU137)/100)+(BV137*12)</x:f>
      </x:c>
      <x:c r="BX137" s="47"/>
      <x:c r="BY137" s="60"/>
      <x:c r="BZ137" s="58">
        <x:f>(($O137*BX137)/100)+(BY137*12)</x:f>
      </x:c>
      <x:c r="CA137" s="47"/>
      <x:c r="CB137" s="60"/>
      <x:c r="CC137" s="58">
        <x:f>(($O137*CA137)/100)+(CB137*12)</x:f>
      </x:c>
      <x:c r="CD137" s="47"/>
      <x:c r="CE137" s="60"/>
      <x:c r="CF137" s="58">
        <x:f>(($O137*CD137)/100)+(CE137*12)</x:f>
      </x:c>
      <x:c r="CG137" s="47"/>
      <x:c r="CH137" s="60"/>
      <x:c r="CI137" s="58">
        <x:f>(($O137*CG137)/100)+(CH137*12)</x:f>
      </x:c>
      <x:c r="CJ137" s="47"/>
      <x:c r="CK137" s="60"/>
      <x:c r="CL137" s="58">
        <x:f>(($O137*CJ137)/100)+(CK137*12)</x:f>
      </x:c>
      <x:c r="CM137" s="47"/>
      <x:c r="CN137" s="60"/>
      <x:c r="CO137" s="58">
        <x:f>(($O137*CM137)/100)+(CN137*12)</x:f>
      </x:c>
      <x:c r="CP137" s="47"/>
      <x:c r="CQ137" s="60"/>
      <x:c r="CR137" s="58">
        <x:f>(($O137*CP137)/100)+(CQ137*12)</x:f>
      </x:c>
      <x:c r="CS137" s="47"/>
      <x:c r="CT137" s="60"/>
      <x:c r="CU137" s="58">
        <x:f>(($O137*CS137)/100)+(CT137*12)</x:f>
      </x:c>
      <x:c r="CV137" s="47"/>
      <x:c r="CW137" s="60"/>
      <x:c r="CX137" s="58"/>
      <x:c r="CY137" s="47"/>
      <x:c r="CZ137" s="60"/>
      <x:c r="DA137" s="58"/>
      <x:c r="DB137" s="47"/>
      <x:c r="DC137" s="60"/>
      <x:c r="DD137" s="58"/>
      <x:c r="DE137" s="47"/>
      <x:c r="DF137" s="60"/>
      <x:c r="DG137" s="58"/>
      <x:c r="DH137" s="47"/>
      <x:c r="DI137" s="60"/>
      <x:c r="DJ137" s="58"/>
      <x:c r="DK137" s="47"/>
      <x:c r="DL137" s="60"/>
      <x:c r="DM137" s="58"/>
      <x:c r="DN137" s="11"/>
      <x:c r="DO137" s="61"/>
      <x:c r="DP137" s="62"/>
      <x:c r="DQ137" s="11"/>
      <x:c r="DR137" s="61"/>
      <x:c r="DS137" s="62"/>
      <x:c r="DT137" s="11"/>
      <x:c r="DU137" s="61"/>
      <x:c r="DV137" s="62"/>
    </x:row>
    <x:row r="138" spans="1:126" x14ac:dyDescent="0.3">
      <x:c r="A138" s="47"/>
      <x:c r="B138" s="70"/>
      <x:c r="C138" s="70"/>
      <x:c r="D138" s="70"/>
      <x:c r="E138" s="70"/>
      <x:c r="F138" s="70"/>
      <x:c r="G138" s="70"/>
      <x:c r="H138" s="70"/>
      <x:c r="I138" s="70"/>
      <x:c r="J138" s="70"/>
      <x:c r="K138" s="190"/>
      <x:c r="L138" s="191"/>
      <x:c r="M138" s="192">
        <x:f>IF(ISERROR(INDEX('Meter Type Data'!$B$2:$E$1165,SUMPRODUCT(--('Meter Type Data'!$B$2:$B$1165&lt;=Analysis!L138)*('Meter Type Data'!$C$2:$C$1165&gt;=Analysis!L138),ROW('Meter Type Data'!$B$2:$B$1165))-1,4))," ",INDEX('Meter Type Data'!$B$2:$E$1165,SUMPRODUCT(--('Meter Type Data'!$B$2:$B$1165&lt;=Analysis!L138)*('Meter Type Data'!$C$2:$C$1165&gt;=Analysis!L138),ROW('Meter Type Data'!$B$2:$B$1165))-1,4))</x:f>
      </x:c>
      <x:c r="N138" s="192">
        <x:f>IF(ISERROR(INDEX('Meter Type Data'!$B$2:$D$1165,SUMPRODUCT(--('Meter Type Data'!$B$2:$B$1165&lt;=Analysis!L138)*('Meter Type Data'!$C$2:$C$1165&gt;=Analysis!L138),ROW('Meter Type Data'!$B$2:$B$1165))-1,3))," ",INDEX('Meter Type Data'!$B$2:$D$1165,SUMPRODUCT(--('Meter Type Data'!$B$2:$B$1165&lt;=Analysis!L138)*('Meter Type Data'!$C$2:$C$1165&gt;=Analysis!L138),ROW('Meter Type Data'!$B$2:$B$1165))-1,3))</x:f>
      </x:c>
      <x:c r="O138" s="69"/>
      <x:c r="P138" s="47"/>
      <x:c r="Q138" s="60"/>
      <x:c r="R138" s="58">
        <x:f>(($O138*P138)/100)+(Q138*12)</x:f>
      </x:c>
      <x:c r="S138" s="59"/>
      <x:c r="T138" s="59"/>
      <x:c r="U138" s="58">
        <x:f>(($O138*S138)/100)+(T138*12)</x:f>
      </x:c>
      <x:c r="V138" s="47"/>
      <x:c r="W138" s="60"/>
      <x:c r="X138" s="58">
        <x:f>(($O138*V138)/100)+(W138*12)</x:f>
      </x:c>
      <x:c r="Y138" s="47"/>
      <x:c r="Z138" s="60"/>
      <x:c r="AA138" s="58">
        <x:f>(($O138*Y138)/100)+(Z138*12)</x:f>
      </x:c>
      <x:c r="AB138" s="47"/>
      <x:c r="AC138" s="60"/>
      <x:c r="AD138" s="58">
        <x:f>(($O138*AB138)/100)+(AC138*12)</x:f>
      </x:c>
      <x:c r="AE138" s="47"/>
      <x:c r="AF138" s="60"/>
      <x:c r="AG138" s="58">
        <x:f>(($O138*AE138)/100)+(AF138*12)</x:f>
      </x:c>
      <x:c r="AH138" s="47"/>
      <x:c r="AI138" s="60"/>
      <x:c r="AJ138" s="58">
        <x:f>(($O138*AH138)/100)+(AI138*12)</x:f>
      </x:c>
      <x:c r="AK138" s="47"/>
      <x:c r="AL138" s="60"/>
      <x:c r="AM138" s="58">
        <x:f>(($O138*AK138)/100)+(AL138*12)</x:f>
      </x:c>
      <x:c r="AN138" s="47"/>
      <x:c r="AO138" s="60"/>
      <x:c r="AP138" s="58">
        <x:f>(($O138*AN138)/100)+(AO138*12)</x:f>
      </x:c>
      <x:c r="AQ138" s="47"/>
      <x:c r="AR138" s="60"/>
      <x:c r="AS138" s="58">
        <x:f>(($O138*AQ138)/100)+(AR138*12)</x:f>
      </x:c>
      <x:c r="AT138" s="47"/>
      <x:c r="AU138" s="60"/>
      <x:c r="AV138" s="58">
        <x:f>(($O138*AT138)/100)+(AU138*12)</x:f>
      </x:c>
      <x:c r="AW138" s="47"/>
      <x:c r="AX138" s="60"/>
      <x:c r="AY138" s="58">
        <x:f>(($O138*AW138)/100)+(AX138*12)</x:f>
      </x:c>
      <x:c r="AZ138" s="47"/>
      <x:c r="BA138" s="60"/>
      <x:c r="BB138" s="58">
        <x:f>(($O138*AZ138)/100)+(BA138*12)</x:f>
      </x:c>
      <x:c r="BC138" s="47"/>
      <x:c r="BD138" s="60"/>
      <x:c r="BE138" s="58">
        <x:f>(($O138*BC138)/100)+(BD138*12)</x:f>
      </x:c>
      <x:c r="BF138" s="47"/>
      <x:c r="BG138" s="60"/>
      <x:c r="BH138" s="58">
        <x:f>(($O138*BF138)/100)+(BG138*12)</x:f>
      </x:c>
      <x:c r="BI138" s="47"/>
      <x:c r="BJ138" s="60"/>
      <x:c r="BK138" s="58">
        <x:f>(($O138*BI138)/100)+(BJ138*12)</x:f>
      </x:c>
      <x:c r="BL138" s="47"/>
      <x:c r="BM138" s="60"/>
      <x:c r="BN138" s="58">
        <x:f>(($O138*BL138)/100)+(BM138*12)</x:f>
      </x:c>
      <x:c r="BO138" s="47"/>
      <x:c r="BP138" s="60"/>
      <x:c r="BQ138" s="58">
        <x:f>(($O138*BO138)/100)+(BP138*12)</x:f>
      </x:c>
      <x:c r="BR138" s="47"/>
      <x:c r="BS138" s="60"/>
      <x:c r="BT138" s="58">
        <x:f>(($O138*BR138)/100)+(BS138*12)</x:f>
      </x:c>
      <x:c r="BU138" s="47"/>
      <x:c r="BV138" s="60"/>
      <x:c r="BW138" s="58">
        <x:f>(($O138*BU138)/100)+(BV138*12)</x:f>
      </x:c>
      <x:c r="BX138" s="47"/>
      <x:c r="BY138" s="60"/>
      <x:c r="BZ138" s="58">
        <x:f>(($O138*BX138)/100)+(BY138*12)</x:f>
      </x:c>
      <x:c r="CA138" s="47"/>
      <x:c r="CB138" s="60"/>
      <x:c r="CC138" s="58">
        <x:f>(($O138*CA138)/100)+(CB138*12)</x:f>
      </x:c>
      <x:c r="CD138" s="47"/>
      <x:c r="CE138" s="60"/>
      <x:c r="CF138" s="58">
        <x:f>(($O138*CD138)/100)+(CE138*12)</x:f>
      </x:c>
      <x:c r="CG138" s="47"/>
      <x:c r="CH138" s="60"/>
      <x:c r="CI138" s="58">
        <x:f>(($O138*CG138)/100)+(CH138*12)</x:f>
      </x:c>
      <x:c r="CJ138" s="47"/>
      <x:c r="CK138" s="60"/>
      <x:c r="CL138" s="58">
        <x:f>(($O138*CJ138)/100)+(CK138*12)</x:f>
      </x:c>
      <x:c r="CM138" s="47"/>
      <x:c r="CN138" s="60"/>
      <x:c r="CO138" s="58">
        <x:f>(($O138*CM138)/100)+(CN138*12)</x:f>
      </x:c>
      <x:c r="CP138" s="47"/>
      <x:c r="CQ138" s="60"/>
      <x:c r="CR138" s="58">
        <x:f>(($O138*CP138)/100)+(CQ138*12)</x:f>
      </x:c>
      <x:c r="CS138" s="47"/>
      <x:c r="CT138" s="60"/>
      <x:c r="CU138" s="58">
        <x:f>(($O138*CS138)/100)+(CT138*12)</x:f>
      </x:c>
      <x:c r="CV138" s="47"/>
      <x:c r="CW138" s="60"/>
      <x:c r="CX138" s="58"/>
      <x:c r="CY138" s="47"/>
      <x:c r="CZ138" s="60"/>
      <x:c r="DA138" s="58"/>
      <x:c r="DB138" s="47"/>
      <x:c r="DC138" s="60"/>
      <x:c r="DD138" s="58"/>
      <x:c r="DE138" s="47"/>
      <x:c r="DF138" s="60"/>
      <x:c r="DG138" s="58"/>
      <x:c r="DH138" s="47"/>
      <x:c r="DI138" s="60"/>
      <x:c r="DJ138" s="58"/>
      <x:c r="DK138" s="47"/>
      <x:c r="DL138" s="60"/>
      <x:c r="DM138" s="58"/>
      <x:c r="DN138" s="11"/>
      <x:c r="DO138" s="61"/>
      <x:c r="DP138" s="62"/>
      <x:c r="DQ138" s="11"/>
      <x:c r="DR138" s="61"/>
      <x:c r="DS138" s="62"/>
      <x:c r="DT138" s="11"/>
      <x:c r="DU138" s="61"/>
      <x:c r="DV138" s="62"/>
    </x:row>
    <x:row r="139" spans="1:126" x14ac:dyDescent="0.3">
      <x:c r="A139" s="47"/>
      <x:c r="B139" s="70"/>
      <x:c r="C139" s="70"/>
      <x:c r="D139" s="70"/>
      <x:c r="E139" s="70"/>
      <x:c r="F139" s="70"/>
      <x:c r="G139" s="70"/>
      <x:c r="H139" s="70"/>
      <x:c r="I139" s="70"/>
      <x:c r="J139" s="70"/>
      <x:c r="K139" s="190"/>
      <x:c r="L139" s="191"/>
      <x:c r="M139" s="192">
        <x:f>IF(ISERROR(INDEX('Meter Type Data'!$B$2:$E$1165,SUMPRODUCT(--('Meter Type Data'!$B$2:$B$1165&lt;=Analysis!L139)*('Meter Type Data'!$C$2:$C$1165&gt;=Analysis!L139),ROW('Meter Type Data'!$B$2:$B$1165))-1,4))," ",INDEX('Meter Type Data'!$B$2:$E$1165,SUMPRODUCT(--('Meter Type Data'!$B$2:$B$1165&lt;=Analysis!L139)*('Meter Type Data'!$C$2:$C$1165&gt;=Analysis!L139),ROW('Meter Type Data'!$B$2:$B$1165))-1,4))</x:f>
      </x:c>
      <x:c r="N139" s="192">
        <x:f>IF(ISERROR(INDEX('Meter Type Data'!$B$2:$D$1165,SUMPRODUCT(--('Meter Type Data'!$B$2:$B$1165&lt;=Analysis!L139)*('Meter Type Data'!$C$2:$C$1165&gt;=Analysis!L139),ROW('Meter Type Data'!$B$2:$B$1165))-1,3))," ",INDEX('Meter Type Data'!$B$2:$D$1165,SUMPRODUCT(--('Meter Type Data'!$B$2:$B$1165&lt;=Analysis!L139)*('Meter Type Data'!$C$2:$C$1165&gt;=Analysis!L139),ROW('Meter Type Data'!$B$2:$B$1165))-1,3))</x:f>
      </x:c>
      <x:c r="O139" s="69"/>
      <x:c r="P139" s="47"/>
      <x:c r="Q139" s="60"/>
      <x:c r="R139" s="58">
        <x:f>(($O139*P139)/100)+(Q139*12)</x:f>
      </x:c>
      <x:c r="S139" s="59"/>
      <x:c r="T139" s="59"/>
      <x:c r="U139" s="58">
        <x:f>(($O139*S139)/100)+(T139*12)</x:f>
      </x:c>
      <x:c r="V139" s="47"/>
      <x:c r="W139" s="60"/>
      <x:c r="X139" s="58">
        <x:f>(($O139*V139)/100)+(W139*12)</x:f>
      </x:c>
      <x:c r="Y139" s="47"/>
      <x:c r="Z139" s="60"/>
      <x:c r="AA139" s="58">
        <x:f>(($O139*Y139)/100)+(Z139*12)</x:f>
      </x:c>
      <x:c r="AB139" s="47"/>
      <x:c r="AC139" s="60"/>
      <x:c r="AD139" s="58">
        <x:f>(($O139*AB139)/100)+(AC139*12)</x:f>
      </x:c>
      <x:c r="AE139" s="47"/>
      <x:c r="AF139" s="60"/>
      <x:c r="AG139" s="58">
        <x:f>(($O139*AE139)/100)+(AF139*12)</x:f>
      </x:c>
      <x:c r="AH139" s="47"/>
      <x:c r="AI139" s="60"/>
      <x:c r="AJ139" s="58">
        <x:f>(($O139*AH139)/100)+(AI139*12)</x:f>
      </x:c>
      <x:c r="AK139" s="47"/>
      <x:c r="AL139" s="60"/>
      <x:c r="AM139" s="58">
        <x:f>(($O139*AK139)/100)+(AL139*12)</x:f>
      </x:c>
      <x:c r="AN139" s="47"/>
      <x:c r="AO139" s="60"/>
      <x:c r="AP139" s="58">
        <x:f>(($O139*AN139)/100)+(AO139*12)</x:f>
      </x:c>
      <x:c r="AQ139" s="47"/>
      <x:c r="AR139" s="60"/>
      <x:c r="AS139" s="58">
        <x:f>(($O139*AQ139)/100)+(AR139*12)</x:f>
      </x:c>
      <x:c r="AT139" s="47"/>
      <x:c r="AU139" s="60"/>
      <x:c r="AV139" s="58">
        <x:f>(($O139*AT139)/100)+(AU139*12)</x:f>
      </x:c>
      <x:c r="AW139" s="47"/>
      <x:c r="AX139" s="60"/>
      <x:c r="AY139" s="58">
        <x:f>(($O139*AW139)/100)+(AX139*12)</x:f>
      </x:c>
      <x:c r="AZ139" s="47"/>
      <x:c r="BA139" s="60"/>
      <x:c r="BB139" s="58">
        <x:f>(($O139*AZ139)/100)+(BA139*12)</x:f>
      </x:c>
      <x:c r="BC139" s="47"/>
      <x:c r="BD139" s="60"/>
      <x:c r="BE139" s="58">
        <x:f>(($O139*BC139)/100)+(BD139*12)</x:f>
      </x:c>
      <x:c r="BF139" s="47"/>
      <x:c r="BG139" s="60"/>
      <x:c r="BH139" s="58">
        <x:f>(($O139*BF139)/100)+(BG139*12)</x:f>
      </x:c>
      <x:c r="BI139" s="47"/>
      <x:c r="BJ139" s="60"/>
      <x:c r="BK139" s="58">
        <x:f>(($O139*BI139)/100)+(BJ139*12)</x:f>
      </x:c>
      <x:c r="BL139" s="47"/>
      <x:c r="BM139" s="60"/>
      <x:c r="BN139" s="58">
        <x:f>(($O139*BL139)/100)+(BM139*12)</x:f>
      </x:c>
      <x:c r="BO139" s="47"/>
      <x:c r="BP139" s="60"/>
      <x:c r="BQ139" s="58">
        <x:f>(($O139*BO139)/100)+(BP139*12)</x:f>
      </x:c>
      <x:c r="BR139" s="47"/>
      <x:c r="BS139" s="60"/>
      <x:c r="BT139" s="58">
        <x:f>(($O139*BR139)/100)+(BS139*12)</x:f>
      </x:c>
      <x:c r="BU139" s="47"/>
      <x:c r="BV139" s="60"/>
      <x:c r="BW139" s="58">
        <x:f>(($O139*BU139)/100)+(BV139*12)</x:f>
      </x:c>
      <x:c r="BX139" s="47"/>
      <x:c r="BY139" s="60"/>
      <x:c r="BZ139" s="58">
        <x:f>(($O139*BX139)/100)+(BY139*12)</x:f>
      </x:c>
      <x:c r="CA139" s="47"/>
      <x:c r="CB139" s="60"/>
      <x:c r="CC139" s="58">
        <x:f>(($O139*CA139)/100)+(CB139*12)</x:f>
      </x:c>
      <x:c r="CD139" s="47"/>
      <x:c r="CE139" s="60"/>
      <x:c r="CF139" s="58">
        <x:f>(($O139*CD139)/100)+(CE139*12)</x:f>
      </x:c>
      <x:c r="CG139" s="47"/>
      <x:c r="CH139" s="60"/>
      <x:c r="CI139" s="58">
        <x:f>(($O139*CG139)/100)+(CH139*12)</x:f>
      </x:c>
      <x:c r="CJ139" s="47"/>
      <x:c r="CK139" s="60"/>
      <x:c r="CL139" s="58">
        <x:f>(($O139*CJ139)/100)+(CK139*12)</x:f>
      </x:c>
      <x:c r="CM139" s="47"/>
      <x:c r="CN139" s="60"/>
      <x:c r="CO139" s="58">
        <x:f>(($O139*CM139)/100)+(CN139*12)</x:f>
      </x:c>
      <x:c r="CP139" s="47"/>
      <x:c r="CQ139" s="60"/>
      <x:c r="CR139" s="58">
        <x:f>(($O139*CP139)/100)+(CQ139*12)</x:f>
      </x:c>
      <x:c r="CS139" s="47"/>
      <x:c r="CT139" s="60"/>
      <x:c r="CU139" s="58">
        <x:f>(($O139*CS139)/100)+(CT139*12)</x:f>
      </x:c>
      <x:c r="CV139" s="47"/>
      <x:c r="CW139" s="60"/>
      <x:c r="CX139" s="58"/>
      <x:c r="CY139" s="47"/>
      <x:c r="CZ139" s="60"/>
      <x:c r="DA139" s="58"/>
      <x:c r="DB139" s="47"/>
      <x:c r="DC139" s="60"/>
      <x:c r="DD139" s="58"/>
      <x:c r="DE139" s="47"/>
      <x:c r="DF139" s="60"/>
      <x:c r="DG139" s="58"/>
      <x:c r="DH139" s="47"/>
      <x:c r="DI139" s="60"/>
      <x:c r="DJ139" s="58"/>
      <x:c r="DK139" s="47"/>
      <x:c r="DL139" s="60"/>
      <x:c r="DM139" s="58"/>
      <x:c r="DN139" s="11"/>
      <x:c r="DO139" s="61"/>
      <x:c r="DP139" s="62"/>
      <x:c r="DQ139" s="11"/>
      <x:c r="DR139" s="61"/>
      <x:c r="DS139" s="62"/>
      <x:c r="DT139" s="11"/>
      <x:c r="DU139" s="61"/>
      <x:c r="DV139" s="62"/>
    </x:row>
    <x:row r="140" spans="1:126" x14ac:dyDescent="0.3">
      <x:c r="A140" s="47"/>
      <x:c r="B140" s="70"/>
      <x:c r="C140" s="70"/>
      <x:c r="D140" s="70"/>
      <x:c r="E140" s="70"/>
      <x:c r="F140" s="70"/>
      <x:c r="G140" s="70"/>
      <x:c r="H140" s="70"/>
      <x:c r="I140" s="70"/>
      <x:c r="J140" s="70"/>
      <x:c r="K140" s="190"/>
      <x:c r="L140" s="191"/>
      <x:c r="M140" s="192">
        <x:f>IF(ISERROR(INDEX('Meter Type Data'!$B$2:$E$1165,SUMPRODUCT(--('Meter Type Data'!$B$2:$B$1165&lt;=Analysis!L140)*('Meter Type Data'!$C$2:$C$1165&gt;=Analysis!L140),ROW('Meter Type Data'!$B$2:$B$1165))-1,4))," ",INDEX('Meter Type Data'!$B$2:$E$1165,SUMPRODUCT(--('Meter Type Data'!$B$2:$B$1165&lt;=Analysis!L140)*('Meter Type Data'!$C$2:$C$1165&gt;=Analysis!L140),ROW('Meter Type Data'!$B$2:$B$1165))-1,4))</x:f>
      </x:c>
      <x:c r="N140" s="192">
        <x:f>IF(ISERROR(INDEX('Meter Type Data'!$B$2:$D$1165,SUMPRODUCT(--('Meter Type Data'!$B$2:$B$1165&lt;=Analysis!L140)*('Meter Type Data'!$C$2:$C$1165&gt;=Analysis!L140),ROW('Meter Type Data'!$B$2:$B$1165))-1,3))," ",INDEX('Meter Type Data'!$B$2:$D$1165,SUMPRODUCT(--('Meter Type Data'!$B$2:$B$1165&lt;=Analysis!L140)*('Meter Type Data'!$C$2:$C$1165&gt;=Analysis!L140),ROW('Meter Type Data'!$B$2:$B$1165))-1,3))</x:f>
      </x:c>
      <x:c r="O140" s="69"/>
      <x:c r="P140" s="47"/>
      <x:c r="Q140" s="60"/>
      <x:c r="R140" s="58">
        <x:f>(($O140*P140)/100)+(Q140*12)</x:f>
      </x:c>
      <x:c r="S140" s="59"/>
      <x:c r="T140" s="59"/>
      <x:c r="U140" s="58">
        <x:f>(($O140*S140)/100)+(T140*12)</x:f>
      </x:c>
      <x:c r="V140" s="47"/>
      <x:c r="W140" s="60"/>
      <x:c r="X140" s="58">
        <x:f>(($O140*V140)/100)+(W140*12)</x:f>
      </x:c>
      <x:c r="Y140" s="47"/>
      <x:c r="Z140" s="60"/>
      <x:c r="AA140" s="58">
        <x:f>(($O140*Y140)/100)+(Z140*12)</x:f>
      </x:c>
      <x:c r="AB140" s="47"/>
      <x:c r="AC140" s="60"/>
      <x:c r="AD140" s="58">
        <x:f>(($O140*AB140)/100)+(AC140*12)</x:f>
      </x:c>
      <x:c r="AE140" s="47"/>
      <x:c r="AF140" s="60"/>
      <x:c r="AG140" s="58">
        <x:f>(($O140*AE140)/100)+(AF140*12)</x:f>
      </x:c>
      <x:c r="AH140" s="47"/>
      <x:c r="AI140" s="60"/>
      <x:c r="AJ140" s="58">
        <x:f>(($O140*AH140)/100)+(AI140*12)</x:f>
      </x:c>
      <x:c r="AK140" s="47"/>
      <x:c r="AL140" s="60"/>
      <x:c r="AM140" s="58">
        <x:f>(($O140*AK140)/100)+(AL140*12)</x:f>
      </x:c>
      <x:c r="AN140" s="47"/>
      <x:c r="AO140" s="60"/>
      <x:c r="AP140" s="58">
        <x:f>(($O140*AN140)/100)+(AO140*12)</x:f>
      </x:c>
      <x:c r="AQ140" s="47"/>
      <x:c r="AR140" s="60"/>
      <x:c r="AS140" s="58">
        <x:f>(($O140*AQ140)/100)+(AR140*12)</x:f>
      </x:c>
      <x:c r="AT140" s="47"/>
      <x:c r="AU140" s="60"/>
      <x:c r="AV140" s="58">
        <x:f>(($O140*AT140)/100)+(AU140*12)</x:f>
      </x:c>
      <x:c r="AW140" s="47"/>
      <x:c r="AX140" s="60"/>
      <x:c r="AY140" s="58">
        <x:f>(($O140*AW140)/100)+(AX140*12)</x:f>
      </x:c>
      <x:c r="AZ140" s="47"/>
      <x:c r="BA140" s="60"/>
      <x:c r="BB140" s="58">
        <x:f>(($O140*AZ140)/100)+(BA140*12)</x:f>
      </x:c>
      <x:c r="BC140" s="47"/>
      <x:c r="BD140" s="60"/>
      <x:c r="BE140" s="58">
        <x:f>(($O140*BC140)/100)+(BD140*12)</x:f>
      </x:c>
      <x:c r="BF140" s="47"/>
      <x:c r="BG140" s="60"/>
      <x:c r="BH140" s="58">
        <x:f>(($O140*BF140)/100)+(BG140*12)</x:f>
      </x:c>
      <x:c r="BI140" s="47"/>
      <x:c r="BJ140" s="60"/>
      <x:c r="BK140" s="58">
        <x:f>(($O140*BI140)/100)+(BJ140*12)</x:f>
      </x:c>
      <x:c r="BL140" s="47"/>
      <x:c r="BM140" s="60"/>
      <x:c r="BN140" s="58">
        <x:f>(($O140*BL140)/100)+(BM140*12)</x:f>
      </x:c>
      <x:c r="BO140" s="47"/>
      <x:c r="BP140" s="60"/>
      <x:c r="BQ140" s="58">
        <x:f>(($O140*BO140)/100)+(BP140*12)</x:f>
      </x:c>
      <x:c r="BR140" s="47"/>
      <x:c r="BS140" s="60"/>
      <x:c r="BT140" s="58">
        <x:f>(($O140*BR140)/100)+(BS140*12)</x:f>
      </x:c>
      <x:c r="BU140" s="47"/>
      <x:c r="BV140" s="60"/>
      <x:c r="BW140" s="58">
        <x:f>(($O140*BU140)/100)+(BV140*12)</x:f>
      </x:c>
      <x:c r="BX140" s="47"/>
      <x:c r="BY140" s="60"/>
      <x:c r="BZ140" s="58">
        <x:f>(($O140*BX140)/100)+(BY140*12)</x:f>
      </x:c>
      <x:c r="CA140" s="47"/>
      <x:c r="CB140" s="60"/>
      <x:c r="CC140" s="58">
        <x:f>(($O140*CA140)/100)+(CB140*12)</x:f>
      </x:c>
      <x:c r="CD140" s="47"/>
      <x:c r="CE140" s="60"/>
      <x:c r="CF140" s="58">
        <x:f>(($O140*CD140)/100)+(CE140*12)</x:f>
      </x:c>
      <x:c r="CG140" s="47"/>
      <x:c r="CH140" s="60"/>
      <x:c r="CI140" s="58">
        <x:f>(($O140*CG140)/100)+(CH140*12)</x:f>
      </x:c>
      <x:c r="CJ140" s="47"/>
      <x:c r="CK140" s="60"/>
      <x:c r="CL140" s="58">
        <x:f>(($O140*CJ140)/100)+(CK140*12)</x:f>
      </x:c>
      <x:c r="CM140" s="47"/>
      <x:c r="CN140" s="60"/>
      <x:c r="CO140" s="58">
        <x:f>(($O140*CM140)/100)+(CN140*12)</x:f>
      </x:c>
      <x:c r="CP140" s="47"/>
      <x:c r="CQ140" s="60"/>
      <x:c r="CR140" s="58">
        <x:f>(($O140*CP140)/100)+(CQ140*12)</x:f>
      </x:c>
      <x:c r="CS140" s="47"/>
      <x:c r="CT140" s="60"/>
      <x:c r="CU140" s="58">
        <x:f>(($O140*CS140)/100)+(CT140*12)</x:f>
      </x:c>
      <x:c r="CV140" s="47"/>
      <x:c r="CW140" s="60"/>
      <x:c r="CX140" s="58"/>
      <x:c r="CY140" s="47"/>
      <x:c r="CZ140" s="60"/>
      <x:c r="DA140" s="58"/>
      <x:c r="DB140" s="47"/>
      <x:c r="DC140" s="60"/>
      <x:c r="DD140" s="58"/>
      <x:c r="DE140" s="47"/>
      <x:c r="DF140" s="60"/>
      <x:c r="DG140" s="58"/>
      <x:c r="DH140" s="47"/>
      <x:c r="DI140" s="60"/>
      <x:c r="DJ140" s="58"/>
      <x:c r="DK140" s="47"/>
      <x:c r="DL140" s="60"/>
      <x:c r="DM140" s="58"/>
      <x:c r="DN140" s="11"/>
      <x:c r="DO140" s="61"/>
      <x:c r="DP140" s="62"/>
      <x:c r="DQ140" s="11"/>
      <x:c r="DR140" s="61"/>
      <x:c r="DS140" s="62"/>
      <x:c r="DT140" s="11"/>
      <x:c r="DU140" s="61"/>
      <x:c r="DV140" s="62"/>
    </x:row>
    <x:row r="141" spans="1:126" x14ac:dyDescent="0.3">
      <x:c r="A141" s="47"/>
      <x:c r="B141" s="70"/>
      <x:c r="C141" s="70"/>
      <x:c r="D141" s="70"/>
      <x:c r="E141" s="70"/>
      <x:c r="F141" s="70"/>
      <x:c r="G141" s="70"/>
      <x:c r="H141" s="70"/>
      <x:c r="I141" s="70"/>
      <x:c r="J141" s="70"/>
      <x:c r="K141" s="190"/>
      <x:c r="L141" s="191"/>
      <x:c r="M141" s="192">
        <x:f>IF(ISERROR(INDEX('Meter Type Data'!$B$2:$E$1165,SUMPRODUCT(--('Meter Type Data'!$B$2:$B$1165&lt;=Analysis!L141)*('Meter Type Data'!$C$2:$C$1165&gt;=Analysis!L141),ROW('Meter Type Data'!$B$2:$B$1165))-1,4))," ",INDEX('Meter Type Data'!$B$2:$E$1165,SUMPRODUCT(--('Meter Type Data'!$B$2:$B$1165&lt;=Analysis!L141)*('Meter Type Data'!$C$2:$C$1165&gt;=Analysis!L141),ROW('Meter Type Data'!$B$2:$B$1165))-1,4))</x:f>
      </x:c>
      <x:c r="N141" s="192">
        <x:f>IF(ISERROR(INDEX('Meter Type Data'!$B$2:$D$1165,SUMPRODUCT(--('Meter Type Data'!$B$2:$B$1165&lt;=Analysis!L141)*('Meter Type Data'!$C$2:$C$1165&gt;=Analysis!L141),ROW('Meter Type Data'!$B$2:$B$1165))-1,3))," ",INDEX('Meter Type Data'!$B$2:$D$1165,SUMPRODUCT(--('Meter Type Data'!$B$2:$B$1165&lt;=Analysis!L141)*('Meter Type Data'!$C$2:$C$1165&gt;=Analysis!L141),ROW('Meter Type Data'!$B$2:$B$1165))-1,3))</x:f>
      </x:c>
      <x:c r="O141" s="69"/>
      <x:c r="P141" s="47"/>
      <x:c r="Q141" s="60"/>
      <x:c r="R141" s="58">
        <x:f>(($O141*P141)/100)+(Q141*12)</x:f>
      </x:c>
      <x:c r="S141" s="59"/>
      <x:c r="T141" s="59"/>
      <x:c r="U141" s="58">
        <x:f>(($O141*S141)/100)+(T141*12)</x:f>
      </x:c>
      <x:c r="V141" s="47"/>
      <x:c r="W141" s="60"/>
      <x:c r="X141" s="58">
        <x:f>(($O141*V141)/100)+(W141*12)</x:f>
      </x:c>
      <x:c r="Y141" s="47"/>
      <x:c r="Z141" s="60"/>
      <x:c r="AA141" s="58">
        <x:f>(($O141*Y141)/100)+(Z141*12)</x:f>
      </x:c>
      <x:c r="AB141" s="47"/>
      <x:c r="AC141" s="60"/>
      <x:c r="AD141" s="58">
        <x:f>(($O141*AB141)/100)+(AC141*12)</x:f>
      </x:c>
      <x:c r="AE141" s="47"/>
      <x:c r="AF141" s="60"/>
      <x:c r="AG141" s="58">
        <x:f>(($O141*AE141)/100)+(AF141*12)</x:f>
      </x:c>
      <x:c r="AH141" s="47"/>
      <x:c r="AI141" s="60"/>
      <x:c r="AJ141" s="58">
        <x:f>(($O141*AH141)/100)+(AI141*12)</x:f>
      </x:c>
      <x:c r="AK141" s="47"/>
      <x:c r="AL141" s="60"/>
      <x:c r="AM141" s="58">
        <x:f>(($O141*AK141)/100)+(AL141*12)</x:f>
      </x:c>
      <x:c r="AN141" s="47"/>
      <x:c r="AO141" s="60"/>
      <x:c r="AP141" s="58">
        <x:f>(($O141*AN141)/100)+(AO141*12)</x:f>
      </x:c>
      <x:c r="AQ141" s="47"/>
      <x:c r="AR141" s="60"/>
      <x:c r="AS141" s="58">
        <x:f>(($O141*AQ141)/100)+(AR141*12)</x:f>
      </x:c>
      <x:c r="AT141" s="47"/>
      <x:c r="AU141" s="60"/>
      <x:c r="AV141" s="58">
        <x:f>(($O141*AT141)/100)+(AU141*12)</x:f>
      </x:c>
      <x:c r="AW141" s="47"/>
      <x:c r="AX141" s="60"/>
      <x:c r="AY141" s="58">
        <x:f>(($O141*AW141)/100)+(AX141*12)</x:f>
      </x:c>
      <x:c r="AZ141" s="47"/>
      <x:c r="BA141" s="60"/>
      <x:c r="BB141" s="58">
        <x:f>(($O141*AZ141)/100)+(BA141*12)</x:f>
      </x:c>
      <x:c r="BC141" s="47"/>
      <x:c r="BD141" s="60"/>
      <x:c r="BE141" s="58">
        <x:f>(($O141*BC141)/100)+(BD141*12)</x:f>
      </x:c>
      <x:c r="BF141" s="47"/>
      <x:c r="BG141" s="60"/>
      <x:c r="BH141" s="58">
        <x:f>(($O141*BF141)/100)+(BG141*12)</x:f>
      </x:c>
      <x:c r="BI141" s="47"/>
      <x:c r="BJ141" s="60"/>
      <x:c r="BK141" s="58">
        <x:f>(($O141*BI141)/100)+(BJ141*12)</x:f>
      </x:c>
      <x:c r="BL141" s="47"/>
      <x:c r="BM141" s="60"/>
      <x:c r="BN141" s="58">
        <x:f>(($O141*BL141)/100)+(BM141*12)</x:f>
      </x:c>
      <x:c r="BO141" s="47"/>
      <x:c r="BP141" s="60"/>
      <x:c r="BQ141" s="58">
        <x:f>(($O141*BO141)/100)+(BP141*12)</x:f>
      </x:c>
      <x:c r="BR141" s="47"/>
      <x:c r="BS141" s="60"/>
      <x:c r="BT141" s="58">
        <x:f>(($O141*BR141)/100)+(BS141*12)</x:f>
      </x:c>
      <x:c r="BU141" s="47"/>
      <x:c r="BV141" s="60"/>
      <x:c r="BW141" s="58">
        <x:f>(($O141*BU141)/100)+(BV141*12)</x:f>
      </x:c>
      <x:c r="BX141" s="47"/>
      <x:c r="BY141" s="60"/>
      <x:c r="BZ141" s="58">
        <x:f>(($O141*BX141)/100)+(BY141*12)</x:f>
      </x:c>
      <x:c r="CA141" s="47"/>
      <x:c r="CB141" s="60"/>
      <x:c r="CC141" s="58">
        <x:f>(($O141*CA141)/100)+(CB141*12)</x:f>
      </x:c>
      <x:c r="CD141" s="47"/>
      <x:c r="CE141" s="60"/>
      <x:c r="CF141" s="58">
        <x:f>(($O141*CD141)/100)+(CE141*12)</x:f>
      </x:c>
      <x:c r="CG141" s="47"/>
      <x:c r="CH141" s="60"/>
      <x:c r="CI141" s="58">
        <x:f>(($O141*CG141)/100)+(CH141*12)</x:f>
      </x:c>
      <x:c r="CJ141" s="47"/>
      <x:c r="CK141" s="60"/>
      <x:c r="CL141" s="58">
        <x:f>(($O141*CJ141)/100)+(CK141*12)</x:f>
      </x:c>
      <x:c r="CM141" s="47"/>
      <x:c r="CN141" s="60"/>
      <x:c r="CO141" s="58">
        <x:f>(($O141*CM141)/100)+(CN141*12)</x:f>
      </x:c>
      <x:c r="CP141" s="47"/>
      <x:c r="CQ141" s="60"/>
      <x:c r="CR141" s="58">
        <x:f>(($O141*CP141)/100)+(CQ141*12)</x:f>
      </x:c>
      <x:c r="CS141" s="47"/>
      <x:c r="CT141" s="60"/>
      <x:c r="CU141" s="58">
        <x:f>(($O141*CS141)/100)+(CT141*12)</x:f>
      </x:c>
      <x:c r="CV141" s="47"/>
      <x:c r="CW141" s="60"/>
      <x:c r="CX141" s="58"/>
      <x:c r="CY141" s="47"/>
      <x:c r="CZ141" s="60"/>
      <x:c r="DA141" s="58"/>
      <x:c r="DB141" s="47"/>
      <x:c r="DC141" s="60"/>
      <x:c r="DD141" s="58"/>
      <x:c r="DE141" s="47"/>
      <x:c r="DF141" s="60"/>
      <x:c r="DG141" s="58"/>
      <x:c r="DH141" s="47"/>
      <x:c r="DI141" s="60"/>
      <x:c r="DJ141" s="58"/>
      <x:c r="DK141" s="47"/>
      <x:c r="DL141" s="60"/>
      <x:c r="DM141" s="58"/>
      <x:c r="DN141" s="11"/>
      <x:c r="DO141" s="61"/>
      <x:c r="DP141" s="62"/>
      <x:c r="DQ141" s="11"/>
      <x:c r="DR141" s="61"/>
      <x:c r="DS141" s="62"/>
      <x:c r="DT141" s="11"/>
      <x:c r="DU141" s="61"/>
      <x:c r="DV141" s="62"/>
    </x:row>
    <x:row r="142" spans="1:126" x14ac:dyDescent="0.3">
      <x:c r="A142" s="47"/>
      <x:c r="B142" s="70"/>
      <x:c r="C142" s="70"/>
      <x:c r="D142" s="70"/>
      <x:c r="E142" s="70"/>
      <x:c r="F142" s="70"/>
      <x:c r="G142" s="70"/>
      <x:c r="H142" s="70"/>
      <x:c r="I142" s="70"/>
      <x:c r="J142" s="70"/>
      <x:c r="K142" s="190"/>
      <x:c r="L142" s="191"/>
      <x:c r="M142" s="192">
        <x:f>IF(ISERROR(INDEX('Meter Type Data'!$B$2:$E$1165,SUMPRODUCT(--('Meter Type Data'!$B$2:$B$1165&lt;=Analysis!L142)*('Meter Type Data'!$C$2:$C$1165&gt;=Analysis!L142),ROW('Meter Type Data'!$B$2:$B$1165))-1,4))," ",INDEX('Meter Type Data'!$B$2:$E$1165,SUMPRODUCT(--('Meter Type Data'!$B$2:$B$1165&lt;=Analysis!L142)*('Meter Type Data'!$C$2:$C$1165&gt;=Analysis!L142),ROW('Meter Type Data'!$B$2:$B$1165))-1,4))</x:f>
      </x:c>
      <x:c r="N142" s="192">
        <x:f>IF(ISERROR(INDEX('Meter Type Data'!$B$2:$D$1165,SUMPRODUCT(--('Meter Type Data'!$B$2:$B$1165&lt;=Analysis!L142)*('Meter Type Data'!$C$2:$C$1165&gt;=Analysis!L142),ROW('Meter Type Data'!$B$2:$B$1165))-1,3))," ",INDEX('Meter Type Data'!$B$2:$D$1165,SUMPRODUCT(--('Meter Type Data'!$B$2:$B$1165&lt;=Analysis!L142)*('Meter Type Data'!$C$2:$C$1165&gt;=Analysis!L142),ROW('Meter Type Data'!$B$2:$B$1165))-1,3))</x:f>
      </x:c>
      <x:c r="O142" s="69"/>
      <x:c r="P142" s="47"/>
      <x:c r="Q142" s="60"/>
      <x:c r="R142" s="58">
        <x:f>(($O142*P142)/100)+(Q142*12)</x:f>
      </x:c>
      <x:c r="S142" s="59"/>
      <x:c r="T142" s="59"/>
      <x:c r="U142" s="58">
        <x:f>(($O142*S142)/100)+(T142*12)</x:f>
      </x:c>
      <x:c r="V142" s="47"/>
      <x:c r="W142" s="60"/>
      <x:c r="X142" s="58">
        <x:f>(($O142*V142)/100)+(W142*12)</x:f>
      </x:c>
      <x:c r="Y142" s="47"/>
      <x:c r="Z142" s="60"/>
      <x:c r="AA142" s="58">
        <x:f>(($O142*Y142)/100)+(Z142*12)</x:f>
      </x:c>
      <x:c r="AB142" s="47"/>
      <x:c r="AC142" s="60"/>
      <x:c r="AD142" s="58">
        <x:f>(($O142*AB142)/100)+(AC142*12)</x:f>
      </x:c>
      <x:c r="AE142" s="47"/>
      <x:c r="AF142" s="60"/>
      <x:c r="AG142" s="58">
        <x:f>(($O142*AE142)/100)+(AF142*12)</x:f>
      </x:c>
      <x:c r="AH142" s="47"/>
      <x:c r="AI142" s="60"/>
      <x:c r="AJ142" s="58">
        <x:f>(($O142*AH142)/100)+(AI142*12)</x:f>
      </x:c>
      <x:c r="AK142" s="47"/>
      <x:c r="AL142" s="60"/>
      <x:c r="AM142" s="58">
        <x:f>(($O142*AK142)/100)+(AL142*12)</x:f>
      </x:c>
      <x:c r="AN142" s="47"/>
      <x:c r="AO142" s="60"/>
      <x:c r="AP142" s="58">
        <x:f>(($O142*AN142)/100)+(AO142*12)</x:f>
      </x:c>
      <x:c r="AQ142" s="47"/>
      <x:c r="AR142" s="60"/>
      <x:c r="AS142" s="58">
        <x:f>(($O142*AQ142)/100)+(AR142*12)</x:f>
      </x:c>
      <x:c r="AT142" s="47"/>
      <x:c r="AU142" s="60"/>
      <x:c r="AV142" s="58">
        <x:f>(($O142*AT142)/100)+(AU142*12)</x:f>
      </x:c>
      <x:c r="AW142" s="47"/>
      <x:c r="AX142" s="60"/>
      <x:c r="AY142" s="58">
        <x:f>(($O142*AW142)/100)+(AX142*12)</x:f>
      </x:c>
      <x:c r="AZ142" s="47"/>
      <x:c r="BA142" s="60"/>
      <x:c r="BB142" s="58">
        <x:f>(($O142*AZ142)/100)+(BA142*12)</x:f>
      </x:c>
      <x:c r="BC142" s="47"/>
      <x:c r="BD142" s="60"/>
      <x:c r="BE142" s="58">
        <x:f>(($O142*BC142)/100)+(BD142*12)</x:f>
      </x:c>
      <x:c r="BF142" s="47"/>
      <x:c r="BG142" s="60"/>
      <x:c r="BH142" s="58">
        <x:f>(($O142*BF142)/100)+(BG142*12)</x:f>
      </x:c>
      <x:c r="BI142" s="47"/>
      <x:c r="BJ142" s="60"/>
      <x:c r="BK142" s="58">
        <x:f>(($O142*BI142)/100)+(BJ142*12)</x:f>
      </x:c>
      <x:c r="BL142" s="47"/>
      <x:c r="BM142" s="60"/>
      <x:c r="BN142" s="58">
        <x:f>(($O142*BL142)/100)+(BM142*12)</x:f>
      </x:c>
      <x:c r="BO142" s="47"/>
      <x:c r="BP142" s="60"/>
      <x:c r="BQ142" s="58">
        <x:f>(($O142*BO142)/100)+(BP142*12)</x:f>
      </x:c>
      <x:c r="BR142" s="47"/>
      <x:c r="BS142" s="60"/>
      <x:c r="BT142" s="58">
        <x:f>(($O142*BR142)/100)+(BS142*12)</x:f>
      </x:c>
      <x:c r="BU142" s="47"/>
      <x:c r="BV142" s="60"/>
      <x:c r="BW142" s="58">
        <x:f>(($O142*BU142)/100)+(BV142*12)</x:f>
      </x:c>
      <x:c r="BX142" s="47"/>
      <x:c r="BY142" s="60"/>
      <x:c r="BZ142" s="58">
        <x:f>(($O142*BX142)/100)+(BY142*12)</x:f>
      </x:c>
      <x:c r="CA142" s="47"/>
      <x:c r="CB142" s="60"/>
      <x:c r="CC142" s="58">
        <x:f>(($O142*CA142)/100)+(CB142*12)</x:f>
      </x:c>
      <x:c r="CD142" s="47"/>
      <x:c r="CE142" s="60"/>
      <x:c r="CF142" s="58">
        <x:f>(($O142*CD142)/100)+(CE142*12)</x:f>
      </x:c>
      <x:c r="CG142" s="47"/>
      <x:c r="CH142" s="60"/>
      <x:c r="CI142" s="58">
        <x:f>(($O142*CG142)/100)+(CH142*12)</x:f>
      </x:c>
      <x:c r="CJ142" s="47"/>
      <x:c r="CK142" s="60"/>
      <x:c r="CL142" s="58">
        <x:f>(($O142*CJ142)/100)+(CK142*12)</x:f>
      </x:c>
      <x:c r="CM142" s="47"/>
      <x:c r="CN142" s="60"/>
      <x:c r="CO142" s="58">
        <x:f>(($O142*CM142)/100)+(CN142*12)</x:f>
      </x:c>
      <x:c r="CP142" s="47"/>
      <x:c r="CQ142" s="60"/>
      <x:c r="CR142" s="58">
        <x:f>(($O142*CP142)/100)+(CQ142*12)</x:f>
      </x:c>
      <x:c r="CS142" s="47"/>
      <x:c r="CT142" s="60"/>
      <x:c r="CU142" s="58">
        <x:f>(($O142*CS142)/100)+(CT142*12)</x:f>
      </x:c>
      <x:c r="CV142" s="47"/>
      <x:c r="CW142" s="60"/>
      <x:c r="CX142" s="58"/>
      <x:c r="CY142" s="47"/>
      <x:c r="CZ142" s="60"/>
      <x:c r="DA142" s="58"/>
      <x:c r="DB142" s="47"/>
      <x:c r="DC142" s="60"/>
      <x:c r="DD142" s="58"/>
      <x:c r="DE142" s="47"/>
      <x:c r="DF142" s="60"/>
      <x:c r="DG142" s="58"/>
      <x:c r="DH142" s="47"/>
      <x:c r="DI142" s="60"/>
      <x:c r="DJ142" s="58"/>
      <x:c r="DK142" s="47"/>
      <x:c r="DL142" s="60"/>
      <x:c r="DM142" s="58"/>
      <x:c r="DN142" s="11"/>
      <x:c r="DO142" s="61"/>
      <x:c r="DP142" s="62"/>
      <x:c r="DQ142" s="11"/>
      <x:c r="DR142" s="61"/>
      <x:c r="DS142" s="62"/>
      <x:c r="DT142" s="11"/>
      <x:c r="DU142" s="61"/>
      <x:c r="DV142" s="62"/>
    </x:row>
    <x:row r="143" spans="1:126" x14ac:dyDescent="0.3">
      <x:c r="A143" s="47"/>
      <x:c r="B143" s="70"/>
      <x:c r="C143" s="70"/>
      <x:c r="D143" s="70"/>
      <x:c r="E143" s="70"/>
      <x:c r="F143" s="70"/>
      <x:c r="G143" s="70"/>
      <x:c r="H143" s="70"/>
      <x:c r="I143" s="70"/>
      <x:c r="J143" s="70"/>
      <x:c r="K143" s="190"/>
      <x:c r="L143" s="191"/>
      <x:c r="M143" s="192">
        <x:f>IF(ISERROR(INDEX('Meter Type Data'!$B$2:$E$1165,SUMPRODUCT(--('Meter Type Data'!$B$2:$B$1165&lt;=Analysis!L143)*('Meter Type Data'!$C$2:$C$1165&gt;=Analysis!L143),ROW('Meter Type Data'!$B$2:$B$1165))-1,4))," ",INDEX('Meter Type Data'!$B$2:$E$1165,SUMPRODUCT(--('Meter Type Data'!$B$2:$B$1165&lt;=Analysis!L143)*('Meter Type Data'!$C$2:$C$1165&gt;=Analysis!L143),ROW('Meter Type Data'!$B$2:$B$1165))-1,4))</x:f>
      </x:c>
      <x:c r="N143" s="192">
        <x:f>IF(ISERROR(INDEX('Meter Type Data'!$B$2:$D$1165,SUMPRODUCT(--('Meter Type Data'!$B$2:$B$1165&lt;=Analysis!L143)*('Meter Type Data'!$C$2:$C$1165&gt;=Analysis!L143),ROW('Meter Type Data'!$B$2:$B$1165))-1,3))," ",INDEX('Meter Type Data'!$B$2:$D$1165,SUMPRODUCT(--('Meter Type Data'!$B$2:$B$1165&lt;=Analysis!L143)*('Meter Type Data'!$C$2:$C$1165&gt;=Analysis!L143),ROW('Meter Type Data'!$B$2:$B$1165))-1,3))</x:f>
      </x:c>
      <x:c r="O143" s="69"/>
      <x:c r="P143" s="47"/>
      <x:c r="Q143" s="60"/>
      <x:c r="R143" s="58">
        <x:f>(($O143*P143)/100)+(Q143*12)</x:f>
      </x:c>
      <x:c r="S143" s="59"/>
      <x:c r="T143" s="59"/>
      <x:c r="U143" s="58">
        <x:f>(($O143*S143)/100)+(T143*12)</x:f>
      </x:c>
      <x:c r="V143" s="47"/>
      <x:c r="W143" s="60"/>
      <x:c r="X143" s="58">
        <x:f>(($O143*V143)/100)+(W143*12)</x:f>
      </x:c>
      <x:c r="Y143" s="47"/>
      <x:c r="Z143" s="60"/>
      <x:c r="AA143" s="58">
        <x:f>(($O143*Y143)/100)+(Z143*12)</x:f>
      </x:c>
      <x:c r="AB143" s="47"/>
      <x:c r="AC143" s="60"/>
      <x:c r="AD143" s="58">
        <x:f>(($O143*AB143)/100)+(AC143*12)</x:f>
      </x:c>
      <x:c r="AE143" s="47"/>
      <x:c r="AF143" s="60"/>
      <x:c r="AG143" s="58">
        <x:f>(($O143*AE143)/100)+(AF143*12)</x:f>
      </x:c>
      <x:c r="AH143" s="47"/>
      <x:c r="AI143" s="60"/>
      <x:c r="AJ143" s="58">
        <x:f>(($O143*AH143)/100)+(AI143*12)</x:f>
      </x:c>
      <x:c r="AK143" s="47"/>
      <x:c r="AL143" s="60"/>
      <x:c r="AM143" s="58">
        <x:f>(($O143*AK143)/100)+(AL143*12)</x:f>
      </x:c>
      <x:c r="AN143" s="47"/>
      <x:c r="AO143" s="60"/>
      <x:c r="AP143" s="58">
        <x:f>(($O143*AN143)/100)+(AO143*12)</x:f>
      </x:c>
      <x:c r="AQ143" s="47"/>
      <x:c r="AR143" s="60"/>
      <x:c r="AS143" s="58">
        <x:f>(($O143*AQ143)/100)+(AR143*12)</x:f>
      </x:c>
      <x:c r="AT143" s="47"/>
      <x:c r="AU143" s="60"/>
      <x:c r="AV143" s="58">
        <x:f>(($O143*AT143)/100)+(AU143*12)</x:f>
      </x:c>
      <x:c r="AW143" s="47"/>
      <x:c r="AX143" s="60"/>
      <x:c r="AY143" s="58">
        <x:f>(($O143*AW143)/100)+(AX143*12)</x:f>
      </x:c>
      <x:c r="AZ143" s="47"/>
      <x:c r="BA143" s="60"/>
      <x:c r="BB143" s="58">
        <x:f>(($O143*AZ143)/100)+(BA143*12)</x:f>
      </x:c>
      <x:c r="BC143" s="47"/>
      <x:c r="BD143" s="60"/>
      <x:c r="BE143" s="58">
        <x:f>(($O143*BC143)/100)+(BD143*12)</x:f>
      </x:c>
      <x:c r="BF143" s="47"/>
      <x:c r="BG143" s="60"/>
      <x:c r="BH143" s="58">
        <x:f>(($O143*BF143)/100)+(BG143*12)</x:f>
      </x:c>
      <x:c r="BI143" s="47"/>
      <x:c r="BJ143" s="60"/>
      <x:c r="BK143" s="58">
        <x:f>(($O143*BI143)/100)+(BJ143*12)</x:f>
      </x:c>
      <x:c r="BL143" s="47"/>
      <x:c r="BM143" s="60"/>
      <x:c r="BN143" s="58">
        <x:f>(($O143*BL143)/100)+(BM143*12)</x:f>
      </x:c>
      <x:c r="BO143" s="47"/>
      <x:c r="BP143" s="60"/>
      <x:c r="BQ143" s="58">
        <x:f>(($O143*BO143)/100)+(BP143*12)</x:f>
      </x:c>
      <x:c r="BR143" s="47"/>
      <x:c r="BS143" s="60"/>
      <x:c r="BT143" s="58">
        <x:f>(($O143*BR143)/100)+(BS143*12)</x:f>
      </x:c>
      <x:c r="BU143" s="47"/>
      <x:c r="BV143" s="60"/>
      <x:c r="BW143" s="58">
        <x:f>(($O143*BU143)/100)+(BV143*12)</x:f>
      </x:c>
      <x:c r="BX143" s="47"/>
      <x:c r="BY143" s="60"/>
      <x:c r="BZ143" s="58">
        <x:f>(($O143*BX143)/100)+(BY143*12)</x:f>
      </x:c>
      <x:c r="CA143" s="47"/>
      <x:c r="CB143" s="60"/>
      <x:c r="CC143" s="58">
        <x:f>(($O143*CA143)/100)+(CB143*12)</x:f>
      </x:c>
      <x:c r="CD143" s="47"/>
      <x:c r="CE143" s="60"/>
      <x:c r="CF143" s="58">
        <x:f>(($O143*CD143)/100)+(CE143*12)</x:f>
      </x:c>
      <x:c r="CG143" s="47"/>
      <x:c r="CH143" s="60"/>
      <x:c r="CI143" s="58">
        <x:f>(($O143*CG143)/100)+(CH143*12)</x:f>
      </x:c>
      <x:c r="CJ143" s="47"/>
      <x:c r="CK143" s="60"/>
      <x:c r="CL143" s="58">
        <x:f>(($O143*CJ143)/100)+(CK143*12)</x:f>
      </x:c>
      <x:c r="CM143" s="47"/>
      <x:c r="CN143" s="60"/>
      <x:c r="CO143" s="58">
        <x:f>(($O143*CM143)/100)+(CN143*12)</x:f>
      </x:c>
      <x:c r="CP143" s="47"/>
      <x:c r="CQ143" s="60"/>
      <x:c r="CR143" s="58">
        <x:f>(($O143*CP143)/100)+(CQ143*12)</x:f>
      </x:c>
      <x:c r="CS143" s="47"/>
      <x:c r="CT143" s="60"/>
      <x:c r="CU143" s="58">
        <x:f>(($O143*CS143)/100)+(CT143*12)</x:f>
      </x:c>
      <x:c r="CV143" s="47"/>
      <x:c r="CW143" s="60"/>
      <x:c r="CX143" s="58"/>
      <x:c r="CY143" s="47"/>
      <x:c r="CZ143" s="60"/>
      <x:c r="DA143" s="58"/>
      <x:c r="DB143" s="47"/>
      <x:c r="DC143" s="60"/>
      <x:c r="DD143" s="58"/>
      <x:c r="DE143" s="47"/>
      <x:c r="DF143" s="60"/>
      <x:c r="DG143" s="58"/>
      <x:c r="DH143" s="47"/>
      <x:c r="DI143" s="60"/>
      <x:c r="DJ143" s="58"/>
      <x:c r="DK143" s="47"/>
      <x:c r="DL143" s="60"/>
      <x:c r="DM143" s="58"/>
      <x:c r="DN143" s="11"/>
      <x:c r="DO143" s="61"/>
      <x:c r="DP143" s="62"/>
      <x:c r="DQ143" s="11"/>
      <x:c r="DR143" s="61"/>
      <x:c r="DS143" s="62"/>
      <x:c r="DT143" s="11"/>
      <x:c r="DU143" s="61"/>
      <x:c r="DV143" s="62"/>
    </x:row>
    <x:row r="144" spans="1:126" x14ac:dyDescent="0.3">
      <x:c r="A144" s="47"/>
      <x:c r="B144" s="70"/>
      <x:c r="C144" s="70"/>
      <x:c r="D144" s="70"/>
      <x:c r="E144" s="70"/>
      <x:c r="F144" s="70"/>
      <x:c r="G144" s="70"/>
      <x:c r="H144" s="70"/>
      <x:c r="I144" s="70"/>
      <x:c r="J144" s="70"/>
      <x:c r="K144" s="190"/>
      <x:c r="L144" s="191"/>
      <x:c r="M144" s="192">
        <x:f>IF(ISERROR(INDEX('Meter Type Data'!$B$2:$E$1165,SUMPRODUCT(--('Meter Type Data'!$B$2:$B$1165&lt;=Analysis!L144)*('Meter Type Data'!$C$2:$C$1165&gt;=Analysis!L144),ROW('Meter Type Data'!$B$2:$B$1165))-1,4))," ",INDEX('Meter Type Data'!$B$2:$E$1165,SUMPRODUCT(--('Meter Type Data'!$B$2:$B$1165&lt;=Analysis!L144)*('Meter Type Data'!$C$2:$C$1165&gt;=Analysis!L144),ROW('Meter Type Data'!$B$2:$B$1165))-1,4))</x:f>
      </x:c>
      <x:c r="N144" s="192">
        <x:f>IF(ISERROR(INDEX('Meter Type Data'!$B$2:$D$1165,SUMPRODUCT(--('Meter Type Data'!$B$2:$B$1165&lt;=Analysis!L144)*('Meter Type Data'!$C$2:$C$1165&gt;=Analysis!L144),ROW('Meter Type Data'!$B$2:$B$1165))-1,3))," ",INDEX('Meter Type Data'!$B$2:$D$1165,SUMPRODUCT(--('Meter Type Data'!$B$2:$B$1165&lt;=Analysis!L144)*('Meter Type Data'!$C$2:$C$1165&gt;=Analysis!L144),ROW('Meter Type Data'!$B$2:$B$1165))-1,3))</x:f>
      </x:c>
      <x:c r="O144" s="69"/>
      <x:c r="P144" s="47"/>
      <x:c r="Q144" s="60"/>
      <x:c r="R144" s="58">
        <x:f>(($O144*P144)/100)+(Q144*12)</x:f>
      </x:c>
      <x:c r="S144" s="59"/>
      <x:c r="T144" s="59"/>
      <x:c r="U144" s="58">
        <x:f>(($O144*S144)/100)+(T144*12)</x:f>
      </x:c>
      <x:c r="V144" s="47"/>
      <x:c r="W144" s="60"/>
      <x:c r="X144" s="58">
        <x:f>(($O144*V144)/100)+(W144*12)</x:f>
      </x:c>
      <x:c r="Y144" s="47"/>
      <x:c r="Z144" s="60"/>
      <x:c r="AA144" s="58">
        <x:f>(($O144*Y144)/100)+(Z144*12)</x:f>
      </x:c>
      <x:c r="AB144" s="47"/>
      <x:c r="AC144" s="60"/>
      <x:c r="AD144" s="58">
        <x:f>(($O144*AB144)/100)+(AC144*12)</x:f>
      </x:c>
      <x:c r="AE144" s="47"/>
      <x:c r="AF144" s="60"/>
      <x:c r="AG144" s="58">
        <x:f>(($O144*AE144)/100)+(AF144*12)</x:f>
      </x:c>
      <x:c r="AH144" s="47"/>
      <x:c r="AI144" s="60"/>
      <x:c r="AJ144" s="58">
        <x:f>(($O144*AH144)/100)+(AI144*12)</x:f>
      </x:c>
      <x:c r="AK144" s="47"/>
      <x:c r="AL144" s="60"/>
      <x:c r="AM144" s="58">
        <x:f>(($O144*AK144)/100)+(AL144*12)</x:f>
      </x:c>
      <x:c r="AN144" s="47"/>
      <x:c r="AO144" s="60"/>
      <x:c r="AP144" s="58">
        <x:f>(($O144*AN144)/100)+(AO144*12)</x:f>
      </x:c>
      <x:c r="AQ144" s="47"/>
      <x:c r="AR144" s="60"/>
      <x:c r="AS144" s="58">
        <x:f>(($O144*AQ144)/100)+(AR144*12)</x:f>
      </x:c>
      <x:c r="AT144" s="47"/>
      <x:c r="AU144" s="60"/>
      <x:c r="AV144" s="58">
        <x:f>(($O144*AT144)/100)+(AU144*12)</x:f>
      </x:c>
      <x:c r="AW144" s="47"/>
      <x:c r="AX144" s="60"/>
      <x:c r="AY144" s="58">
        <x:f>(($O144*AW144)/100)+(AX144*12)</x:f>
      </x:c>
      <x:c r="AZ144" s="47"/>
      <x:c r="BA144" s="60"/>
      <x:c r="BB144" s="58">
        <x:f>(($O144*AZ144)/100)+(BA144*12)</x:f>
      </x:c>
      <x:c r="BC144" s="47"/>
      <x:c r="BD144" s="60"/>
      <x:c r="BE144" s="58">
        <x:f>(($O144*BC144)/100)+(BD144*12)</x:f>
      </x:c>
      <x:c r="BF144" s="47"/>
      <x:c r="BG144" s="60"/>
      <x:c r="BH144" s="58">
        <x:f>(($O144*BF144)/100)+(BG144*12)</x:f>
      </x:c>
      <x:c r="BI144" s="47"/>
      <x:c r="BJ144" s="60"/>
      <x:c r="BK144" s="58">
        <x:f>(($O144*BI144)/100)+(BJ144*12)</x:f>
      </x:c>
      <x:c r="BL144" s="47"/>
      <x:c r="BM144" s="60"/>
      <x:c r="BN144" s="58">
        <x:f>(($O144*BL144)/100)+(BM144*12)</x:f>
      </x:c>
      <x:c r="BO144" s="47"/>
      <x:c r="BP144" s="60"/>
      <x:c r="BQ144" s="58">
        <x:f>(($O144*BO144)/100)+(BP144*12)</x:f>
      </x:c>
      <x:c r="BR144" s="47"/>
      <x:c r="BS144" s="60"/>
      <x:c r="BT144" s="58">
        <x:f>(($O144*BR144)/100)+(BS144*12)</x:f>
      </x:c>
      <x:c r="BU144" s="47"/>
      <x:c r="BV144" s="60"/>
      <x:c r="BW144" s="58">
        <x:f>(($O144*BU144)/100)+(BV144*12)</x:f>
      </x:c>
      <x:c r="BX144" s="47"/>
      <x:c r="BY144" s="60"/>
      <x:c r="BZ144" s="58">
        <x:f>(($O144*BX144)/100)+(BY144*12)</x:f>
      </x:c>
      <x:c r="CA144" s="47"/>
      <x:c r="CB144" s="60"/>
      <x:c r="CC144" s="58">
        <x:f>(($O144*CA144)/100)+(CB144*12)</x:f>
      </x:c>
      <x:c r="CD144" s="47"/>
      <x:c r="CE144" s="60"/>
      <x:c r="CF144" s="58">
        <x:f>(($O144*CD144)/100)+(CE144*12)</x:f>
      </x:c>
      <x:c r="CG144" s="47"/>
      <x:c r="CH144" s="60"/>
      <x:c r="CI144" s="58">
        <x:f>(($O144*CG144)/100)+(CH144*12)</x:f>
      </x:c>
      <x:c r="CJ144" s="47"/>
      <x:c r="CK144" s="60"/>
      <x:c r="CL144" s="58">
        <x:f>(($O144*CJ144)/100)+(CK144*12)</x:f>
      </x:c>
      <x:c r="CM144" s="47"/>
      <x:c r="CN144" s="60"/>
      <x:c r="CO144" s="58">
        <x:f>(($O144*CM144)/100)+(CN144*12)</x:f>
      </x:c>
      <x:c r="CP144" s="47"/>
      <x:c r="CQ144" s="60"/>
      <x:c r="CR144" s="58">
        <x:f>(($O144*CP144)/100)+(CQ144*12)</x:f>
      </x:c>
      <x:c r="CS144" s="47"/>
      <x:c r="CT144" s="60"/>
      <x:c r="CU144" s="58">
        <x:f>(($O144*CS144)/100)+(CT144*12)</x:f>
      </x:c>
      <x:c r="CV144" s="47"/>
      <x:c r="CW144" s="60"/>
      <x:c r="CX144" s="58"/>
      <x:c r="CY144" s="47"/>
      <x:c r="CZ144" s="60"/>
      <x:c r="DA144" s="58"/>
      <x:c r="DB144" s="47"/>
      <x:c r="DC144" s="60"/>
      <x:c r="DD144" s="58"/>
      <x:c r="DE144" s="47"/>
      <x:c r="DF144" s="60"/>
      <x:c r="DG144" s="58"/>
      <x:c r="DH144" s="47"/>
      <x:c r="DI144" s="60"/>
      <x:c r="DJ144" s="58"/>
      <x:c r="DK144" s="47"/>
      <x:c r="DL144" s="60"/>
      <x:c r="DM144" s="58"/>
      <x:c r="DN144" s="11"/>
      <x:c r="DO144" s="61"/>
      <x:c r="DP144" s="62"/>
      <x:c r="DQ144" s="11"/>
      <x:c r="DR144" s="61"/>
      <x:c r="DS144" s="62"/>
      <x:c r="DT144" s="11"/>
      <x:c r="DU144" s="61"/>
      <x:c r="DV144" s="62"/>
    </x:row>
    <x:row r="145" spans="1:126" x14ac:dyDescent="0.3">
      <x:c r="A145" s="47"/>
      <x:c r="B145" s="70"/>
      <x:c r="C145" s="70"/>
      <x:c r="D145" s="70"/>
      <x:c r="E145" s="70"/>
      <x:c r="F145" s="70"/>
      <x:c r="G145" s="70"/>
      <x:c r="H145" s="70"/>
      <x:c r="I145" s="70"/>
      <x:c r="J145" s="70"/>
      <x:c r="K145" s="190"/>
      <x:c r="L145" s="191"/>
      <x:c r="M145" s="192">
        <x:f>IF(ISERROR(INDEX('Meter Type Data'!$B$2:$E$1165,SUMPRODUCT(--('Meter Type Data'!$B$2:$B$1165&lt;=Analysis!L145)*('Meter Type Data'!$C$2:$C$1165&gt;=Analysis!L145),ROW('Meter Type Data'!$B$2:$B$1165))-1,4))," ",INDEX('Meter Type Data'!$B$2:$E$1165,SUMPRODUCT(--('Meter Type Data'!$B$2:$B$1165&lt;=Analysis!L145)*('Meter Type Data'!$C$2:$C$1165&gt;=Analysis!L145),ROW('Meter Type Data'!$B$2:$B$1165))-1,4))</x:f>
      </x:c>
      <x:c r="N145" s="192">
        <x:f>IF(ISERROR(INDEX('Meter Type Data'!$B$2:$D$1165,SUMPRODUCT(--('Meter Type Data'!$B$2:$B$1165&lt;=Analysis!L145)*('Meter Type Data'!$C$2:$C$1165&gt;=Analysis!L145),ROW('Meter Type Data'!$B$2:$B$1165))-1,3))," ",INDEX('Meter Type Data'!$B$2:$D$1165,SUMPRODUCT(--('Meter Type Data'!$B$2:$B$1165&lt;=Analysis!L145)*('Meter Type Data'!$C$2:$C$1165&gt;=Analysis!L145),ROW('Meter Type Data'!$B$2:$B$1165))-1,3))</x:f>
      </x:c>
      <x:c r="O145" s="69"/>
      <x:c r="P145" s="47"/>
      <x:c r="Q145" s="60"/>
      <x:c r="R145" s="58">
        <x:f>(($O145*P145)/100)+(Q145*12)</x:f>
      </x:c>
      <x:c r="S145" s="59"/>
      <x:c r="T145" s="59"/>
      <x:c r="U145" s="58">
        <x:f>(($O145*S145)/100)+(T145*12)</x:f>
      </x:c>
      <x:c r="V145" s="47"/>
      <x:c r="W145" s="60"/>
      <x:c r="X145" s="58">
        <x:f>(($O145*V145)/100)+(W145*12)</x:f>
      </x:c>
      <x:c r="Y145" s="47"/>
      <x:c r="Z145" s="60"/>
      <x:c r="AA145" s="58">
        <x:f>(($O145*Y145)/100)+(Z145*12)</x:f>
      </x:c>
      <x:c r="AB145" s="47"/>
      <x:c r="AC145" s="60"/>
      <x:c r="AD145" s="58">
        <x:f>(($O145*AB145)/100)+(AC145*12)</x:f>
      </x:c>
      <x:c r="AE145" s="47"/>
      <x:c r="AF145" s="60"/>
      <x:c r="AG145" s="58">
        <x:f>(($O145*AE145)/100)+(AF145*12)</x:f>
      </x:c>
      <x:c r="AH145" s="47"/>
      <x:c r="AI145" s="60"/>
      <x:c r="AJ145" s="58">
        <x:f>(($O145*AH145)/100)+(AI145*12)</x:f>
      </x:c>
      <x:c r="AK145" s="47"/>
      <x:c r="AL145" s="60"/>
      <x:c r="AM145" s="58">
        <x:f>(($O145*AK145)/100)+(AL145*12)</x:f>
      </x:c>
      <x:c r="AN145" s="47"/>
      <x:c r="AO145" s="60"/>
      <x:c r="AP145" s="58">
        <x:f>(($O145*AN145)/100)+(AO145*12)</x:f>
      </x:c>
      <x:c r="AQ145" s="47"/>
      <x:c r="AR145" s="60"/>
      <x:c r="AS145" s="58">
        <x:f>(($O145*AQ145)/100)+(AR145*12)</x:f>
      </x:c>
      <x:c r="AT145" s="47"/>
      <x:c r="AU145" s="60"/>
      <x:c r="AV145" s="58">
        <x:f>(($O145*AT145)/100)+(AU145*12)</x:f>
      </x:c>
      <x:c r="AW145" s="47"/>
      <x:c r="AX145" s="60"/>
      <x:c r="AY145" s="58">
        <x:f>(($O145*AW145)/100)+(AX145*12)</x:f>
      </x:c>
      <x:c r="AZ145" s="47"/>
      <x:c r="BA145" s="60"/>
      <x:c r="BB145" s="58">
        <x:f>(($O145*AZ145)/100)+(BA145*12)</x:f>
      </x:c>
      <x:c r="BC145" s="47"/>
      <x:c r="BD145" s="60"/>
      <x:c r="BE145" s="58">
        <x:f>(($O145*BC145)/100)+(BD145*12)</x:f>
      </x:c>
      <x:c r="BF145" s="47"/>
      <x:c r="BG145" s="60"/>
      <x:c r="BH145" s="58">
        <x:f>(($O145*BF145)/100)+(BG145*12)</x:f>
      </x:c>
      <x:c r="BI145" s="47"/>
      <x:c r="BJ145" s="60"/>
      <x:c r="BK145" s="58">
        <x:f>(($O145*BI145)/100)+(BJ145*12)</x:f>
      </x:c>
      <x:c r="BL145" s="47"/>
      <x:c r="BM145" s="60"/>
      <x:c r="BN145" s="58">
        <x:f>(($O145*BL145)/100)+(BM145*12)</x:f>
      </x:c>
      <x:c r="BO145" s="47"/>
      <x:c r="BP145" s="60"/>
      <x:c r="BQ145" s="58">
        <x:f>(($O145*BO145)/100)+(BP145*12)</x:f>
      </x:c>
      <x:c r="BR145" s="47"/>
      <x:c r="BS145" s="60"/>
      <x:c r="BT145" s="58">
        <x:f>(($O145*BR145)/100)+(BS145*12)</x:f>
      </x:c>
      <x:c r="BU145" s="47"/>
      <x:c r="BV145" s="60"/>
      <x:c r="BW145" s="58">
        <x:f>(($O145*BU145)/100)+(BV145*12)</x:f>
      </x:c>
      <x:c r="BX145" s="47"/>
      <x:c r="BY145" s="60"/>
      <x:c r="BZ145" s="58">
        <x:f>(($O145*BX145)/100)+(BY145*12)</x:f>
      </x:c>
      <x:c r="CA145" s="47"/>
      <x:c r="CB145" s="60"/>
      <x:c r="CC145" s="58">
        <x:f>(($O145*CA145)/100)+(CB145*12)</x:f>
      </x:c>
      <x:c r="CD145" s="47"/>
      <x:c r="CE145" s="60"/>
      <x:c r="CF145" s="58">
        <x:f>(($O145*CD145)/100)+(CE145*12)</x:f>
      </x:c>
      <x:c r="CG145" s="47"/>
      <x:c r="CH145" s="60"/>
      <x:c r="CI145" s="58">
        <x:f>(($O145*CG145)/100)+(CH145*12)</x:f>
      </x:c>
      <x:c r="CJ145" s="47"/>
      <x:c r="CK145" s="60"/>
      <x:c r="CL145" s="58">
        <x:f>(($O145*CJ145)/100)+(CK145*12)</x:f>
      </x:c>
      <x:c r="CM145" s="47"/>
      <x:c r="CN145" s="60"/>
      <x:c r="CO145" s="58">
        <x:f>(($O145*CM145)/100)+(CN145*12)</x:f>
      </x:c>
      <x:c r="CP145" s="47"/>
      <x:c r="CQ145" s="60"/>
      <x:c r="CR145" s="58">
        <x:f>(($O145*CP145)/100)+(CQ145*12)</x:f>
      </x:c>
      <x:c r="CS145" s="47"/>
      <x:c r="CT145" s="60"/>
      <x:c r="CU145" s="58">
        <x:f>(($O145*CS145)/100)+(CT145*12)</x:f>
      </x:c>
      <x:c r="CV145" s="47"/>
      <x:c r="CW145" s="60"/>
      <x:c r="CX145" s="58"/>
      <x:c r="CY145" s="47"/>
      <x:c r="CZ145" s="60"/>
      <x:c r="DA145" s="58"/>
      <x:c r="DB145" s="47"/>
      <x:c r="DC145" s="60"/>
      <x:c r="DD145" s="58"/>
      <x:c r="DE145" s="47"/>
      <x:c r="DF145" s="60"/>
      <x:c r="DG145" s="58"/>
      <x:c r="DH145" s="47"/>
      <x:c r="DI145" s="60"/>
      <x:c r="DJ145" s="58"/>
      <x:c r="DK145" s="47"/>
      <x:c r="DL145" s="60"/>
      <x:c r="DM145" s="58"/>
      <x:c r="DN145" s="11"/>
      <x:c r="DO145" s="61"/>
      <x:c r="DP145" s="62"/>
      <x:c r="DQ145" s="11"/>
      <x:c r="DR145" s="61"/>
      <x:c r="DS145" s="62"/>
      <x:c r="DT145" s="11"/>
      <x:c r="DU145" s="61"/>
      <x:c r="DV145" s="62"/>
    </x:row>
    <x:row r="146" spans="1:126" x14ac:dyDescent="0.3">
      <x:c r="A146" s="47"/>
      <x:c r="B146" s="70"/>
      <x:c r="C146" s="70"/>
      <x:c r="D146" s="70"/>
      <x:c r="E146" s="70"/>
      <x:c r="F146" s="70"/>
      <x:c r="G146" s="70"/>
      <x:c r="H146" s="70"/>
      <x:c r="I146" s="70"/>
      <x:c r="J146" s="70"/>
      <x:c r="K146" s="190"/>
      <x:c r="L146" s="191"/>
      <x:c r="M146" s="192">
        <x:f>IF(ISERROR(INDEX('Meter Type Data'!$B$2:$E$1165,SUMPRODUCT(--('Meter Type Data'!$B$2:$B$1165&lt;=Analysis!L146)*('Meter Type Data'!$C$2:$C$1165&gt;=Analysis!L146),ROW('Meter Type Data'!$B$2:$B$1165))-1,4))," ",INDEX('Meter Type Data'!$B$2:$E$1165,SUMPRODUCT(--('Meter Type Data'!$B$2:$B$1165&lt;=Analysis!L146)*('Meter Type Data'!$C$2:$C$1165&gt;=Analysis!L146),ROW('Meter Type Data'!$B$2:$B$1165))-1,4))</x:f>
      </x:c>
      <x:c r="N146" s="192">
        <x:f>IF(ISERROR(INDEX('Meter Type Data'!$B$2:$D$1165,SUMPRODUCT(--('Meter Type Data'!$B$2:$B$1165&lt;=Analysis!L146)*('Meter Type Data'!$C$2:$C$1165&gt;=Analysis!L146),ROW('Meter Type Data'!$B$2:$B$1165))-1,3))," ",INDEX('Meter Type Data'!$B$2:$D$1165,SUMPRODUCT(--('Meter Type Data'!$B$2:$B$1165&lt;=Analysis!L146)*('Meter Type Data'!$C$2:$C$1165&gt;=Analysis!L146),ROW('Meter Type Data'!$B$2:$B$1165))-1,3))</x:f>
      </x:c>
      <x:c r="O146" s="69"/>
      <x:c r="P146" s="47"/>
      <x:c r="Q146" s="60"/>
      <x:c r="R146" s="58">
        <x:f>(($O146*P146)/100)+(Q146*12)</x:f>
      </x:c>
      <x:c r="S146" s="59"/>
      <x:c r="T146" s="59"/>
      <x:c r="U146" s="58">
        <x:f>(($O146*S146)/100)+(T146*12)</x:f>
      </x:c>
      <x:c r="V146" s="47"/>
      <x:c r="W146" s="60"/>
      <x:c r="X146" s="58">
        <x:f>(($O146*V146)/100)+(W146*12)</x:f>
      </x:c>
      <x:c r="Y146" s="47"/>
      <x:c r="Z146" s="60"/>
      <x:c r="AA146" s="58">
        <x:f>(($O146*Y146)/100)+(Z146*12)</x:f>
      </x:c>
      <x:c r="AB146" s="47"/>
      <x:c r="AC146" s="60"/>
      <x:c r="AD146" s="58">
        <x:f>(($O146*AB146)/100)+(AC146*12)</x:f>
      </x:c>
      <x:c r="AE146" s="47"/>
      <x:c r="AF146" s="60"/>
      <x:c r="AG146" s="58">
        <x:f>(($O146*AE146)/100)+(AF146*12)</x:f>
      </x:c>
      <x:c r="AH146" s="47"/>
      <x:c r="AI146" s="60"/>
      <x:c r="AJ146" s="58">
        <x:f>(($O146*AH146)/100)+(AI146*12)</x:f>
      </x:c>
      <x:c r="AK146" s="47"/>
      <x:c r="AL146" s="60"/>
      <x:c r="AM146" s="58">
        <x:f>(($O146*AK146)/100)+(AL146*12)</x:f>
      </x:c>
      <x:c r="AN146" s="47"/>
      <x:c r="AO146" s="60"/>
      <x:c r="AP146" s="58">
        <x:f>(($O146*AN146)/100)+(AO146*12)</x:f>
      </x:c>
      <x:c r="AQ146" s="47"/>
      <x:c r="AR146" s="60"/>
      <x:c r="AS146" s="58">
        <x:f>(($O146*AQ146)/100)+(AR146*12)</x:f>
      </x:c>
      <x:c r="AT146" s="47"/>
      <x:c r="AU146" s="60"/>
      <x:c r="AV146" s="58">
        <x:f>(($O146*AT146)/100)+(AU146*12)</x:f>
      </x:c>
      <x:c r="AW146" s="47"/>
      <x:c r="AX146" s="60"/>
      <x:c r="AY146" s="58">
        <x:f>(($O146*AW146)/100)+(AX146*12)</x:f>
      </x:c>
      <x:c r="AZ146" s="47"/>
      <x:c r="BA146" s="60"/>
      <x:c r="BB146" s="58">
        <x:f>(($O146*AZ146)/100)+(BA146*12)</x:f>
      </x:c>
      <x:c r="BC146" s="47"/>
      <x:c r="BD146" s="60"/>
      <x:c r="BE146" s="58">
        <x:f>(($O146*BC146)/100)+(BD146*12)</x:f>
      </x:c>
      <x:c r="BF146" s="47"/>
      <x:c r="BG146" s="60"/>
      <x:c r="BH146" s="58">
        <x:f>(($O146*BF146)/100)+(BG146*12)</x:f>
      </x:c>
      <x:c r="BI146" s="47"/>
      <x:c r="BJ146" s="60"/>
      <x:c r="BK146" s="58">
        <x:f>(($O146*BI146)/100)+(BJ146*12)</x:f>
      </x:c>
      <x:c r="BL146" s="47"/>
      <x:c r="BM146" s="60"/>
      <x:c r="BN146" s="58">
        <x:f>(($O146*BL146)/100)+(BM146*12)</x:f>
      </x:c>
      <x:c r="BO146" s="47"/>
      <x:c r="BP146" s="60"/>
      <x:c r="BQ146" s="58">
        <x:f>(($O146*BO146)/100)+(BP146*12)</x:f>
      </x:c>
      <x:c r="BR146" s="47"/>
      <x:c r="BS146" s="60"/>
      <x:c r="BT146" s="58">
        <x:f>(($O146*BR146)/100)+(BS146*12)</x:f>
      </x:c>
      <x:c r="BU146" s="47"/>
      <x:c r="BV146" s="60"/>
      <x:c r="BW146" s="58">
        <x:f>(($O146*BU146)/100)+(BV146*12)</x:f>
      </x:c>
      <x:c r="BX146" s="47"/>
      <x:c r="BY146" s="60"/>
      <x:c r="BZ146" s="58">
        <x:f>(($O146*BX146)/100)+(BY146*12)</x:f>
      </x:c>
      <x:c r="CA146" s="47"/>
      <x:c r="CB146" s="60"/>
      <x:c r="CC146" s="58">
        <x:f>(($O146*CA146)/100)+(CB146*12)</x:f>
      </x:c>
      <x:c r="CD146" s="47"/>
      <x:c r="CE146" s="60"/>
      <x:c r="CF146" s="58">
        <x:f>(($O146*CD146)/100)+(CE146*12)</x:f>
      </x:c>
      <x:c r="CG146" s="47"/>
      <x:c r="CH146" s="60"/>
      <x:c r="CI146" s="58">
        <x:f>(($O146*CG146)/100)+(CH146*12)</x:f>
      </x:c>
      <x:c r="CJ146" s="47"/>
      <x:c r="CK146" s="60"/>
      <x:c r="CL146" s="58">
        <x:f>(($O146*CJ146)/100)+(CK146*12)</x:f>
      </x:c>
      <x:c r="CM146" s="47"/>
      <x:c r="CN146" s="60"/>
      <x:c r="CO146" s="58">
        <x:f>(($O146*CM146)/100)+(CN146*12)</x:f>
      </x:c>
      <x:c r="CP146" s="47"/>
      <x:c r="CQ146" s="60"/>
      <x:c r="CR146" s="58">
        <x:f>(($O146*CP146)/100)+(CQ146*12)</x:f>
      </x:c>
      <x:c r="CS146" s="47"/>
      <x:c r="CT146" s="60"/>
      <x:c r="CU146" s="58">
        <x:f>(($O146*CS146)/100)+(CT146*12)</x:f>
      </x:c>
      <x:c r="CV146" s="47"/>
      <x:c r="CW146" s="60"/>
      <x:c r="CX146" s="58"/>
      <x:c r="CY146" s="47"/>
      <x:c r="CZ146" s="60"/>
      <x:c r="DA146" s="58"/>
      <x:c r="DB146" s="47"/>
      <x:c r="DC146" s="60"/>
      <x:c r="DD146" s="58"/>
      <x:c r="DE146" s="47"/>
      <x:c r="DF146" s="60"/>
      <x:c r="DG146" s="58"/>
      <x:c r="DH146" s="47"/>
      <x:c r="DI146" s="60"/>
      <x:c r="DJ146" s="58"/>
      <x:c r="DK146" s="47"/>
      <x:c r="DL146" s="60"/>
      <x:c r="DM146" s="58"/>
      <x:c r="DN146" s="11"/>
      <x:c r="DO146" s="61"/>
      <x:c r="DP146" s="62"/>
      <x:c r="DQ146" s="11"/>
      <x:c r="DR146" s="61"/>
      <x:c r="DS146" s="62"/>
      <x:c r="DT146" s="11"/>
      <x:c r="DU146" s="61"/>
      <x:c r="DV146" s="62"/>
    </x:row>
    <x:row r="147" spans="1:126" x14ac:dyDescent="0.3">
      <x:c r="A147" s="47"/>
      <x:c r="B147" s="70"/>
      <x:c r="C147" s="70"/>
      <x:c r="D147" s="70"/>
      <x:c r="E147" s="70"/>
      <x:c r="F147" s="70"/>
      <x:c r="G147" s="70"/>
      <x:c r="H147" s="70"/>
      <x:c r="I147" s="70"/>
      <x:c r="J147" s="70"/>
      <x:c r="K147" s="190"/>
      <x:c r="L147" s="191"/>
      <x:c r="M147" s="192">
        <x:f>IF(ISERROR(INDEX('Meter Type Data'!$B$2:$E$1165,SUMPRODUCT(--('Meter Type Data'!$B$2:$B$1165&lt;=Analysis!L147)*('Meter Type Data'!$C$2:$C$1165&gt;=Analysis!L147),ROW('Meter Type Data'!$B$2:$B$1165))-1,4))," ",INDEX('Meter Type Data'!$B$2:$E$1165,SUMPRODUCT(--('Meter Type Data'!$B$2:$B$1165&lt;=Analysis!L147)*('Meter Type Data'!$C$2:$C$1165&gt;=Analysis!L147),ROW('Meter Type Data'!$B$2:$B$1165))-1,4))</x:f>
      </x:c>
      <x:c r="N147" s="192">
        <x:f>IF(ISERROR(INDEX('Meter Type Data'!$B$2:$D$1165,SUMPRODUCT(--('Meter Type Data'!$B$2:$B$1165&lt;=Analysis!L147)*('Meter Type Data'!$C$2:$C$1165&gt;=Analysis!L147),ROW('Meter Type Data'!$B$2:$B$1165))-1,3))," ",INDEX('Meter Type Data'!$B$2:$D$1165,SUMPRODUCT(--('Meter Type Data'!$B$2:$B$1165&lt;=Analysis!L147)*('Meter Type Data'!$C$2:$C$1165&gt;=Analysis!L147),ROW('Meter Type Data'!$B$2:$B$1165))-1,3))</x:f>
      </x:c>
      <x:c r="O147" s="69"/>
      <x:c r="P147" s="47"/>
      <x:c r="Q147" s="60"/>
      <x:c r="R147" s="58">
        <x:f>(($O147*P147)/100)+(Q147*12)</x:f>
      </x:c>
      <x:c r="S147" s="59"/>
      <x:c r="T147" s="59"/>
      <x:c r="U147" s="58">
        <x:f>(($O147*S147)/100)+(T147*12)</x:f>
      </x:c>
      <x:c r="V147" s="47"/>
      <x:c r="W147" s="60"/>
      <x:c r="X147" s="58">
        <x:f>(($O147*V147)/100)+(W147*12)</x:f>
      </x:c>
      <x:c r="Y147" s="47"/>
      <x:c r="Z147" s="60"/>
      <x:c r="AA147" s="58">
        <x:f>(($O147*Y147)/100)+(Z147*12)</x:f>
      </x:c>
      <x:c r="AB147" s="47"/>
      <x:c r="AC147" s="60"/>
      <x:c r="AD147" s="58">
        <x:f>(($O147*AB147)/100)+(AC147*12)</x:f>
      </x:c>
      <x:c r="AE147" s="47"/>
      <x:c r="AF147" s="60"/>
      <x:c r="AG147" s="58">
        <x:f>(($O147*AE147)/100)+(AF147*12)</x:f>
      </x:c>
      <x:c r="AH147" s="47"/>
      <x:c r="AI147" s="60"/>
      <x:c r="AJ147" s="58">
        <x:f>(($O147*AH147)/100)+(AI147*12)</x:f>
      </x:c>
      <x:c r="AK147" s="47"/>
      <x:c r="AL147" s="60"/>
      <x:c r="AM147" s="58">
        <x:f>(($O147*AK147)/100)+(AL147*12)</x:f>
      </x:c>
      <x:c r="AN147" s="47"/>
      <x:c r="AO147" s="60"/>
      <x:c r="AP147" s="58">
        <x:f>(($O147*AN147)/100)+(AO147*12)</x:f>
      </x:c>
      <x:c r="AQ147" s="47"/>
      <x:c r="AR147" s="60"/>
      <x:c r="AS147" s="58">
        <x:f>(($O147*AQ147)/100)+(AR147*12)</x:f>
      </x:c>
      <x:c r="AT147" s="47"/>
      <x:c r="AU147" s="60"/>
      <x:c r="AV147" s="58">
        <x:f>(($O147*AT147)/100)+(AU147*12)</x:f>
      </x:c>
      <x:c r="AW147" s="47"/>
      <x:c r="AX147" s="60"/>
      <x:c r="AY147" s="58">
        <x:f>(($O147*AW147)/100)+(AX147*12)</x:f>
      </x:c>
      <x:c r="AZ147" s="47"/>
      <x:c r="BA147" s="60"/>
      <x:c r="BB147" s="58">
        <x:f>(($O147*AZ147)/100)+(BA147*12)</x:f>
      </x:c>
      <x:c r="BC147" s="47"/>
      <x:c r="BD147" s="60"/>
      <x:c r="BE147" s="58">
        <x:f>(($O147*BC147)/100)+(BD147*12)</x:f>
      </x:c>
      <x:c r="BF147" s="47"/>
      <x:c r="BG147" s="60"/>
      <x:c r="BH147" s="58">
        <x:f>(($O147*BF147)/100)+(BG147*12)</x:f>
      </x:c>
      <x:c r="BI147" s="47"/>
      <x:c r="BJ147" s="60"/>
      <x:c r="BK147" s="58">
        <x:f>(($O147*BI147)/100)+(BJ147*12)</x:f>
      </x:c>
      <x:c r="BL147" s="47"/>
      <x:c r="BM147" s="60"/>
      <x:c r="BN147" s="58">
        <x:f>(($O147*BL147)/100)+(BM147*12)</x:f>
      </x:c>
      <x:c r="BO147" s="47"/>
      <x:c r="BP147" s="60"/>
      <x:c r="BQ147" s="58">
        <x:f>(($O147*BO147)/100)+(BP147*12)</x:f>
      </x:c>
      <x:c r="BR147" s="47"/>
      <x:c r="BS147" s="60"/>
      <x:c r="BT147" s="58">
        <x:f>(($O147*BR147)/100)+(BS147*12)</x:f>
      </x:c>
      <x:c r="BU147" s="47"/>
      <x:c r="BV147" s="60"/>
      <x:c r="BW147" s="58">
        <x:f>(($O147*BU147)/100)+(BV147*12)</x:f>
      </x:c>
      <x:c r="BX147" s="47"/>
      <x:c r="BY147" s="60"/>
      <x:c r="BZ147" s="58">
        <x:f>(($O147*BX147)/100)+(BY147*12)</x:f>
      </x:c>
      <x:c r="CA147" s="47"/>
      <x:c r="CB147" s="60"/>
      <x:c r="CC147" s="58">
        <x:f>(($O147*CA147)/100)+(CB147*12)</x:f>
      </x:c>
      <x:c r="CD147" s="47"/>
      <x:c r="CE147" s="60"/>
      <x:c r="CF147" s="58">
        <x:f>(($O147*CD147)/100)+(CE147*12)</x:f>
      </x:c>
      <x:c r="CG147" s="47"/>
      <x:c r="CH147" s="60"/>
      <x:c r="CI147" s="58">
        <x:f>(($O147*CG147)/100)+(CH147*12)</x:f>
      </x:c>
      <x:c r="CJ147" s="47"/>
      <x:c r="CK147" s="60"/>
      <x:c r="CL147" s="58">
        <x:f>(($O147*CJ147)/100)+(CK147*12)</x:f>
      </x:c>
      <x:c r="CM147" s="47"/>
      <x:c r="CN147" s="60"/>
      <x:c r="CO147" s="58">
        <x:f>(($O147*CM147)/100)+(CN147*12)</x:f>
      </x:c>
      <x:c r="CP147" s="47"/>
      <x:c r="CQ147" s="60"/>
      <x:c r="CR147" s="58">
        <x:f>(($O147*CP147)/100)+(CQ147*12)</x:f>
      </x:c>
      <x:c r="CS147" s="47"/>
      <x:c r="CT147" s="60"/>
      <x:c r="CU147" s="58">
        <x:f>(($O147*CS147)/100)+(CT147*12)</x:f>
      </x:c>
      <x:c r="CV147" s="47"/>
      <x:c r="CW147" s="60"/>
      <x:c r="CX147" s="58"/>
      <x:c r="CY147" s="47"/>
      <x:c r="CZ147" s="60"/>
      <x:c r="DA147" s="58"/>
      <x:c r="DB147" s="47"/>
      <x:c r="DC147" s="60"/>
      <x:c r="DD147" s="58"/>
      <x:c r="DE147" s="47"/>
      <x:c r="DF147" s="60"/>
      <x:c r="DG147" s="58"/>
      <x:c r="DH147" s="47"/>
      <x:c r="DI147" s="60"/>
      <x:c r="DJ147" s="58"/>
      <x:c r="DK147" s="47"/>
      <x:c r="DL147" s="60"/>
      <x:c r="DM147" s="58"/>
      <x:c r="DN147" s="11"/>
      <x:c r="DO147" s="61"/>
      <x:c r="DP147" s="62"/>
      <x:c r="DQ147" s="11"/>
      <x:c r="DR147" s="61"/>
      <x:c r="DS147" s="62"/>
      <x:c r="DT147" s="11"/>
      <x:c r="DU147" s="61"/>
      <x:c r="DV147" s="62"/>
    </x:row>
    <x:row r="148" spans="1:126" x14ac:dyDescent="0.3">
      <x:c r="A148" s="47"/>
      <x:c r="B148" s="70"/>
      <x:c r="C148" s="70"/>
      <x:c r="D148" s="70"/>
      <x:c r="E148" s="70"/>
      <x:c r="F148" s="70"/>
      <x:c r="G148" s="70"/>
      <x:c r="H148" s="70"/>
      <x:c r="I148" s="70"/>
      <x:c r="J148" s="70"/>
      <x:c r="K148" s="190"/>
      <x:c r="L148" s="191"/>
      <x:c r="M148" s="192">
        <x:f>IF(ISERROR(INDEX('Meter Type Data'!$B$2:$E$1165,SUMPRODUCT(--('Meter Type Data'!$B$2:$B$1165&lt;=Analysis!L148)*('Meter Type Data'!$C$2:$C$1165&gt;=Analysis!L148),ROW('Meter Type Data'!$B$2:$B$1165))-1,4))," ",INDEX('Meter Type Data'!$B$2:$E$1165,SUMPRODUCT(--('Meter Type Data'!$B$2:$B$1165&lt;=Analysis!L148)*('Meter Type Data'!$C$2:$C$1165&gt;=Analysis!L148),ROW('Meter Type Data'!$B$2:$B$1165))-1,4))</x:f>
      </x:c>
      <x:c r="N148" s="192">
        <x:f>IF(ISERROR(INDEX('Meter Type Data'!$B$2:$D$1165,SUMPRODUCT(--('Meter Type Data'!$B$2:$B$1165&lt;=Analysis!L148)*('Meter Type Data'!$C$2:$C$1165&gt;=Analysis!L148),ROW('Meter Type Data'!$B$2:$B$1165))-1,3))," ",INDEX('Meter Type Data'!$B$2:$D$1165,SUMPRODUCT(--('Meter Type Data'!$B$2:$B$1165&lt;=Analysis!L148)*('Meter Type Data'!$C$2:$C$1165&gt;=Analysis!L148),ROW('Meter Type Data'!$B$2:$B$1165))-1,3))</x:f>
      </x:c>
      <x:c r="O148" s="69"/>
      <x:c r="P148" s="47"/>
      <x:c r="Q148" s="60"/>
      <x:c r="R148" s="58">
        <x:f>(($O148*P148)/100)+(Q148*12)</x:f>
      </x:c>
      <x:c r="S148" s="59"/>
      <x:c r="T148" s="59"/>
      <x:c r="U148" s="58">
        <x:f>(($O148*S148)/100)+(T148*12)</x:f>
      </x:c>
      <x:c r="V148" s="47"/>
      <x:c r="W148" s="60"/>
      <x:c r="X148" s="58">
        <x:f>(($O148*V148)/100)+(W148*12)</x:f>
      </x:c>
      <x:c r="Y148" s="47"/>
      <x:c r="Z148" s="60"/>
      <x:c r="AA148" s="58">
        <x:f>(($O148*Y148)/100)+(Z148*12)</x:f>
      </x:c>
      <x:c r="AB148" s="47"/>
      <x:c r="AC148" s="60"/>
      <x:c r="AD148" s="58">
        <x:f>(($O148*AB148)/100)+(AC148*12)</x:f>
      </x:c>
      <x:c r="AE148" s="47"/>
      <x:c r="AF148" s="60"/>
      <x:c r="AG148" s="58">
        <x:f>(($O148*AE148)/100)+(AF148*12)</x:f>
      </x:c>
      <x:c r="AH148" s="47"/>
      <x:c r="AI148" s="60"/>
      <x:c r="AJ148" s="58">
        <x:f>(($O148*AH148)/100)+(AI148*12)</x:f>
      </x:c>
      <x:c r="AK148" s="47"/>
      <x:c r="AL148" s="60"/>
      <x:c r="AM148" s="58">
        <x:f>(($O148*AK148)/100)+(AL148*12)</x:f>
      </x:c>
      <x:c r="AN148" s="47"/>
      <x:c r="AO148" s="60"/>
      <x:c r="AP148" s="58">
        <x:f>(($O148*AN148)/100)+(AO148*12)</x:f>
      </x:c>
      <x:c r="AQ148" s="47"/>
      <x:c r="AR148" s="60"/>
      <x:c r="AS148" s="58">
        <x:f>(($O148*AQ148)/100)+(AR148*12)</x:f>
      </x:c>
      <x:c r="AT148" s="47"/>
      <x:c r="AU148" s="60"/>
      <x:c r="AV148" s="58">
        <x:f>(($O148*AT148)/100)+(AU148*12)</x:f>
      </x:c>
      <x:c r="AW148" s="47"/>
      <x:c r="AX148" s="60"/>
      <x:c r="AY148" s="58">
        <x:f>(($O148*AW148)/100)+(AX148*12)</x:f>
      </x:c>
      <x:c r="AZ148" s="47"/>
      <x:c r="BA148" s="60"/>
      <x:c r="BB148" s="58">
        <x:f>(($O148*AZ148)/100)+(BA148*12)</x:f>
      </x:c>
      <x:c r="BC148" s="47"/>
      <x:c r="BD148" s="60"/>
      <x:c r="BE148" s="58">
        <x:f>(($O148*BC148)/100)+(BD148*12)</x:f>
      </x:c>
      <x:c r="BF148" s="47"/>
      <x:c r="BG148" s="60"/>
      <x:c r="BH148" s="58">
        <x:f>(($O148*BF148)/100)+(BG148*12)</x:f>
      </x:c>
      <x:c r="BI148" s="47"/>
      <x:c r="BJ148" s="60"/>
      <x:c r="BK148" s="58">
        <x:f>(($O148*BI148)/100)+(BJ148*12)</x:f>
      </x:c>
      <x:c r="BL148" s="47"/>
      <x:c r="BM148" s="60"/>
      <x:c r="BN148" s="58">
        <x:f>(($O148*BL148)/100)+(BM148*12)</x:f>
      </x:c>
      <x:c r="BO148" s="47"/>
      <x:c r="BP148" s="60"/>
      <x:c r="BQ148" s="58">
        <x:f>(($O148*BO148)/100)+(BP148*12)</x:f>
      </x:c>
      <x:c r="BR148" s="47"/>
      <x:c r="BS148" s="60"/>
      <x:c r="BT148" s="58">
        <x:f>(($O148*BR148)/100)+(BS148*12)</x:f>
      </x:c>
      <x:c r="BU148" s="47"/>
      <x:c r="BV148" s="60"/>
      <x:c r="BW148" s="58">
        <x:f>(($O148*BU148)/100)+(BV148*12)</x:f>
      </x:c>
      <x:c r="BX148" s="47"/>
      <x:c r="BY148" s="60"/>
      <x:c r="BZ148" s="58">
        <x:f>(($O148*BX148)/100)+(BY148*12)</x:f>
      </x:c>
      <x:c r="CA148" s="47"/>
      <x:c r="CB148" s="60"/>
      <x:c r="CC148" s="58">
        <x:f>(($O148*CA148)/100)+(CB148*12)</x:f>
      </x:c>
      <x:c r="CD148" s="47"/>
      <x:c r="CE148" s="60"/>
      <x:c r="CF148" s="58">
        <x:f>(($O148*CD148)/100)+(CE148*12)</x:f>
      </x:c>
      <x:c r="CG148" s="47"/>
      <x:c r="CH148" s="60"/>
      <x:c r="CI148" s="58">
        <x:f>(($O148*CG148)/100)+(CH148*12)</x:f>
      </x:c>
      <x:c r="CJ148" s="47"/>
      <x:c r="CK148" s="60"/>
      <x:c r="CL148" s="58">
        <x:f>(($O148*CJ148)/100)+(CK148*12)</x:f>
      </x:c>
      <x:c r="CM148" s="47"/>
      <x:c r="CN148" s="60"/>
      <x:c r="CO148" s="58">
        <x:f>(($O148*CM148)/100)+(CN148*12)</x:f>
      </x:c>
      <x:c r="CP148" s="47"/>
      <x:c r="CQ148" s="60"/>
      <x:c r="CR148" s="58">
        <x:f>(($O148*CP148)/100)+(CQ148*12)</x:f>
      </x:c>
      <x:c r="CS148" s="47"/>
      <x:c r="CT148" s="60"/>
      <x:c r="CU148" s="58">
        <x:f>(($O148*CS148)/100)+(CT148*12)</x:f>
      </x:c>
      <x:c r="CV148" s="47"/>
      <x:c r="CW148" s="60"/>
      <x:c r="CX148" s="58"/>
      <x:c r="CY148" s="47"/>
      <x:c r="CZ148" s="60"/>
      <x:c r="DA148" s="58"/>
      <x:c r="DB148" s="47"/>
      <x:c r="DC148" s="60"/>
      <x:c r="DD148" s="58"/>
      <x:c r="DE148" s="47"/>
      <x:c r="DF148" s="60"/>
      <x:c r="DG148" s="58"/>
      <x:c r="DH148" s="47"/>
      <x:c r="DI148" s="60"/>
      <x:c r="DJ148" s="58"/>
      <x:c r="DK148" s="47"/>
      <x:c r="DL148" s="60"/>
      <x:c r="DM148" s="58"/>
      <x:c r="DN148" s="11"/>
      <x:c r="DO148" s="61"/>
      <x:c r="DP148" s="62"/>
      <x:c r="DQ148" s="11"/>
      <x:c r="DR148" s="61"/>
      <x:c r="DS148" s="62"/>
      <x:c r="DT148" s="11"/>
      <x:c r="DU148" s="61"/>
      <x:c r="DV148" s="62"/>
    </x:row>
    <x:row r="149" spans="1:126" x14ac:dyDescent="0.3">
      <x:c r="A149" s="47"/>
      <x:c r="B149" s="70"/>
      <x:c r="C149" s="70"/>
      <x:c r="D149" s="70"/>
      <x:c r="E149" s="70"/>
      <x:c r="F149" s="70"/>
      <x:c r="G149" s="70"/>
      <x:c r="H149" s="70"/>
      <x:c r="I149" s="70"/>
      <x:c r="J149" s="70"/>
      <x:c r="K149" s="190"/>
      <x:c r="L149" s="191"/>
      <x:c r="M149" s="192">
        <x:f>IF(ISERROR(INDEX('Meter Type Data'!$B$2:$E$1165,SUMPRODUCT(--('Meter Type Data'!$B$2:$B$1165&lt;=Analysis!L149)*('Meter Type Data'!$C$2:$C$1165&gt;=Analysis!L149),ROW('Meter Type Data'!$B$2:$B$1165))-1,4))," ",INDEX('Meter Type Data'!$B$2:$E$1165,SUMPRODUCT(--('Meter Type Data'!$B$2:$B$1165&lt;=Analysis!L149)*('Meter Type Data'!$C$2:$C$1165&gt;=Analysis!L149),ROW('Meter Type Data'!$B$2:$B$1165))-1,4))</x:f>
      </x:c>
      <x:c r="N149" s="192">
        <x:f>IF(ISERROR(INDEX('Meter Type Data'!$B$2:$D$1165,SUMPRODUCT(--('Meter Type Data'!$B$2:$B$1165&lt;=Analysis!L149)*('Meter Type Data'!$C$2:$C$1165&gt;=Analysis!L149),ROW('Meter Type Data'!$B$2:$B$1165))-1,3))," ",INDEX('Meter Type Data'!$B$2:$D$1165,SUMPRODUCT(--('Meter Type Data'!$B$2:$B$1165&lt;=Analysis!L149)*('Meter Type Data'!$C$2:$C$1165&gt;=Analysis!L149),ROW('Meter Type Data'!$B$2:$B$1165))-1,3))</x:f>
      </x:c>
      <x:c r="O149" s="69"/>
      <x:c r="P149" s="47"/>
      <x:c r="Q149" s="60"/>
      <x:c r="R149" s="58">
        <x:f>(($O149*P149)/100)+(Q149*12)</x:f>
      </x:c>
      <x:c r="S149" s="59"/>
      <x:c r="T149" s="59"/>
      <x:c r="U149" s="58">
        <x:f>(($O149*S149)/100)+(T149*12)</x:f>
      </x:c>
      <x:c r="V149" s="47"/>
      <x:c r="W149" s="60"/>
      <x:c r="X149" s="58">
        <x:f>(($O149*V149)/100)+(W149*12)</x:f>
      </x:c>
      <x:c r="Y149" s="47"/>
      <x:c r="Z149" s="60"/>
      <x:c r="AA149" s="58">
        <x:f>(($O149*Y149)/100)+(Z149*12)</x:f>
      </x:c>
      <x:c r="AB149" s="47"/>
      <x:c r="AC149" s="60"/>
      <x:c r="AD149" s="58">
        <x:f>(($O149*AB149)/100)+(AC149*12)</x:f>
      </x:c>
      <x:c r="AE149" s="47"/>
      <x:c r="AF149" s="60"/>
      <x:c r="AG149" s="58">
        <x:f>(($O149*AE149)/100)+(AF149*12)</x:f>
      </x:c>
      <x:c r="AH149" s="47"/>
      <x:c r="AI149" s="60"/>
      <x:c r="AJ149" s="58">
        <x:f>(($O149*AH149)/100)+(AI149*12)</x:f>
      </x:c>
      <x:c r="AK149" s="47"/>
      <x:c r="AL149" s="60"/>
      <x:c r="AM149" s="58">
        <x:f>(($O149*AK149)/100)+(AL149*12)</x:f>
      </x:c>
      <x:c r="AN149" s="47"/>
      <x:c r="AO149" s="60"/>
      <x:c r="AP149" s="58">
        <x:f>(($O149*AN149)/100)+(AO149*12)</x:f>
      </x:c>
      <x:c r="AQ149" s="47"/>
      <x:c r="AR149" s="60"/>
      <x:c r="AS149" s="58">
        <x:f>(($O149*AQ149)/100)+(AR149*12)</x:f>
      </x:c>
      <x:c r="AT149" s="47"/>
      <x:c r="AU149" s="60"/>
      <x:c r="AV149" s="58">
        <x:f>(($O149*AT149)/100)+(AU149*12)</x:f>
      </x:c>
      <x:c r="AW149" s="47"/>
      <x:c r="AX149" s="60"/>
      <x:c r="AY149" s="58">
        <x:f>(($O149*AW149)/100)+(AX149*12)</x:f>
      </x:c>
      <x:c r="AZ149" s="47"/>
      <x:c r="BA149" s="60"/>
      <x:c r="BB149" s="58">
        <x:f>(($O149*AZ149)/100)+(BA149*12)</x:f>
      </x:c>
      <x:c r="BC149" s="47"/>
      <x:c r="BD149" s="60"/>
      <x:c r="BE149" s="58">
        <x:f>(($O149*BC149)/100)+(BD149*12)</x:f>
      </x:c>
      <x:c r="BF149" s="47"/>
      <x:c r="BG149" s="60"/>
      <x:c r="BH149" s="58">
        <x:f>(($O149*BF149)/100)+(BG149*12)</x:f>
      </x:c>
      <x:c r="BI149" s="47"/>
      <x:c r="BJ149" s="60"/>
      <x:c r="BK149" s="58">
        <x:f>(($O149*BI149)/100)+(BJ149*12)</x:f>
      </x:c>
      <x:c r="BL149" s="47"/>
      <x:c r="BM149" s="60"/>
      <x:c r="BN149" s="58">
        <x:f>(($O149*BL149)/100)+(BM149*12)</x:f>
      </x:c>
      <x:c r="BO149" s="47"/>
      <x:c r="BP149" s="60"/>
      <x:c r="BQ149" s="58">
        <x:f>(($O149*BO149)/100)+(BP149*12)</x:f>
      </x:c>
      <x:c r="BR149" s="47"/>
      <x:c r="BS149" s="60"/>
      <x:c r="BT149" s="58">
        <x:f>(($O149*BR149)/100)+(BS149*12)</x:f>
      </x:c>
      <x:c r="BU149" s="47"/>
      <x:c r="BV149" s="60"/>
      <x:c r="BW149" s="58">
        <x:f>(($O149*BU149)/100)+(BV149*12)</x:f>
      </x:c>
      <x:c r="BX149" s="47"/>
      <x:c r="BY149" s="60"/>
      <x:c r="BZ149" s="58">
        <x:f>(($O149*BX149)/100)+(BY149*12)</x:f>
      </x:c>
      <x:c r="CA149" s="47"/>
      <x:c r="CB149" s="60"/>
      <x:c r="CC149" s="58">
        <x:f>(($O149*CA149)/100)+(CB149*12)</x:f>
      </x:c>
      <x:c r="CD149" s="47"/>
      <x:c r="CE149" s="60"/>
      <x:c r="CF149" s="58">
        <x:f>(($O149*CD149)/100)+(CE149*12)</x:f>
      </x:c>
      <x:c r="CG149" s="47"/>
      <x:c r="CH149" s="60"/>
      <x:c r="CI149" s="58">
        <x:f>(($O149*CG149)/100)+(CH149*12)</x:f>
      </x:c>
      <x:c r="CJ149" s="47"/>
      <x:c r="CK149" s="60"/>
      <x:c r="CL149" s="58">
        <x:f>(($O149*CJ149)/100)+(CK149*12)</x:f>
      </x:c>
      <x:c r="CM149" s="47"/>
      <x:c r="CN149" s="60"/>
      <x:c r="CO149" s="58">
        <x:f>(($O149*CM149)/100)+(CN149*12)</x:f>
      </x:c>
      <x:c r="CP149" s="47"/>
      <x:c r="CQ149" s="60"/>
      <x:c r="CR149" s="58">
        <x:f>(($O149*CP149)/100)+(CQ149*12)</x:f>
      </x:c>
      <x:c r="CS149" s="47"/>
      <x:c r="CT149" s="60"/>
      <x:c r="CU149" s="58">
        <x:f>(($O149*CS149)/100)+(CT149*12)</x:f>
      </x:c>
      <x:c r="CV149" s="47"/>
      <x:c r="CW149" s="60"/>
      <x:c r="CX149" s="58"/>
      <x:c r="CY149" s="47"/>
      <x:c r="CZ149" s="60"/>
      <x:c r="DA149" s="58"/>
      <x:c r="DB149" s="47"/>
      <x:c r="DC149" s="60"/>
      <x:c r="DD149" s="58"/>
      <x:c r="DE149" s="47"/>
      <x:c r="DF149" s="60"/>
      <x:c r="DG149" s="58"/>
      <x:c r="DH149" s="47"/>
      <x:c r="DI149" s="60"/>
      <x:c r="DJ149" s="58"/>
      <x:c r="DK149" s="47"/>
      <x:c r="DL149" s="60"/>
      <x:c r="DM149" s="58"/>
      <x:c r="DN149" s="11"/>
      <x:c r="DO149" s="61"/>
      <x:c r="DP149" s="62"/>
      <x:c r="DQ149" s="11"/>
      <x:c r="DR149" s="61"/>
      <x:c r="DS149" s="62"/>
      <x:c r="DT149" s="11"/>
      <x:c r="DU149" s="61"/>
      <x:c r="DV149" s="62"/>
    </x:row>
    <x:row r="150" spans="1:126" x14ac:dyDescent="0.3">
      <x:c r="A150" s="47"/>
      <x:c r="B150" s="70"/>
      <x:c r="C150" s="70"/>
      <x:c r="D150" s="70"/>
      <x:c r="E150" s="70"/>
      <x:c r="F150" s="70"/>
      <x:c r="G150" s="70"/>
      <x:c r="H150" s="70"/>
      <x:c r="I150" s="70"/>
      <x:c r="J150" s="70"/>
      <x:c r="K150" s="190"/>
      <x:c r="L150" s="191"/>
      <x:c r="M150" s="192">
        <x:f>IF(ISERROR(INDEX('Meter Type Data'!$B$2:$E$1165,SUMPRODUCT(--('Meter Type Data'!$B$2:$B$1165&lt;=Analysis!L150)*('Meter Type Data'!$C$2:$C$1165&gt;=Analysis!L150),ROW('Meter Type Data'!$B$2:$B$1165))-1,4))," ",INDEX('Meter Type Data'!$B$2:$E$1165,SUMPRODUCT(--('Meter Type Data'!$B$2:$B$1165&lt;=Analysis!L150)*('Meter Type Data'!$C$2:$C$1165&gt;=Analysis!L150),ROW('Meter Type Data'!$B$2:$B$1165))-1,4))</x:f>
      </x:c>
      <x:c r="N150" s="192">
        <x:f>IF(ISERROR(INDEX('Meter Type Data'!$B$2:$D$1165,SUMPRODUCT(--('Meter Type Data'!$B$2:$B$1165&lt;=Analysis!L150)*('Meter Type Data'!$C$2:$C$1165&gt;=Analysis!L150),ROW('Meter Type Data'!$B$2:$B$1165))-1,3))," ",INDEX('Meter Type Data'!$B$2:$D$1165,SUMPRODUCT(--('Meter Type Data'!$B$2:$B$1165&lt;=Analysis!L150)*('Meter Type Data'!$C$2:$C$1165&gt;=Analysis!L150),ROW('Meter Type Data'!$B$2:$B$1165))-1,3))</x:f>
      </x:c>
      <x:c r="O150" s="69"/>
      <x:c r="P150" s="47"/>
      <x:c r="Q150" s="60"/>
      <x:c r="R150" s="58">
        <x:f>(($O150*P150)/100)+(Q150*12)</x:f>
      </x:c>
      <x:c r="S150" s="59"/>
      <x:c r="T150" s="59"/>
      <x:c r="U150" s="58">
        <x:f>(($O150*S150)/100)+(T150*12)</x:f>
      </x:c>
      <x:c r="V150" s="47"/>
      <x:c r="W150" s="60"/>
      <x:c r="X150" s="58">
        <x:f>(($O150*V150)/100)+(W150*12)</x:f>
      </x:c>
      <x:c r="Y150" s="47"/>
      <x:c r="Z150" s="60"/>
      <x:c r="AA150" s="58">
        <x:f>(($O150*Y150)/100)+(Z150*12)</x:f>
      </x:c>
      <x:c r="AB150" s="47"/>
      <x:c r="AC150" s="60"/>
      <x:c r="AD150" s="58">
        <x:f>(($O150*AB150)/100)+(AC150*12)</x:f>
      </x:c>
      <x:c r="AE150" s="47"/>
      <x:c r="AF150" s="60"/>
      <x:c r="AG150" s="58">
        <x:f>(($O150*AE150)/100)+(AF150*12)</x:f>
      </x:c>
      <x:c r="AH150" s="47"/>
      <x:c r="AI150" s="60"/>
      <x:c r="AJ150" s="58">
        <x:f>(($O150*AH150)/100)+(AI150*12)</x:f>
      </x:c>
      <x:c r="AK150" s="47"/>
      <x:c r="AL150" s="60"/>
      <x:c r="AM150" s="58">
        <x:f>(($O150*AK150)/100)+(AL150*12)</x:f>
      </x:c>
      <x:c r="AN150" s="47"/>
      <x:c r="AO150" s="60"/>
      <x:c r="AP150" s="58">
        <x:f>(($O150*AN150)/100)+(AO150*12)</x:f>
      </x:c>
      <x:c r="AQ150" s="47"/>
      <x:c r="AR150" s="60"/>
      <x:c r="AS150" s="58">
        <x:f>(($O150*AQ150)/100)+(AR150*12)</x:f>
      </x:c>
      <x:c r="AT150" s="47"/>
      <x:c r="AU150" s="60"/>
      <x:c r="AV150" s="58">
        <x:f>(($O150*AT150)/100)+(AU150*12)</x:f>
      </x:c>
      <x:c r="AW150" s="47"/>
      <x:c r="AX150" s="60"/>
      <x:c r="AY150" s="58">
        <x:f>(($O150*AW150)/100)+(AX150*12)</x:f>
      </x:c>
      <x:c r="AZ150" s="47"/>
      <x:c r="BA150" s="60"/>
      <x:c r="BB150" s="58">
        <x:f>(($O150*AZ150)/100)+(BA150*12)</x:f>
      </x:c>
      <x:c r="BC150" s="47"/>
      <x:c r="BD150" s="60"/>
      <x:c r="BE150" s="58">
        <x:f>(($O150*BC150)/100)+(BD150*12)</x:f>
      </x:c>
      <x:c r="BF150" s="47"/>
      <x:c r="BG150" s="60"/>
      <x:c r="BH150" s="58">
        <x:f>(($O150*BF150)/100)+(BG150*12)</x:f>
      </x:c>
      <x:c r="BI150" s="47"/>
      <x:c r="BJ150" s="60"/>
      <x:c r="BK150" s="58">
        <x:f>(($O150*BI150)/100)+(BJ150*12)</x:f>
      </x:c>
      <x:c r="BL150" s="47"/>
      <x:c r="BM150" s="60"/>
      <x:c r="BN150" s="58">
        <x:f>(($O150*BL150)/100)+(BM150*12)</x:f>
      </x:c>
      <x:c r="BO150" s="47"/>
      <x:c r="BP150" s="60"/>
      <x:c r="BQ150" s="58">
        <x:f>(($O150*BO150)/100)+(BP150*12)</x:f>
      </x:c>
      <x:c r="BR150" s="47"/>
      <x:c r="BS150" s="60"/>
      <x:c r="BT150" s="58">
        <x:f>(($O150*BR150)/100)+(BS150*12)</x:f>
      </x:c>
      <x:c r="BU150" s="47"/>
      <x:c r="BV150" s="60"/>
      <x:c r="BW150" s="58">
        <x:f>(($O150*BU150)/100)+(BV150*12)</x:f>
      </x:c>
      <x:c r="BX150" s="47"/>
      <x:c r="BY150" s="60"/>
      <x:c r="BZ150" s="58">
        <x:f>(($O150*BX150)/100)+(BY150*12)</x:f>
      </x:c>
      <x:c r="CA150" s="47"/>
      <x:c r="CB150" s="60"/>
      <x:c r="CC150" s="58">
        <x:f>(($O150*CA150)/100)+(CB150*12)</x:f>
      </x:c>
      <x:c r="CD150" s="47"/>
      <x:c r="CE150" s="60"/>
      <x:c r="CF150" s="58">
        <x:f>(($O150*CD150)/100)+(CE150*12)</x:f>
      </x:c>
      <x:c r="CG150" s="47"/>
      <x:c r="CH150" s="60"/>
      <x:c r="CI150" s="58">
        <x:f>(($O150*CG150)/100)+(CH150*12)</x:f>
      </x:c>
      <x:c r="CJ150" s="47"/>
      <x:c r="CK150" s="60"/>
      <x:c r="CL150" s="58">
        <x:f>(($O150*CJ150)/100)+(CK150*12)</x:f>
      </x:c>
      <x:c r="CM150" s="47"/>
      <x:c r="CN150" s="60"/>
      <x:c r="CO150" s="58">
        <x:f>(($O150*CM150)/100)+(CN150*12)</x:f>
      </x:c>
      <x:c r="CP150" s="47"/>
      <x:c r="CQ150" s="60"/>
      <x:c r="CR150" s="58">
        <x:f>(($O150*CP150)/100)+(CQ150*12)</x:f>
      </x:c>
      <x:c r="CS150" s="47"/>
      <x:c r="CT150" s="60"/>
      <x:c r="CU150" s="58">
        <x:f>(($O150*CS150)/100)+(CT150*12)</x:f>
      </x:c>
      <x:c r="CV150" s="47"/>
      <x:c r="CW150" s="60"/>
      <x:c r="CX150" s="58"/>
      <x:c r="CY150" s="47"/>
      <x:c r="CZ150" s="60"/>
      <x:c r="DA150" s="58"/>
      <x:c r="DB150" s="47"/>
      <x:c r="DC150" s="60"/>
      <x:c r="DD150" s="58"/>
      <x:c r="DE150" s="47"/>
      <x:c r="DF150" s="60"/>
      <x:c r="DG150" s="58"/>
      <x:c r="DH150" s="47"/>
      <x:c r="DI150" s="60"/>
      <x:c r="DJ150" s="58"/>
      <x:c r="DK150" s="47"/>
      <x:c r="DL150" s="60"/>
      <x:c r="DM150" s="58"/>
      <x:c r="DN150" s="11"/>
      <x:c r="DO150" s="61"/>
      <x:c r="DP150" s="62"/>
      <x:c r="DQ150" s="11"/>
      <x:c r="DR150" s="61"/>
      <x:c r="DS150" s="62"/>
      <x:c r="DT150" s="11"/>
      <x:c r="DU150" s="61"/>
      <x:c r="DV150" s="62"/>
    </x:row>
    <x:row r="151" spans="1:126" x14ac:dyDescent="0.3">
      <x:c r="A151" s="47"/>
      <x:c r="B151" s="70"/>
      <x:c r="C151" s="70"/>
      <x:c r="D151" s="70"/>
      <x:c r="E151" s="70"/>
      <x:c r="F151" s="70"/>
      <x:c r="G151" s="70"/>
      <x:c r="H151" s="70"/>
      <x:c r="I151" s="70"/>
      <x:c r="J151" s="70"/>
      <x:c r="K151" s="190"/>
      <x:c r="L151" s="191"/>
      <x:c r="M151" s="192">
        <x:f>IF(ISERROR(INDEX('Meter Type Data'!$B$2:$E$1165,SUMPRODUCT(--('Meter Type Data'!$B$2:$B$1165&lt;=Analysis!L151)*('Meter Type Data'!$C$2:$C$1165&gt;=Analysis!L151),ROW('Meter Type Data'!$B$2:$B$1165))-1,4))," ",INDEX('Meter Type Data'!$B$2:$E$1165,SUMPRODUCT(--('Meter Type Data'!$B$2:$B$1165&lt;=Analysis!L151)*('Meter Type Data'!$C$2:$C$1165&gt;=Analysis!L151),ROW('Meter Type Data'!$B$2:$B$1165))-1,4))</x:f>
      </x:c>
      <x:c r="N151" s="192">
        <x:f>IF(ISERROR(INDEX('Meter Type Data'!$B$2:$D$1165,SUMPRODUCT(--('Meter Type Data'!$B$2:$B$1165&lt;=Analysis!L151)*('Meter Type Data'!$C$2:$C$1165&gt;=Analysis!L151),ROW('Meter Type Data'!$B$2:$B$1165))-1,3))," ",INDEX('Meter Type Data'!$B$2:$D$1165,SUMPRODUCT(--('Meter Type Data'!$B$2:$B$1165&lt;=Analysis!L151)*('Meter Type Data'!$C$2:$C$1165&gt;=Analysis!L151),ROW('Meter Type Data'!$B$2:$B$1165))-1,3))</x:f>
      </x:c>
      <x:c r="O151" s="69"/>
      <x:c r="P151" s="47"/>
      <x:c r="Q151" s="60"/>
      <x:c r="R151" s="58">
        <x:f>(($O151*P151)/100)+(Q151*12)</x:f>
      </x:c>
      <x:c r="S151" s="59"/>
      <x:c r="T151" s="59"/>
      <x:c r="U151" s="58">
        <x:f>(($O151*S151)/100)+(T151*12)</x:f>
      </x:c>
      <x:c r="V151" s="47"/>
      <x:c r="W151" s="60"/>
      <x:c r="X151" s="58">
        <x:f>(($O151*V151)/100)+(W151*12)</x:f>
      </x:c>
      <x:c r="Y151" s="47"/>
      <x:c r="Z151" s="60"/>
      <x:c r="AA151" s="58">
        <x:f>(($O151*Y151)/100)+(Z151*12)</x:f>
      </x:c>
      <x:c r="AB151" s="47"/>
      <x:c r="AC151" s="60"/>
      <x:c r="AD151" s="58">
        <x:f>(($O151*AB151)/100)+(AC151*12)</x:f>
      </x:c>
      <x:c r="AE151" s="47"/>
      <x:c r="AF151" s="60"/>
      <x:c r="AG151" s="58">
        <x:f>(($O151*AE151)/100)+(AF151*12)</x:f>
      </x:c>
      <x:c r="AH151" s="47"/>
      <x:c r="AI151" s="60"/>
      <x:c r="AJ151" s="58">
        <x:f>(($O151*AH151)/100)+(AI151*12)</x:f>
      </x:c>
      <x:c r="AK151" s="47"/>
      <x:c r="AL151" s="60"/>
      <x:c r="AM151" s="58">
        <x:f>(($O151*AK151)/100)+(AL151*12)</x:f>
      </x:c>
      <x:c r="AN151" s="47"/>
      <x:c r="AO151" s="60"/>
      <x:c r="AP151" s="58">
        <x:f>(($O151*AN151)/100)+(AO151*12)</x:f>
      </x:c>
      <x:c r="AQ151" s="47"/>
      <x:c r="AR151" s="60"/>
      <x:c r="AS151" s="58">
        <x:f>(($O151*AQ151)/100)+(AR151*12)</x:f>
      </x:c>
      <x:c r="AT151" s="47"/>
      <x:c r="AU151" s="60"/>
      <x:c r="AV151" s="58">
        <x:f>(($O151*AT151)/100)+(AU151*12)</x:f>
      </x:c>
      <x:c r="AW151" s="47"/>
      <x:c r="AX151" s="60"/>
      <x:c r="AY151" s="58">
        <x:f>(($O151*AW151)/100)+(AX151*12)</x:f>
      </x:c>
      <x:c r="AZ151" s="47"/>
      <x:c r="BA151" s="60"/>
      <x:c r="BB151" s="58">
        <x:f>(($O151*AZ151)/100)+(BA151*12)</x:f>
      </x:c>
      <x:c r="BC151" s="47"/>
      <x:c r="BD151" s="60"/>
      <x:c r="BE151" s="58">
        <x:f>(($O151*BC151)/100)+(BD151*12)</x:f>
      </x:c>
      <x:c r="BF151" s="47"/>
      <x:c r="BG151" s="60"/>
      <x:c r="BH151" s="58">
        <x:f>(($O151*BF151)/100)+(BG151*12)</x:f>
      </x:c>
      <x:c r="BI151" s="47"/>
      <x:c r="BJ151" s="60"/>
      <x:c r="BK151" s="58">
        <x:f>(($O151*BI151)/100)+(BJ151*12)</x:f>
      </x:c>
      <x:c r="BL151" s="47"/>
      <x:c r="BM151" s="60"/>
      <x:c r="BN151" s="58">
        <x:f>(($O151*BL151)/100)+(BM151*12)</x:f>
      </x:c>
      <x:c r="BO151" s="47"/>
      <x:c r="BP151" s="60"/>
      <x:c r="BQ151" s="58">
        <x:f>(($O151*BO151)/100)+(BP151*12)</x:f>
      </x:c>
      <x:c r="BR151" s="47"/>
      <x:c r="BS151" s="60"/>
      <x:c r="BT151" s="58">
        <x:f>(($O151*BR151)/100)+(BS151*12)</x:f>
      </x:c>
      <x:c r="BU151" s="47"/>
      <x:c r="BV151" s="60"/>
      <x:c r="BW151" s="58">
        <x:f>(($O151*BU151)/100)+(BV151*12)</x:f>
      </x:c>
      <x:c r="BX151" s="47"/>
      <x:c r="BY151" s="60"/>
      <x:c r="BZ151" s="58">
        <x:f>(($O151*BX151)/100)+(BY151*12)</x:f>
      </x:c>
      <x:c r="CA151" s="47"/>
      <x:c r="CB151" s="60"/>
      <x:c r="CC151" s="58">
        <x:f>(($O151*CA151)/100)+(CB151*12)</x:f>
      </x:c>
      <x:c r="CD151" s="47"/>
      <x:c r="CE151" s="60"/>
      <x:c r="CF151" s="58">
        <x:f>(($O151*CD151)/100)+(CE151*12)</x:f>
      </x:c>
      <x:c r="CG151" s="47"/>
      <x:c r="CH151" s="60"/>
      <x:c r="CI151" s="58">
        <x:f>(($O151*CG151)/100)+(CH151*12)</x:f>
      </x:c>
      <x:c r="CJ151" s="47"/>
      <x:c r="CK151" s="60"/>
      <x:c r="CL151" s="58">
        <x:f>(($O151*CJ151)/100)+(CK151*12)</x:f>
      </x:c>
      <x:c r="CM151" s="47"/>
      <x:c r="CN151" s="60"/>
      <x:c r="CO151" s="58">
        <x:f>(($O151*CM151)/100)+(CN151*12)</x:f>
      </x:c>
      <x:c r="CP151" s="47"/>
      <x:c r="CQ151" s="60"/>
      <x:c r="CR151" s="58">
        <x:f>(($O151*CP151)/100)+(CQ151*12)</x:f>
      </x:c>
      <x:c r="CS151" s="47"/>
      <x:c r="CT151" s="60"/>
      <x:c r="CU151" s="58">
        <x:f>(($O151*CS151)/100)+(CT151*12)</x:f>
      </x:c>
      <x:c r="CV151" s="47"/>
      <x:c r="CW151" s="60"/>
      <x:c r="CX151" s="58"/>
      <x:c r="CY151" s="47"/>
      <x:c r="CZ151" s="60"/>
      <x:c r="DA151" s="58"/>
      <x:c r="DB151" s="47"/>
      <x:c r="DC151" s="60"/>
      <x:c r="DD151" s="58"/>
      <x:c r="DE151" s="47"/>
      <x:c r="DF151" s="60"/>
      <x:c r="DG151" s="58"/>
      <x:c r="DH151" s="47"/>
      <x:c r="DI151" s="60"/>
      <x:c r="DJ151" s="58"/>
      <x:c r="DK151" s="47"/>
      <x:c r="DL151" s="60"/>
      <x:c r="DM151" s="58"/>
      <x:c r="DN151" s="11"/>
      <x:c r="DO151" s="61"/>
      <x:c r="DP151" s="62"/>
      <x:c r="DQ151" s="11"/>
      <x:c r="DR151" s="61"/>
      <x:c r="DS151" s="62"/>
      <x:c r="DT151" s="11"/>
      <x:c r="DU151" s="61"/>
      <x:c r="DV151" s="62"/>
    </x:row>
    <x:row r="152" spans="1:126" x14ac:dyDescent="0.3">
      <x:c r="A152" s="47"/>
      <x:c r="B152" s="70"/>
      <x:c r="C152" s="70"/>
      <x:c r="D152" s="70"/>
      <x:c r="E152" s="70"/>
      <x:c r="F152" s="70"/>
      <x:c r="G152" s="70"/>
      <x:c r="H152" s="70"/>
      <x:c r="I152" s="70"/>
      <x:c r="J152" s="70"/>
      <x:c r="K152" s="190"/>
      <x:c r="L152" s="191"/>
      <x:c r="M152" s="192">
        <x:f>IF(ISERROR(INDEX('Meter Type Data'!$B$2:$E$1165,SUMPRODUCT(--('Meter Type Data'!$B$2:$B$1165&lt;=Analysis!L152)*('Meter Type Data'!$C$2:$C$1165&gt;=Analysis!L152),ROW('Meter Type Data'!$B$2:$B$1165))-1,4))," ",INDEX('Meter Type Data'!$B$2:$E$1165,SUMPRODUCT(--('Meter Type Data'!$B$2:$B$1165&lt;=Analysis!L152)*('Meter Type Data'!$C$2:$C$1165&gt;=Analysis!L152),ROW('Meter Type Data'!$B$2:$B$1165))-1,4))</x:f>
      </x:c>
      <x:c r="N152" s="192">
        <x:f>IF(ISERROR(INDEX('Meter Type Data'!$B$2:$D$1165,SUMPRODUCT(--('Meter Type Data'!$B$2:$B$1165&lt;=Analysis!L152)*('Meter Type Data'!$C$2:$C$1165&gt;=Analysis!L152),ROW('Meter Type Data'!$B$2:$B$1165))-1,3))," ",INDEX('Meter Type Data'!$B$2:$D$1165,SUMPRODUCT(--('Meter Type Data'!$B$2:$B$1165&lt;=Analysis!L152)*('Meter Type Data'!$C$2:$C$1165&gt;=Analysis!L152),ROW('Meter Type Data'!$B$2:$B$1165))-1,3))</x:f>
      </x:c>
      <x:c r="O152" s="69"/>
      <x:c r="P152" s="47"/>
      <x:c r="Q152" s="60"/>
      <x:c r="R152" s="58">
        <x:f>(($O152*P152)/100)+(Q152*12)</x:f>
      </x:c>
      <x:c r="S152" s="59"/>
      <x:c r="T152" s="59"/>
      <x:c r="U152" s="58">
        <x:f>(($O152*S152)/100)+(T152*12)</x:f>
      </x:c>
      <x:c r="V152" s="47"/>
      <x:c r="W152" s="60"/>
      <x:c r="X152" s="58">
        <x:f>(($O152*V152)/100)+(W152*12)</x:f>
      </x:c>
      <x:c r="Y152" s="47"/>
      <x:c r="Z152" s="60"/>
      <x:c r="AA152" s="58">
        <x:f>(($O152*Y152)/100)+(Z152*12)</x:f>
      </x:c>
      <x:c r="AB152" s="47"/>
      <x:c r="AC152" s="60"/>
      <x:c r="AD152" s="58">
        <x:f>(($O152*AB152)/100)+(AC152*12)</x:f>
      </x:c>
      <x:c r="AE152" s="47"/>
      <x:c r="AF152" s="60"/>
      <x:c r="AG152" s="58">
        <x:f>(($O152*AE152)/100)+(AF152*12)</x:f>
      </x:c>
      <x:c r="AH152" s="47"/>
      <x:c r="AI152" s="60"/>
      <x:c r="AJ152" s="58">
        <x:f>(($O152*AH152)/100)+(AI152*12)</x:f>
      </x:c>
      <x:c r="AK152" s="47"/>
      <x:c r="AL152" s="60"/>
      <x:c r="AM152" s="58">
        <x:f>(($O152*AK152)/100)+(AL152*12)</x:f>
      </x:c>
      <x:c r="AN152" s="47"/>
      <x:c r="AO152" s="60"/>
      <x:c r="AP152" s="58">
        <x:f>(($O152*AN152)/100)+(AO152*12)</x:f>
      </x:c>
      <x:c r="AQ152" s="47"/>
      <x:c r="AR152" s="60"/>
      <x:c r="AS152" s="58">
        <x:f>(($O152*AQ152)/100)+(AR152*12)</x:f>
      </x:c>
      <x:c r="AT152" s="47"/>
      <x:c r="AU152" s="60"/>
      <x:c r="AV152" s="58">
        <x:f>(($O152*AT152)/100)+(AU152*12)</x:f>
      </x:c>
      <x:c r="AW152" s="47"/>
      <x:c r="AX152" s="60"/>
      <x:c r="AY152" s="58">
        <x:f>(($O152*AW152)/100)+(AX152*12)</x:f>
      </x:c>
      <x:c r="AZ152" s="47"/>
      <x:c r="BA152" s="60"/>
      <x:c r="BB152" s="58">
        <x:f>(($O152*AZ152)/100)+(BA152*12)</x:f>
      </x:c>
      <x:c r="BC152" s="47"/>
      <x:c r="BD152" s="60"/>
      <x:c r="BE152" s="58">
        <x:f>(($O152*BC152)/100)+(BD152*12)</x:f>
      </x:c>
      <x:c r="BF152" s="47"/>
      <x:c r="BG152" s="60"/>
      <x:c r="BH152" s="58">
        <x:f>(($O152*BF152)/100)+(BG152*12)</x:f>
      </x:c>
      <x:c r="BI152" s="47"/>
      <x:c r="BJ152" s="60"/>
      <x:c r="BK152" s="58">
        <x:f>(($O152*BI152)/100)+(BJ152*12)</x:f>
      </x:c>
      <x:c r="BL152" s="47"/>
      <x:c r="BM152" s="60"/>
      <x:c r="BN152" s="58">
        <x:f>(($O152*BL152)/100)+(BM152*12)</x:f>
      </x:c>
      <x:c r="BO152" s="47"/>
      <x:c r="BP152" s="60"/>
      <x:c r="BQ152" s="58">
        <x:f>(($O152*BO152)/100)+(BP152*12)</x:f>
      </x:c>
      <x:c r="BR152" s="47"/>
      <x:c r="BS152" s="60"/>
      <x:c r="BT152" s="58">
        <x:f>(($O152*BR152)/100)+(BS152*12)</x:f>
      </x:c>
      <x:c r="BU152" s="47"/>
      <x:c r="BV152" s="60"/>
      <x:c r="BW152" s="58">
        <x:f>(($O152*BU152)/100)+(BV152*12)</x:f>
      </x:c>
      <x:c r="BX152" s="47"/>
      <x:c r="BY152" s="60"/>
      <x:c r="BZ152" s="58">
        <x:f>(($O152*BX152)/100)+(BY152*12)</x:f>
      </x:c>
      <x:c r="CA152" s="47"/>
      <x:c r="CB152" s="60"/>
      <x:c r="CC152" s="58">
        <x:f>(($O152*CA152)/100)+(CB152*12)</x:f>
      </x:c>
      <x:c r="CD152" s="47"/>
      <x:c r="CE152" s="60"/>
      <x:c r="CF152" s="58">
        <x:f>(($O152*CD152)/100)+(CE152*12)</x:f>
      </x:c>
      <x:c r="CG152" s="47"/>
      <x:c r="CH152" s="60"/>
      <x:c r="CI152" s="58">
        <x:f>(($O152*CG152)/100)+(CH152*12)</x:f>
      </x:c>
      <x:c r="CJ152" s="47"/>
      <x:c r="CK152" s="60"/>
      <x:c r="CL152" s="58">
        <x:f>(($O152*CJ152)/100)+(CK152*12)</x:f>
      </x:c>
      <x:c r="CM152" s="47"/>
      <x:c r="CN152" s="60"/>
      <x:c r="CO152" s="58">
        <x:f>(($O152*CM152)/100)+(CN152*12)</x:f>
      </x:c>
      <x:c r="CP152" s="47"/>
      <x:c r="CQ152" s="60"/>
      <x:c r="CR152" s="58">
        <x:f>(($O152*CP152)/100)+(CQ152*12)</x:f>
      </x:c>
      <x:c r="CS152" s="47"/>
      <x:c r="CT152" s="60"/>
      <x:c r="CU152" s="58">
        <x:f>(($O152*CS152)/100)+(CT152*12)</x:f>
      </x:c>
      <x:c r="CV152" s="47"/>
      <x:c r="CW152" s="60"/>
      <x:c r="CX152" s="58"/>
      <x:c r="CY152" s="47"/>
      <x:c r="CZ152" s="60"/>
      <x:c r="DA152" s="58"/>
      <x:c r="DB152" s="47"/>
      <x:c r="DC152" s="60"/>
      <x:c r="DD152" s="58"/>
      <x:c r="DE152" s="47"/>
      <x:c r="DF152" s="60"/>
      <x:c r="DG152" s="58"/>
      <x:c r="DH152" s="47"/>
      <x:c r="DI152" s="60"/>
      <x:c r="DJ152" s="58"/>
      <x:c r="DK152" s="47"/>
      <x:c r="DL152" s="60"/>
      <x:c r="DM152" s="58"/>
      <x:c r="DN152" s="11"/>
      <x:c r="DO152" s="61"/>
      <x:c r="DP152" s="62"/>
      <x:c r="DQ152" s="11"/>
      <x:c r="DR152" s="61"/>
      <x:c r="DS152" s="62"/>
      <x:c r="DT152" s="11"/>
      <x:c r="DU152" s="61"/>
      <x:c r="DV152" s="62"/>
    </x:row>
    <x:row r="153" spans="1:126" x14ac:dyDescent="0.3">
      <x:c r="A153" s="47"/>
      <x:c r="B153" s="70"/>
      <x:c r="C153" s="70"/>
      <x:c r="D153" s="70"/>
      <x:c r="E153" s="70"/>
      <x:c r="F153" s="70"/>
      <x:c r="G153" s="70"/>
      <x:c r="H153" s="70"/>
      <x:c r="I153" s="70"/>
      <x:c r="J153" s="70"/>
      <x:c r="K153" s="190"/>
      <x:c r="L153" s="191"/>
      <x:c r="M153" s="192">
        <x:f>IF(ISERROR(INDEX('Meter Type Data'!$B$2:$E$1165,SUMPRODUCT(--('Meter Type Data'!$B$2:$B$1165&lt;=Analysis!L153)*('Meter Type Data'!$C$2:$C$1165&gt;=Analysis!L153),ROW('Meter Type Data'!$B$2:$B$1165))-1,4))," ",INDEX('Meter Type Data'!$B$2:$E$1165,SUMPRODUCT(--('Meter Type Data'!$B$2:$B$1165&lt;=Analysis!L153)*('Meter Type Data'!$C$2:$C$1165&gt;=Analysis!L153),ROW('Meter Type Data'!$B$2:$B$1165))-1,4))</x:f>
      </x:c>
      <x:c r="N153" s="192">
        <x:f>IF(ISERROR(INDEX('Meter Type Data'!$B$2:$D$1165,SUMPRODUCT(--('Meter Type Data'!$B$2:$B$1165&lt;=Analysis!L153)*('Meter Type Data'!$C$2:$C$1165&gt;=Analysis!L153),ROW('Meter Type Data'!$B$2:$B$1165))-1,3))," ",INDEX('Meter Type Data'!$B$2:$D$1165,SUMPRODUCT(--('Meter Type Data'!$B$2:$B$1165&lt;=Analysis!L153)*('Meter Type Data'!$C$2:$C$1165&gt;=Analysis!L153),ROW('Meter Type Data'!$B$2:$B$1165))-1,3))</x:f>
      </x:c>
      <x:c r="O153" s="69"/>
      <x:c r="P153" s="47"/>
      <x:c r="Q153" s="60"/>
      <x:c r="R153" s="58">
        <x:f>(($O153*P153)/100)+(Q153*12)</x:f>
      </x:c>
      <x:c r="S153" s="59"/>
      <x:c r="T153" s="59"/>
      <x:c r="U153" s="58">
        <x:f>(($O153*S153)/100)+(T153*12)</x:f>
      </x:c>
      <x:c r="V153" s="47"/>
      <x:c r="W153" s="60"/>
      <x:c r="X153" s="58">
        <x:f>(($O153*V153)/100)+(W153*12)</x:f>
      </x:c>
      <x:c r="Y153" s="47"/>
      <x:c r="Z153" s="60"/>
      <x:c r="AA153" s="58">
        <x:f>(($O153*Y153)/100)+(Z153*12)</x:f>
      </x:c>
      <x:c r="AB153" s="47"/>
      <x:c r="AC153" s="60"/>
      <x:c r="AD153" s="58">
        <x:f>(($O153*AB153)/100)+(AC153*12)</x:f>
      </x:c>
      <x:c r="AE153" s="47"/>
      <x:c r="AF153" s="60"/>
      <x:c r="AG153" s="58">
        <x:f>(($O153*AE153)/100)+(AF153*12)</x:f>
      </x:c>
      <x:c r="AH153" s="47"/>
      <x:c r="AI153" s="60"/>
      <x:c r="AJ153" s="58">
        <x:f>(($O153*AH153)/100)+(AI153*12)</x:f>
      </x:c>
      <x:c r="AK153" s="47"/>
      <x:c r="AL153" s="60"/>
      <x:c r="AM153" s="58">
        <x:f>(($O153*AK153)/100)+(AL153*12)</x:f>
      </x:c>
      <x:c r="AN153" s="47"/>
      <x:c r="AO153" s="60"/>
      <x:c r="AP153" s="58">
        <x:f>(($O153*AN153)/100)+(AO153*12)</x:f>
      </x:c>
      <x:c r="AQ153" s="47"/>
      <x:c r="AR153" s="60"/>
      <x:c r="AS153" s="58">
        <x:f>(($O153*AQ153)/100)+(AR153*12)</x:f>
      </x:c>
      <x:c r="AT153" s="47"/>
      <x:c r="AU153" s="60"/>
      <x:c r="AV153" s="58">
        <x:f>(($O153*AT153)/100)+(AU153*12)</x:f>
      </x:c>
      <x:c r="AW153" s="47"/>
      <x:c r="AX153" s="60"/>
      <x:c r="AY153" s="58">
        <x:f>(($O153*AW153)/100)+(AX153*12)</x:f>
      </x:c>
      <x:c r="AZ153" s="47"/>
      <x:c r="BA153" s="60"/>
      <x:c r="BB153" s="58">
        <x:f>(($O153*AZ153)/100)+(BA153*12)</x:f>
      </x:c>
      <x:c r="BC153" s="47"/>
      <x:c r="BD153" s="60"/>
      <x:c r="BE153" s="58">
        <x:f>(($O153*BC153)/100)+(BD153*12)</x:f>
      </x:c>
      <x:c r="BF153" s="47"/>
      <x:c r="BG153" s="60"/>
      <x:c r="BH153" s="58">
        <x:f>(($O153*BF153)/100)+(BG153*12)</x:f>
      </x:c>
      <x:c r="BI153" s="47"/>
      <x:c r="BJ153" s="60"/>
      <x:c r="BK153" s="58">
        <x:f>(($O153*BI153)/100)+(BJ153*12)</x:f>
      </x:c>
      <x:c r="BL153" s="47"/>
      <x:c r="BM153" s="60"/>
      <x:c r="BN153" s="58">
        <x:f>(($O153*BL153)/100)+(BM153*12)</x:f>
      </x:c>
      <x:c r="BO153" s="47"/>
      <x:c r="BP153" s="60"/>
      <x:c r="BQ153" s="58">
        <x:f>(($O153*BO153)/100)+(BP153*12)</x:f>
      </x:c>
      <x:c r="BR153" s="47"/>
      <x:c r="BS153" s="60"/>
      <x:c r="BT153" s="58">
        <x:f>(($O153*BR153)/100)+(BS153*12)</x:f>
      </x:c>
      <x:c r="BU153" s="47"/>
      <x:c r="BV153" s="60"/>
      <x:c r="BW153" s="58">
        <x:f>(($O153*BU153)/100)+(BV153*12)</x:f>
      </x:c>
      <x:c r="BX153" s="47"/>
      <x:c r="BY153" s="60"/>
      <x:c r="BZ153" s="58">
        <x:f>(($O153*BX153)/100)+(BY153*12)</x:f>
      </x:c>
      <x:c r="CA153" s="47"/>
      <x:c r="CB153" s="60"/>
      <x:c r="CC153" s="58">
        <x:f>(($O153*CA153)/100)+(CB153*12)</x:f>
      </x:c>
      <x:c r="CD153" s="47"/>
      <x:c r="CE153" s="60"/>
      <x:c r="CF153" s="58">
        <x:f>(($O153*CD153)/100)+(CE153*12)</x:f>
      </x:c>
      <x:c r="CG153" s="47"/>
      <x:c r="CH153" s="60"/>
      <x:c r="CI153" s="58">
        <x:f>(($O153*CG153)/100)+(CH153*12)</x:f>
      </x:c>
      <x:c r="CJ153" s="47"/>
      <x:c r="CK153" s="60"/>
      <x:c r="CL153" s="58">
        <x:f>(($O153*CJ153)/100)+(CK153*12)</x:f>
      </x:c>
      <x:c r="CM153" s="47"/>
      <x:c r="CN153" s="60"/>
      <x:c r="CO153" s="58">
        <x:f>(($O153*CM153)/100)+(CN153*12)</x:f>
      </x:c>
      <x:c r="CP153" s="47"/>
      <x:c r="CQ153" s="60"/>
      <x:c r="CR153" s="58">
        <x:f>(($O153*CP153)/100)+(CQ153*12)</x:f>
      </x:c>
      <x:c r="CS153" s="47"/>
      <x:c r="CT153" s="60"/>
      <x:c r="CU153" s="58">
        <x:f>(($O153*CS153)/100)+(CT153*12)</x:f>
      </x:c>
      <x:c r="CV153" s="47"/>
      <x:c r="CW153" s="60"/>
      <x:c r="CX153" s="58"/>
      <x:c r="CY153" s="47"/>
      <x:c r="CZ153" s="60"/>
      <x:c r="DA153" s="58"/>
      <x:c r="DB153" s="47"/>
      <x:c r="DC153" s="60"/>
      <x:c r="DD153" s="58"/>
      <x:c r="DE153" s="47"/>
      <x:c r="DF153" s="60"/>
      <x:c r="DG153" s="58"/>
      <x:c r="DH153" s="47"/>
      <x:c r="DI153" s="60"/>
      <x:c r="DJ153" s="58"/>
      <x:c r="DK153" s="47"/>
      <x:c r="DL153" s="60"/>
      <x:c r="DM153" s="58"/>
      <x:c r="DN153" s="11"/>
      <x:c r="DO153" s="61"/>
      <x:c r="DP153" s="62"/>
      <x:c r="DQ153" s="11"/>
      <x:c r="DR153" s="61"/>
      <x:c r="DS153" s="62"/>
      <x:c r="DT153" s="11"/>
      <x:c r="DU153" s="61"/>
      <x:c r="DV153" s="62"/>
    </x:row>
    <x:row r="154" spans="1:126" x14ac:dyDescent="0.3">
      <x:c r="A154" s="47"/>
      <x:c r="B154" s="70"/>
      <x:c r="C154" s="70"/>
      <x:c r="D154" s="70"/>
      <x:c r="E154" s="70"/>
      <x:c r="F154" s="70"/>
      <x:c r="G154" s="70"/>
      <x:c r="H154" s="70"/>
      <x:c r="I154" s="70"/>
      <x:c r="J154" s="70"/>
      <x:c r="K154" s="190"/>
      <x:c r="L154" s="191"/>
      <x:c r="M154" s="192">
        <x:f>IF(ISERROR(INDEX('Meter Type Data'!$B$2:$E$1165,SUMPRODUCT(--('Meter Type Data'!$B$2:$B$1165&lt;=Analysis!L154)*('Meter Type Data'!$C$2:$C$1165&gt;=Analysis!L154),ROW('Meter Type Data'!$B$2:$B$1165))-1,4))," ",INDEX('Meter Type Data'!$B$2:$E$1165,SUMPRODUCT(--('Meter Type Data'!$B$2:$B$1165&lt;=Analysis!L154)*('Meter Type Data'!$C$2:$C$1165&gt;=Analysis!L154),ROW('Meter Type Data'!$B$2:$B$1165))-1,4))</x:f>
      </x:c>
      <x:c r="N154" s="192">
        <x:f>IF(ISERROR(INDEX('Meter Type Data'!$B$2:$D$1165,SUMPRODUCT(--('Meter Type Data'!$B$2:$B$1165&lt;=Analysis!L154)*('Meter Type Data'!$C$2:$C$1165&gt;=Analysis!L154),ROW('Meter Type Data'!$B$2:$B$1165))-1,3))," ",INDEX('Meter Type Data'!$B$2:$D$1165,SUMPRODUCT(--('Meter Type Data'!$B$2:$B$1165&lt;=Analysis!L154)*('Meter Type Data'!$C$2:$C$1165&gt;=Analysis!L154),ROW('Meter Type Data'!$B$2:$B$1165))-1,3))</x:f>
      </x:c>
      <x:c r="O154" s="69"/>
      <x:c r="P154" s="47"/>
      <x:c r="Q154" s="60"/>
      <x:c r="R154" s="58">
        <x:f>(($O154*P154)/100)+(Q154*12)</x:f>
      </x:c>
      <x:c r="S154" s="59"/>
      <x:c r="T154" s="59"/>
      <x:c r="U154" s="58">
        <x:f>(($O154*S154)/100)+(T154*12)</x:f>
      </x:c>
      <x:c r="V154" s="47"/>
      <x:c r="W154" s="60"/>
      <x:c r="X154" s="58">
        <x:f>(($O154*V154)/100)+(W154*12)</x:f>
      </x:c>
      <x:c r="Y154" s="47"/>
      <x:c r="Z154" s="60"/>
      <x:c r="AA154" s="58">
        <x:f>(($O154*Y154)/100)+(Z154*12)</x:f>
      </x:c>
      <x:c r="AB154" s="47"/>
      <x:c r="AC154" s="60"/>
      <x:c r="AD154" s="58">
        <x:f>(($O154*AB154)/100)+(AC154*12)</x:f>
      </x:c>
      <x:c r="AE154" s="47"/>
      <x:c r="AF154" s="60"/>
      <x:c r="AG154" s="58">
        <x:f>(($O154*AE154)/100)+(AF154*12)</x:f>
      </x:c>
      <x:c r="AH154" s="47"/>
      <x:c r="AI154" s="60"/>
      <x:c r="AJ154" s="58">
        <x:f>(($O154*AH154)/100)+(AI154*12)</x:f>
      </x:c>
      <x:c r="AK154" s="47"/>
      <x:c r="AL154" s="60"/>
      <x:c r="AM154" s="58">
        <x:f>(($O154*AK154)/100)+(AL154*12)</x:f>
      </x:c>
      <x:c r="AN154" s="47"/>
      <x:c r="AO154" s="60"/>
      <x:c r="AP154" s="58">
        <x:f>(($O154*AN154)/100)+(AO154*12)</x:f>
      </x:c>
      <x:c r="AQ154" s="47"/>
      <x:c r="AR154" s="60"/>
      <x:c r="AS154" s="58">
        <x:f>(($O154*AQ154)/100)+(AR154*12)</x:f>
      </x:c>
      <x:c r="AT154" s="47"/>
      <x:c r="AU154" s="60"/>
      <x:c r="AV154" s="58">
        <x:f>(($O154*AT154)/100)+(AU154*12)</x:f>
      </x:c>
      <x:c r="AW154" s="47"/>
      <x:c r="AX154" s="60"/>
      <x:c r="AY154" s="58">
        <x:f>(($O154*AW154)/100)+(AX154*12)</x:f>
      </x:c>
      <x:c r="AZ154" s="47"/>
      <x:c r="BA154" s="60"/>
      <x:c r="BB154" s="58">
        <x:f>(($O154*AZ154)/100)+(BA154*12)</x:f>
      </x:c>
      <x:c r="BC154" s="47"/>
      <x:c r="BD154" s="60"/>
      <x:c r="BE154" s="58">
        <x:f>(($O154*BC154)/100)+(BD154*12)</x:f>
      </x:c>
      <x:c r="BF154" s="47"/>
      <x:c r="BG154" s="60"/>
      <x:c r="BH154" s="58">
        <x:f>(($O154*BF154)/100)+(BG154*12)</x:f>
      </x:c>
      <x:c r="BI154" s="47"/>
      <x:c r="BJ154" s="60"/>
      <x:c r="BK154" s="58">
        <x:f>(($O154*BI154)/100)+(BJ154*12)</x:f>
      </x:c>
      <x:c r="BL154" s="47"/>
      <x:c r="BM154" s="60"/>
      <x:c r="BN154" s="58">
        <x:f>(($O154*BL154)/100)+(BM154*12)</x:f>
      </x:c>
      <x:c r="BO154" s="47"/>
      <x:c r="BP154" s="60"/>
      <x:c r="BQ154" s="58">
        <x:f>(($O154*BO154)/100)+(BP154*12)</x:f>
      </x:c>
      <x:c r="BR154" s="47"/>
      <x:c r="BS154" s="60"/>
      <x:c r="BT154" s="58">
        <x:f>(($O154*BR154)/100)+(BS154*12)</x:f>
      </x:c>
      <x:c r="BU154" s="47"/>
      <x:c r="BV154" s="60"/>
      <x:c r="BW154" s="58">
        <x:f>(($O154*BU154)/100)+(BV154*12)</x:f>
      </x:c>
      <x:c r="BX154" s="47"/>
      <x:c r="BY154" s="60"/>
      <x:c r="BZ154" s="58">
        <x:f>(($O154*BX154)/100)+(BY154*12)</x:f>
      </x:c>
      <x:c r="CA154" s="47"/>
      <x:c r="CB154" s="60"/>
      <x:c r="CC154" s="58">
        <x:f>(($O154*CA154)/100)+(CB154*12)</x:f>
      </x:c>
      <x:c r="CD154" s="47"/>
      <x:c r="CE154" s="60"/>
      <x:c r="CF154" s="58">
        <x:f>(($O154*CD154)/100)+(CE154*12)</x:f>
      </x:c>
      <x:c r="CG154" s="47"/>
      <x:c r="CH154" s="60"/>
      <x:c r="CI154" s="58">
        <x:f>(($O154*CG154)/100)+(CH154*12)</x:f>
      </x:c>
      <x:c r="CJ154" s="47"/>
      <x:c r="CK154" s="60"/>
      <x:c r="CL154" s="58">
        <x:f>(($O154*CJ154)/100)+(CK154*12)</x:f>
      </x:c>
      <x:c r="CM154" s="47"/>
      <x:c r="CN154" s="60"/>
      <x:c r="CO154" s="58">
        <x:f>(($O154*CM154)/100)+(CN154*12)</x:f>
      </x:c>
      <x:c r="CP154" s="47"/>
      <x:c r="CQ154" s="60"/>
      <x:c r="CR154" s="58">
        <x:f>(($O154*CP154)/100)+(CQ154*12)</x:f>
      </x:c>
      <x:c r="CS154" s="47"/>
      <x:c r="CT154" s="60"/>
      <x:c r="CU154" s="58">
        <x:f>(($O154*CS154)/100)+(CT154*12)</x:f>
      </x:c>
      <x:c r="CV154" s="47"/>
      <x:c r="CW154" s="60"/>
      <x:c r="CX154" s="58"/>
      <x:c r="CY154" s="47"/>
      <x:c r="CZ154" s="60"/>
      <x:c r="DA154" s="58"/>
      <x:c r="DB154" s="47"/>
      <x:c r="DC154" s="60"/>
      <x:c r="DD154" s="58"/>
      <x:c r="DE154" s="47"/>
      <x:c r="DF154" s="60"/>
      <x:c r="DG154" s="58"/>
      <x:c r="DH154" s="47"/>
      <x:c r="DI154" s="60"/>
      <x:c r="DJ154" s="58"/>
      <x:c r="DK154" s="47"/>
      <x:c r="DL154" s="60"/>
      <x:c r="DM154" s="58"/>
      <x:c r="DN154" s="11"/>
      <x:c r="DO154" s="61"/>
      <x:c r="DP154" s="62"/>
      <x:c r="DQ154" s="11"/>
      <x:c r="DR154" s="61"/>
      <x:c r="DS154" s="62"/>
      <x:c r="DT154" s="11"/>
      <x:c r="DU154" s="61"/>
      <x:c r="DV154" s="62"/>
    </x:row>
    <x:row r="155" spans="1:126" x14ac:dyDescent="0.3">
      <x:c r="A155" s="47"/>
      <x:c r="B155" s="70"/>
      <x:c r="C155" s="70"/>
      <x:c r="D155" s="70"/>
      <x:c r="E155" s="70"/>
      <x:c r="F155" s="70"/>
      <x:c r="G155" s="70"/>
      <x:c r="H155" s="70"/>
      <x:c r="I155" s="70"/>
      <x:c r="J155" s="70"/>
      <x:c r="K155" s="190"/>
      <x:c r="L155" s="191"/>
      <x:c r="M155" s="192">
        <x:f>IF(ISERROR(INDEX('Meter Type Data'!$B$2:$E$1165,SUMPRODUCT(--('Meter Type Data'!$B$2:$B$1165&lt;=Analysis!L155)*('Meter Type Data'!$C$2:$C$1165&gt;=Analysis!L155),ROW('Meter Type Data'!$B$2:$B$1165))-1,4))," ",INDEX('Meter Type Data'!$B$2:$E$1165,SUMPRODUCT(--('Meter Type Data'!$B$2:$B$1165&lt;=Analysis!L155)*('Meter Type Data'!$C$2:$C$1165&gt;=Analysis!L155),ROW('Meter Type Data'!$B$2:$B$1165))-1,4))</x:f>
      </x:c>
      <x:c r="N155" s="192">
        <x:f>IF(ISERROR(INDEX('Meter Type Data'!$B$2:$D$1165,SUMPRODUCT(--('Meter Type Data'!$B$2:$B$1165&lt;=Analysis!L155)*('Meter Type Data'!$C$2:$C$1165&gt;=Analysis!L155),ROW('Meter Type Data'!$B$2:$B$1165))-1,3))," ",INDEX('Meter Type Data'!$B$2:$D$1165,SUMPRODUCT(--('Meter Type Data'!$B$2:$B$1165&lt;=Analysis!L155)*('Meter Type Data'!$C$2:$C$1165&gt;=Analysis!L155),ROW('Meter Type Data'!$B$2:$B$1165))-1,3))</x:f>
      </x:c>
      <x:c r="O155" s="69"/>
      <x:c r="P155" s="47"/>
      <x:c r="Q155" s="60"/>
      <x:c r="R155" s="58">
        <x:f>(($O155*P155)/100)+(Q155*12)</x:f>
      </x:c>
      <x:c r="S155" s="59"/>
      <x:c r="T155" s="59"/>
      <x:c r="U155" s="58">
        <x:f>(($O155*S155)/100)+(T155*12)</x:f>
      </x:c>
      <x:c r="V155" s="47"/>
      <x:c r="W155" s="60"/>
      <x:c r="X155" s="58">
        <x:f>(($O155*V155)/100)+(W155*12)</x:f>
      </x:c>
      <x:c r="Y155" s="47"/>
      <x:c r="Z155" s="60"/>
      <x:c r="AA155" s="58">
        <x:f>(($O155*Y155)/100)+(Z155*12)</x:f>
      </x:c>
      <x:c r="AB155" s="47"/>
      <x:c r="AC155" s="60"/>
      <x:c r="AD155" s="58">
        <x:f>(($O155*AB155)/100)+(AC155*12)</x:f>
      </x:c>
      <x:c r="AE155" s="47"/>
      <x:c r="AF155" s="60"/>
      <x:c r="AG155" s="58">
        <x:f>(($O155*AE155)/100)+(AF155*12)</x:f>
      </x:c>
      <x:c r="AH155" s="47"/>
      <x:c r="AI155" s="60"/>
      <x:c r="AJ155" s="58">
        <x:f>(($O155*AH155)/100)+(AI155*12)</x:f>
      </x:c>
      <x:c r="AK155" s="47"/>
      <x:c r="AL155" s="60"/>
      <x:c r="AM155" s="58">
        <x:f>(($O155*AK155)/100)+(AL155*12)</x:f>
      </x:c>
      <x:c r="AN155" s="47"/>
      <x:c r="AO155" s="60"/>
      <x:c r="AP155" s="58">
        <x:f>(($O155*AN155)/100)+(AO155*12)</x:f>
      </x:c>
      <x:c r="AQ155" s="47"/>
      <x:c r="AR155" s="60"/>
      <x:c r="AS155" s="58">
        <x:f>(($O155*AQ155)/100)+(AR155*12)</x:f>
      </x:c>
      <x:c r="AT155" s="47"/>
      <x:c r="AU155" s="60"/>
      <x:c r="AV155" s="58">
        <x:f>(($O155*AT155)/100)+(AU155*12)</x:f>
      </x:c>
      <x:c r="AW155" s="47"/>
      <x:c r="AX155" s="60"/>
      <x:c r="AY155" s="58">
        <x:f>(($O155*AW155)/100)+(AX155*12)</x:f>
      </x:c>
      <x:c r="AZ155" s="47"/>
      <x:c r="BA155" s="60"/>
      <x:c r="BB155" s="58">
        <x:f>(($O155*AZ155)/100)+(BA155*12)</x:f>
      </x:c>
      <x:c r="BC155" s="47"/>
      <x:c r="BD155" s="60"/>
      <x:c r="BE155" s="58">
        <x:f>(($O155*BC155)/100)+(BD155*12)</x:f>
      </x:c>
      <x:c r="BF155" s="47"/>
      <x:c r="BG155" s="60"/>
      <x:c r="BH155" s="58">
        <x:f>(($O155*BF155)/100)+(BG155*12)</x:f>
      </x:c>
      <x:c r="BI155" s="47"/>
      <x:c r="BJ155" s="60"/>
      <x:c r="BK155" s="58">
        <x:f>(($O155*BI155)/100)+(BJ155*12)</x:f>
      </x:c>
      <x:c r="BL155" s="47"/>
      <x:c r="BM155" s="60"/>
      <x:c r="BN155" s="58">
        <x:f>(($O155*BL155)/100)+(BM155*12)</x:f>
      </x:c>
      <x:c r="BO155" s="47"/>
      <x:c r="BP155" s="60"/>
      <x:c r="BQ155" s="58">
        <x:f>(($O155*BO155)/100)+(BP155*12)</x:f>
      </x:c>
      <x:c r="BR155" s="47"/>
      <x:c r="BS155" s="60"/>
      <x:c r="BT155" s="58">
        <x:f>(($O155*BR155)/100)+(BS155*12)</x:f>
      </x:c>
      <x:c r="BU155" s="47"/>
      <x:c r="BV155" s="60"/>
      <x:c r="BW155" s="58">
        <x:f>(($O155*BU155)/100)+(BV155*12)</x:f>
      </x:c>
      <x:c r="BX155" s="47"/>
      <x:c r="BY155" s="60"/>
      <x:c r="BZ155" s="58">
        <x:f>(($O155*BX155)/100)+(BY155*12)</x:f>
      </x:c>
      <x:c r="CA155" s="47"/>
      <x:c r="CB155" s="60"/>
      <x:c r="CC155" s="58">
        <x:f>(($O155*CA155)/100)+(CB155*12)</x:f>
      </x:c>
      <x:c r="CD155" s="47"/>
      <x:c r="CE155" s="60"/>
      <x:c r="CF155" s="58">
        <x:f>(($O155*CD155)/100)+(CE155*12)</x:f>
      </x:c>
      <x:c r="CG155" s="47"/>
      <x:c r="CH155" s="60"/>
      <x:c r="CI155" s="58">
        <x:f>(($O155*CG155)/100)+(CH155*12)</x:f>
      </x:c>
      <x:c r="CJ155" s="47"/>
      <x:c r="CK155" s="60"/>
      <x:c r="CL155" s="58">
        <x:f>(($O155*CJ155)/100)+(CK155*12)</x:f>
      </x:c>
      <x:c r="CM155" s="47"/>
      <x:c r="CN155" s="60"/>
      <x:c r="CO155" s="58">
        <x:f>(($O155*CM155)/100)+(CN155*12)</x:f>
      </x:c>
      <x:c r="CP155" s="47"/>
      <x:c r="CQ155" s="60"/>
      <x:c r="CR155" s="58">
        <x:f>(($O155*CP155)/100)+(CQ155*12)</x:f>
      </x:c>
      <x:c r="CS155" s="47"/>
      <x:c r="CT155" s="60"/>
      <x:c r="CU155" s="58">
        <x:f>(($O155*CS155)/100)+(CT155*12)</x:f>
      </x:c>
      <x:c r="CV155" s="47"/>
      <x:c r="CW155" s="60"/>
      <x:c r="CX155" s="58"/>
      <x:c r="CY155" s="47"/>
      <x:c r="CZ155" s="60"/>
      <x:c r="DA155" s="58"/>
      <x:c r="DB155" s="47"/>
      <x:c r="DC155" s="60"/>
      <x:c r="DD155" s="58"/>
      <x:c r="DE155" s="47"/>
      <x:c r="DF155" s="60"/>
      <x:c r="DG155" s="58"/>
      <x:c r="DH155" s="47"/>
      <x:c r="DI155" s="60"/>
      <x:c r="DJ155" s="58"/>
      <x:c r="DK155" s="47"/>
      <x:c r="DL155" s="60"/>
      <x:c r="DM155" s="58"/>
      <x:c r="DN155" s="11"/>
      <x:c r="DO155" s="61"/>
      <x:c r="DP155" s="62"/>
      <x:c r="DQ155" s="11"/>
      <x:c r="DR155" s="61"/>
      <x:c r="DS155" s="62"/>
      <x:c r="DT155" s="11"/>
      <x:c r="DU155" s="61"/>
      <x:c r="DV155" s="62"/>
    </x:row>
    <x:row r="156" spans="1:126" x14ac:dyDescent="0.3">
      <x:c r="A156" s="47"/>
      <x:c r="B156" s="70"/>
      <x:c r="C156" s="70"/>
      <x:c r="D156" s="70"/>
      <x:c r="E156" s="70"/>
      <x:c r="F156" s="70"/>
      <x:c r="G156" s="70"/>
      <x:c r="H156" s="70"/>
      <x:c r="I156" s="70"/>
      <x:c r="J156" s="70"/>
      <x:c r="K156" s="190"/>
      <x:c r="L156" s="191"/>
      <x:c r="M156" s="192">
        <x:f>IF(ISERROR(INDEX('Meter Type Data'!$B$2:$E$1165,SUMPRODUCT(--('Meter Type Data'!$B$2:$B$1165&lt;=Analysis!L156)*('Meter Type Data'!$C$2:$C$1165&gt;=Analysis!L156),ROW('Meter Type Data'!$B$2:$B$1165))-1,4))," ",INDEX('Meter Type Data'!$B$2:$E$1165,SUMPRODUCT(--('Meter Type Data'!$B$2:$B$1165&lt;=Analysis!L156)*('Meter Type Data'!$C$2:$C$1165&gt;=Analysis!L156),ROW('Meter Type Data'!$B$2:$B$1165))-1,4))</x:f>
      </x:c>
      <x:c r="N156" s="192">
        <x:f>IF(ISERROR(INDEX('Meter Type Data'!$B$2:$D$1165,SUMPRODUCT(--('Meter Type Data'!$B$2:$B$1165&lt;=Analysis!L156)*('Meter Type Data'!$C$2:$C$1165&gt;=Analysis!L156),ROW('Meter Type Data'!$B$2:$B$1165))-1,3))," ",INDEX('Meter Type Data'!$B$2:$D$1165,SUMPRODUCT(--('Meter Type Data'!$B$2:$B$1165&lt;=Analysis!L156)*('Meter Type Data'!$C$2:$C$1165&gt;=Analysis!L156),ROW('Meter Type Data'!$B$2:$B$1165))-1,3))</x:f>
      </x:c>
      <x:c r="O156" s="69"/>
      <x:c r="P156" s="47"/>
      <x:c r="Q156" s="60"/>
      <x:c r="R156" s="58">
        <x:f>(($O156*P156)/100)+(Q156*12)</x:f>
      </x:c>
      <x:c r="S156" s="59"/>
      <x:c r="T156" s="59"/>
      <x:c r="U156" s="58">
        <x:f>(($O156*S156)/100)+(T156*12)</x:f>
      </x:c>
      <x:c r="V156" s="47"/>
      <x:c r="W156" s="60"/>
      <x:c r="X156" s="58">
        <x:f>(($O156*V156)/100)+(W156*12)</x:f>
      </x:c>
      <x:c r="Y156" s="47"/>
      <x:c r="Z156" s="60"/>
      <x:c r="AA156" s="58">
        <x:f>(($O156*Y156)/100)+(Z156*12)</x:f>
      </x:c>
      <x:c r="AB156" s="47"/>
      <x:c r="AC156" s="60"/>
      <x:c r="AD156" s="58">
        <x:f>(($O156*AB156)/100)+(AC156*12)</x:f>
      </x:c>
      <x:c r="AE156" s="47"/>
      <x:c r="AF156" s="60"/>
      <x:c r="AG156" s="58">
        <x:f>(($O156*AE156)/100)+(AF156*12)</x:f>
      </x:c>
      <x:c r="AH156" s="47"/>
      <x:c r="AI156" s="60"/>
      <x:c r="AJ156" s="58">
        <x:f>(($O156*AH156)/100)+(AI156*12)</x:f>
      </x:c>
      <x:c r="AK156" s="47"/>
      <x:c r="AL156" s="60"/>
      <x:c r="AM156" s="58">
        <x:f>(($O156*AK156)/100)+(AL156*12)</x:f>
      </x:c>
      <x:c r="AN156" s="47"/>
      <x:c r="AO156" s="60"/>
      <x:c r="AP156" s="58">
        <x:f>(($O156*AN156)/100)+(AO156*12)</x:f>
      </x:c>
      <x:c r="AQ156" s="47"/>
      <x:c r="AR156" s="60"/>
      <x:c r="AS156" s="58">
        <x:f>(($O156*AQ156)/100)+(AR156*12)</x:f>
      </x:c>
      <x:c r="AT156" s="47"/>
      <x:c r="AU156" s="60"/>
      <x:c r="AV156" s="58">
        <x:f>(($O156*AT156)/100)+(AU156*12)</x:f>
      </x:c>
      <x:c r="AW156" s="47"/>
      <x:c r="AX156" s="60"/>
      <x:c r="AY156" s="58">
        <x:f>(($O156*AW156)/100)+(AX156*12)</x:f>
      </x:c>
      <x:c r="AZ156" s="47"/>
      <x:c r="BA156" s="60"/>
      <x:c r="BB156" s="58">
        <x:f>(($O156*AZ156)/100)+(BA156*12)</x:f>
      </x:c>
      <x:c r="BC156" s="47"/>
      <x:c r="BD156" s="60"/>
      <x:c r="BE156" s="58">
        <x:f>(($O156*BC156)/100)+(BD156*12)</x:f>
      </x:c>
      <x:c r="BF156" s="47"/>
      <x:c r="BG156" s="60"/>
      <x:c r="BH156" s="58">
        <x:f>(($O156*BF156)/100)+(BG156*12)</x:f>
      </x:c>
      <x:c r="BI156" s="47"/>
      <x:c r="BJ156" s="60"/>
      <x:c r="BK156" s="58">
        <x:f>(($O156*BI156)/100)+(BJ156*12)</x:f>
      </x:c>
      <x:c r="BL156" s="47"/>
      <x:c r="BM156" s="60"/>
      <x:c r="BN156" s="58">
        <x:f>(($O156*BL156)/100)+(BM156*12)</x:f>
      </x:c>
      <x:c r="BO156" s="47"/>
      <x:c r="BP156" s="60"/>
      <x:c r="BQ156" s="58">
        <x:f>(($O156*BO156)/100)+(BP156*12)</x:f>
      </x:c>
      <x:c r="BR156" s="47"/>
      <x:c r="BS156" s="60"/>
      <x:c r="BT156" s="58">
        <x:f>(($O156*BR156)/100)+(BS156*12)</x:f>
      </x:c>
      <x:c r="BU156" s="47"/>
      <x:c r="BV156" s="60"/>
      <x:c r="BW156" s="58">
        <x:f>(($O156*BU156)/100)+(BV156*12)</x:f>
      </x:c>
      <x:c r="BX156" s="47"/>
      <x:c r="BY156" s="60"/>
      <x:c r="BZ156" s="58">
        <x:f>(($O156*BX156)/100)+(BY156*12)</x:f>
      </x:c>
      <x:c r="CA156" s="47"/>
      <x:c r="CB156" s="60"/>
      <x:c r="CC156" s="58">
        <x:f>(($O156*CA156)/100)+(CB156*12)</x:f>
      </x:c>
      <x:c r="CD156" s="47"/>
      <x:c r="CE156" s="60"/>
      <x:c r="CF156" s="58">
        <x:f>(($O156*CD156)/100)+(CE156*12)</x:f>
      </x:c>
      <x:c r="CG156" s="47"/>
      <x:c r="CH156" s="60"/>
      <x:c r="CI156" s="58">
        <x:f>(($O156*CG156)/100)+(CH156*12)</x:f>
      </x:c>
      <x:c r="CJ156" s="47"/>
      <x:c r="CK156" s="60"/>
      <x:c r="CL156" s="58">
        <x:f>(($O156*CJ156)/100)+(CK156*12)</x:f>
      </x:c>
      <x:c r="CM156" s="47"/>
      <x:c r="CN156" s="60"/>
      <x:c r="CO156" s="58">
        <x:f>(($O156*CM156)/100)+(CN156*12)</x:f>
      </x:c>
      <x:c r="CP156" s="47"/>
      <x:c r="CQ156" s="60"/>
      <x:c r="CR156" s="58">
        <x:f>(($O156*CP156)/100)+(CQ156*12)</x:f>
      </x:c>
      <x:c r="CS156" s="47"/>
      <x:c r="CT156" s="60"/>
      <x:c r="CU156" s="58">
        <x:f>(($O156*CS156)/100)+(CT156*12)</x:f>
      </x:c>
      <x:c r="CV156" s="47"/>
      <x:c r="CW156" s="60"/>
      <x:c r="CX156" s="58"/>
      <x:c r="CY156" s="47"/>
      <x:c r="CZ156" s="60"/>
      <x:c r="DA156" s="58"/>
      <x:c r="DB156" s="47"/>
      <x:c r="DC156" s="60"/>
      <x:c r="DD156" s="58"/>
      <x:c r="DE156" s="47"/>
      <x:c r="DF156" s="60"/>
      <x:c r="DG156" s="58"/>
      <x:c r="DH156" s="47"/>
      <x:c r="DI156" s="60"/>
      <x:c r="DJ156" s="58"/>
      <x:c r="DK156" s="47"/>
      <x:c r="DL156" s="60"/>
      <x:c r="DM156" s="58"/>
      <x:c r="DN156" s="11"/>
      <x:c r="DO156" s="61"/>
      <x:c r="DP156" s="62"/>
      <x:c r="DQ156" s="11"/>
      <x:c r="DR156" s="61"/>
      <x:c r="DS156" s="62"/>
      <x:c r="DT156" s="11"/>
      <x:c r="DU156" s="61"/>
      <x:c r="DV156" s="62"/>
    </x:row>
    <x:row r="157" spans="1:126" x14ac:dyDescent="0.3">
      <x:c r="A157" s="47"/>
      <x:c r="B157" s="70"/>
      <x:c r="C157" s="70"/>
      <x:c r="D157" s="70"/>
      <x:c r="E157" s="70"/>
      <x:c r="F157" s="70"/>
      <x:c r="G157" s="70"/>
      <x:c r="H157" s="70"/>
      <x:c r="I157" s="70"/>
      <x:c r="J157" s="70"/>
      <x:c r="K157" s="190"/>
      <x:c r="L157" s="191"/>
      <x:c r="M157" s="192">
        <x:f>IF(ISERROR(INDEX('Meter Type Data'!$B$2:$E$1165,SUMPRODUCT(--('Meter Type Data'!$B$2:$B$1165&lt;=Analysis!L157)*('Meter Type Data'!$C$2:$C$1165&gt;=Analysis!L157),ROW('Meter Type Data'!$B$2:$B$1165))-1,4))," ",INDEX('Meter Type Data'!$B$2:$E$1165,SUMPRODUCT(--('Meter Type Data'!$B$2:$B$1165&lt;=Analysis!L157)*('Meter Type Data'!$C$2:$C$1165&gt;=Analysis!L157),ROW('Meter Type Data'!$B$2:$B$1165))-1,4))</x:f>
      </x:c>
      <x:c r="N157" s="192">
        <x:f>IF(ISERROR(INDEX('Meter Type Data'!$B$2:$D$1165,SUMPRODUCT(--('Meter Type Data'!$B$2:$B$1165&lt;=Analysis!L157)*('Meter Type Data'!$C$2:$C$1165&gt;=Analysis!L157),ROW('Meter Type Data'!$B$2:$B$1165))-1,3))," ",INDEX('Meter Type Data'!$B$2:$D$1165,SUMPRODUCT(--('Meter Type Data'!$B$2:$B$1165&lt;=Analysis!L157)*('Meter Type Data'!$C$2:$C$1165&gt;=Analysis!L157),ROW('Meter Type Data'!$B$2:$B$1165))-1,3))</x:f>
      </x:c>
      <x:c r="O157" s="69"/>
      <x:c r="P157" s="47"/>
      <x:c r="Q157" s="60"/>
      <x:c r="R157" s="58">
        <x:f>(($O157*P157)/100)+(Q157*12)</x:f>
      </x:c>
      <x:c r="S157" s="59"/>
      <x:c r="T157" s="59"/>
      <x:c r="U157" s="58">
        <x:f>(($O157*S157)/100)+(T157*12)</x:f>
      </x:c>
      <x:c r="V157" s="47"/>
      <x:c r="W157" s="60"/>
      <x:c r="X157" s="58">
        <x:f>(($O157*V157)/100)+(W157*12)</x:f>
      </x:c>
      <x:c r="Y157" s="47"/>
      <x:c r="Z157" s="60"/>
      <x:c r="AA157" s="58">
        <x:f>(($O157*Y157)/100)+(Z157*12)</x:f>
      </x:c>
      <x:c r="AB157" s="47"/>
      <x:c r="AC157" s="60"/>
      <x:c r="AD157" s="58">
        <x:f>(($O157*AB157)/100)+(AC157*12)</x:f>
      </x:c>
      <x:c r="AE157" s="47"/>
      <x:c r="AF157" s="60"/>
      <x:c r="AG157" s="58">
        <x:f>(($O157*AE157)/100)+(AF157*12)</x:f>
      </x:c>
      <x:c r="AH157" s="47"/>
      <x:c r="AI157" s="60"/>
      <x:c r="AJ157" s="58">
        <x:f>(($O157*AH157)/100)+(AI157*12)</x:f>
      </x:c>
      <x:c r="AK157" s="47"/>
      <x:c r="AL157" s="60"/>
      <x:c r="AM157" s="58">
        <x:f>(($O157*AK157)/100)+(AL157*12)</x:f>
      </x:c>
      <x:c r="AN157" s="47"/>
      <x:c r="AO157" s="60"/>
      <x:c r="AP157" s="58">
        <x:f>(($O157*AN157)/100)+(AO157*12)</x:f>
      </x:c>
      <x:c r="AQ157" s="47"/>
      <x:c r="AR157" s="60"/>
      <x:c r="AS157" s="58">
        <x:f>(($O157*AQ157)/100)+(AR157*12)</x:f>
      </x:c>
      <x:c r="AT157" s="47"/>
      <x:c r="AU157" s="60"/>
      <x:c r="AV157" s="58">
        <x:f>(($O157*AT157)/100)+(AU157*12)</x:f>
      </x:c>
      <x:c r="AW157" s="47"/>
      <x:c r="AX157" s="60"/>
      <x:c r="AY157" s="58">
        <x:f>(($O157*AW157)/100)+(AX157*12)</x:f>
      </x:c>
      <x:c r="AZ157" s="47"/>
      <x:c r="BA157" s="60"/>
      <x:c r="BB157" s="58">
        <x:f>(($O157*AZ157)/100)+(BA157*12)</x:f>
      </x:c>
      <x:c r="BC157" s="47"/>
      <x:c r="BD157" s="60"/>
      <x:c r="BE157" s="58">
        <x:f>(($O157*BC157)/100)+(BD157*12)</x:f>
      </x:c>
      <x:c r="BF157" s="47"/>
      <x:c r="BG157" s="60"/>
      <x:c r="BH157" s="58">
        <x:f>(($O157*BF157)/100)+(BG157*12)</x:f>
      </x:c>
      <x:c r="BI157" s="47"/>
      <x:c r="BJ157" s="60"/>
      <x:c r="BK157" s="58">
        <x:f>(($O157*BI157)/100)+(BJ157*12)</x:f>
      </x:c>
      <x:c r="BL157" s="47"/>
      <x:c r="BM157" s="60"/>
      <x:c r="BN157" s="58">
        <x:f>(($O157*BL157)/100)+(BM157*12)</x:f>
      </x:c>
      <x:c r="BO157" s="47"/>
      <x:c r="BP157" s="60"/>
      <x:c r="BQ157" s="58">
        <x:f>(($O157*BO157)/100)+(BP157*12)</x:f>
      </x:c>
      <x:c r="BR157" s="47"/>
      <x:c r="BS157" s="60"/>
      <x:c r="BT157" s="58">
        <x:f>(($O157*BR157)/100)+(BS157*12)</x:f>
      </x:c>
      <x:c r="BU157" s="47"/>
      <x:c r="BV157" s="60"/>
      <x:c r="BW157" s="58">
        <x:f>(($O157*BU157)/100)+(BV157*12)</x:f>
      </x:c>
      <x:c r="BX157" s="47"/>
      <x:c r="BY157" s="60"/>
      <x:c r="BZ157" s="58">
        <x:f>(($O157*BX157)/100)+(BY157*12)</x:f>
      </x:c>
      <x:c r="CA157" s="47"/>
      <x:c r="CB157" s="60"/>
      <x:c r="CC157" s="58">
        <x:f>(($O157*CA157)/100)+(CB157*12)</x:f>
      </x:c>
      <x:c r="CD157" s="47"/>
      <x:c r="CE157" s="60"/>
      <x:c r="CF157" s="58">
        <x:f>(($O157*CD157)/100)+(CE157*12)</x:f>
      </x:c>
      <x:c r="CG157" s="47"/>
      <x:c r="CH157" s="60"/>
      <x:c r="CI157" s="58">
        <x:f>(($O157*CG157)/100)+(CH157*12)</x:f>
      </x:c>
      <x:c r="CJ157" s="47"/>
      <x:c r="CK157" s="60"/>
      <x:c r="CL157" s="58">
        <x:f>(($O157*CJ157)/100)+(CK157*12)</x:f>
      </x:c>
      <x:c r="CM157" s="47"/>
      <x:c r="CN157" s="60"/>
      <x:c r="CO157" s="58">
        <x:f>(($O157*CM157)/100)+(CN157*12)</x:f>
      </x:c>
      <x:c r="CP157" s="47"/>
      <x:c r="CQ157" s="60"/>
      <x:c r="CR157" s="58">
        <x:f>(($O157*CP157)/100)+(CQ157*12)</x:f>
      </x:c>
      <x:c r="CS157" s="47"/>
      <x:c r="CT157" s="60"/>
      <x:c r="CU157" s="58">
        <x:f>(($O157*CS157)/100)+(CT157*12)</x:f>
      </x:c>
      <x:c r="CV157" s="47"/>
      <x:c r="CW157" s="60"/>
      <x:c r="CX157" s="58"/>
      <x:c r="CY157" s="47"/>
      <x:c r="CZ157" s="60"/>
      <x:c r="DA157" s="58"/>
      <x:c r="DB157" s="47"/>
      <x:c r="DC157" s="60"/>
      <x:c r="DD157" s="58"/>
      <x:c r="DE157" s="47"/>
      <x:c r="DF157" s="60"/>
      <x:c r="DG157" s="58"/>
      <x:c r="DH157" s="47"/>
      <x:c r="DI157" s="60"/>
      <x:c r="DJ157" s="58"/>
      <x:c r="DK157" s="47"/>
      <x:c r="DL157" s="60"/>
      <x:c r="DM157" s="58"/>
      <x:c r="DN157" s="11"/>
      <x:c r="DO157" s="61"/>
      <x:c r="DP157" s="62"/>
      <x:c r="DQ157" s="11"/>
      <x:c r="DR157" s="61"/>
      <x:c r="DS157" s="62"/>
      <x:c r="DT157" s="11"/>
      <x:c r="DU157" s="61"/>
      <x:c r="DV157" s="62"/>
    </x:row>
    <x:row r="158" spans="1:126" x14ac:dyDescent="0.3">
      <x:c r="A158" s="47"/>
      <x:c r="B158" s="70"/>
      <x:c r="C158" s="70"/>
      <x:c r="D158" s="70"/>
      <x:c r="E158" s="70"/>
      <x:c r="F158" s="70"/>
      <x:c r="G158" s="70"/>
      <x:c r="H158" s="70"/>
      <x:c r="I158" s="70"/>
      <x:c r="J158" s="70"/>
      <x:c r="K158" s="190"/>
      <x:c r="L158" s="191"/>
      <x:c r="M158" s="192">
        <x:f>IF(ISERROR(INDEX('Meter Type Data'!$B$2:$E$1165,SUMPRODUCT(--('Meter Type Data'!$B$2:$B$1165&lt;=Analysis!L158)*('Meter Type Data'!$C$2:$C$1165&gt;=Analysis!L158),ROW('Meter Type Data'!$B$2:$B$1165))-1,4))," ",INDEX('Meter Type Data'!$B$2:$E$1165,SUMPRODUCT(--('Meter Type Data'!$B$2:$B$1165&lt;=Analysis!L158)*('Meter Type Data'!$C$2:$C$1165&gt;=Analysis!L158),ROW('Meter Type Data'!$B$2:$B$1165))-1,4))</x:f>
      </x:c>
      <x:c r="N158" s="192">
        <x:f>IF(ISERROR(INDEX('Meter Type Data'!$B$2:$D$1165,SUMPRODUCT(--('Meter Type Data'!$B$2:$B$1165&lt;=Analysis!L158)*('Meter Type Data'!$C$2:$C$1165&gt;=Analysis!L158),ROW('Meter Type Data'!$B$2:$B$1165))-1,3))," ",INDEX('Meter Type Data'!$B$2:$D$1165,SUMPRODUCT(--('Meter Type Data'!$B$2:$B$1165&lt;=Analysis!L158)*('Meter Type Data'!$C$2:$C$1165&gt;=Analysis!L158),ROW('Meter Type Data'!$B$2:$B$1165))-1,3))</x:f>
      </x:c>
      <x:c r="O158" s="69"/>
      <x:c r="P158" s="47"/>
      <x:c r="Q158" s="60"/>
      <x:c r="R158" s="58">
        <x:f>(($O158*P158)/100)+(Q158*12)</x:f>
      </x:c>
      <x:c r="S158" s="59"/>
      <x:c r="T158" s="59"/>
      <x:c r="U158" s="58">
        <x:f>(($O158*S158)/100)+(T158*12)</x:f>
      </x:c>
      <x:c r="V158" s="47"/>
      <x:c r="W158" s="60"/>
      <x:c r="X158" s="58">
        <x:f>(($O158*V158)/100)+(W158*12)</x:f>
      </x:c>
      <x:c r="Y158" s="47"/>
      <x:c r="Z158" s="60"/>
      <x:c r="AA158" s="58">
        <x:f>(($O158*Y158)/100)+(Z158*12)</x:f>
      </x:c>
      <x:c r="AB158" s="47"/>
      <x:c r="AC158" s="60"/>
      <x:c r="AD158" s="58">
        <x:f>(($O158*AB158)/100)+(AC158*12)</x:f>
      </x:c>
      <x:c r="AE158" s="47"/>
      <x:c r="AF158" s="60"/>
      <x:c r="AG158" s="58">
        <x:f>(($O158*AE158)/100)+(AF158*12)</x:f>
      </x:c>
      <x:c r="AH158" s="47"/>
      <x:c r="AI158" s="60"/>
      <x:c r="AJ158" s="58">
        <x:f>(($O158*AH158)/100)+(AI158*12)</x:f>
      </x:c>
      <x:c r="AK158" s="47"/>
      <x:c r="AL158" s="60"/>
      <x:c r="AM158" s="58">
        <x:f>(($O158*AK158)/100)+(AL158*12)</x:f>
      </x:c>
      <x:c r="AN158" s="47"/>
      <x:c r="AO158" s="60"/>
      <x:c r="AP158" s="58">
        <x:f>(($O158*AN158)/100)+(AO158*12)</x:f>
      </x:c>
      <x:c r="AQ158" s="47"/>
      <x:c r="AR158" s="60"/>
      <x:c r="AS158" s="58">
        <x:f>(($O158*AQ158)/100)+(AR158*12)</x:f>
      </x:c>
      <x:c r="AT158" s="47"/>
      <x:c r="AU158" s="60"/>
      <x:c r="AV158" s="58">
        <x:f>(($O158*AT158)/100)+(AU158*12)</x:f>
      </x:c>
      <x:c r="AW158" s="47"/>
      <x:c r="AX158" s="60"/>
      <x:c r="AY158" s="58">
        <x:f>(($O158*AW158)/100)+(AX158*12)</x:f>
      </x:c>
      <x:c r="AZ158" s="47"/>
      <x:c r="BA158" s="60"/>
      <x:c r="BB158" s="58">
        <x:f>(($O158*AZ158)/100)+(BA158*12)</x:f>
      </x:c>
      <x:c r="BC158" s="47"/>
      <x:c r="BD158" s="60"/>
      <x:c r="BE158" s="58">
        <x:f>(($O158*BC158)/100)+(BD158*12)</x:f>
      </x:c>
      <x:c r="BF158" s="47"/>
      <x:c r="BG158" s="60"/>
      <x:c r="BH158" s="58">
        <x:f>(($O158*BF158)/100)+(BG158*12)</x:f>
      </x:c>
      <x:c r="BI158" s="47"/>
      <x:c r="BJ158" s="60"/>
      <x:c r="BK158" s="58">
        <x:f>(($O158*BI158)/100)+(BJ158*12)</x:f>
      </x:c>
      <x:c r="BL158" s="47"/>
      <x:c r="BM158" s="60"/>
      <x:c r="BN158" s="58">
        <x:f>(($O158*BL158)/100)+(BM158*12)</x:f>
      </x:c>
      <x:c r="BO158" s="47"/>
      <x:c r="BP158" s="60"/>
      <x:c r="BQ158" s="58">
        <x:f>(($O158*BO158)/100)+(BP158*12)</x:f>
      </x:c>
      <x:c r="BR158" s="47"/>
      <x:c r="BS158" s="60"/>
      <x:c r="BT158" s="58">
        <x:f>(($O158*BR158)/100)+(BS158*12)</x:f>
      </x:c>
      <x:c r="BU158" s="47"/>
      <x:c r="BV158" s="60"/>
      <x:c r="BW158" s="58">
        <x:f>(($O158*BU158)/100)+(BV158*12)</x:f>
      </x:c>
      <x:c r="BX158" s="47"/>
      <x:c r="BY158" s="60"/>
      <x:c r="BZ158" s="58">
        <x:f>(($O158*BX158)/100)+(BY158*12)</x:f>
      </x:c>
      <x:c r="CA158" s="47"/>
      <x:c r="CB158" s="60"/>
      <x:c r="CC158" s="58">
        <x:f>(($O158*CA158)/100)+(CB158*12)</x:f>
      </x:c>
      <x:c r="CD158" s="47"/>
      <x:c r="CE158" s="60"/>
      <x:c r="CF158" s="58">
        <x:f>(($O158*CD158)/100)+(CE158*12)</x:f>
      </x:c>
      <x:c r="CG158" s="47"/>
      <x:c r="CH158" s="60"/>
      <x:c r="CI158" s="58">
        <x:f>(($O158*CG158)/100)+(CH158*12)</x:f>
      </x:c>
      <x:c r="CJ158" s="47"/>
      <x:c r="CK158" s="60"/>
      <x:c r="CL158" s="58">
        <x:f>(($O158*CJ158)/100)+(CK158*12)</x:f>
      </x:c>
      <x:c r="CM158" s="47"/>
      <x:c r="CN158" s="60"/>
      <x:c r="CO158" s="58">
        <x:f>(($O158*CM158)/100)+(CN158*12)</x:f>
      </x:c>
      <x:c r="CP158" s="47"/>
      <x:c r="CQ158" s="60"/>
      <x:c r="CR158" s="58">
        <x:f>(($O158*CP158)/100)+(CQ158*12)</x:f>
      </x:c>
      <x:c r="CS158" s="47"/>
      <x:c r="CT158" s="60"/>
      <x:c r="CU158" s="58">
        <x:f>(($O158*CS158)/100)+(CT158*12)</x:f>
      </x:c>
      <x:c r="CV158" s="47"/>
      <x:c r="CW158" s="60"/>
      <x:c r="CX158" s="58"/>
      <x:c r="CY158" s="47"/>
      <x:c r="CZ158" s="60"/>
      <x:c r="DA158" s="58"/>
      <x:c r="DB158" s="47"/>
      <x:c r="DC158" s="60"/>
      <x:c r="DD158" s="58"/>
      <x:c r="DE158" s="47"/>
      <x:c r="DF158" s="60"/>
      <x:c r="DG158" s="58"/>
      <x:c r="DH158" s="47"/>
      <x:c r="DI158" s="60"/>
      <x:c r="DJ158" s="58"/>
      <x:c r="DK158" s="47"/>
      <x:c r="DL158" s="60"/>
      <x:c r="DM158" s="58"/>
      <x:c r="DN158" s="11"/>
      <x:c r="DO158" s="61"/>
      <x:c r="DP158" s="62"/>
      <x:c r="DQ158" s="11"/>
      <x:c r="DR158" s="61"/>
      <x:c r="DS158" s="62"/>
      <x:c r="DT158" s="11"/>
      <x:c r="DU158" s="61"/>
      <x:c r="DV158" s="62"/>
    </x:row>
    <x:row r="159" spans="1:126" x14ac:dyDescent="0.3">
      <x:c r="A159" s="47"/>
      <x:c r="B159" s="70"/>
      <x:c r="C159" s="70"/>
      <x:c r="D159" s="70"/>
      <x:c r="E159" s="70"/>
      <x:c r="F159" s="70"/>
      <x:c r="G159" s="70"/>
      <x:c r="H159" s="70"/>
      <x:c r="I159" s="70"/>
      <x:c r="J159" s="70"/>
      <x:c r="K159" s="190"/>
      <x:c r="L159" s="191"/>
      <x:c r="M159" s="192">
        <x:f>IF(ISERROR(INDEX('Meter Type Data'!$B$2:$E$1165,SUMPRODUCT(--('Meter Type Data'!$B$2:$B$1165&lt;=Analysis!L159)*('Meter Type Data'!$C$2:$C$1165&gt;=Analysis!L159),ROW('Meter Type Data'!$B$2:$B$1165))-1,4))," ",INDEX('Meter Type Data'!$B$2:$E$1165,SUMPRODUCT(--('Meter Type Data'!$B$2:$B$1165&lt;=Analysis!L159)*('Meter Type Data'!$C$2:$C$1165&gt;=Analysis!L159),ROW('Meter Type Data'!$B$2:$B$1165))-1,4))</x:f>
      </x:c>
      <x:c r="N159" s="192">
        <x:f>IF(ISERROR(INDEX('Meter Type Data'!$B$2:$D$1165,SUMPRODUCT(--('Meter Type Data'!$B$2:$B$1165&lt;=Analysis!L159)*('Meter Type Data'!$C$2:$C$1165&gt;=Analysis!L159),ROW('Meter Type Data'!$B$2:$B$1165))-1,3))," ",INDEX('Meter Type Data'!$B$2:$D$1165,SUMPRODUCT(--('Meter Type Data'!$B$2:$B$1165&lt;=Analysis!L159)*('Meter Type Data'!$C$2:$C$1165&gt;=Analysis!L159),ROW('Meter Type Data'!$B$2:$B$1165))-1,3))</x:f>
      </x:c>
      <x:c r="O159" s="69"/>
      <x:c r="P159" s="47"/>
      <x:c r="Q159" s="60"/>
      <x:c r="R159" s="58">
        <x:f>(($O159*P159)/100)+(Q159*12)</x:f>
      </x:c>
      <x:c r="S159" s="59"/>
      <x:c r="T159" s="59"/>
      <x:c r="U159" s="58">
        <x:f>(($O159*S159)/100)+(T159*12)</x:f>
      </x:c>
      <x:c r="V159" s="47"/>
      <x:c r="W159" s="60"/>
      <x:c r="X159" s="58">
        <x:f>(($O159*V159)/100)+(W159*12)</x:f>
      </x:c>
      <x:c r="Y159" s="47"/>
      <x:c r="Z159" s="60"/>
      <x:c r="AA159" s="58">
        <x:f>(($O159*Y159)/100)+(Z159*12)</x:f>
      </x:c>
      <x:c r="AB159" s="47"/>
      <x:c r="AC159" s="60"/>
      <x:c r="AD159" s="58">
        <x:f>(($O159*AB159)/100)+(AC159*12)</x:f>
      </x:c>
      <x:c r="AE159" s="47"/>
      <x:c r="AF159" s="60"/>
      <x:c r="AG159" s="58">
        <x:f>(($O159*AE159)/100)+(AF159*12)</x:f>
      </x:c>
      <x:c r="AH159" s="47"/>
      <x:c r="AI159" s="60"/>
      <x:c r="AJ159" s="58">
        <x:f>(($O159*AH159)/100)+(AI159*12)</x:f>
      </x:c>
      <x:c r="AK159" s="47"/>
      <x:c r="AL159" s="60"/>
      <x:c r="AM159" s="58">
        <x:f>(($O159*AK159)/100)+(AL159*12)</x:f>
      </x:c>
      <x:c r="AN159" s="47"/>
      <x:c r="AO159" s="60"/>
      <x:c r="AP159" s="58">
        <x:f>(($O159*AN159)/100)+(AO159*12)</x:f>
      </x:c>
      <x:c r="AQ159" s="47"/>
      <x:c r="AR159" s="60"/>
      <x:c r="AS159" s="58">
        <x:f>(($O159*AQ159)/100)+(AR159*12)</x:f>
      </x:c>
      <x:c r="AT159" s="47"/>
      <x:c r="AU159" s="60"/>
      <x:c r="AV159" s="58">
        <x:f>(($O159*AT159)/100)+(AU159*12)</x:f>
      </x:c>
      <x:c r="AW159" s="47"/>
      <x:c r="AX159" s="60"/>
      <x:c r="AY159" s="58">
        <x:f>(($O159*AW159)/100)+(AX159*12)</x:f>
      </x:c>
      <x:c r="AZ159" s="47"/>
      <x:c r="BA159" s="60"/>
      <x:c r="BB159" s="58">
        <x:f>(($O159*AZ159)/100)+(BA159*12)</x:f>
      </x:c>
      <x:c r="BC159" s="47"/>
      <x:c r="BD159" s="60"/>
      <x:c r="BE159" s="58">
        <x:f>(($O159*BC159)/100)+(BD159*12)</x:f>
      </x:c>
      <x:c r="BF159" s="47"/>
      <x:c r="BG159" s="60"/>
      <x:c r="BH159" s="58">
        <x:f>(($O159*BF159)/100)+(BG159*12)</x:f>
      </x:c>
      <x:c r="BI159" s="47"/>
      <x:c r="BJ159" s="60"/>
      <x:c r="BK159" s="58">
        <x:f>(($O159*BI159)/100)+(BJ159*12)</x:f>
      </x:c>
      <x:c r="BL159" s="47"/>
      <x:c r="BM159" s="60"/>
      <x:c r="BN159" s="58">
        <x:f>(($O159*BL159)/100)+(BM159*12)</x:f>
      </x:c>
      <x:c r="BO159" s="47"/>
      <x:c r="BP159" s="60"/>
      <x:c r="BQ159" s="58">
        <x:f>(($O159*BO159)/100)+(BP159*12)</x:f>
      </x:c>
      <x:c r="BR159" s="47"/>
      <x:c r="BS159" s="60"/>
      <x:c r="BT159" s="58">
        <x:f>(($O159*BR159)/100)+(BS159*12)</x:f>
      </x:c>
      <x:c r="BU159" s="47"/>
      <x:c r="BV159" s="60"/>
      <x:c r="BW159" s="58">
        <x:f>(($O159*BU159)/100)+(BV159*12)</x:f>
      </x:c>
      <x:c r="BX159" s="47"/>
      <x:c r="BY159" s="60"/>
      <x:c r="BZ159" s="58">
        <x:f>(($O159*BX159)/100)+(BY159*12)</x:f>
      </x:c>
      <x:c r="CA159" s="47"/>
      <x:c r="CB159" s="60"/>
      <x:c r="CC159" s="58">
        <x:f>(($O159*CA159)/100)+(CB159*12)</x:f>
      </x:c>
      <x:c r="CD159" s="47"/>
      <x:c r="CE159" s="60"/>
      <x:c r="CF159" s="58">
        <x:f>(($O159*CD159)/100)+(CE159*12)</x:f>
      </x:c>
      <x:c r="CG159" s="47"/>
      <x:c r="CH159" s="60"/>
      <x:c r="CI159" s="58">
        <x:f>(($O159*CG159)/100)+(CH159*12)</x:f>
      </x:c>
      <x:c r="CJ159" s="47"/>
      <x:c r="CK159" s="60"/>
      <x:c r="CL159" s="58">
        <x:f>(($O159*CJ159)/100)+(CK159*12)</x:f>
      </x:c>
      <x:c r="CM159" s="47"/>
      <x:c r="CN159" s="60"/>
      <x:c r="CO159" s="58">
        <x:f>(($O159*CM159)/100)+(CN159*12)</x:f>
      </x:c>
      <x:c r="CP159" s="47"/>
      <x:c r="CQ159" s="60"/>
      <x:c r="CR159" s="58">
        <x:f>(($O159*CP159)/100)+(CQ159*12)</x:f>
      </x:c>
      <x:c r="CS159" s="47"/>
      <x:c r="CT159" s="60"/>
      <x:c r="CU159" s="58">
        <x:f>(($O159*CS159)/100)+(CT159*12)</x:f>
      </x:c>
      <x:c r="CV159" s="47"/>
      <x:c r="CW159" s="60"/>
      <x:c r="CX159" s="58"/>
      <x:c r="CY159" s="47"/>
      <x:c r="CZ159" s="60"/>
      <x:c r="DA159" s="58"/>
      <x:c r="DB159" s="47"/>
      <x:c r="DC159" s="60"/>
      <x:c r="DD159" s="58"/>
      <x:c r="DE159" s="47"/>
      <x:c r="DF159" s="60"/>
      <x:c r="DG159" s="58"/>
      <x:c r="DH159" s="47"/>
      <x:c r="DI159" s="60"/>
      <x:c r="DJ159" s="58"/>
      <x:c r="DK159" s="47"/>
      <x:c r="DL159" s="60"/>
      <x:c r="DM159" s="58"/>
      <x:c r="DN159" s="11"/>
      <x:c r="DO159" s="61"/>
      <x:c r="DP159" s="62"/>
      <x:c r="DQ159" s="11"/>
      <x:c r="DR159" s="61"/>
      <x:c r="DS159" s="62"/>
      <x:c r="DT159" s="11"/>
      <x:c r="DU159" s="61"/>
      <x:c r="DV159" s="62"/>
    </x:row>
    <x:row r="160" spans="1:126" x14ac:dyDescent="0.3">
      <x:c r="A160" s="47"/>
      <x:c r="B160" s="70"/>
      <x:c r="C160" s="70"/>
      <x:c r="D160" s="70"/>
      <x:c r="E160" s="70"/>
      <x:c r="F160" s="70"/>
      <x:c r="G160" s="70"/>
      <x:c r="H160" s="70"/>
      <x:c r="I160" s="70"/>
      <x:c r="J160" s="70"/>
      <x:c r="K160" s="190"/>
      <x:c r="L160" s="191"/>
      <x:c r="M160" s="192">
        <x:f>IF(ISERROR(INDEX('Meter Type Data'!$B$2:$E$1165,SUMPRODUCT(--('Meter Type Data'!$B$2:$B$1165&lt;=Analysis!L160)*('Meter Type Data'!$C$2:$C$1165&gt;=Analysis!L160),ROW('Meter Type Data'!$B$2:$B$1165))-1,4))," ",INDEX('Meter Type Data'!$B$2:$E$1165,SUMPRODUCT(--('Meter Type Data'!$B$2:$B$1165&lt;=Analysis!L160)*('Meter Type Data'!$C$2:$C$1165&gt;=Analysis!L160),ROW('Meter Type Data'!$B$2:$B$1165))-1,4))</x:f>
      </x:c>
      <x:c r="N160" s="192">
        <x:f>IF(ISERROR(INDEX('Meter Type Data'!$B$2:$D$1165,SUMPRODUCT(--('Meter Type Data'!$B$2:$B$1165&lt;=Analysis!L160)*('Meter Type Data'!$C$2:$C$1165&gt;=Analysis!L160),ROW('Meter Type Data'!$B$2:$B$1165))-1,3))," ",INDEX('Meter Type Data'!$B$2:$D$1165,SUMPRODUCT(--('Meter Type Data'!$B$2:$B$1165&lt;=Analysis!L160)*('Meter Type Data'!$C$2:$C$1165&gt;=Analysis!L160),ROW('Meter Type Data'!$B$2:$B$1165))-1,3))</x:f>
      </x:c>
      <x:c r="O160" s="69"/>
      <x:c r="P160" s="47"/>
      <x:c r="Q160" s="60"/>
      <x:c r="R160" s="58">
        <x:f>(($O160*P160)/100)+(Q160*12)</x:f>
      </x:c>
      <x:c r="S160" s="59"/>
      <x:c r="T160" s="59"/>
      <x:c r="U160" s="58">
        <x:f>(($O160*S160)/100)+(T160*12)</x:f>
      </x:c>
      <x:c r="V160" s="47"/>
      <x:c r="W160" s="60"/>
      <x:c r="X160" s="58">
        <x:f>(($O160*V160)/100)+(W160*12)</x:f>
      </x:c>
      <x:c r="Y160" s="47"/>
      <x:c r="Z160" s="60"/>
      <x:c r="AA160" s="58">
        <x:f>(($O160*Y160)/100)+(Z160*12)</x:f>
      </x:c>
      <x:c r="AB160" s="47"/>
      <x:c r="AC160" s="60"/>
      <x:c r="AD160" s="58">
        <x:f>(($O160*AB160)/100)+(AC160*12)</x:f>
      </x:c>
      <x:c r="AE160" s="47"/>
      <x:c r="AF160" s="60"/>
      <x:c r="AG160" s="58">
        <x:f>(($O160*AE160)/100)+(AF160*12)</x:f>
      </x:c>
      <x:c r="AH160" s="47"/>
      <x:c r="AI160" s="60"/>
      <x:c r="AJ160" s="58">
        <x:f>(($O160*AH160)/100)+(AI160*12)</x:f>
      </x:c>
      <x:c r="AK160" s="47"/>
      <x:c r="AL160" s="60"/>
      <x:c r="AM160" s="58">
        <x:f>(($O160*AK160)/100)+(AL160*12)</x:f>
      </x:c>
      <x:c r="AN160" s="47"/>
      <x:c r="AO160" s="60"/>
      <x:c r="AP160" s="58">
        <x:f>(($O160*AN160)/100)+(AO160*12)</x:f>
      </x:c>
      <x:c r="AQ160" s="47"/>
      <x:c r="AR160" s="60"/>
      <x:c r="AS160" s="58">
        <x:f>(($O160*AQ160)/100)+(AR160*12)</x:f>
      </x:c>
      <x:c r="AT160" s="47"/>
      <x:c r="AU160" s="60"/>
      <x:c r="AV160" s="58">
        <x:f>(($O160*AT160)/100)+(AU160*12)</x:f>
      </x:c>
      <x:c r="AW160" s="47"/>
      <x:c r="AX160" s="60"/>
      <x:c r="AY160" s="58">
        <x:f>(($O160*AW160)/100)+(AX160*12)</x:f>
      </x:c>
      <x:c r="AZ160" s="47"/>
      <x:c r="BA160" s="60"/>
      <x:c r="BB160" s="58">
        <x:f>(($O160*AZ160)/100)+(BA160*12)</x:f>
      </x:c>
      <x:c r="BC160" s="47"/>
      <x:c r="BD160" s="60"/>
      <x:c r="BE160" s="58">
        <x:f>(($O160*BC160)/100)+(BD160*12)</x:f>
      </x:c>
      <x:c r="BF160" s="47"/>
      <x:c r="BG160" s="60"/>
      <x:c r="BH160" s="58">
        <x:f>(($O160*BF160)/100)+(BG160*12)</x:f>
      </x:c>
      <x:c r="BI160" s="47"/>
      <x:c r="BJ160" s="60"/>
      <x:c r="BK160" s="58">
        <x:f>(($O160*BI160)/100)+(BJ160*12)</x:f>
      </x:c>
      <x:c r="BL160" s="47"/>
      <x:c r="BM160" s="60"/>
      <x:c r="BN160" s="58">
        <x:f>(($O160*BL160)/100)+(BM160*12)</x:f>
      </x:c>
      <x:c r="BO160" s="47"/>
      <x:c r="BP160" s="60"/>
      <x:c r="BQ160" s="58">
        <x:f>(($O160*BO160)/100)+(BP160*12)</x:f>
      </x:c>
      <x:c r="BR160" s="47"/>
      <x:c r="BS160" s="60"/>
      <x:c r="BT160" s="58">
        <x:f>(($O160*BR160)/100)+(BS160*12)</x:f>
      </x:c>
      <x:c r="BU160" s="47"/>
      <x:c r="BV160" s="60"/>
      <x:c r="BW160" s="58">
        <x:f>(($O160*BU160)/100)+(BV160*12)</x:f>
      </x:c>
      <x:c r="BX160" s="47"/>
      <x:c r="BY160" s="60"/>
      <x:c r="BZ160" s="58">
        <x:f>(($O160*BX160)/100)+(BY160*12)</x:f>
      </x:c>
      <x:c r="CA160" s="47"/>
      <x:c r="CB160" s="60"/>
      <x:c r="CC160" s="58">
        <x:f>(($O160*CA160)/100)+(CB160*12)</x:f>
      </x:c>
      <x:c r="CD160" s="47"/>
      <x:c r="CE160" s="60"/>
      <x:c r="CF160" s="58">
        <x:f>(($O160*CD160)/100)+(CE160*12)</x:f>
      </x:c>
      <x:c r="CG160" s="47"/>
      <x:c r="CH160" s="60"/>
      <x:c r="CI160" s="58">
        <x:f>(($O160*CG160)/100)+(CH160*12)</x:f>
      </x:c>
      <x:c r="CJ160" s="47"/>
      <x:c r="CK160" s="60"/>
      <x:c r="CL160" s="58">
        <x:f>(($O160*CJ160)/100)+(CK160*12)</x:f>
      </x:c>
      <x:c r="CM160" s="47"/>
      <x:c r="CN160" s="60"/>
      <x:c r="CO160" s="58">
        <x:f>(($O160*CM160)/100)+(CN160*12)</x:f>
      </x:c>
      <x:c r="CP160" s="47"/>
      <x:c r="CQ160" s="60"/>
      <x:c r="CR160" s="58">
        <x:f>(($O160*CP160)/100)+(CQ160*12)</x:f>
      </x:c>
      <x:c r="CS160" s="47"/>
      <x:c r="CT160" s="60"/>
      <x:c r="CU160" s="58">
        <x:f>(($O160*CS160)/100)+(CT160*12)</x:f>
      </x:c>
      <x:c r="CV160" s="47"/>
      <x:c r="CW160" s="60"/>
      <x:c r="CX160" s="58"/>
      <x:c r="CY160" s="47"/>
      <x:c r="CZ160" s="60"/>
      <x:c r="DA160" s="58"/>
      <x:c r="DB160" s="47"/>
      <x:c r="DC160" s="60"/>
      <x:c r="DD160" s="58"/>
      <x:c r="DE160" s="47"/>
      <x:c r="DF160" s="60"/>
      <x:c r="DG160" s="58"/>
      <x:c r="DH160" s="47"/>
      <x:c r="DI160" s="60"/>
      <x:c r="DJ160" s="58"/>
      <x:c r="DK160" s="47"/>
      <x:c r="DL160" s="60"/>
      <x:c r="DM160" s="58"/>
      <x:c r="DN160" s="11"/>
      <x:c r="DO160" s="61"/>
      <x:c r="DP160" s="62"/>
      <x:c r="DQ160" s="11"/>
      <x:c r="DR160" s="61"/>
      <x:c r="DS160" s="62"/>
      <x:c r="DT160" s="11"/>
      <x:c r="DU160" s="61"/>
      <x:c r="DV160" s="62"/>
    </x:row>
    <x:row r="161" spans="1:126" x14ac:dyDescent="0.3">
      <x:c r="A161" s="47"/>
      <x:c r="B161" s="70"/>
      <x:c r="C161" s="70"/>
      <x:c r="D161" s="70"/>
      <x:c r="E161" s="70"/>
      <x:c r="F161" s="70"/>
      <x:c r="G161" s="70"/>
      <x:c r="H161" s="70"/>
      <x:c r="I161" s="70"/>
      <x:c r="J161" s="70"/>
      <x:c r="K161" s="190"/>
      <x:c r="L161" s="191"/>
      <x:c r="M161" s="192">
        <x:f>IF(ISERROR(INDEX('Meter Type Data'!$B$2:$E$1165,SUMPRODUCT(--('Meter Type Data'!$B$2:$B$1165&lt;=Analysis!L161)*('Meter Type Data'!$C$2:$C$1165&gt;=Analysis!L161),ROW('Meter Type Data'!$B$2:$B$1165))-1,4))," ",INDEX('Meter Type Data'!$B$2:$E$1165,SUMPRODUCT(--('Meter Type Data'!$B$2:$B$1165&lt;=Analysis!L161)*('Meter Type Data'!$C$2:$C$1165&gt;=Analysis!L161),ROW('Meter Type Data'!$B$2:$B$1165))-1,4))</x:f>
      </x:c>
      <x:c r="N161" s="192">
        <x:f>IF(ISERROR(INDEX('Meter Type Data'!$B$2:$D$1165,SUMPRODUCT(--('Meter Type Data'!$B$2:$B$1165&lt;=Analysis!L161)*('Meter Type Data'!$C$2:$C$1165&gt;=Analysis!L161),ROW('Meter Type Data'!$B$2:$B$1165))-1,3))," ",INDEX('Meter Type Data'!$B$2:$D$1165,SUMPRODUCT(--('Meter Type Data'!$B$2:$B$1165&lt;=Analysis!L161)*('Meter Type Data'!$C$2:$C$1165&gt;=Analysis!L161),ROW('Meter Type Data'!$B$2:$B$1165))-1,3))</x:f>
      </x:c>
      <x:c r="O161" s="69"/>
      <x:c r="P161" s="47"/>
      <x:c r="Q161" s="60"/>
      <x:c r="R161" s="58">
        <x:f>(($O161*P161)/100)+(Q161*12)</x:f>
      </x:c>
      <x:c r="S161" s="59"/>
      <x:c r="T161" s="59"/>
      <x:c r="U161" s="58">
        <x:f>(($O161*S161)/100)+(T161*12)</x:f>
      </x:c>
      <x:c r="V161" s="47"/>
      <x:c r="W161" s="60"/>
      <x:c r="X161" s="58">
        <x:f>(($O161*V161)/100)+(W161*12)</x:f>
      </x:c>
      <x:c r="Y161" s="47"/>
      <x:c r="Z161" s="60"/>
      <x:c r="AA161" s="58">
        <x:f>(($O161*Y161)/100)+(Z161*12)</x:f>
      </x:c>
      <x:c r="AB161" s="47"/>
      <x:c r="AC161" s="60"/>
      <x:c r="AD161" s="58">
        <x:f>(($O161*AB161)/100)+(AC161*12)</x:f>
      </x:c>
      <x:c r="AE161" s="47"/>
      <x:c r="AF161" s="60"/>
      <x:c r="AG161" s="58">
        <x:f>(($O161*AE161)/100)+(AF161*12)</x:f>
      </x:c>
      <x:c r="AH161" s="47"/>
      <x:c r="AI161" s="60"/>
      <x:c r="AJ161" s="58">
        <x:f>(($O161*AH161)/100)+(AI161*12)</x:f>
      </x:c>
      <x:c r="AK161" s="47"/>
      <x:c r="AL161" s="60"/>
      <x:c r="AM161" s="58">
        <x:f>(($O161*AK161)/100)+(AL161*12)</x:f>
      </x:c>
      <x:c r="AN161" s="47"/>
      <x:c r="AO161" s="60"/>
      <x:c r="AP161" s="58">
        <x:f>(($O161*AN161)/100)+(AO161*12)</x:f>
      </x:c>
      <x:c r="AQ161" s="47"/>
      <x:c r="AR161" s="60"/>
      <x:c r="AS161" s="58">
        <x:f>(($O161*AQ161)/100)+(AR161*12)</x:f>
      </x:c>
      <x:c r="AT161" s="47"/>
      <x:c r="AU161" s="60"/>
      <x:c r="AV161" s="58">
        <x:f>(($O161*AT161)/100)+(AU161*12)</x:f>
      </x:c>
      <x:c r="AW161" s="47"/>
      <x:c r="AX161" s="60"/>
      <x:c r="AY161" s="58">
        <x:f>(($O161*AW161)/100)+(AX161*12)</x:f>
      </x:c>
      <x:c r="AZ161" s="47"/>
      <x:c r="BA161" s="60"/>
      <x:c r="BB161" s="58">
        <x:f>(($O161*AZ161)/100)+(BA161*12)</x:f>
      </x:c>
      <x:c r="BC161" s="47"/>
      <x:c r="BD161" s="60"/>
      <x:c r="BE161" s="58">
        <x:f>(($O161*BC161)/100)+(BD161*12)</x:f>
      </x:c>
      <x:c r="BF161" s="47"/>
      <x:c r="BG161" s="60"/>
      <x:c r="BH161" s="58">
        <x:f>(($O161*BF161)/100)+(BG161*12)</x:f>
      </x:c>
      <x:c r="BI161" s="47"/>
      <x:c r="BJ161" s="60"/>
      <x:c r="BK161" s="58">
        <x:f>(($O161*BI161)/100)+(BJ161*12)</x:f>
      </x:c>
      <x:c r="BL161" s="47"/>
      <x:c r="BM161" s="60"/>
      <x:c r="BN161" s="58">
        <x:f>(($O161*BL161)/100)+(BM161*12)</x:f>
      </x:c>
      <x:c r="BO161" s="47"/>
      <x:c r="BP161" s="60"/>
      <x:c r="BQ161" s="58">
        <x:f>(($O161*BO161)/100)+(BP161*12)</x:f>
      </x:c>
      <x:c r="BR161" s="47"/>
      <x:c r="BS161" s="60"/>
      <x:c r="BT161" s="58">
        <x:f>(($O161*BR161)/100)+(BS161*12)</x:f>
      </x:c>
      <x:c r="BU161" s="47"/>
      <x:c r="BV161" s="60"/>
      <x:c r="BW161" s="58">
        <x:f>(($O161*BU161)/100)+(BV161*12)</x:f>
      </x:c>
      <x:c r="BX161" s="47"/>
      <x:c r="BY161" s="60"/>
      <x:c r="BZ161" s="58">
        <x:f>(($O161*BX161)/100)+(BY161*12)</x:f>
      </x:c>
      <x:c r="CA161" s="47"/>
      <x:c r="CB161" s="60"/>
      <x:c r="CC161" s="58">
        <x:f>(($O161*CA161)/100)+(CB161*12)</x:f>
      </x:c>
      <x:c r="CD161" s="47"/>
      <x:c r="CE161" s="60"/>
      <x:c r="CF161" s="58">
        <x:f>(($O161*CD161)/100)+(CE161*12)</x:f>
      </x:c>
      <x:c r="CG161" s="47"/>
      <x:c r="CH161" s="60"/>
      <x:c r="CI161" s="58">
        <x:f>(($O161*CG161)/100)+(CH161*12)</x:f>
      </x:c>
      <x:c r="CJ161" s="47"/>
      <x:c r="CK161" s="60"/>
      <x:c r="CL161" s="58">
        <x:f>(($O161*CJ161)/100)+(CK161*12)</x:f>
      </x:c>
      <x:c r="CM161" s="47"/>
      <x:c r="CN161" s="60"/>
      <x:c r="CO161" s="58">
        <x:f>(($O161*CM161)/100)+(CN161*12)</x:f>
      </x:c>
      <x:c r="CP161" s="47"/>
      <x:c r="CQ161" s="60"/>
      <x:c r="CR161" s="58">
        <x:f>(($O161*CP161)/100)+(CQ161*12)</x:f>
      </x:c>
      <x:c r="CS161" s="47"/>
      <x:c r="CT161" s="60"/>
      <x:c r="CU161" s="58">
        <x:f>(($O161*CS161)/100)+(CT161*12)</x:f>
      </x:c>
      <x:c r="CV161" s="47"/>
      <x:c r="CW161" s="60"/>
      <x:c r="CX161" s="58"/>
      <x:c r="CY161" s="47"/>
      <x:c r="CZ161" s="60"/>
      <x:c r="DA161" s="58"/>
      <x:c r="DB161" s="47"/>
      <x:c r="DC161" s="60"/>
      <x:c r="DD161" s="58"/>
      <x:c r="DE161" s="47"/>
      <x:c r="DF161" s="60"/>
      <x:c r="DG161" s="58"/>
      <x:c r="DH161" s="47"/>
      <x:c r="DI161" s="60"/>
      <x:c r="DJ161" s="58"/>
      <x:c r="DK161" s="47"/>
      <x:c r="DL161" s="60"/>
      <x:c r="DM161" s="58"/>
      <x:c r="DN161" s="11"/>
      <x:c r="DO161" s="61"/>
      <x:c r="DP161" s="62"/>
      <x:c r="DQ161" s="11"/>
      <x:c r="DR161" s="61"/>
      <x:c r="DS161" s="62"/>
      <x:c r="DT161" s="11"/>
      <x:c r="DU161" s="61"/>
      <x:c r="DV161" s="62"/>
    </x:row>
    <x:row r="162" spans="1:126" x14ac:dyDescent="0.3">
      <x:c r="A162" s="47"/>
      <x:c r="B162" s="70"/>
      <x:c r="C162" s="70"/>
      <x:c r="D162" s="70"/>
      <x:c r="E162" s="70"/>
      <x:c r="F162" s="70"/>
      <x:c r="G162" s="70"/>
      <x:c r="H162" s="70"/>
      <x:c r="I162" s="70"/>
      <x:c r="J162" s="70"/>
      <x:c r="K162" s="190"/>
      <x:c r="L162" s="191"/>
      <x:c r="M162" s="192">
        <x:f>IF(ISERROR(INDEX('Meter Type Data'!$B$2:$E$1165,SUMPRODUCT(--('Meter Type Data'!$B$2:$B$1165&lt;=Analysis!L162)*('Meter Type Data'!$C$2:$C$1165&gt;=Analysis!L162),ROW('Meter Type Data'!$B$2:$B$1165))-1,4))," ",INDEX('Meter Type Data'!$B$2:$E$1165,SUMPRODUCT(--('Meter Type Data'!$B$2:$B$1165&lt;=Analysis!L162)*('Meter Type Data'!$C$2:$C$1165&gt;=Analysis!L162),ROW('Meter Type Data'!$B$2:$B$1165))-1,4))</x:f>
      </x:c>
      <x:c r="N162" s="192">
        <x:f>IF(ISERROR(INDEX('Meter Type Data'!$B$2:$D$1165,SUMPRODUCT(--('Meter Type Data'!$B$2:$B$1165&lt;=Analysis!L162)*('Meter Type Data'!$C$2:$C$1165&gt;=Analysis!L162),ROW('Meter Type Data'!$B$2:$B$1165))-1,3))," ",INDEX('Meter Type Data'!$B$2:$D$1165,SUMPRODUCT(--('Meter Type Data'!$B$2:$B$1165&lt;=Analysis!L162)*('Meter Type Data'!$C$2:$C$1165&gt;=Analysis!L162),ROW('Meter Type Data'!$B$2:$B$1165))-1,3))</x:f>
      </x:c>
      <x:c r="O162" s="69"/>
      <x:c r="P162" s="47"/>
      <x:c r="Q162" s="60"/>
      <x:c r="R162" s="58">
        <x:f>(($O162*P162)/100)+(Q162*12)</x:f>
      </x:c>
      <x:c r="S162" s="59"/>
      <x:c r="T162" s="59"/>
      <x:c r="U162" s="58">
        <x:f>(($O162*S162)/100)+(T162*12)</x:f>
      </x:c>
      <x:c r="V162" s="47"/>
      <x:c r="W162" s="60"/>
      <x:c r="X162" s="58">
        <x:f>(($O162*V162)/100)+(W162*12)</x:f>
      </x:c>
      <x:c r="Y162" s="47"/>
      <x:c r="Z162" s="60"/>
      <x:c r="AA162" s="58">
        <x:f>(($O162*Y162)/100)+(Z162*12)</x:f>
      </x:c>
      <x:c r="AB162" s="47"/>
      <x:c r="AC162" s="60"/>
      <x:c r="AD162" s="58">
        <x:f>(($O162*AB162)/100)+(AC162*12)</x:f>
      </x:c>
      <x:c r="AE162" s="47"/>
      <x:c r="AF162" s="60"/>
      <x:c r="AG162" s="58">
        <x:f>(($O162*AE162)/100)+(AF162*12)</x:f>
      </x:c>
      <x:c r="AH162" s="47"/>
      <x:c r="AI162" s="60"/>
      <x:c r="AJ162" s="58">
        <x:f>(($O162*AH162)/100)+(AI162*12)</x:f>
      </x:c>
      <x:c r="AK162" s="47"/>
      <x:c r="AL162" s="60"/>
      <x:c r="AM162" s="58">
        <x:f>(($O162*AK162)/100)+(AL162*12)</x:f>
      </x:c>
      <x:c r="AN162" s="47"/>
      <x:c r="AO162" s="60"/>
      <x:c r="AP162" s="58">
        <x:f>(($O162*AN162)/100)+(AO162*12)</x:f>
      </x:c>
      <x:c r="AQ162" s="47"/>
      <x:c r="AR162" s="60"/>
      <x:c r="AS162" s="58">
        <x:f>(($O162*AQ162)/100)+(AR162*12)</x:f>
      </x:c>
      <x:c r="AT162" s="47"/>
      <x:c r="AU162" s="60"/>
      <x:c r="AV162" s="58">
        <x:f>(($O162*AT162)/100)+(AU162*12)</x:f>
      </x:c>
      <x:c r="AW162" s="47"/>
      <x:c r="AX162" s="60"/>
      <x:c r="AY162" s="58">
        <x:f>(($O162*AW162)/100)+(AX162*12)</x:f>
      </x:c>
      <x:c r="AZ162" s="47"/>
      <x:c r="BA162" s="60"/>
      <x:c r="BB162" s="58">
        <x:f>(($O162*AZ162)/100)+(BA162*12)</x:f>
      </x:c>
      <x:c r="BC162" s="47"/>
      <x:c r="BD162" s="60"/>
      <x:c r="BE162" s="58">
        <x:f>(($O162*BC162)/100)+(BD162*12)</x:f>
      </x:c>
      <x:c r="BF162" s="47"/>
      <x:c r="BG162" s="60"/>
      <x:c r="BH162" s="58">
        <x:f>(($O162*BF162)/100)+(BG162*12)</x:f>
      </x:c>
      <x:c r="BI162" s="47"/>
      <x:c r="BJ162" s="60"/>
      <x:c r="BK162" s="58">
        <x:f>(($O162*BI162)/100)+(BJ162*12)</x:f>
      </x:c>
      <x:c r="BL162" s="47"/>
      <x:c r="BM162" s="60"/>
      <x:c r="BN162" s="58">
        <x:f>(($O162*BL162)/100)+(BM162*12)</x:f>
      </x:c>
      <x:c r="BO162" s="47"/>
      <x:c r="BP162" s="60"/>
      <x:c r="BQ162" s="58">
        <x:f>(($O162*BO162)/100)+(BP162*12)</x:f>
      </x:c>
      <x:c r="BR162" s="47"/>
      <x:c r="BS162" s="60"/>
      <x:c r="BT162" s="58">
        <x:f>(($O162*BR162)/100)+(BS162*12)</x:f>
      </x:c>
      <x:c r="BU162" s="47"/>
      <x:c r="BV162" s="60"/>
      <x:c r="BW162" s="58">
        <x:f>(($O162*BU162)/100)+(BV162*12)</x:f>
      </x:c>
      <x:c r="BX162" s="47"/>
      <x:c r="BY162" s="60"/>
      <x:c r="BZ162" s="58">
        <x:f>(($O162*BX162)/100)+(BY162*12)</x:f>
      </x:c>
      <x:c r="CA162" s="47"/>
      <x:c r="CB162" s="60"/>
      <x:c r="CC162" s="58">
        <x:f>(($O162*CA162)/100)+(CB162*12)</x:f>
      </x:c>
      <x:c r="CD162" s="47"/>
      <x:c r="CE162" s="60"/>
      <x:c r="CF162" s="58">
        <x:f>(($O162*CD162)/100)+(CE162*12)</x:f>
      </x:c>
      <x:c r="CG162" s="47"/>
      <x:c r="CH162" s="60"/>
      <x:c r="CI162" s="58">
        <x:f>(($O162*CG162)/100)+(CH162*12)</x:f>
      </x:c>
      <x:c r="CJ162" s="47"/>
      <x:c r="CK162" s="60"/>
      <x:c r="CL162" s="58">
        <x:f>(($O162*CJ162)/100)+(CK162*12)</x:f>
      </x:c>
      <x:c r="CM162" s="47"/>
      <x:c r="CN162" s="60"/>
      <x:c r="CO162" s="58">
        <x:f>(($O162*CM162)/100)+(CN162*12)</x:f>
      </x:c>
      <x:c r="CP162" s="47"/>
      <x:c r="CQ162" s="60"/>
      <x:c r="CR162" s="58">
        <x:f>(($O162*CP162)/100)+(CQ162*12)</x:f>
      </x:c>
      <x:c r="CS162" s="47"/>
      <x:c r="CT162" s="60"/>
      <x:c r="CU162" s="58">
        <x:f>(($O162*CS162)/100)+(CT162*12)</x:f>
      </x:c>
      <x:c r="CV162" s="47"/>
      <x:c r="CW162" s="60"/>
      <x:c r="CX162" s="58"/>
      <x:c r="CY162" s="47"/>
      <x:c r="CZ162" s="60"/>
      <x:c r="DA162" s="58"/>
      <x:c r="DB162" s="47"/>
      <x:c r="DC162" s="60"/>
      <x:c r="DD162" s="58"/>
      <x:c r="DE162" s="47"/>
      <x:c r="DF162" s="60"/>
      <x:c r="DG162" s="58"/>
      <x:c r="DH162" s="47"/>
      <x:c r="DI162" s="60"/>
      <x:c r="DJ162" s="58"/>
      <x:c r="DK162" s="47"/>
      <x:c r="DL162" s="60"/>
      <x:c r="DM162" s="58"/>
      <x:c r="DN162" s="11"/>
      <x:c r="DO162" s="61"/>
      <x:c r="DP162" s="62"/>
      <x:c r="DQ162" s="11"/>
      <x:c r="DR162" s="61"/>
      <x:c r="DS162" s="62"/>
      <x:c r="DT162" s="11"/>
      <x:c r="DU162" s="61"/>
      <x:c r="DV162" s="62"/>
    </x:row>
    <x:row r="163" spans="1:126" x14ac:dyDescent="0.3">
      <x:c r="A163" s="47"/>
      <x:c r="B163" s="70"/>
      <x:c r="C163" s="70"/>
      <x:c r="D163" s="70"/>
      <x:c r="E163" s="70"/>
      <x:c r="F163" s="70"/>
      <x:c r="G163" s="70"/>
      <x:c r="H163" s="70"/>
      <x:c r="I163" s="70"/>
      <x:c r="J163" s="70"/>
      <x:c r="K163" s="190"/>
      <x:c r="L163" s="191"/>
      <x:c r="M163" s="192">
        <x:f>IF(ISERROR(INDEX('Meter Type Data'!$B$2:$E$1165,SUMPRODUCT(--('Meter Type Data'!$B$2:$B$1165&lt;=Analysis!L163)*('Meter Type Data'!$C$2:$C$1165&gt;=Analysis!L163),ROW('Meter Type Data'!$B$2:$B$1165))-1,4))," ",INDEX('Meter Type Data'!$B$2:$E$1165,SUMPRODUCT(--('Meter Type Data'!$B$2:$B$1165&lt;=Analysis!L163)*('Meter Type Data'!$C$2:$C$1165&gt;=Analysis!L163),ROW('Meter Type Data'!$B$2:$B$1165))-1,4))</x:f>
      </x:c>
      <x:c r="N163" s="192">
        <x:f>IF(ISERROR(INDEX('Meter Type Data'!$B$2:$D$1165,SUMPRODUCT(--('Meter Type Data'!$B$2:$B$1165&lt;=Analysis!L163)*('Meter Type Data'!$C$2:$C$1165&gt;=Analysis!L163),ROW('Meter Type Data'!$B$2:$B$1165))-1,3))," ",INDEX('Meter Type Data'!$B$2:$D$1165,SUMPRODUCT(--('Meter Type Data'!$B$2:$B$1165&lt;=Analysis!L163)*('Meter Type Data'!$C$2:$C$1165&gt;=Analysis!L163),ROW('Meter Type Data'!$B$2:$B$1165))-1,3))</x:f>
      </x:c>
      <x:c r="O163" s="69"/>
      <x:c r="P163" s="47"/>
      <x:c r="Q163" s="60"/>
      <x:c r="R163" s="58">
        <x:f>(($O163*P163)/100)+(Q163*12)</x:f>
      </x:c>
      <x:c r="S163" s="59"/>
      <x:c r="T163" s="59"/>
      <x:c r="U163" s="58">
        <x:f>(($O163*S163)/100)+(T163*12)</x:f>
      </x:c>
      <x:c r="V163" s="47"/>
      <x:c r="W163" s="60"/>
      <x:c r="X163" s="58">
        <x:f>(($O163*V163)/100)+(W163*12)</x:f>
      </x:c>
      <x:c r="Y163" s="47"/>
      <x:c r="Z163" s="60"/>
      <x:c r="AA163" s="58">
        <x:f>(($O163*Y163)/100)+(Z163*12)</x:f>
      </x:c>
      <x:c r="AB163" s="47"/>
      <x:c r="AC163" s="60"/>
      <x:c r="AD163" s="58">
        <x:f>(($O163*AB163)/100)+(AC163*12)</x:f>
      </x:c>
      <x:c r="AE163" s="47"/>
      <x:c r="AF163" s="60"/>
      <x:c r="AG163" s="58">
        <x:f>(($O163*AE163)/100)+(AF163*12)</x:f>
      </x:c>
      <x:c r="AH163" s="47"/>
      <x:c r="AI163" s="60"/>
      <x:c r="AJ163" s="58">
        <x:f>(($O163*AH163)/100)+(AI163*12)</x:f>
      </x:c>
      <x:c r="AK163" s="47"/>
      <x:c r="AL163" s="60"/>
      <x:c r="AM163" s="58">
        <x:f>(($O163*AK163)/100)+(AL163*12)</x:f>
      </x:c>
      <x:c r="AN163" s="47"/>
      <x:c r="AO163" s="60"/>
      <x:c r="AP163" s="58">
        <x:f>(($O163*AN163)/100)+(AO163*12)</x:f>
      </x:c>
      <x:c r="AQ163" s="47"/>
      <x:c r="AR163" s="60"/>
      <x:c r="AS163" s="58">
        <x:f>(($O163*AQ163)/100)+(AR163*12)</x:f>
      </x:c>
      <x:c r="AT163" s="47"/>
      <x:c r="AU163" s="60"/>
      <x:c r="AV163" s="58">
        <x:f>(($O163*AT163)/100)+(AU163*12)</x:f>
      </x:c>
      <x:c r="AW163" s="47"/>
      <x:c r="AX163" s="60"/>
      <x:c r="AY163" s="58">
        <x:f>(($O163*AW163)/100)+(AX163*12)</x:f>
      </x:c>
      <x:c r="AZ163" s="47"/>
      <x:c r="BA163" s="60"/>
      <x:c r="BB163" s="58">
        <x:f>(($O163*AZ163)/100)+(BA163*12)</x:f>
      </x:c>
      <x:c r="BC163" s="47"/>
      <x:c r="BD163" s="60"/>
      <x:c r="BE163" s="58">
        <x:f>(($O163*BC163)/100)+(BD163*12)</x:f>
      </x:c>
      <x:c r="BF163" s="47"/>
      <x:c r="BG163" s="60"/>
      <x:c r="BH163" s="58">
        <x:f>(($O163*BF163)/100)+(BG163*12)</x:f>
      </x:c>
      <x:c r="BI163" s="47"/>
      <x:c r="BJ163" s="60"/>
      <x:c r="BK163" s="58">
        <x:f>(($O163*BI163)/100)+(BJ163*12)</x:f>
      </x:c>
      <x:c r="BL163" s="47"/>
      <x:c r="BM163" s="60"/>
      <x:c r="BN163" s="58">
        <x:f>(($O163*BL163)/100)+(BM163*12)</x:f>
      </x:c>
      <x:c r="BO163" s="47"/>
      <x:c r="BP163" s="60"/>
      <x:c r="BQ163" s="58">
        <x:f>(($O163*BO163)/100)+(BP163*12)</x:f>
      </x:c>
      <x:c r="BR163" s="47"/>
      <x:c r="BS163" s="60"/>
      <x:c r="BT163" s="58">
        <x:f>(($O163*BR163)/100)+(BS163*12)</x:f>
      </x:c>
      <x:c r="BU163" s="47"/>
      <x:c r="BV163" s="60"/>
      <x:c r="BW163" s="58">
        <x:f>(($O163*BU163)/100)+(BV163*12)</x:f>
      </x:c>
      <x:c r="BX163" s="47"/>
      <x:c r="BY163" s="60"/>
      <x:c r="BZ163" s="58">
        <x:f>(($O163*BX163)/100)+(BY163*12)</x:f>
      </x:c>
      <x:c r="CA163" s="47"/>
      <x:c r="CB163" s="60"/>
      <x:c r="CC163" s="58">
        <x:f>(($O163*CA163)/100)+(CB163*12)</x:f>
      </x:c>
      <x:c r="CD163" s="47"/>
      <x:c r="CE163" s="60"/>
      <x:c r="CF163" s="58">
        <x:f>(($O163*CD163)/100)+(CE163*12)</x:f>
      </x:c>
      <x:c r="CG163" s="47"/>
      <x:c r="CH163" s="60"/>
      <x:c r="CI163" s="58">
        <x:f>(($O163*CG163)/100)+(CH163*12)</x:f>
      </x:c>
      <x:c r="CJ163" s="47"/>
      <x:c r="CK163" s="60"/>
      <x:c r="CL163" s="58">
        <x:f>(($O163*CJ163)/100)+(CK163*12)</x:f>
      </x:c>
      <x:c r="CM163" s="47"/>
      <x:c r="CN163" s="60"/>
      <x:c r="CO163" s="58">
        <x:f>(($O163*CM163)/100)+(CN163*12)</x:f>
      </x:c>
      <x:c r="CP163" s="47"/>
      <x:c r="CQ163" s="60"/>
      <x:c r="CR163" s="58">
        <x:f>(($O163*CP163)/100)+(CQ163*12)</x:f>
      </x:c>
      <x:c r="CS163" s="47"/>
      <x:c r="CT163" s="60"/>
      <x:c r="CU163" s="58">
        <x:f>(($O163*CS163)/100)+(CT163*12)</x:f>
      </x:c>
      <x:c r="CV163" s="47"/>
      <x:c r="CW163" s="60"/>
      <x:c r="CX163" s="58"/>
      <x:c r="CY163" s="47"/>
      <x:c r="CZ163" s="60"/>
      <x:c r="DA163" s="58"/>
      <x:c r="DB163" s="47"/>
      <x:c r="DC163" s="60"/>
      <x:c r="DD163" s="58"/>
      <x:c r="DE163" s="47"/>
      <x:c r="DF163" s="60"/>
      <x:c r="DG163" s="58"/>
      <x:c r="DH163" s="47"/>
      <x:c r="DI163" s="60"/>
      <x:c r="DJ163" s="58"/>
      <x:c r="DK163" s="47"/>
      <x:c r="DL163" s="60"/>
      <x:c r="DM163" s="58"/>
      <x:c r="DN163" s="11"/>
      <x:c r="DO163" s="61"/>
      <x:c r="DP163" s="62"/>
      <x:c r="DQ163" s="11"/>
      <x:c r="DR163" s="61"/>
      <x:c r="DS163" s="62"/>
      <x:c r="DT163" s="11"/>
      <x:c r="DU163" s="61"/>
      <x:c r="DV163" s="62"/>
    </x:row>
    <x:row r="164" spans="1:126" x14ac:dyDescent="0.3">
      <x:c r="A164" s="47"/>
      <x:c r="B164" s="70"/>
      <x:c r="C164" s="70"/>
      <x:c r="D164" s="70"/>
      <x:c r="E164" s="70"/>
      <x:c r="F164" s="70"/>
      <x:c r="G164" s="70"/>
      <x:c r="H164" s="70"/>
      <x:c r="I164" s="70"/>
      <x:c r="J164" s="70"/>
      <x:c r="K164" s="190"/>
      <x:c r="L164" s="191"/>
      <x:c r="M164" s="192">
        <x:f>IF(ISERROR(INDEX('Meter Type Data'!$B$2:$E$1165,SUMPRODUCT(--('Meter Type Data'!$B$2:$B$1165&lt;=Analysis!L164)*('Meter Type Data'!$C$2:$C$1165&gt;=Analysis!L164),ROW('Meter Type Data'!$B$2:$B$1165))-1,4))," ",INDEX('Meter Type Data'!$B$2:$E$1165,SUMPRODUCT(--('Meter Type Data'!$B$2:$B$1165&lt;=Analysis!L164)*('Meter Type Data'!$C$2:$C$1165&gt;=Analysis!L164),ROW('Meter Type Data'!$B$2:$B$1165))-1,4))</x:f>
      </x:c>
      <x:c r="N164" s="192">
        <x:f>IF(ISERROR(INDEX('Meter Type Data'!$B$2:$D$1165,SUMPRODUCT(--('Meter Type Data'!$B$2:$B$1165&lt;=Analysis!L164)*('Meter Type Data'!$C$2:$C$1165&gt;=Analysis!L164),ROW('Meter Type Data'!$B$2:$B$1165))-1,3))," ",INDEX('Meter Type Data'!$B$2:$D$1165,SUMPRODUCT(--('Meter Type Data'!$B$2:$B$1165&lt;=Analysis!L164)*('Meter Type Data'!$C$2:$C$1165&gt;=Analysis!L164),ROW('Meter Type Data'!$B$2:$B$1165))-1,3))</x:f>
      </x:c>
      <x:c r="O164" s="69"/>
      <x:c r="P164" s="47"/>
      <x:c r="Q164" s="60"/>
      <x:c r="R164" s="58">
        <x:f>(($O164*P164)/100)+(Q164*12)</x:f>
      </x:c>
      <x:c r="S164" s="59"/>
      <x:c r="T164" s="59"/>
      <x:c r="U164" s="58">
        <x:f>(($O164*S164)/100)+(T164*12)</x:f>
      </x:c>
      <x:c r="V164" s="47"/>
      <x:c r="W164" s="60"/>
      <x:c r="X164" s="58">
        <x:f>(($O164*V164)/100)+(W164*12)</x:f>
      </x:c>
      <x:c r="Y164" s="47"/>
      <x:c r="Z164" s="60"/>
      <x:c r="AA164" s="58">
        <x:f>(($O164*Y164)/100)+(Z164*12)</x:f>
      </x:c>
      <x:c r="AB164" s="47"/>
      <x:c r="AC164" s="60"/>
      <x:c r="AD164" s="58">
        <x:f>(($O164*AB164)/100)+(AC164*12)</x:f>
      </x:c>
      <x:c r="AE164" s="47"/>
      <x:c r="AF164" s="60"/>
      <x:c r="AG164" s="58">
        <x:f>(($O164*AE164)/100)+(AF164*12)</x:f>
      </x:c>
      <x:c r="AH164" s="47"/>
      <x:c r="AI164" s="60"/>
      <x:c r="AJ164" s="58">
        <x:f>(($O164*AH164)/100)+(AI164*12)</x:f>
      </x:c>
      <x:c r="AK164" s="47"/>
      <x:c r="AL164" s="60"/>
      <x:c r="AM164" s="58">
        <x:f>(($O164*AK164)/100)+(AL164*12)</x:f>
      </x:c>
      <x:c r="AN164" s="47"/>
      <x:c r="AO164" s="60"/>
      <x:c r="AP164" s="58">
        <x:f>(($O164*AN164)/100)+(AO164*12)</x:f>
      </x:c>
      <x:c r="AQ164" s="47"/>
      <x:c r="AR164" s="60"/>
      <x:c r="AS164" s="58">
        <x:f>(($O164*AQ164)/100)+(AR164*12)</x:f>
      </x:c>
      <x:c r="AT164" s="47"/>
      <x:c r="AU164" s="60"/>
      <x:c r="AV164" s="58">
        <x:f>(($O164*AT164)/100)+(AU164*12)</x:f>
      </x:c>
      <x:c r="AW164" s="47"/>
      <x:c r="AX164" s="60"/>
      <x:c r="AY164" s="58">
        <x:f>(($O164*AW164)/100)+(AX164*12)</x:f>
      </x:c>
      <x:c r="AZ164" s="47"/>
      <x:c r="BA164" s="60"/>
      <x:c r="BB164" s="58">
        <x:f>(($O164*AZ164)/100)+(BA164*12)</x:f>
      </x:c>
      <x:c r="BC164" s="47"/>
      <x:c r="BD164" s="60"/>
      <x:c r="BE164" s="58">
        <x:f>(($O164*BC164)/100)+(BD164*12)</x:f>
      </x:c>
      <x:c r="BF164" s="47"/>
      <x:c r="BG164" s="60"/>
      <x:c r="BH164" s="58">
        <x:f>(($O164*BF164)/100)+(BG164*12)</x:f>
      </x:c>
      <x:c r="BI164" s="47"/>
      <x:c r="BJ164" s="60"/>
      <x:c r="BK164" s="58">
        <x:f>(($O164*BI164)/100)+(BJ164*12)</x:f>
      </x:c>
      <x:c r="BL164" s="47"/>
      <x:c r="BM164" s="60"/>
      <x:c r="BN164" s="58">
        <x:f>(($O164*BL164)/100)+(BM164*12)</x:f>
      </x:c>
      <x:c r="BO164" s="47"/>
      <x:c r="BP164" s="60"/>
      <x:c r="BQ164" s="58">
        <x:f>(($O164*BO164)/100)+(BP164*12)</x:f>
      </x:c>
      <x:c r="BR164" s="47"/>
      <x:c r="BS164" s="60"/>
      <x:c r="BT164" s="58">
        <x:f>(($O164*BR164)/100)+(BS164*12)</x:f>
      </x:c>
      <x:c r="BU164" s="47"/>
      <x:c r="BV164" s="60"/>
      <x:c r="BW164" s="58">
        <x:f>(($O164*BU164)/100)+(BV164*12)</x:f>
      </x:c>
      <x:c r="BX164" s="47"/>
      <x:c r="BY164" s="60"/>
      <x:c r="BZ164" s="58">
        <x:f>(($O164*BX164)/100)+(BY164*12)</x:f>
      </x:c>
      <x:c r="CA164" s="47"/>
      <x:c r="CB164" s="60"/>
      <x:c r="CC164" s="58">
        <x:f>(($O164*CA164)/100)+(CB164*12)</x:f>
      </x:c>
      <x:c r="CD164" s="47"/>
      <x:c r="CE164" s="60"/>
      <x:c r="CF164" s="58">
        <x:f>(($O164*CD164)/100)+(CE164*12)</x:f>
      </x:c>
      <x:c r="CG164" s="47"/>
      <x:c r="CH164" s="60"/>
      <x:c r="CI164" s="58">
        <x:f>(($O164*CG164)/100)+(CH164*12)</x:f>
      </x:c>
      <x:c r="CJ164" s="47"/>
      <x:c r="CK164" s="60"/>
      <x:c r="CL164" s="58">
        <x:f>(($O164*CJ164)/100)+(CK164*12)</x:f>
      </x:c>
      <x:c r="CM164" s="47"/>
      <x:c r="CN164" s="60"/>
      <x:c r="CO164" s="58">
        <x:f>(($O164*CM164)/100)+(CN164*12)</x:f>
      </x:c>
      <x:c r="CP164" s="47"/>
      <x:c r="CQ164" s="60"/>
      <x:c r="CR164" s="58">
        <x:f>(($O164*CP164)/100)+(CQ164*12)</x:f>
      </x:c>
      <x:c r="CS164" s="47"/>
      <x:c r="CT164" s="60"/>
      <x:c r="CU164" s="58">
        <x:f>(($O164*CS164)/100)+(CT164*12)</x:f>
      </x:c>
      <x:c r="CV164" s="47"/>
      <x:c r="CW164" s="60"/>
      <x:c r="CX164" s="58"/>
      <x:c r="CY164" s="47"/>
      <x:c r="CZ164" s="60"/>
      <x:c r="DA164" s="58"/>
      <x:c r="DB164" s="47"/>
      <x:c r="DC164" s="60"/>
      <x:c r="DD164" s="58"/>
      <x:c r="DE164" s="47"/>
      <x:c r="DF164" s="60"/>
      <x:c r="DG164" s="58"/>
      <x:c r="DH164" s="47"/>
      <x:c r="DI164" s="60"/>
      <x:c r="DJ164" s="58"/>
      <x:c r="DK164" s="47"/>
      <x:c r="DL164" s="60"/>
      <x:c r="DM164" s="58"/>
      <x:c r="DN164" s="11"/>
      <x:c r="DO164" s="61"/>
      <x:c r="DP164" s="62"/>
      <x:c r="DQ164" s="11"/>
      <x:c r="DR164" s="61"/>
      <x:c r="DS164" s="62"/>
      <x:c r="DT164" s="11"/>
      <x:c r="DU164" s="61"/>
      <x:c r="DV164" s="62"/>
    </x:row>
    <x:row r="165" spans="1:126" x14ac:dyDescent="0.3">
      <x:c r="A165" s="47"/>
      <x:c r="B165" s="70"/>
      <x:c r="C165" s="70"/>
      <x:c r="D165" s="70"/>
      <x:c r="E165" s="70"/>
      <x:c r="F165" s="70"/>
      <x:c r="G165" s="70"/>
      <x:c r="H165" s="70"/>
      <x:c r="I165" s="70"/>
      <x:c r="J165" s="70"/>
      <x:c r="K165" s="190"/>
      <x:c r="L165" s="191"/>
      <x:c r="M165" s="192">
        <x:f>IF(ISERROR(INDEX('Meter Type Data'!$B$2:$E$1165,SUMPRODUCT(--('Meter Type Data'!$B$2:$B$1165&lt;=Analysis!L165)*('Meter Type Data'!$C$2:$C$1165&gt;=Analysis!L165),ROW('Meter Type Data'!$B$2:$B$1165))-1,4))," ",INDEX('Meter Type Data'!$B$2:$E$1165,SUMPRODUCT(--('Meter Type Data'!$B$2:$B$1165&lt;=Analysis!L165)*('Meter Type Data'!$C$2:$C$1165&gt;=Analysis!L165),ROW('Meter Type Data'!$B$2:$B$1165))-1,4))</x:f>
      </x:c>
      <x:c r="N165" s="192">
        <x:f>IF(ISERROR(INDEX('Meter Type Data'!$B$2:$D$1165,SUMPRODUCT(--('Meter Type Data'!$B$2:$B$1165&lt;=Analysis!L165)*('Meter Type Data'!$C$2:$C$1165&gt;=Analysis!L165),ROW('Meter Type Data'!$B$2:$B$1165))-1,3))," ",INDEX('Meter Type Data'!$B$2:$D$1165,SUMPRODUCT(--('Meter Type Data'!$B$2:$B$1165&lt;=Analysis!L165)*('Meter Type Data'!$C$2:$C$1165&gt;=Analysis!L165),ROW('Meter Type Data'!$B$2:$B$1165))-1,3))</x:f>
      </x:c>
      <x:c r="O165" s="69"/>
      <x:c r="P165" s="47"/>
      <x:c r="Q165" s="60"/>
      <x:c r="R165" s="58">
        <x:f>(($O165*P165)/100)+(Q165*12)</x:f>
      </x:c>
      <x:c r="S165" s="59"/>
      <x:c r="T165" s="59"/>
      <x:c r="U165" s="58">
        <x:f>(($O165*S165)/100)+(T165*12)</x:f>
      </x:c>
      <x:c r="V165" s="47"/>
      <x:c r="W165" s="60"/>
      <x:c r="X165" s="58">
        <x:f>(($O165*V165)/100)+(W165*12)</x:f>
      </x:c>
      <x:c r="Y165" s="47"/>
      <x:c r="Z165" s="60"/>
      <x:c r="AA165" s="58">
        <x:f>(($O165*Y165)/100)+(Z165*12)</x:f>
      </x:c>
      <x:c r="AB165" s="47"/>
      <x:c r="AC165" s="60"/>
      <x:c r="AD165" s="58">
        <x:f>(($O165*AB165)/100)+(AC165*12)</x:f>
      </x:c>
      <x:c r="AE165" s="47"/>
      <x:c r="AF165" s="60"/>
      <x:c r="AG165" s="58">
        <x:f>(($O165*AE165)/100)+(AF165*12)</x:f>
      </x:c>
      <x:c r="AH165" s="47"/>
      <x:c r="AI165" s="60"/>
      <x:c r="AJ165" s="58">
        <x:f>(($O165*AH165)/100)+(AI165*12)</x:f>
      </x:c>
      <x:c r="AK165" s="47"/>
      <x:c r="AL165" s="60"/>
      <x:c r="AM165" s="58">
        <x:f>(($O165*AK165)/100)+(AL165*12)</x:f>
      </x:c>
      <x:c r="AN165" s="47"/>
      <x:c r="AO165" s="60"/>
      <x:c r="AP165" s="58">
        <x:f>(($O165*AN165)/100)+(AO165*12)</x:f>
      </x:c>
      <x:c r="AQ165" s="47"/>
      <x:c r="AR165" s="60"/>
      <x:c r="AS165" s="58">
        <x:f>(($O165*AQ165)/100)+(AR165*12)</x:f>
      </x:c>
      <x:c r="AT165" s="47"/>
      <x:c r="AU165" s="60"/>
      <x:c r="AV165" s="58">
        <x:f>(($O165*AT165)/100)+(AU165*12)</x:f>
      </x:c>
      <x:c r="AW165" s="47"/>
      <x:c r="AX165" s="60"/>
      <x:c r="AY165" s="58">
        <x:f>(($O165*AW165)/100)+(AX165*12)</x:f>
      </x:c>
      <x:c r="AZ165" s="47"/>
      <x:c r="BA165" s="60"/>
      <x:c r="BB165" s="58">
        <x:f>(($O165*AZ165)/100)+(BA165*12)</x:f>
      </x:c>
      <x:c r="BC165" s="47"/>
      <x:c r="BD165" s="60"/>
      <x:c r="BE165" s="58">
        <x:f>(($O165*BC165)/100)+(BD165*12)</x:f>
      </x:c>
      <x:c r="BF165" s="47"/>
      <x:c r="BG165" s="60"/>
      <x:c r="BH165" s="58">
        <x:f>(($O165*BF165)/100)+(BG165*12)</x:f>
      </x:c>
      <x:c r="BI165" s="47"/>
      <x:c r="BJ165" s="60"/>
      <x:c r="BK165" s="58">
        <x:f>(($O165*BI165)/100)+(BJ165*12)</x:f>
      </x:c>
      <x:c r="BL165" s="47"/>
      <x:c r="BM165" s="60"/>
      <x:c r="BN165" s="58">
        <x:f>(($O165*BL165)/100)+(BM165*12)</x:f>
      </x:c>
      <x:c r="BO165" s="47"/>
      <x:c r="BP165" s="60"/>
      <x:c r="BQ165" s="58">
        <x:f>(($O165*BO165)/100)+(BP165*12)</x:f>
      </x:c>
      <x:c r="BR165" s="47"/>
      <x:c r="BS165" s="60"/>
      <x:c r="BT165" s="58">
        <x:f>(($O165*BR165)/100)+(BS165*12)</x:f>
      </x:c>
      <x:c r="BU165" s="47"/>
      <x:c r="BV165" s="60"/>
      <x:c r="BW165" s="58">
        <x:f>(($O165*BU165)/100)+(BV165*12)</x:f>
      </x:c>
      <x:c r="BX165" s="47"/>
      <x:c r="BY165" s="60"/>
      <x:c r="BZ165" s="58">
        <x:f>(($O165*BX165)/100)+(BY165*12)</x:f>
      </x:c>
      <x:c r="CA165" s="47"/>
      <x:c r="CB165" s="60"/>
      <x:c r="CC165" s="58">
        <x:f>(($O165*CA165)/100)+(CB165*12)</x:f>
      </x:c>
      <x:c r="CD165" s="47"/>
      <x:c r="CE165" s="60"/>
      <x:c r="CF165" s="58">
        <x:f>(($O165*CD165)/100)+(CE165*12)</x:f>
      </x:c>
      <x:c r="CG165" s="47"/>
      <x:c r="CH165" s="60"/>
      <x:c r="CI165" s="58">
        <x:f>(($O165*CG165)/100)+(CH165*12)</x:f>
      </x:c>
      <x:c r="CJ165" s="47"/>
      <x:c r="CK165" s="60"/>
      <x:c r="CL165" s="58">
        <x:f>(($O165*CJ165)/100)+(CK165*12)</x:f>
      </x:c>
      <x:c r="CM165" s="47"/>
      <x:c r="CN165" s="60"/>
      <x:c r="CO165" s="58">
        <x:f>(($O165*CM165)/100)+(CN165*12)</x:f>
      </x:c>
      <x:c r="CP165" s="47"/>
      <x:c r="CQ165" s="60"/>
      <x:c r="CR165" s="58">
        <x:f>(($O165*CP165)/100)+(CQ165*12)</x:f>
      </x:c>
      <x:c r="CS165" s="47"/>
      <x:c r="CT165" s="60"/>
      <x:c r="CU165" s="58">
        <x:f>(($O165*CS165)/100)+(CT165*12)</x:f>
      </x:c>
      <x:c r="CV165" s="47"/>
      <x:c r="CW165" s="60"/>
      <x:c r="CX165" s="58"/>
      <x:c r="CY165" s="47"/>
      <x:c r="CZ165" s="60"/>
      <x:c r="DA165" s="58"/>
      <x:c r="DB165" s="47"/>
      <x:c r="DC165" s="60"/>
      <x:c r="DD165" s="58"/>
      <x:c r="DE165" s="47"/>
      <x:c r="DF165" s="60"/>
      <x:c r="DG165" s="58"/>
      <x:c r="DH165" s="47"/>
      <x:c r="DI165" s="60"/>
      <x:c r="DJ165" s="58"/>
      <x:c r="DK165" s="47"/>
      <x:c r="DL165" s="60"/>
      <x:c r="DM165" s="58"/>
      <x:c r="DN165" s="11"/>
      <x:c r="DO165" s="61"/>
      <x:c r="DP165" s="62"/>
      <x:c r="DQ165" s="11"/>
      <x:c r="DR165" s="61"/>
      <x:c r="DS165" s="62"/>
      <x:c r="DT165" s="11"/>
      <x:c r="DU165" s="61"/>
      <x:c r="DV165" s="62"/>
    </x:row>
    <x:row r="166" spans="1:126" x14ac:dyDescent="0.3">
      <x:c r="A166" s="47"/>
      <x:c r="B166" s="70"/>
      <x:c r="C166" s="70"/>
      <x:c r="D166" s="70"/>
      <x:c r="E166" s="70"/>
      <x:c r="F166" s="70"/>
      <x:c r="G166" s="70"/>
      <x:c r="H166" s="70"/>
      <x:c r="I166" s="70"/>
      <x:c r="J166" s="70"/>
      <x:c r="K166" s="190"/>
      <x:c r="L166" s="191"/>
      <x:c r="M166" s="192">
        <x:f>IF(ISERROR(INDEX('Meter Type Data'!$B$2:$E$1165,SUMPRODUCT(--('Meter Type Data'!$B$2:$B$1165&lt;=Analysis!L166)*('Meter Type Data'!$C$2:$C$1165&gt;=Analysis!L166),ROW('Meter Type Data'!$B$2:$B$1165))-1,4))," ",INDEX('Meter Type Data'!$B$2:$E$1165,SUMPRODUCT(--('Meter Type Data'!$B$2:$B$1165&lt;=Analysis!L166)*('Meter Type Data'!$C$2:$C$1165&gt;=Analysis!L166),ROW('Meter Type Data'!$B$2:$B$1165))-1,4))</x:f>
      </x:c>
      <x:c r="N166" s="192">
        <x:f>IF(ISERROR(INDEX('Meter Type Data'!$B$2:$D$1165,SUMPRODUCT(--('Meter Type Data'!$B$2:$B$1165&lt;=Analysis!L166)*('Meter Type Data'!$C$2:$C$1165&gt;=Analysis!L166),ROW('Meter Type Data'!$B$2:$B$1165))-1,3))," ",INDEX('Meter Type Data'!$B$2:$D$1165,SUMPRODUCT(--('Meter Type Data'!$B$2:$B$1165&lt;=Analysis!L166)*('Meter Type Data'!$C$2:$C$1165&gt;=Analysis!L166),ROW('Meter Type Data'!$B$2:$B$1165))-1,3))</x:f>
      </x:c>
      <x:c r="O166" s="69"/>
      <x:c r="P166" s="47"/>
      <x:c r="Q166" s="60"/>
      <x:c r="R166" s="58">
        <x:f>(($O166*P166)/100)+(Q166*12)</x:f>
      </x:c>
      <x:c r="S166" s="59"/>
      <x:c r="T166" s="59"/>
      <x:c r="U166" s="58">
        <x:f>(($O166*S166)/100)+(T166*12)</x:f>
      </x:c>
      <x:c r="V166" s="47"/>
      <x:c r="W166" s="60"/>
      <x:c r="X166" s="58">
        <x:f>(($O166*V166)/100)+(W166*12)</x:f>
      </x:c>
      <x:c r="Y166" s="47"/>
      <x:c r="Z166" s="60"/>
      <x:c r="AA166" s="58">
        <x:f>(($O166*Y166)/100)+(Z166*12)</x:f>
      </x:c>
      <x:c r="AB166" s="47"/>
      <x:c r="AC166" s="60"/>
      <x:c r="AD166" s="58">
        <x:f>(($O166*AB166)/100)+(AC166*12)</x:f>
      </x:c>
      <x:c r="AE166" s="47"/>
      <x:c r="AF166" s="60"/>
      <x:c r="AG166" s="58">
        <x:f>(($O166*AE166)/100)+(AF166*12)</x:f>
      </x:c>
      <x:c r="AH166" s="47"/>
      <x:c r="AI166" s="60"/>
      <x:c r="AJ166" s="58">
        <x:f>(($O166*AH166)/100)+(AI166*12)</x:f>
      </x:c>
      <x:c r="AK166" s="47"/>
      <x:c r="AL166" s="60"/>
      <x:c r="AM166" s="58">
        <x:f>(($O166*AK166)/100)+(AL166*12)</x:f>
      </x:c>
      <x:c r="AN166" s="47"/>
      <x:c r="AO166" s="60"/>
      <x:c r="AP166" s="58">
        <x:f>(($O166*AN166)/100)+(AO166*12)</x:f>
      </x:c>
      <x:c r="AQ166" s="47"/>
      <x:c r="AR166" s="60"/>
      <x:c r="AS166" s="58">
        <x:f>(($O166*AQ166)/100)+(AR166*12)</x:f>
      </x:c>
      <x:c r="AT166" s="47"/>
      <x:c r="AU166" s="60"/>
      <x:c r="AV166" s="58">
        <x:f>(($O166*AT166)/100)+(AU166*12)</x:f>
      </x:c>
      <x:c r="AW166" s="47"/>
      <x:c r="AX166" s="60"/>
      <x:c r="AY166" s="58">
        <x:f>(($O166*AW166)/100)+(AX166*12)</x:f>
      </x:c>
      <x:c r="AZ166" s="47"/>
      <x:c r="BA166" s="60"/>
      <x:c r="BB166" s="58">
        <x:f>(($O166*AZ166)/100)+(BA166*12)</x:f>
      </x:c>
      <x:c r="BC166" s="47"/>
      <x:c r="BD166" s="60"/>
      <x:c r="BE166" s="58">
        <x:f>(($O166*BC166)/100)+(BD166*12)</x:f>
      </x:c>
      <x:c r="BF166" s="47"/>
      <x:c r="BG166" s="60"/>
      <x:c r="BH166" s="58">
        <x:f>(($O166*BF166)/100)+(BG166*12)</x:f>
      </x:c>
      <x:c r="BI166" s="47"/>
      <x:c r="BJ166" s="60"/>
      <x:c r="BK166" s="58">
        <x:f>(($O166*BI166)/100)+(BJ166*12)</x:f>
      </x:c>
      <x:c r="BL166" s="47"/>
      <x:c r="BM166" s="60"/>
      <x:c r="BN166" s="58">
        <x:f>(($O166*BL166)/100)+(BM166*12)</x:f>
      </x:c>
      <x:c r="BO166" s="47"/>
      <x:c r="BP166" s="60"/>
      <x:c r="BQ166" s="58">
        <x:f>(($O166*BO166)/100)+(BP166*12)</x:f>
      </x:c>
      <x:c r="BR166" s="47"/>
      <x:c r="BS166" s="60"/>
      <x:c r="BT166" s="58">
        <x:f>(($O166*BR166)/100)+(BS166*12)</x:f>
      </x:c>
      <x:c r="BU166" s="47"/>
      <x:c r="BV166" s="60"/>
      <x:c r="BW166" s="58">
        <x:f>(($O166*BU166)/100)+(BV166*12)</x:f>
      </x:c>
      <x:c r="BX166" s="47"/>
      <x:c r="BY166" s="60"/>
      <x:c r="BZ166" s="58">
        <x:f>(($O166*BX166)/100)+(BY166*12)</x:f>
      </x:c>
      <x:c r="CA166" s="47"/>
      <x:c r="CB166" s="60"/>
      <x:c r="CC166" s="58">
        <x:f>(($O166*CA166)/100)+(CB166*12)</x:f>
      </x:c>
      <x:c r="CD166" s="47"/>
      <x:c r="CE166" s="60"/>
      <x:c r="CF166" s="58">
        <x:f>(($O166*CD166)/100)+(CE166*12)</x:f>
      </x:c>
      <x:c r="CG166" s="47"/>
      <x:c r="CH166" s="60"/>
      <x:c r="CI166" s="58">
        <x:f>(($O166*CG166)/100)+(CH166*12)</x:f>
      </x:c>
      <x:c r="CJ166" s="47"/>
      <x:c r="CK166" s="60"/>
      <x:c r="CL166" s="58">
        <x:f>(($O166*CJ166)/100)+(CK166*12)</x:f>
      </x:c>
      <x:c r="CM166" s="47"/>
      <x:c r="CN166" s="60"/>
      <x:c r="CO166" s="58">
        <x:f>(($O166*CM166)/100)+(CN166*12)</x:f>
      </x:c>
      <x:c r="CP166" s="47"/>
      <x:c r="CQ166" s="60"/>
      <x:c r="CR166" s="58">
        <x:f>(($O166*CP166)/100)+(CQ166*12)</x:f>
      </x:c>
      <x:c r="CS166" s="47"/>
      <x:c r="CT166" s="60"/>
      <x:c r="CU166" s="58">
        <x:f>(($O166*CS166)/100)+(CT166*12)</x:f>
      </x:c>
      <x:c r="CV166" s="47"/>
      <x:c r="CW166" s="60"/>
      <x:c r="CX166" s="58"/>
      <x:c r="CY166" s="47"/>
      <x:c r="CZ166" s="60"/>
      <x:c r="DA166" s="58"/>
      <x:c r="DB166" s="47"/>
      <x:c r="DC166" s="60"/>
      <x:c r="DD166" s="58"/>
      <x:c r="DE166" s="47"/>
      <x:c r="DF166" s="60"/>
      <x:c r="DG166" s="58"/>
      <x:c r="DH166" s="47"/>
      <x:c r="DI166" s="60"/>
      <x:c r="DJ166" s="58"/>
      <x:c r="DK166" s="47"/>
      <x:c r="DL166" s="60"/>
      <x:c r="DM166" s="58"/>
      <x:c r="DN166" s="11"/>
      <x:c r="DO166" s="61"/>
      <x:c r="DP166" s="62"/>
      <x:c r="DQ166" s="11"/>
      <x:c r="DR166" s="61"/>
      <x:c r="DS166" s="62"/>
      <x:c r="DT166" s="11"/>
      <x:c r="DU166" s="61"/>
      <x:c r="DV166" s="62"/>
    </x:row>
    <x:row r="167" spans="1:126" x14ac:dyDescent="0.3">
      <x:c r="A167" s="47"/>
      <x:c r="B167" s="70"/>
      <x:c r="C167" s="70"/>
      <x:c r="D167" s="70"/>
      <x:c r="E167" s="70"/>
      <x:c r="F167" s="70"/>
      <x:c r="G167" s="70"/>
      <x:c r="H167" s="70"/>
      <x:c r="I167" s="70"/>
      <x:c r="J167" s="70"/>
      <x:c r="K167" s="190"/>
      <x:c r="L167" s="191"/>
      <x:c r="M167" s="192">
        <x:f>IF(ISERROR(INDEX('Meter Type Data'!$B$2:$E$1165,SUMPRODUCT(--('Meter Type Data'!$B$2:$B$1165&lt;=Analysis!L167)*('Meter Type Data'!$C$2:$C$1165&gt;=Analysis!L167),ROW('Meter Type Data'!$B$2:$B$1165))-1,4))," ",INDEX('Meter Type Data'!$B$2:$E$1165,SUMPRODUCT(--('Meter Type Data'!$B$2:$B$1165&lt;=Analysis!L167)*('Meter Type Data'!$C$2:$C$1165&gt;=Analysis!L167),ROW('Meter Type Data'!$B$2:$B$1165))-1,4))</x:f>
      </x:c>
      <x:c r="N167" s="192">
        <x:f>IF(ISERROR(INDEX('Meter Type Data'!$B$2:$D$1165,SUMPRODUCT(--('Meter Type Data'!$B$2:$B$1165&lt;=Analysis!L167)*('Meter Type Data'!$C$2:$C$1165&gt;=Analysis!L167),ROW('Meter Type Data'!$B$2:$B$1165))-1,3))," ",INDEX('Meter Type Data'!$B$2:$D$1165,SUMPRODUCT(--('Meter Type Data'!$B$2:$B$1165&lt;=Analysis!L167)*('Meter Type Data'!$C$2:$C$1165&gt;=Analysis!L167),ROW('Meter Type Data'!$B$2:$B$1165))-1,3))</x:f>
      </x:c>
      <x:c r="O167" s="69"/>
      <x:c r="P167" s="47"/>
      <x:c r="Q167" s="60"/>
      <x:c r="R167" s="58">
        <x:f>(($O167*P167)/100)+(Q167*12)</x:f>
      </x:c>
      <x:c r="S167" s="59"/>
      <x:c r="T167" s="59"/>
      <x:c r="U167" s="58">
        <x:f>(($O167*S167)/100)+(T167*12)</x:f>
      </x:c>
      <x:c r="V167" s="47"/>
      <x:c r="W167" s="60"/>
      <x:c r="X167" s="58">
        <x:f>(($O167*V167)/100)+(W167*12)</x:f>
      </x:c>
      <x:c r="Y167" s="47"/>
      <x:c r="Z167" s="60"/>
      <x:c r="AA167" s="58">
        <x:f>(($O167*Y167)/100)+(Z167*12)</x:f>
      </x:c>
      <x:c r="AB167" s="47"/>
      <x:c r="AC167" s="60"/>
      <x:c r="AD167" s="58">
        <x:f>(($O167*AB167)/100)+(AC167*12)</x:f>
      </x:c>
      <x:c r="AE167" s="47"/>
      <x:c r="AF167" s="60"/>
      <x:c r="AG167" s="58">
        <x:f>(($O167*AE167)/100)+(AF167*12)</x:f>
      </x:c>
      <x:c r="AH167" s="47"/>
      <x:c r="AI167" s="60"/>
      <x:c r="AJ167" s="58">
        <x:f>(($O167*AH167)/100)+(AI167*12)</x:f>
      </x:c>
      <x:c r="AK167" s="47"/>
      <x:c r="AL167" s="60"/>
      <x:c r="AM167" s="58">
        <x:f>(($O167*AK167)/100)+(AL167*12)</x:f>
      </x:c>
      <x:c r="AN167" s="47"/>
      <x:c r="AO167" s="60"/>
      <x:c r="AP167" s="58">
        <x:f>(($O167*AN167)/100)+(AO167*12)</x:f>
      </x:c>
      <x:c r="AQ167" s="47"/>
      <x:c r="AR167" s="60"/>
      <x:c r="AS167" s="58">
        <x:f>(($O167*AQ167)/100)+(AR167*12)</x:f>
      </x:c>
      <x:c r="AT167" s="47"/>
      <x:c r="AU167" s="60"/>
      <x:c r="AV167" s="58">
        <x:f>(($O167*AT167)/100)+(AU167*12)</x:f>
      </x:c>
      <x:c r="AW167" s="47"/>
      <x:c r="AX167" s="60"/>
      <x:c r="AY167" s="58">
        <x:f>(($O167*AW167)/100)+(AX167*12)</x:f>
      </x:c>
      <x:c r="AZ167" s="47"/>
      <x:c r="BA167" s="60"/>
      <x:c r="BB167" s="58">
        <x:f>(($O167*AZ167)/100)+(BA167*12)</x:f>
      </x:c>
      <x:c r="BC167" s="47"/>
      <x:c r="BD167" s="60"/>
      <x:c r="BE167" s="58">
        <x:f>(($O167*BC167)/100)+(BD167*12)</x:f>
      </x:c>
      <x:c r="BF167" s="47"/>
      <x:c r="BG167" s="60"/>
      <x:c r="BH167" s="58">
        <x:f>(($O167*BF167)/100)+(BG167*12)</x:f>
      </x:c>
      <x:c r="BI167" s="47"/>
      <x:c r="BJ167" s="60"/>
      <x:c r="BK167" s="58">
        <x:f>(($O167*BI167)/100)+(BJ167*12)</x:f>
      </x:c>
      <x:c r="BL167" s="47"/>
      <x:c r="BM167" s="60"/>
      <x:c r="BN167" s="58">
        <x:f>(($O167*BL167)/100)+(BM167*12)</x:f>
      </x:c>
      <x:c r="BO167" s="47"/>
      <x:c r="BP167" s="60"/>
      <x:c r="BQ167" s="58">
        <x:f>(($O167*BO167)/100)+(BP167*12)</x:f>
      </x:c>
      <x:c r="BR167" s="47"/>
      <x:c r="BS167" s="60"/>
      <x:c r="BT167" s="58">
        <x:f>(($O167*BR167)/100)+(BS167*12)</x:f>
      </x:c>
      <x:c r="BU167" s="47"/>
      <x:c r="BV167" s="60"/>
      <x:c r="BW167" s="58">
        <x:f>(($O167*BU167)/100)+(BV167*12)</x:f>
      </x:c>
      <x:c r="BX167" s="47"/>
      <x:c r="BY167" s="60"/>
      <x:c r="BZ167" s="58">
        <x:f>(($O167*BX167)/100)+(BY167*12)</x:f>
      </x:c>
      <x:c r="CA167" s="47"/>
      <x:c r="CB167" s="60"/>
      <x:c r="CC167" s="58">
        <x:f>(($O167*CA167)/100)+(CB167*12)</x:f>
      </x:c>
      <x:c r="CD167" s="47"/>
      <x:c r="CE167" s="60"/>
      <x:c r="CF167" s="58">
        <x:f>(($O167*CD167)/100)+(CE167*12)</x:f>
      </x:c>
      <x:c r="CG167" s="47"/>
      <x:c r="CH167" s="60"/>
      <x:c r="CI167" s="58">
        <x:f>(($O167*CG167)/100)+(CH167*12)</x:f>
      </x:c>
      <x:c r="CJ167" s="47"/>
      <x:c r="CK167" s="60"/>
      <x:c r="CL167" s="58">
        <x:f>(($O167*CJ167)/100)+(CK167*12)</x:f>
      </x:c>
      <x:c r="CM167" s="47"/>
      <x:c r="CN167" s="60"/>
      <x:c r="CO167" s="58">
        <x:f>(($O167*CM167)/100)+(CN167*12)</x:f>
      </x:c>
      <x:c r="CP167" s="47"/>
      <x:c r="CQ167" s="60"/>
      <x:c r="CR167" s="58">
        <x:f>(($O167*CP167)/100)+(CQ167*12)</x:f>
      </x:c>
      <x:c r="CS167" s="47"/>
      <x:c r="CT167" s="60"/>
      <x:c r="CU167" s="58">
        <x:f>(($O167*CS167)/100)+(CT167*12)</x:f>
      </x:c>
      <x:c r="CV167" s="47"/>
      <x:c r="CW167" s="60"/>
      <x:c r="CX167" s="58"/>
      <x:c r="CY167" s="47"/>
      <x:c r="CZ167" s="60"/>
      <x:c r="DA167" s="58"/>
      <x:c r="DB167" s="47"/>
      <x:c r="DC167" s="60"/>
      <x:c r="DD167" s="58"/>
      <x:c r="DE167" s="47"/>
      <x:c r="DF167" s="60"/>
      <x:c r="DG167" s="58"/>
      <x:c r="DH167" s="47"/>
      <x:c r="DI167" s="60"/>
      <x:c r="DJ167" s="58"/>
      <x:c r="DK167" s="47"/>
      <x:c r="DL167" s="60"/>
      <x:c r="DM167" s="58"/>
      <x:c r="DN167" s="11"/>
      <x:c r="DO167" s="61"/>
      <x:c r="DP167" s="62"/>
      <x:c r="DQ167" s="11"/>
      <x:c r="DR167" s="61"/>
      <x:c r="DS167" s="62"/>
      <x:c r="DT167" s="11"/>
      <x:c r="DU167" s="61"/>
      <x:c r="DV167" s="62"/>
    </x:row>
    <x:row r="168" spans="1:126" x14ac:dyDescent="0.3">
      <x:c r="A168" s="47"/>
      <x:c r="B168" s="70"/>
      <x:c r="C168" s="70"/>
      <x:c r="D168" s="70"/>
      <x:c r="E168" s="70"/>
      <x:c r="F168" s="70"/>
      <x:c r="G168" s="70"/>
      <x:c r="H168" s="70"/>
      <x:c r="I168" s="70"/>
      <x:c r="J168" s="70"/>
      <x:c r="K168" s="190"/>
      <x:c r="L168" s="191"/>
      <x:c r="M168" s="192">
        <x:f>IF(ISERROR(INDEX('Meter Type Data'!$B$2:$E$1165,SUMPRODUCT(--('Meter Type Data'!$B$2:$B$1165&lt;=Analysis!L168)*('Meter Type Data'!$C$2:$C$1165&gt;=Analysis!L168),ROW('Meter Type Data'!$B$2:$B$1165))-1,4))," ",INDEX('Meter Type Data'!$B$2:$E$1165,SUMPRODUCT(--('Meter Type Data'!$B$2:$B$1165&lt;=Analysis!L168)*('Meter Type Data'!$C$2:$C$1165&gt;=Analysis!L168),ROW('Meter Type Data'!$B$2:$B$1165))-1,4))</x:f>
      </x:c>
      <x:c r="N168" s="192">
        <x:f>IF(ISERROR(INDEX('Meter Type Data'!$B$2:$D$1165,SUMPRODUCT(--('Meter Type Data'!$B$2:$B$1165&lt;=Analysis!L168)*('Meter Type Data'!$C$2:$C$1165&gt;=Analysis!L168),ROW('Meter Type Data'!$B$2:$B$1165))-1,3))," ",INDEX('Meter Type Data'!$B$2:$D$1165,SUMPRODUCT(--('Meter Type Data'!$B$2:$B$1165&lt;=Analysis!L168)*('Meter Type Data'!$C$2:$C$1165&gt;=Analysis!L168),ROW('Meter Type Data'!$B$2:$B$1165))-1,3))</x:f>
      </x:c>
      <x:c r="O168" s="69"/>
      <x:c r="P168" s="47"/>
      <x:c r="Q168" s="60"/>
      <x:c r="R168" s="58">
        <x:f>(($O168*P168)/100)+(Q168*12)</x:f>
      </x:c>
      <x:c r="S168" s="59"/>
      <x:c r="T168" s="59"/>
      <x:c r="U168" s="58">
        <x:f>(($O168*S168)/100)+(T168*12)</x:f>
      </x:c>
      <x:c r="V168" s="47"/>
      <x:c r="W168" s="60"/>
      <x:c r="X168" s="58">
        <x:f>(($O168*V168)/100)+(W168*12)</x:f>
      </x:c>
      <x:c r="Y168" s="47"/>
      <x:c r="Z168" s="60"/>
      <x:c r="AA168" s="58">
        <x:f>(($O168*Y168)/100)+(Z168*12)</x:f>
      </x:c>
      <x:c r="AB168" s="47"/>
      <x:c r="AC168" s="60"/>
      <x:c r="AD168" s="58">
        <x:f>(($O168*AB168)/100)+(AC168*12)</x:f>
      </x:c>
      <x:c r="AE168" s="47"/>
      <x:c r="AF168" s="60"/>
      <x:c r="AG168" s="58">
        <x:f>(($O168*AE168)/100)+(AF168*12)</x:f>
      </x:c>
      <x:c r="AH168" s="47"/>
      <x:c r="AI168" s="60"/>
      <x:c r="AJ168" s="58">
        <x:f>(($O168*AH168)/100)+(AI168*12)</x:f>
      </x:c>
      <x:c r="AK168" s="47"/>
      <x:c r="AL168" s="60"/>
      <x:c r="AM168" s="58">
        <x:f>(($O168*AK168)/100)+(AL168*12)</x:f>
      </x:c>
      <x:c r="AN168" s="47"/>
      <x:c r="AO168" s="60"/>
      <x:c r="AP168" s="58">
        <x:f>(($O168*AN168)/100)+(AO168*12)</x:f>
      </x:c>
      <x:c r="AQ168" s="47"/>
      <x:c r="AR168" s="60"/>
      <x:c r="AS168" s="58">
        <x:f>(($O168*AQ168)/100)+(AR168*12)</x:f>
      </x:c>
      <x:c r="AT168" s="47"/>
      <x:c r="AU168" s="60"/>
      <x:c r="AV168" s="58">
        <x:f>(($O168*AT168)/100)+(AU168*12)</x:f>
      </x:c>
      <x:c r="AW168" s="47"/>
      <x:c r="AX168" s="60"/>
      <x:c r="AY168" s="58">
        <x:f>(($O168*AW168)/100)+(AX168*12)</x:f>
      </x:c>
      <x:c r="AZ168" s="47"/>
      <x:c r="BA168" s="60"/>
      <x:c r="BB168" s="58">
        <x:f>(($O168*AZ168)/100)+(BA168*12)</x:f>
      </x:c>
      <x:c r="BC168" s="47"/>
      <x:c r="BD168" s="60"/>
      <x:c r="BE168" s="58">
        <x:f>(($O168*BC168)/100)+(BD168*12)</x:f>
      </x:c>
      <x:c r="BF168" s="47"/>
      <x:c r="BG168" s="60"/>
      <x:c r="BH168" s="58">
        <x:f>(($O168*BF168)/100)+(BG168*12)</x:f>
      </x:c>
      <x:c r="BI168" s="47"/>
      <x:c r="BJ168" s="60"/>
      <x:c r="BK168" s="58">
        <x:f>(($O168*BI168)/100)+(BJ168*12)</x:f>
      </x:c>
      <x:c r="BL168" s="47"/>
      <x:c r="BM168" s="60"/>
      <x:c r="BN168" s="58">
        <x:f>(($O168*BL168)/100)+(BM168*12)</x:f>
      </x:c>
      <x:c r="BO168" s="47"/>
      <x:c r="BP168" s="60"/>
      <x:c r="BQ168" s="58">
        <x:f>(($O168*BO168)/100)+(BP168*12)</x:f>
      </x:c>
      <x:c r="BR168" s="47"/>
      <x:c r="BS168" s="60"/>
      <x:c r="BT168" s="58">
        <x:f>(($O168*BR168)/100)+(BS168*12)</x:f>
      </x:c>
      <x:c r="BU168" s="47"/>
      <x:c r="BV168" s="60"/>
      <x:c r="BW168" s="58">
        <x:f>(($O168*BU168)/100)+(BV168*12)</x:f>
      </x:c>
      <x:c r="BX168" s="47"/>
      <x:c r="BY168" s="60"/>
      <x:c r="BZ168" s="58">
        <x:f>(($O168*BX168)/100)+(BY168*12)</x:f>
      </x:c>
      <x:c r="CA168" s="47"/>
      <x:c r="CB168" s="60"/>
      <x:c r="CC168" s="58">
        <x:f>(($O168*CA168)/100)+(CB168*12)</x:f>
      </x:c>
      <x:c r="CD168" s="47"/>
      <x:c r="CE168" s="60"/>
      <x:c r="CF168" s="58">
        <x:f>(($O168*CD168)/100)+(CE168*12)</x:f>
      </x:c>
      <x:c r="CG168" s="47"/>
      <x:c r="CH168" s="60"/>
      <x:c r="CI168" s="58">
        <x:f>(($O168*CG168)/100)+(CH168*12)</x:f>
      </x:c>
      <x:c r="CJ168" s="47"/>
      <x:c r="CK168" s="60"/>
      <x:c r="CL168" s="58">
        <x:f>(($O168*CJ168)/100)+(CK168*12)</x:f>
      </x:c>
      <x:c r="CM168" s="47"/>
      <x:c r="CN168" s="60"/>
      <x:c r="CO168" s="58">
        <x:f>(($O168*CM168)/100)+(CN168*12)</x:f>
      </x:c>
      <x:c r="CP168" s="47"/>
      <x:c r="CQ168" s="60"/>
      <x:c r="CR168" s="58">
        <x:f>(($O168*CP168)/100)+(CQ168*12)</x:f>
      </x:c>
      <x:c r="CS168" s="47"/>
      <x:c r="CT168" s="60"/>
      <x:c r="CU168" s="58">
        <x:f>(($O168*CS168)/100)+(CT168*12)</x:f>
      </x:c>
      <x:c r="CV168" s="47"/>
      <x:c r="CW168" s="60"/>
      <x:c r="CX168" s="58"/>
      <x:c r="CY168" s="47"/>
      <x:c r="CZ168" s="60"/>
      <x:c r="DA168" s="58"/>
      <x:c r="DB168" s="47"/>
      <x:c r="DC168" s="60"/>
      <x:c r="DD168" s="58"/>
      <x:c r="DE168" s="47"/>
      <x:c r="DF168" s="60"/>
      <x:c r="DG168" s="58"/>
      <x:c r="DH168" s="47"/>
      <x:c r="DI168" s="60"/>
      <x:c r="DJ168" s="58"/>
      <x:c r="DK168" s="47"/>
      <x:c r="DL168" s="60"/>
      <x:c r="DM168" s="58"/>
      <x:c r="DN168" s="11"/>
      <x:c r="DO168" s="61"/>
      <x:c r="DP168" s="62"/>
      <x:c r="DQ168" s="11"/>
      <x:c r="DR168" s="61"/>
      <x:c r="DS168" s="62"/>
      <x:c r="DT168" s="11"/>
      <x:c r="DU168" s="61"/>
      <x:c r="DV168" s="62"/>
    </x:row>
    <x:row r="169" spans="1:126" x14ac:dyDescent="0.3">
      <x:c r="A169" s="47"/>
      <x:c r="B169" s="70"/>
      <x:c r="C169" s="70"/>
      <x:c r="D169" s="70"/>
      <x:c r="E169" s="70"/>
      <x:c r="F169" s="70"/>
      <x:c r="G169" s="70"/>
      <x:c r="H169" s="70"/>
      <x:c r="I169" s="70"/>
      <x:c r="J169" s="70"/>
      <x:c r="K169" s="190"/>
      <x:c r="L169" s="191"/>
      <x:c r="M169" s="192">
        <x:f>IF(ISERROR(INDEX('Meter Type Data'!$B$2:$E$1165,SUMPRODUCT(--('Meter Type Data'!$B$2:$B$1165&lt;=Analysis!L169)*('Meter Type Data'!$C$2:$C$1165&gt;=Analysis!L169),ROW('Meter Type Data'!$B$2:$B$1165))-1,4))," ",INDEX('Meter Type Data'!$B$2:$E$1165,SUMPRODUCT(--('Meter Type Data'!$B$2:$B$1165&lt;=Analysis!L169)*('Meter Type Data'!$C$2:$C$1165&gt;=Analysis!L169),ROW('Meter Type Data'!$B$2:$B$1165))-1,4))</x:f>
      </x:c>
      <x:c r="N169" s="192">
        <x:f>IF(ISERROR(INDEX('Meter Type Data'!$B$2:$D$1165,SUMPRODUCT(--('Meter Type Data'!$B$2:$B$1165&lt;=Analysis!L169)*('Meter Type Data'!$C$2:$C$1165&gt;=Analysis!L169),ROW('Meter Type Data'!$B$2:$B$1165))-1,3))," ",INDEX('Meter Type Data'!$B$2:$D$1165,SUMPRODUCT(--('Meter Type Data'!$B$2:$B$1165&lt;=Analysis!L169)*('Meter Type Data'!$C$2:$C$1165&gt;=Analysis!L169),ROW('Meter Type Data'!$B$2:$B$1165))-1,3))</x:f>
      </x:c>
      <x:c r="O169" s="69"/>
      <x:c r="P169" s="47"/>
      <x:c r="Q169" s="60"/>
      <x:c r="R169" s="58">
        <x:f>(($O169*P169)/100)+(Q169*12)</x:f>
      </x:c>
      <x:c r="S169" s="59"/>
      <x:c r="T169" s="59"/>
      <x:c r="U169" s="58">
        <x:f>(($O169*S169)/100)+(T169*12)</x:f>
      </x:c>
      <x:c r="V169" s="47"/>
      <x:c r="W169" s="60"/>
      <x:c r="X169" s="58">
        <x:f>(($O169*V169)/100)+(W169*12)</x:f>
      </x:c>
      <x:c r="Y169" s="47"/>
      <x:c r="Z169" s="60"/>
      <x:c r="AA169" s="58">
        <x:f>(($O169*Y169)/100)+(Z169*12)</x:f>
      </x:c>
      <x:c r="AB169" s="47"/>
      <x:c r="AC169" s="60"/>
      <x:c r="AD169" s="58">
        <x:f>(($O169*AB169)/100)+(AC169*12)</x:f>
      </x:c>
      <x:c r="AE169" s="47"/>
      <x:c r="AF169" s="60"/>
      <x:c r="AG169" s="58">
        <x:f>(($O169*AE169)/100)+(AF169*12)</x:f>
      </x:c>
      <x:c r="AH169" s="47"/>
      <x:c r="AI169" s="60"/>
      <x:c r="AJ169" s="58">
        <x:f>(($O169*AH169)/100)+(AI169*12)</x:f>
      </x:c>
      <x:c r="AK169" s="47"/>
      <x:c r="AL169" s="60"/>
      <x:c r="AM169" s="58">
        <x:f>(($O169*AK169)/100)+(AL169*12)</x:f>
      </x:c>
      <x:c r="AN169" s="47"/>
      <x:c r="AO169" s="60"/>
      <x:c r="AP169" s="58">
        <x:f>(($O169*AN169)/100)+(AO169*12)</x:f>
      </x:c>
      <x:c r="AQ169" s="47"/>
      <x:c r="AR169" s="60"/>
      <x:c r="AS169" s="58">
        <x:f>(($O169*AQ169)/100)+(AR169*12)</x:f>
      </x:c>
      <x:c r="AT169" s="47"/>
      <x:c r="AU169" s="60"/>
      <x:c r="AV169" s="58">
        <x:f>(($O169*AT169)/100)+(AU169*12)</x:f>
      </x:c>
      <x:c r="AW169" s="47"/>
      <x:c r="AX169" s="60"/>
      <x:c r="AY169" s="58">
        <x:f>(($O169*AW169)/100)+(AX169*12)</x:f>
      </x:c>
      <x:c r="AZ169" s="47"/>
      <x:c r="BA169" s="60"/>
      <x:c r="BB169" s="58">
        <x:f>(($O169*AZ169)/100)+(BA169*12)</x:f>
      </x:c>
      <x:c r="BC169" s="47"/>
      <x:c r="BD169" s="60"/>
      <x:c r="BE169" s="58">
        <x:f>(($O169*BC169)/100)+(BD169*12)</x:f>
      </x:c>
      <x:c r="BF169" s="47"/>
      <x:c r="BG169" s="60"/>
      <x:c r="BH169" s="58">
        <x:f>(($O169*BF169)/100)+(BG169*12)</x:f>
      </x:c>
      <x:c r="BI169" s="47"/>
      <x:c r="BJ169" s="60"/>
      <x:c r="BK169" s="58">
        <x:f>(($O169*BI169)/100)+(BJ169*12)</x:f>
      </x:c>
      <x:c r="BL169" s="47"/>
      <x:c r="BM169" s="60"/>
      <x:c r="BN169" s="58">
        <x:f>(($O169*BL169)/100)+(BM169*12)</x:f>
      </x:c>
      <x:c r="BO169" s="47"/>
      <x:c r="BP169" s="60"/>
      <x:c r="BQ169" s="58">
        <x:f>(($O169*BO169)/100)+(BP169*12)</x:f>
      </x:c>
      <x:c r="BR169" s="47"/>
      <x:c r="BS169" s="60"/>
      <x:c r="BT169" s="58">
        <x:f>(($O169*BR169)/100)+(BS169*12)</x:f>
      </x:c>
      <x:c r="BU169" s="47"/>
      <x:c r="BV169" s="60"/>
      <x:c r="BW169" s="58">
        <x:f>(($O169*BU169)/100)+(BV169*12)</x:f>
      </x:c>
      <x:c r="BX169" s="47"/>
      <x:c r="BY169" s="60"/>
      <x:c r="BZ169" s="58">
        <x:f>(($O169*BX169)/100)+(BY169*12)</x:f>
      </x:c>
      <x:c r="CA169" s="47"/>
      <x:c r="CB169" s="60"/>
      <x:c r="CC169" s="58">
        <x:f>(($O169*CA169)/100)+(CB169*12)</x:f>
      </x:c>
      <x:c r="CD169" s="47"/>
      <x:c r="CE169" s="60"/>
      <x:c r="CF169" s="58">
        <x:f>(($O169*CD169)/100)+(CE169*12)</x:f>
      </x:c>
      <x:c r="CG169" s="47"/>
      <x:c r="CH169" s="60"/>
      <x:c r="CI169" s="58">
        <x:f>(($O169*CG169)/100)+(CH169*12)</x:f>
      </x:c>
      <x:c r="CJ169" s="47"/>
      <x:c r="CK169" s="60"/>
      <x:c r="CL169" s="58">
        <x:f>(($O169*CJ169)/100)+(CK169*12)</x:f>
      </x:c>
      <x:c r="CM169" s="47"/>
      <x:c r="CN169" s="60"/>
      <x:c r="CO169" s="58">
        <x:f>(($O169*CM169)/100)+(CN169*12)</x:f>
      </x:c>
      <x:c r="CP169" s="47"/>
      <x:c r="CQ169" s="60"/>
      <x:c r="CR169" s="58">
        <x:f>(($O169*CP169)/100)+(CQ169*12)</x:f>
      </x:c>
      <x:c r="CS169" s="47"/>
      <x:c r="CT169" s="60"/>
      <x:c r="CU169" s="58">
        <x:f>(($O169*CS169)/100)+(CT169*12)</x:f>
      </x:c>
      <x:c r="CV169" s="47"/>
      <x:c r="CW169" s="60"/>
      <x:c r="CX169" s="58"/>
      <x:c r="CY169" s="47"/>
      <x:c r="CZ169" s="60"/>
      <x:c r="DA169" s="58"/>
      <x:c r="DB169" s="47"/>
      <x:c r="DC169" s="60"/>
      <x:c r="DD169" s="58"/>
      <x:c r="DE169" s="47"/>
      <x:c r="DF169" s="60"/>
      <x:c r="DG169" s="58"/>
      <x:c r="DH169" s="47"/>
      <x:c r="DI169" s="60"/>
      <x:c r="DJ169" s="58"/>
      <x:c r="DK169" s="47"/>
      <x:c r="DL169" s="60"/>
      <x:c r="DM169" s="58"/>
      <x:c r="DN169" s="11"/>
      <x:c r="DO169" s="61"/>
      <x:c r="DP169" s="62"/>
      <x:c r="DQ169" s="11"/>
      <x:c r="DR169" s="61"/>
      <x:c r="DS169" s="62"/>
      <x:c r="DT169" s="11"/>
      <x:c r="DU169" s="61"/>
      <x:c r="DV169" s="62"/>
    </x:row>
    <x:row r="170" spans="1:126" x14ac:dyDescent="0.3">
      <x:c r="A170" s="47"/>
      <x:c r="B170" s="70"/>
      <x:c r="C170" s="70"/>
      <x:c r="D170" s="70"/>
      <x:c r="E170" s="70"/>
      <x:c r="F170" s="70"/>
      <x:c r="G170" s="70"/>
      <x:c r="H170" s="70"/>
      <x:c r="I170" s="70"/>
      <x:c r="J170" s="70"/>
      <x:c r="K170" s="190"/>
      <x:c r="L170" s="191"/>
      <x:c r="M170" s="192">
        <x:f>IF(ISERROR(INDEX('Meter Type Data'!$B$2:$E$1165,SUMPRODUCT(--('Meter Type Data'!$B$2:$B$1165&lt;=Analysis!L170)*('Meter Type Data'!$C$2:$C$1165&gt;=Analysis!L170),ROW('Meter Type Data'!$B$2:$B$1165))-1,4))," ",INDEX('Meter Type Data'!$B$2:$E$1165,SUMPRODUCT(--('Meter Type Data'!$B$2:$B$1165&lt;=Analysis!L170)*('Meter Type Data'!$C$2:$C$1165&gt;=Analysis!L170),ROW('Meter Type Data'!$B$2:$B$1165))-1,4))</x:f>
      </x:c>
      <x:c r="N170" s="192">
        <x:f>IF(ISERROR(INDEX('Meter Type Data'!$B$2:$D$1165,SUMPRODUCT(--('Meter Type Data'!$B$2:$B$1165&lt;=Analysis!L170)*('Meter Type Data'!$C$2:$C$1165&gt;=Analysis!L170),ROW('Meter Type Data'!$B$2:$B$1165))-1,3))," ",INDEX('Meter Type Data'!$B$2:$D$1165,SUMPRODUCT(--('Meter Type Data'!$B$2:$B$1165&lt;=Analysis!L170)*('Meter Type Data'!$C$2:$C$1165&gt;=Analysis!L170),ROW('Meter Type Data'!$B$2:$B$1165))-1,3))</x:f>
      </x:c>
      <x:c r="O170" s="69"/>
      <x:c r="P170" s="47"/>
      <x:c r="Q170" s="60"/>
      <x:c r="R170" s="58">
        <x:f>(($O170*P170)/100)+(Q170*12)</x:f>
      </x:c>
      <x:c r="S170" s="59"/>
      <x:c r="T170" s="59"/>
      <x:c r="U170" s="58">
        <x:f>(($O170*S170)/100)+(T170*12)</x:f>
      </x:c>
      <x:c r="V170" s="47"/>
      <x:c r="W170" s="60"/>
      <x:c r="X170" s="58">
        <x:f>(($O170*V170)/100)+(W170*12)</x:f>
      </x:c>
      <x:c r="Y170" s="47"/>
      <x:c r="Z170" s="60"/>
      <x:c r="AA170" s="58">
        <x:f>(($O170*Y170)/100)+(Z170*12)</x:f>
      </x:c>
      <x:c r="AB170" s="47"/>
      <x:c r="AC170" s="60"/>
      <x:c r="AD170" s="58">
        <x:f>(($O170*AB170)/100)+(AC170*12)</x:f>
      </x:c>
      <x:c r="AE170" s="47"/>
      <x:c r="AF170" s="60"/>
      <x:c r="AG170" s="58">
        <x:f>(($O170*AE170)/100)+(AF170*12)</x:f>
      </x:c>
      <x:c r="AH170" s="47"/>
      <x:c r="AI170" s="60"/>
      <x:c r="AJ170" s="58">
        <x:f>(($O170*AH170)/100)+(AI170*12)</x:f>
      </x:c>
      <x:c r="AK170" s="47"/>
      <x:c r="AL170" s="60"/>
      <x:c r="AM170" s="58">
        <x:f>(($O170*AK170)/100)+(AL170*12)</x:f>
      </x:c>
      <x:c r="AN170" s="47"/>
      <x:c r="AO170" s="60"/>
      <x:c r="AP170" s="58">
        <x:f>(($O170*AN170)/100)+(AO170*12)</x:f>
      </x:c>
      <x:c r="AQ170" s="47"/>
      <x:c r="AR170" s="60"/>
      <x:c r="AS170" s="58">
        <x:f>(($O170*AQ170)/100)+(AR170*12)</x:f>
      </x:c>
      <x:c r="AT170" s="47"/>
      <x:c r="AU170" s="60"/>
      <x:c r="AV170" s="58">
        <x:f>(($O170*AT170)/100)+(AU170*12)</x:f>
      </x:c>
      <x:c r="AW170" s="47"/>
      <x:c r="AX170" s="60"/>
      <x:c r="AY170" s="58">
        <x:f>(($O170*AW170)/100)+(AX170*12)</x:f>
      </x:c>
      <x:c r="AZ170" s="47"/>
      <x:c r="BA170" s="60"/>
      <x:c r="BB170" s="58">
        <x:f>(($O170*AZ170)/100)+(BA170*12)</x:f>
      </x:c>
      <x:c r="BC170" s="47"/>
      <x:c r="BD170" s="60"/>
      <x:c r="BE170" s="58">
        <x:f>(($O170*BC170)/100)+(BD170*12)</x:f>
      </x:c>
      <x:c r="BF170" s="47"/>
      <x:c r="BG170" s="60"/>
      <x:c r="BH170" s="58">
        <x:f>(($O170*BF170)/100)+(BG170*12)</x:f>
      </x:c>
      <x:c r="BI170" s="47"/>
      <x:c r="BJ170" s="60"/>
      <x:c r="BK170" s="58">
        <x:f>(($O170*BI170)/100)+(BJ170*12)</x:f>
      </x:c>
      <x:c r="BL170" s="47"/>
      <x:c r="BM170" s="60"/>
      <x:c r="BN170" s="58">
        <x:f>(($O170*BL170)/100)+(BM170*12)</x:f>
      </x:c>
      <x:c r="BO170" s="47"/>
      <x:c r="BP170" s="60"/>
      <x:c r="BQ170" s="58">
        <x:f>(($O170*BO170)/100)+(BP170*12)</x:f>
      </x:c>
      <x:c r="BR170" s="47"/>
      <x:c r="BS170" s="60"/>
      <x:c r="BT170" s="58">
        <x:f>(($O170*BR170)/100)+(BS170*12)</x:f>
      </x:c>
      <x:c r="BU170" s="47"/>
      <x:c r="BV170" s="60"/>
      <x:c r="BW170" s="58">
        <x:f>(($O170*BU170)/100)+(BV170*12)</x:f>
      </x:c>
      <x:c r="BX170" s="47"/>
      <x:c r="BY170" s="60"/>
      <x:c r="BZ170" s="58">
        <x:f>(($O170*BX170)/100)+(BY170*12)</x:f>
      </x:c>
      <x:c r="CA170" s="47"/>
      <x:c r="CB170" s="60"/>
      <x:c r="CC170" s="58">
        <x:f>(($O170*CA170)/100)+(CB170*12)</x:f>
      </x:c>
      <x:c r="CD170" s="47"/>
      <x:c r="CE170" s="60"/>
      <x:c r="CF170" s="58">
        <x:f>(($O170*CD170)/100)+(CE170*12)</x:f>
      </x:c>
      <x:c r="CG170" s="47"/>
      <x:c r="CH170" s="60"/>
      <x:c r="CI170" s="58">
        <x:f>(($O170*CG170)/100)+(CH170*12)</x:f>
      </x:c>
      <x:c r="CJ170" s="47"/>
      <x:c r="CK170" s="60"/>
      <x:c r="CL170" s="58">
        <x:f>(($O170*CJ170)/100)+(CK170*12)</x:f>
      </x:c>
      <x:c r="CM170" s="47"/>
      <x:c r="CN170" s="60"/>
      <x:c r="CO170" s="58">
        <x:f>(($O170*CM170)/100)+(CN170*12)</x:f>
      </x:c>
      <x:c r="CP170" s="47"/>
      <x:c r="CQ170" s="60"/>
      <x:c r="CR170" s="58">
        <x:f>(($O170*CP170)/100)+(CQ170*12)</x:f>
      </x:c>
      <x:c r="CS170" s="47"/>
      <x:c r="CT170" s="60"/>
      <x:c r="CU170" s="58">
        <x:f>(($O170*CS170)/100)+(CT170*12)</x:f>
      </x:c>
      <x:c r="CV170" s="47"/>
      <x:c r="CW170" s="60"/>
      <x:c r="CX170" s="58"/>
      <x:c r="CY170" s="47"/>
      <x:c r="CZ170" s="60"/>
      <x:c r="DA170" s="58"/>
      <x:c r="DB170" s="47"/>
      <x:c r="DC170" s="60"/>
      <x:c r="DD170" s="58"/>
      <x:c r="DE170" s="47"/>
      <x:c r="DF170" s="60"/>
      <x:c r="DG170" s="58"/>
      <x:c r="DH170" s="47"/>
      <x:c r="DI170" s="60"/>
      <x:c r="DJ170" s="58"/>
      <x:c r="DK170" s="47"/>
      <x:c r="DL170" s="60"/>
      <x:c r="DM170" s="58"/>
      <x:c r="DN170" s="11"/>
      <x:c r="DO170" s="61"/>
      <x:c r="DP170" s="62"/>
      <x:c r="DQ170" s="11"/>
      <x:c r="DR170" s="61"/>
      <x:c r="DS170" s="62"/>
      <x:c r="DT170" s="11"/>
      <x:c r="DU170" s="61"/>
      <x:c r="DV170" s="62"/>
    </x:row>
    <x:row r="171" spans="1:126" x14ac:dyDescent="0.3">
      <x:c r="A171" s="47"/>
      <x:c r="B171" s="70"/>
      <x:c r="C171" s="70"/>
      <x:c r="D171" s="70"/>
      <x:c r="E171" s="70"/>
      <x:c r="F171" s="70"/>
      <x:c r="G171" s="70"/>
      <x:c r="H171" s="70"/>
      <x:c r="I171" s="70"/>
      <x:c r="J171" s="70"/>
      <x:c r="K171" s="190"/>
      <x:c r="L171" s="191"/>
      <x:c r="M171" s="192">
        <x:f>IF(ISERROR(INDEX('Meter Type Data'!$B$2:$E$1165,SUMPRODUCT(--('Meter Type Data'!$B$2:$B$1165&lt;=Analysis!L171)*('Meter Type Data'!$C$2:$C$1165&gt;=Analysis!L171),ROW('Meter Type Data'!$B$2:$B$1165))-1,4))," ",INDEX('Meter Type Data'!$B$2:$E$1165,SUMPRODUCT(--('Meter Type Data'!$B$2:$B$1165&lt;=Analysis!L171)*('Meter Type Data'!$C$2:$C$1165&gt;=Analysis!L171),ROW('Meter Type Data'!$B$2:$B$1165))-1,4))</x:f>
      </x:c>
      <x:c r="N171" s="192">
        <x:f>IF(ISERROR(INDEX('Meter Type Data'!$B$2:$D$1165,SUMPRODUCT(--('Meter Type Data'!$B$2:$B$1165&lt;=Analysis!L171)*('Meter Type Data'!$C$2:$C$1165&gt;=Analysis!L171),ROW('Meter Type Data'!$B$2:$B$1165))-1,3))," ",INDEX('Meter Type Data'!$B$2:$D$1165,SUMPRODUCT(--('Meter Type Data'!$B$2:$B$1165&lt;=Analysis!L171)*('Meter Type Data'!$C$2:$C$1165&gt;=Analysis!L171),ROW('Meter Type Data'!$B$2:$B$1165))-1,3))</x:f>
      </x:c>
      <x:c r="O171" s="69"/>
      <x:c r="P171" s="47"/>
      <x:c r="Q171" s="60"/>
      <x:c r="R171" s="58">
        <x:f>(($O171*P171)/100)+(Q171*12)</x:f>
      </x:c>
      <x:c r="S171" s="59"/>
      <x:c r="T171" s="59"/>
      <x:c r="U171" s="58">
        <x:f>(($O171*S171)/100)+(T171*12)</x:f>
      </x:c>
      <x:c r="V171" s="47"/>
      <x:c r="W171" s="60"/>
      <x:c r="X171" s="58">
        <x:f>(($O171*V171)/100)+(W171*12)</x:f>
      </x:c>
      <x:c r="Y171" s="47"/>
      <x:c r="Z171" s="60"/>
      <x:c r="AA171" s="58">
        <x:f>(($O171*Y171)/100)+(Z171*12)</x:f>
      </x:c>
      <x:c r="AB171" s="47"/>
      <x:c r="AC171" s="60"/>
      <x:c r="AD171" s="58">
        <x:f>(($O171*AB171)/100)+(AC171*12)</x:f>
      </x:c>
      <x:c r="AE171" s="47"/>
      <x:c r="AF171" s="60"/>
      <x:c r="AG171" s="58">
        <x:f>(($O171*AE171)/100)+(AF171*12)</x:f>
      </x:c>
      <x:c r="AH171" s="47"/>
      <x:c r="AI171" s="60"/>
      <x:c r="AJ171" s="58">
        <x:f>(($O171*AH171)/100)+(AI171*12)</x:f>
      </x:c>
      <x:c r="AK171" s="47"/>
      <x:c r="AL171" s="60"/>
      <x:c r="AM171" s="58">
        <x:f>(($O171*AK171)/100)+(AL171*12)</x:f>
      </x:c>
      <x:c r="AN171" s="47"/>
      <x:c r="AO171" s="60"/>
      <x:c r="AP171" s="58">
        <x:f>(($O171*AN171)/100)+(AO171*12)</x:f>
      </x:c>
      <x:c r="AQ171" s="47"/>
      <x:c r="AR171" s="60"/>
      <x:c r="AS171" s="58">
        <x:f>(($O171*AQ171)/100)+(AR171*12)</x:f>
      </x:c>
      <x:c r="AT171" s="47"/>
      <x:c r="AU171" s="60"/>
      <x:c r="AV171" s="58">
        <x:f>(($O171*AT171)/100)+(AU171*12)</x:f>
      </x:c>
      <x:c r="AW171" s="47"/>
      <x:c r="AX171" s="60"/>
      <x:c r="AY171" s="58">
        <x:f>(($O171*AW171)/100)+(AX171*12)</x:f>
      </x:c>
      <x:c r="AZ171" s="47"/>
      <x:c r="BA171" s="60"/>
      <x:c r="BB171" s="58">
        <x:f>(($O171*AZ171)/100)+(BA171*12)</x:f>
      </x:c>
      <x:c r="BC171" s="47"/>
      <x:c r="BD171" s="60"/>
      <x:c r="BE171" s="58">
        <x:f>(($O171*BC171)/100)+(BD171*12)</x:f>
      </x:c>
      <x:c r="BF171" s="47"/>
      <x:c r="BG171" s="60"/>
      <x:c r="BH171" s="58">
        <x:f>(($O171*BF171)/100)+(BG171*12)</x:f>
      </x:c>
      <x:c r="BI171" s="47"/>
      <x:c r="BJ171" s="60"/>
      <x:c r="BK171" s="58">
        <x:f>(($O171*BI171)/100)+(BJ171*12)</x:f>
      </x:c>
      <x:c r="BL171" s="47"/>
      <x:c r="BM171" s="60"/>
      <x:c r="BN171" s="58">
        <x:f>(($O171*BL171)/100)+(BM171*12)</x:f>
      </x:c>
      <x:c r="BO171" s="47"/>
      <x:c r="BP171" s="60"/>
      <x:c r="BQ171" s="58">
        <x:f>(($O171*BO171)/100)+(BP171*12)</x:f>
      </x:c>
      <x:c r="BR171" s="47"/>
      <x:c r="BS171" s="60"/>
      <x:c r="BT171" s="58">
        <x:f>(($O171*BR171)/100)+(BS171*12)</x:f>
      </x:c>
      <x:c r="BU171" s="47"/>
      <x:c r="BV171" s="60"/>
      <x:c r="BW171" s="58">
        <x:f>(($O171*BU171)/100)+(BV171*12)</x:f>
      </x:c>
      <x:c r="BX171" s="47"/>
      <x:c r="BY171" s="60"/>
      <x:c r="BZ171" s="58">
        <x:f>(($O171*BX171)/100)+(BY171*12)</x:f>
      </x:c>
      <x:c r="CA171" s="47"/>
      <x:c r="CB171" s="60"/>
      <x:c r="CC171" s="58">
        <x:f>(($O171*CA171)/100)+(CB171*12)</x:f>
      </x:c>
      <x:c r="CD171" s="47"/>
      <x:c r="CE171" s="60"/>
      <x:c r="CF171" s="58">
        <x:f>(($O171*CD171)/100)+(CE171*12)</x:f>
      </x:c>
      <x:c r="CG171" s="47"/>
      <x:c r="CH171" s="60"/>
      <x:c r="CI171" s="58">
        <x:f>(($O171*CG171)/100)+(CH171*12)</x:f>
      </x:c>
      <x:c r="CJ171" s="47"/>
      <x:c r="CK171" s="60"/>
      <x:c r="CL171" s="58">
        <x:f>(($O171*CJ171)/100)+(CK171*12)</x:f>
      </x:c>
      <x:c r="CM171" s="47"/>
      <x:c r="CN171" s="60"/>
      <x:c r="CO171" s="58">
        <x:f>(($O171*CM171)/100)+(CN171*12)</x:f>
      </x:c>
      <x:c r="CP171" s="47"/>
      <x:c r="CQ171" s="60"/>
      <x:c r="CR171" s="58">
        <x:f>(($O171*CP171)/100)+(CQ171*12)</x:f>
      </x:c>
      <x:c r="CS171" s="47"/>
      <x:c r="CT171" s="60"/>
      <x:c r="CU171" s="58">
        <x:f>(($O171*CS171)/100)+(CT171*12)</x:f>
      </x:c>
      <x:c r="CV171" s="47"/>
      <x:c r="CW171" s="60"/>
      <x:c r="CX171" s="58"/>
      <x:c r="CY171" s="47"/>
      <x:c r="CZ171" s="60"/>
      <x:c r="DA171" s="58"/>
      <x:c r="DB171" s="47"/>
      <x:c r="DC171" s="60"/>
      <x:c r="DD171" s="58"/>
      <x:c r="DE171" s="47"/>
      <x:c r="DF171" s="60"/>
      <x:c r="DG171" s="58"/>
      <x:c r="DH171" s="47"/>
      <x:c r="DI171" s="60"/>
      <x:c r="DJ171" s="58"/>
      <x:c r="DK171" s="47"/>
      <x:c r="DL171" s="60"/>
      <x:c r="DM171" s="58"/>
      <x:c r="DN171" s="11"/>
      <x:c r="DO171" s="61"/>
      <x:c r="DP171" s="62"/>
      <x:c r="DQ171" s="11"/>
      <x:c r="DR171" s="61"/>
      <x:c r="DS171" s="62"/>
      <x:c r="DT171" s="11"/>
      <x:c r="DU171" s="61"/>
      <x:c r="DV171" s="62"/>
    </x:row>
    <x:row r="172" spans="1:126" x14ac:dyDescent="0.3">
      <x:c r="A172" s="47"/>
      <x:c r="B172" s="70"/>
      <x:c r="C172" s="70"/>
      <x:c r="D172" s="70"/>
      <x:c r="E172" s="70"/>
      <x:c r="F172" s="70"/>
      <x:c r="G172" s="70"/>
      <x:c r="H172" s="70"/>
      <x:c r="I172" s="70"/>
      <x:c r="J172" s="70"/>
      <x:c r="K172" s="190"/>
      <x:c r="L172" s="191"/>
      <x:c r="M172" s="192">
        <x:f>IF(ISERROR(INDEX('Meter Type Data'!$B$2:$E$1165,SUMPRODUCT(--('Meter Type Data'!$B$2:$B$1165&lt;=Analysis!L172)*('Meter Type Data'!$C$2:$C$1165&gt;=Analysis!L172),ROW('Meter Type Data'!$B$2:$B$1165))-1,4))," ",INDEX('Meter Type Data'!$B$2:$E$1165,SUMPRODUCT(--('Meter Type Data'!$B$2:$B$1165&lt;=Analysis!L172)*('Meter Type Data'!$C$2:$C$1165&gt;=Analysis!L172),ROW('Meter Type Data'!$B$2:$B$1165))-1,4))</x:f>
      </x:c>
      <x:c r="N172" s="192">
        <x:f>IF(ISERROR(INDEX('Meter Type Data'!$B$2:$D$1165,SUMPRODUCT(--('Meter Type Data'!$B$2:$B$1165&lt;=Analysis!L172)*('Meter Type Data'!$C$2:$C$1165&gt;=Analysis!L172),ROW('Meter Type Data'!$B$2:$B$1165))-1,3))," ",INDEX('Meter Type Data'!$B$2:$D$1165,SUMPRODUCT(--('Meter Type Data'!$B$2:$B$1165&lt;=Analysis!L172)*('Meter Type Data'!$C$2:$C$1165&gt;=Analysis!L172),ROW('Meter Type Data'!$B$2:$B$1165))-1,3))</x:f>
      </x:c>
      <x:c r="O172" s="69"/>
      <x:c r="P172" s="47"/>
      <x:c r="Q172" s="60"/>
      <x:c r="R172" s="58">
        <x:f>(($O172*P172)/100)+(Q172*12)</x:f>
      </x:c>
      <x:c r="S172" s="59"/>
      <x:c r="T172" s="59"/>
      <x:c r="U172" s="58">
        <x:f>(($O172*S172)/100)+(T172*12)</x:f>
      </x:c>
      <x:c r="V172" s="47"/>
      <x:c r="W172" s="60"/>
      <x:c r="X172" s="58">
        <x:f>(($O172*V172)/100)+(W172*12)</x:f>
      </x:c>
      <x:c r="Y172" s="47"/>
      <x:c r="Z172" s="60"/>
      <x:c r="AA172" s="58">
        <x:f>(($O172*Y172)/100)+(Z172*12)</x:f>
      </x:c>
      <x:c r="AB172" s="47"/>
      <x:c r="AC172" s="60"/>
      <x:c r="AD172" s="58">
        <x:f>(($O172*AB172)/100)+(AC172*12)</x:f>
      </x:c>
      <x:c r="AE172" s="47"/>
      <x:c r="AF172" s="60"/>
      <x:c r="AG172" s="58">
        <x:f>(($O172*AE172)/100)+(AF172*12)</x:f>
      </x:c>
      <x:c r="AH172" s="47"/>
      <x:c r="AI172" s="60"/>
      <x:c r="AJ172" s="58">
        <x:f>(($O172*AH172)/100)+(AI172*12)</x:f>
      </x:c>
      <x:c r="AK172" s="47"/>
      <x:c r="AL172" s="60"/>
      <x:c r="AM172" s="58">
        <x:f>(($O172*AK172)/100)+(AL172*12)</x:f>
      </x:c>
      <x:c r="AN172" s="47"/>
      <x:c r="AO172" s="60"/>
      <x:c r="AP172" s="58">
        <x:f>(($O172*AN172)/100)+(AO172*12)</x:f>
      </x:c>
      <x:c r="AQ172" s="47"/>
      <x:c r="AR172" s="60"/>
      <x:c r="AS172" s="58">
        <x:f>(($O172*AQ172)/100)+(AR172*12)</x:f>
      </x:c>
      <x:c r="AT172" s="47"/>
      <x:c r="AU172" s="60"/>
      <x:c r="AV172" s="58">
        <x:f>(($O172*AT172)/100)+(AU172*12)</x:f>
      </x:c>
      <x:c r="AW172" s="47"/>
      <x:c r="AX172" s="60"/>
      <x:c r="AY172" s="58">
        <x:f>(($O172*AW172)/100)+(AX172*12)</x:f>
      </x:c>
      <x:c r="AZ172" s="47"/>
      <x:c r="BA172" s="60"/>
      <x:c r="BB172" s="58">
        <x:f>(($O172*AZ172)/100)+(BA172*12)</x:f>
      </x:c>
      <x:c r="BC172" s="47"/>
      <x:c r="BD172" s="60"/>
      <x:c r="BE172" s="58">
        <x:f>(($O172*BC172)/100)+(BD172*12)</x:f>
      </x:c>
      <x:c r="BF172" s="47"/>
      <x:c r="BG172" s="60"/>
      <x:c r="BH172" s="58">
        <x:f>(($O172*BF172)/100)+(BG172*12)</x:f>
      </x:c>
      <x:c r="BI172" s="47"/>
      <x:c r="BJ172" s="60"/>
      <x:c r="BK172" s="58">
        <x:f>(($O172*BI172)/100)+(BJ172*12)</x:f>
      </x:c>
      <x:c r="BL172" s="47"/>
      <x:c r="BM172" s="60"/>
      <x:c r="BN172" s="58">
        <x:f>(($O172*BL172)/100)+(BM172*12)</x:f>
      </x:c>
      <x:c r="BO172" s="47"/>
      <x:c r="BP172" s="60"/>
      <x:c r="BQ172" s="58">
        <x:f>(($O172*BO172)/100)+(BP172*12)</x:f>
      </x:c>
      <x:c r="BR172" s="47"/>
      <x:c r="BS172" s="60"/>
      <x:c r="BT172" s="58">
        <x:f>(($O172*BR172)/100)+(BS172*12)</x:f>
      </x:c>
      <x:c r="BU172" s="47"/>
      <x:c r="BV172" s="60"/>
      <x:c r="BW172" s="58">
        <x:f>(($O172*BU172)/100)+(BV172*12)</x:f>
      </x:c>
      <x:c r="BX172" s="47"/>
      <x:c r="BY172" s="60"/>
      <x:c r="BZ172" s="58">
        <x:f>(($O172*BX172)/100)+(BY172*12)</x:f>
      </x:c>
      <x:c r="CA172" s="47"/>
      <x:c r="CB172" s="60"/>
      <x:c r="CC172" s="58">
        <x:f>(($O172*CA172)/100)+(CB172*12)</x:f>
      </x:c>
      <x:c r="CD172" s="47"/>
      <x:c r="CE172" s="60"/>
      <x:c r="CF172" s="58">
        <x:f>(($O172*CD172)/100)+(CE172*12)</x:f>
      </x:c>
      <x:c r="CG172" s="47"/>
      <x:c r="CH172" s="60"/>
      <x:c r="CI172" s="58">
        <x:f>(($O172*CG172)/100)+(CH172*12)</x:f>
      </x:c>
      <x:c r="CJ172" s="47"/>
      <x:c r="CK172" s="60"/>
      <x:c r="CL172" s="58">
        <x:f>(($O172*CJ172)/100)+(CK172*12)</x:f>
      </x:c>
      <x:c r="CM172" s="47"/>
      <x:c r="CN172" s="60"/>
      <x:c r="CO172" s="58">
        <x:f>(($O172*CM172)/100)+(CN172*12)</x:f>
      </x:c>
      <x:c r="CP172" s="47"/>
      <x:c r="CQ172" s="60"/>
      <x:c r="CR172" s="58">
        <x:f>(($O172*CP172)/100)+(CQ172*12)</x:f>
      </x:c>
      <x:c r="CS172" s="47"/>
      <x:c r="CT172" s="60"/>
      <x:c r="CU172" s="58">
        <x:f>(($O172*CS172)/100)+(CT172*12)</x:f>
      </x:c>
      <x:c r="CV172" s="47"/>
      <x:c r="CW172" s="60"/>
      <x:c r="CX172" s="58"/>
      <x:c r="CY172" s="47"/>
      <x:c r="CZ172" s="60"/>
      <x:c r="DA172" s="58"/>
      <x:c r="DB172" s="47"/>
      <x:c r="DC172" s="60"/>
      <x:c r="DD172" s="58"/>
      <x:c r="DE172" s="47"/>
      <x:c r="DF172" s="60"/>
      <x:c r="DG172" s="58"/>
      <x:c r="DH172" s="47"/>
      <x:c r="DI172" s="60"/>
      <x:c r="DJ172" s="58"/>
      <x:c r="DK172" s="47"/>
      <x:c r="DL172" s="60"/>
      <x:c r="DM172" s="58"/>
      <x:c r="DN172" s="11"/>
      <x:c r="DO172" s="61"/>
      <x:c r="DP172" s="62"/>
      <x:c r="DQ172" s="11"/>
      <x:c r="DR172" s="61"/>
      <x:c r="DS172" s="62"/>
      <x:c r="DT172" s="11"/>
      <x:c r="DU172" s="61"/>
      <x:c r="DV172" s="62"/>
    </x:row>
    <x:row r="173" spans="1:126" x14ac:dyDescent="0.3">
      <x:c r="A173" s="47"/>
      <x:c r="B173" s="70"/>
      <x:c r="C173" s="70"/>
      <x:c r="D173" s="70"/>
      <x:c r="E173" s="70"/>
      <x:c r="F173" s="70"/>
      <x:c r="G173" s="70"/>
      <x:c r="H173" s="70"/>
      <x:c r="I173" s="70"/>
      <x:c r="J173" s="70"/>
      <x:c r="K173" s="190"/>
      <x:c r="L173" s="191"/>
      <x:c r="M173" s="192">
        <x:f>IF(ISERROR(INDEX('Meter Type Data'!$B$2:$E$1165,SUMPRODUCT(--('Meter Type Data'!$B$2:$B$1165&lt;=Analysis!L173)*('Meter Type Data'!$C$2:$C$1165&gt;=Analysis!L173),ROW('Meter Type Data'!$B$2:$B$1165))-1,4))," ",INDEX('Meter Type Data'!$B$2:$E$1165,SUMPRODUCT(--('Meter Type Data'!$B$2:$B$1165&lt;=Analysis!L173)*('Meter Type Data'!$C$2:$C$1165&gt;=Analysis!L173),ROW('Meter Type Data'!$B$2:$B$1165))-1,4))</x:f>
      </x:c>
      <x:c r="N173" s="192">
        <x:f>IF(ISERROR(INDEX('Meter Type Data'!$B$2:$D$1165,SUMPRODUCT(--('Meter Type Data'!$B$2:$B$1165&lt;=Analysis!L173)*('Meter Type Data'!$C$2:$C$1165&gt;=Analysis!L173),ROW('Meter Type Data'!$B$2:$B$1165))-1,3))," ",INDEX('Meter Type Data'!$B$2:$D$1165,SUMPRODUCT(--('Meter Type Data'!$B$2:$B$1165&lt;=Analysis!L173)*('Meter Type Data'!$C$2:$C$1165&gt;=Analysis!L173),ROW('Meter Type Data'!$B$2:$B$1165))-1,3))</x:f>
      </x:c>
      <x:c r="O173" s="69"/>
      <x:c r="P173" s="47"/>
      <x:c r="Q173" s="60"/>
      <x:c r="R173" s="58">
        <x:f>(($O173*P173)/100)+(Q173*12)</x:f>
      </x:c>
      <x:c r="S173" s="59"/>
      <x:c r="T173" s="59"/>
      <x:c r="U173" s="58">
        <x:f>(($O173*S173)/100)+(T173*12)</x:f>
      </x:c>
      <x:c r="V173" s="47"/>
      <x:c r="W173" s="60"/>
      <x:c r="X173" s="58">
        <x:f>(($O173*V173)/100)+(W173*12)</x:f>
      </x:c>
      <x:c r="Y173" s="47"/>
      <x:c r="Z173" s="60"/>
      <x:c r="AA173" s="58">
        <x:f>(($O173*Y173)/100)+(Z173*12)</x:f>
      </x:c>
      <x:c r="AB173" s="47"/>
      <x:c r="AC173" s="60"/>
      <x:c r="AD173" s="58">
        <x:f>(($O173*AB173)/100)+(AC173*12)</x:f>
      </x:c>
      <x:c r="AE173" s="47"/>
      <x:c r="AF173" s="60"/>
      <x:c r="AG173" s="58">
        <x:f>(($O173*AE173)/100)+(AF173*12)</x:f>
      </x:c>
      <x:c r="AH173" s="47"/>
      <x:c r="AI173" s="60"/>
      <x:c r="AJ173" s="58">
        <x:f>(($O173*AH173)/100)+(AI173*12)</x:f>
      </x:c>
      <x:c r="AK173" s="47"/>
      <x:c r="AL173" s="60"/>
      <x:c r="AM173" s="58">
        <x:f>(($O173*AK173)/100)+(AL173*12)</x:f>
      </x:c>
      <x:c r="AN173" s="47"/>
      <x:c r="AO173" s="60"/>
      <x:c r="AP173" s="58">
        <x:f>(($O173*AN173)/100)+(AO173*12)</x:f>
      </x:c>
      <x:c r="AQ173" s="47"/>
      <x:c r="AR173" s="60"/>
      <x:c r="AS173" s="58">
        <x:f>(($O173*AQ173)/100)+(AR173*12)</x:f>
      </x:c>
      <x:c r="AT173" s="47"/>
      <x:c r="AU173" s="60"/>
      <x:c r="AV173" s="58">
        <x:f>(($O173*AT173)/100)+(AU173*12)</x:f>
      </x:c>
      <x:c r="AW173" s="47"/>
      <x:c r="AX173" s="60"/>
      <x:c r="AY173" s="58">
        <x:f>(($O173*AW173)/100)+(AX173*12)</x:f>
      </x:c>
      <x:c r="AZ173" s="47"/>
      <x:c r="BA173" s="60"/>
      <x:c r="BB173" s="58">
        <x:f>(($O173*AZ173)/100)+(BA173*12)</x:f>
      </x:c>
      <x:c r="BC173" s="47"/>
      <x:c r="BD173" s="60"/>
      <x:c r="BE173" s="58">
        <x:f>(($O173*BC173)/100)+(BD173*12)</x:f>
      </x:c>
      <x:c r="BF173" s="47"/>
      <x:c r="BG173" s="60"/>
      <x:c r="BH173" s="58">
        <x:f>(($O173*BF173)/100)+(BG173*12)</x:f>
      </x:c>
      <x:c r="BI173" s="47"/>
      <x:c r="BJ173" s="60"/>
      <x:c r="BK173" s="58">
        <x:f>(($O173*BI173)/100)+(BJ173*12)</x:f>
      </x:c>
      <x:c r="BL173" s="47"/>
      <x:c r="BM173" s="60"/>
      <x:c r="BN173" s="58">
        <x:f>(($O173*BL173)/100)+(BM173*12)</x:f>
      </x:c>
      <x:c r="BO173" s="47"/>
      <x:c r="BP173" s="60"/>
      <x:c r="BQ173" s="58">
        <x:f>(($O173*BO173)/100)+(BP173*12)</x:f>
      </x:c>
      <x:c r="BR173" s="47"/>
      <x:c r="BS173" s="60"/>
      <x:c r="BT173" s="58">
        <x:f>(($O173*BR173)/100)+(BS173*12)</x:f>
      </x:c>
      <x:c r="BU173" s="47"/>
      <x:c r="BV173" s="60"/>
      <x:c r="BW173" s="58">
        <x:f>(($O173*BU173)/100)+(BV173*12)</x:f>
      </x:c>
      <x:c r="BX173" s="47"/>
      <x:c r="BY173" s="60"/>
      <x:c r="BZ173" s="58">
        <x:f>(($O173*BX173)/100)+(BY173*12)</x:f>
      </x:c>
      <x:c r="CA173" s="47"/>
      <x:c r="CB173" s="60"/>
      <x:c r="CC173" s="58">
        <x:f>(($O173*CA173)/100)+(CB173*12)</x:f>
      </x:c>
      <x:c r="CD173" s="47"/>
      <x:c r="CE173" s="60"/>
      <x:c r="CF173" s="58">
        <x:f>(($O173*CD173)/100)+(CE173*12)</x:f>
      </x:c>
      <x:c r="CG173" s="47"/>
      <x:c r="CH173" s="60"/>
      <x:c r="CI173" s="58">
        <x:f>(($O173*CG173)/100)+(CH173*12)</x:f>
      </x:c>
      <x:c r="CJ173" s="47"/>
      <x:c r="CK173" s="60"/>
      <x:c r="CL173" s="58">
        <x:f>(($O173*CJ173)/100)+(CK173*12)</x:f>
      </x:c>
      <x:c r="CM173" s="47"/>
      <x:c r="CN173" s="60"/>
      <x:c r="CO173" s="58">
        <x:f>(($O173*CM173)/100)+(CN173*12)</x:f>
      </x:c>
      <x:c r="CP173" s="47"/>
      <x:c r="CQ173" s="60"/>
      <x:c r="CR173" s="58">
        <x:f>(($O173*CP173)/100)+(CQ173*12)</x:f>
      </x:c>
      <x:c r="CS173" s="47"/>
      <x:c r="CT173" s="60"/>
      <x:c r="CU173" s="58">
        <x:f>(($O173*CS173)/100)+(CT173*12)</x:f>
      </x:c>
      <x:c r="CV173" s="47"/>
      <x:c r="CW173" s="60"/>
      <x:c r="CX173" s="58"/>
      <x:c r="CY173" s="47"/>
      <x:c r="CZ173" s="60"/>
      <x:c r="DA173" s="58"/>
      <x:c r="DB173" s="47"/>
      <x:c r="DC173" s="60"/>
      <x:c r="DD173" s="58"/>
      <x:c r="DE173" s="47"/>
      <x:c r="DF173" s="60"/>
      <x:c r="DG173" s="58"/>
      <x:c r="DH173" s="47"/>
      <x:c r="DI173" s="60"/>
      <x:c r="DJ173" s="58"/>
      <x:c r="DK173" s="47"/>
      <x:c r="DL173" s="60"/>
      <x:c r="DM173" s="58"/>
      <x:c r="DN173" s="11"/>
      <x:c r="DO173" s="61"/>
      <x:c r="DP173" s="62"/>
      <x:c r="DQ173" s="11"/>
      <x:c r="DR173" s="61"/>
      <x:c r="DS173" s="62"/>
      <x:c r="DT173" s="11"/>
      <x:c r="DU173" s="61"/>
      <x:c r="DV173" s="62"/>
    </x:row>
    <x:row r="174" spans="1:126" x14ac:dyDescent="0.3">
      <x:c r="A174" s="47"/>
      <x:c r="B174" s="70"/>
      <x:c r="C174" s="70"/>
      <x:c r="D174" s="70"/>
      <x:c r="E174" s="70"/>
      <x:c r="F174" s="70"/>
      <x:c r="G174" s="70"/>
      <x:c r="H174" s="70"/>
      <x:c r="I174" s="70"/>
      <x:c r="J174" s="70"/>
      <x:c r="K174" s="190"/>
      <x:c r="L174" s="191"/>
      <x:c r="M174" s="192">
        <x:f>IF(ISERROR(INDEX('Meter Type Data'!$B$2:$E$1165,SUMPRODUCT(--('Meter Type Data'!$B$2:$B$1165&lt;=Analysis!L174)*('Meter Type Data'!$C$2:$C$1165&gt;=Analysis!L174),ROW('Meter Type Data'!$B$2:$B$1165))-1,4))," ",INDEX('Meter Type Data'!$B$2:$E$1165,SUMPRODUCT(--('Meter Type Data'!$B$2:$B$1165&lt;=Analysis!L174)*('Meter Type Data'!$C$2:$C$1165&gt;=Analysis!L174),ROW('Meter Type Data'!$B$2:$B$1165))-1,4))</x:f>
      </x:c>
      <x:c r="N174" s="192">
        <x:f>IF(ISERROR(INDEX('Meter Type Data'!$B$2:$D$1165,SUMPRODUCT(--('Meter Type Data'!$B$2:$B$1165&lt;=Analysis!L174)*('Meter Type Data'!$C$2:$C$1165&gt;=Analysis!L174),ROW('Meter Type Data'!$B$2:$B$1165))-1,3))," ",INDEX('Meter Type Data'!$B$2:$D$1165,SUMPRODUCT(--('Meter Type Data'!$B$2:$B$1165&lt;=Analysis!L174)*('Meter Type Data'!$C$2:$C$1165&gt;=Analysis!L174),ROW('Meter Type Data'!$B$2:$B$1165))-1,3))</x:f>
      </x:c>
      <x:c r="O174" s="69"/>
      <x:c r="P174" s="47"/>
      <x:c r="Q174" s="60"/>
      <x:c r="R174" s="58">
        <x:f>(($O174*P174)/100)+(Q174*12)</x:f>
      </x:c>
      <x:c r="S174" s="59"/>
      <x:c r="T174" s="59"/>
      <x:c r="U174" s="58">
        <x:f>(($O174*S174)/100)+(T174*12)</x:f>
      </x:c>
      <x:c r="V174" s="47"/>
      <x:c r="W174" s="60"/>
      <x:c r="X174" s="58">
        <x:f>(($O174*V174)/100)+(W174*12)</x:f>
      </x:c>
      <x:c r="Y174" s="47"/>
      <x:c r="Z174" s="60"/>
      <x:c r="AA174" s="58">
        <x:f>(($O174*Y174)/100)+(Z174*12)</x:f>
      </x:c>
      <x:c r="AB174" s="47"/>
      <x:c r="AC174" s="60"/>
      <x:c r="AD174" s="58">
        <x:f>(($O174*AB174)/100)+(AC174*12)</x:f>
      </x:c>
      <x:c r="AE174" s="47"/>
      <x:c r="AF174" s="60"/>
      <x:c r="AG174" s="58">
        <x:f>(($O174*AE174)/100)+(AF174*12)</x:f>
      </x:c>
      <x:c r="AH174" s="47"/>
      <x:c r="AI174" s="60"/>
      <x:c r="AJ174" s="58">
        <x:f>(($O174*AH174)/100)+(AI174*12)</x:f>
      </x:c>
      <x:c r="AK174" s="47"/>
      <x:c r="AL174" s="60"/>
      <x:c r="AM174" s="58">
        <x:f>(($O174*AK174)/100)+(AL174*12)</x:f>
      </x:c>
      <x:c r="AN174" s="47"/>
      <x:c r="AO174" s="60"/>
      <x:c r="AP174" s="58">
        <x:f>(($O174*AN174)/100)+(AO174*12)</x:f>
      </x:c>
      <x:c r="AQ174" s="47"/>
      <x:c r="AR174" s="60"/>
      <x:c r="AS174" s="58">
        <x:f>(($O174*AQ174)/100)+(AR174*12)</x:f>
      </x:c>
      <x:c r="AT174" s="47"/>
      <x:c r="AU174" s="60"/>
      <x:c r="AV174" s="58">
        <x:f>(($O174*AT174)/100)+(AU174*12)</x:f>
      </x:c>
      <x:c r="AW174" s="47"/>
      <x:c r="AX174" s="60"/>
      <x:c r="AY174" s="58">
        <x:f>(($O174*AW174)/100)+(AX174*12)</x:f>
      </x:c>
      <x:c r="AZ174" s="47"/>
      <x:c r="BA174" s="60"/>
      <x:c r="BB174" s="58">
        <x:f>(($O174*AZ174)/100)+(BA174*12)</x:f>
      </x:c>
      <x:c r="BC174" s="47"/>
      <x:c r="BD174" s="60"/>
      <x:c r="BE174" s="58">
        <x:f>(($O174*BC174)/100)+(BD174*12)</x:f>
      </x:c>
      <x:c r="BF174" s="47"/>
      <x:c r="BG174" s="60"/>
      <x:c r="BH174" s="58">
        <x:f>(($O174*BF174)/100)+(BG174*12)</x:f>
      </x:c>
      <x:c r="BI174" s="47"/>
      <x:c r="BJ174" s="60"/>
      <x:c r="BK174" s="58">
        <x:f>(($O174*BI174)/100)+(BJ174*12)</x:f>
      </x:c>
      <x:c r="BL174" s="47"/>
      <x:c r="BM174" s="60"/>
      <x:c r="BN174" s="58">
        <x:f>(($O174*BL174)/100)+(BM174*12)</x:f>
      </x:c>
      <x:c r="BO174" s="47"/>
      <x:c r="BP174" s="60"/>
      <x:c r="BQ174" s="58">
        <x:f>(($O174*BO174)/100)+(BP174*12)</x:f>
      </x:c>
      <x:c r="BR174" s="47"/>
      <x:c r="BS174" s="60"/>
      <x:c r="BT174" s="58">
        <x:f>(($O174*BR174)/100)+(BS174*12)</x:f>
      </x:c>
      <x:c r="BU174" s="47"/>
      <x:c r="BV174" s="60"/>
      <x:c r="BW174" s="58">
        <x:f>(($O174*BU174)/100)+(BV174*12)</x:f>
      </x:c>
      <x:c r="BX174" s="47"/>
      <x:c r="BY174" s="60"/>
      <x:c r="BZ174" s="58">
        <x:f>(($O174*BX174)/100)+(BY174*12)</x:f>
      </x:c>
      <x:c r="CA174" s="47"/>
      <x:c r="CB174" s="60"/>
      <x:c r="CC174" s="58">
        <x:f>(($O174*CA174)/100)+(CB174*12)</x:f>
      </x:c>
      <x:c r="CD174" s="47"/>
      <x:c r="CE174" s="60"/>
      <x:c r="CF174" s="58">
        <x:f>(($O174*CD174)/100)+(CE174*12)</x:f>
      </x:c>
      <x:c r="CG174" s="47"/>
      <x:c r="CH174" s="60"/>
      <x:c r="CI174" s="58">
        <x:f>(($O174*CG174)/100)+(CH174*12)</x:f>
      </x:c>
      <x:c r="CJ174" s="47"/>
      <x:c r="CK174" s="60"/>
      <x:c r="CL174" s="58">
        <x:f>(($O174*CJ174)/100)+(CK174*12)</x:f>
      </x:c>
      <x:c r="CM174" s="47"/>
      <x:c r="CN174" s="60"/>
      <x:c r="CO174" s="58">
        <x:f>(($O174*CM174)/100)+(CN174*12)</x:f>
      </x:c>
      <x:c r="CP174" s="47"/>
      <x:c r="CQ174" s="60"/>
      <x:c r="CR174" s="58">
        <x:f>(($O174*CP174)/100)+(CQ174*12)</x:f>
      </x:c>
      <x:c r="CS174" s="47"/>
      <x:c r="CT174" s="60"/>
      <x:c r="CU174" s="58">
        <x:f>(($O174*CS174)/100)+(CT174*12)</x:f>
      </x:c>
      <x:c r="CV174" s="47"/>
      <x:c r="CW174" s="60"/>
      <x:c r="CX174" s="58"/>
      <x:c r="CY174" s="47"/>
      <x:c r="CZ174" s="60"/>
      <x:c r="DA174" s="58"/>
      <x:c r="DB174" s="47"/>
      <x:c r="DC174" s="60"/>
      <x:c r="DD174" s="58"/>
      <x:c r="DE174" s="47"/>
      <x:c r="DF174" s="60"/>
      <x:c r="DG174" s="58"/>
      <x:c r="DH174" s="47"/>
      <x:c r="DI174" s="60"/>
      <x:c r="DJ174" s="58"/>
      <x:c r="DK174" s="47"/>
      <x:c r="DL174" s="60"/>
      <x:c r="DM174" s="58"/>
      <x:c r="DN174" s="11"/>
      <x:c r="DO174" s="61"/>
      <x:c r="DP174" s="62"/>
      <x:c r="DQ174" s="11"/>
      <x:c r="DR174" s="61"/>
      <x:c r="DS174" s="62"/>
      <x:c r="DT174" s="11"/>
      <x:c r="DU174" s="61"/>
      <x:c r="DV174" s="62"/>
    </x:row>
    <x:row r="175" spans="1:126" x14ac:dyDescent="0.3">
      <x:c r="A175" s="47"/>
      <x:c r="B175" s="70"/>
      <x:c r="C175" s="70"/>
      <x:c r="D175" s="70"/>
      <x:c r="E175" s="70"/>
      <x:c r="F175" s="70"/>
      <x:c r="G175" s="70"/>
      <x:c r="H175" s="70"/>
      <x:c r="I175" s="70"/>
      <x:c r="J175" s="70"/>
      <x:c r="K175" s="190"/>
      <x:c r="L175" s="191"/>
      <x:c r="M175" s="192">
        <x:f>IF(ISERROR(INDEX('Meter Type Data'!$B$2:$E$1165,SUMPRODUCT(--('Meter Type Data'!$B$2:$B$1165&lt;=Analysis!L175)*('Meter Type Data'!$C$2:$C$1165&gt;=Analysis!L175),ROW('Meter Type Data'!$B$2:$B$1165))-1,4))," ",INDEX('Meter Type Data'!$B$2:$E$1165,SUMPRODUCT(--('Meter Type Data'!$B$2:$B$1165&lt;=Analysis!L175)*('Meter Type Data'!$C$2:$C$1165&gt;=Analysis!L175),ROW('Meter Type Data'!$B$2:$B$1165))-1,4))</x:f>
      </x:c>
      <x:c r="N175" s="192">
        <x:f>IF(ISERROR(INDEX('Meter Type Data'!$B$2:$D$1165,SUMPRODUCT(--('Meter Type Data'!$B$2:$B$1165&lt;=Analysis!L175)*('Meter Type Data'!$C$2:$C$1165&gt;=Analysis!L175),ROW('Meter Type Data'!$B$2:$B$1165))-1,3))," ",INDEX('Meter Type Data'!$B$2:$D$1165,SUMPRODUCT(--('Meter Type Data'!$B$2:$B$1165&lt;=Analysis!L175)*('Meter Type Data'!$C$2:$C$1165&gt;=Analysis!L175),ROW('Meter Type Data'!$B$2:$B$1165))-1,3))</x:f>
      </x:c>
      <x:c r="O175" s="69"/>
      <x:c r="P175" s="47"/>
      <x:c r="Q175" s="60"/>
      <x:c r="R175" s="58">
        <x:f>(($O175*P175)/100)+(Q175*12)</x:f>
      </x:c>
      <x:c r="S175" s="59"/>
      <x:c r="T175" s="59"/>
      <x:c r="U175" s="58">
        <x:f>(($O175*S175)/100)+(T175*12)</x:f>
      </x:c>
      <x:c r="V175" s="47"/>
      <x:c r="W175" s="60"/>
      <x:c r="X175" s="58">
        <x:f>(($O175*V175)/100)+(W175*12)</x:f>
      </x:c>
      <x:c r="Y175" s="47"/>
      <x:c r="Z175" s="60"/>
      <x:c r="AA175" s="58">
        <x:f>(($O175*Y175)/100)+(Z175*12)</x:f>
      </x:c>
      <x:c r="AB175" s="47"/>
      <x:c r="AC175" s="60"/>
      <x:c r="AD175" s="58">
        <x:f>(($O175*AB175)/100)+(AC175*12)</x:f>
      </x:c>
      <x:c r="AE175" s="47"/>
      <x:c r="AF175" s="60"/>
      <x:c r="AG175" s="58">
        <x:f>(($O175*AE175)/100)+(AF175*12)</x:f>
      </x:c>
      <x:c r="AH175" s="47"/>
      <x:c r="AI175" s="60"/>
      <x:c r="AJ175" s="58">
        <x:f>(($O175*AH175)/100)+(AI175*12)</x:f>
      </x:c>
      <x:c r="AK175" s="47"/>
      <x:c r="AL175" s="60"/>
      <x:c r="AM175" s="58">
        <x:f>(($O175*AK175)/100)+(AL175*12)</x:f>
      </x:c>
      <x:c r="AN175" s="47"/>
      <x:c r="AO175" s="60"/>
      <x:c r="AP175" s="58">
        <x:f>(($O175*AN175)/100)+(AO175*12)</x:f>
      </x:c>
      <x:c r="AQ175" s="47"/>
      <x:c r="AR175" s="60"/>
      <x:c r="AS175" s="58">
        <x:f>(($O175*AQ175)/100)+(AR175*12)</x:f>
      </x:c>
      <x:c r="AT175" s="47"/>
      <x:c r="AU175" s="60"/>
      <x:c r="AV175" s="58">
        <x:f>(($O175*AT175)/100)+(AU175*12)</x:f>
      </x:c>
      <x:c r="AW175" s="47"/>
      <x:c r="AX175" s="60"/>
      <x:c r="AY175" s="58">
        <x:f>(($O175*AW175)/100)+(AX175*12)</x:f>
      </x:c>
      <x:c r="AZ175" s="47"/>
      <x:c r="BA175" s="60"/>
      <x:c r="BB175" s="58">
        <x:f>(($O175*AZ175)/100)+(BA175*12)</x:f>
      </x:c>
      <x:c r="BC175" s="47"/>
      <x:c r="BD175" s="60"/>
      <x:c r="BE175" s="58">
        <x:f>(($O175*BC175)/100)+(BD175*12)</x:f>
      </x:c>
      <x:c r="BF175" s="47"/>
      <x:c r="BG175" s="60"/>
      <x:c r="BH175" s="58">
        <x:f>(($O175*BF175)/100)+(BG175*12)</x:f>
      </x:c>
      <x:c r="BI175" s="47"/>
      <x:c r="BJ175" s="60"/>
      <x:c r="BK175" s="58">
        <x:f>(($O175*BI175)/100)+(BJ175*12)</x:f>
      </x:c>
      <x:c r="BL175" s="47"/>
      <x:c r="BM175" s="60"/>
      <x:c r="BN175" s="58">
        <x:f>(($O175*BL175)/100)+(BM175*12)</x:f>
      </x:c>
      <x:c r="BO175" s="47"/>
      <x:c r="BP175" s="60"/>
      <x:c r="BQ175" s="58">
        <x:f>(($O175*BO175)/100)+(BP175*12)</x:f>
      </x:c>
      <x:c r="BR175" s="47"/>
      <x:c r="BS175" s="60"/>
      <x:c r="BT175" s="58">
        <x:f>(($O175*BR175)/100)+(BS175*12)</x:f>
      </x:c>
      <x:c r="BU175" s="47"/>
      <x:c r="BV175" s="60"/>
      <x:c r="BW175" s="58">
        <x:f>(($O175*BU175)/100)+(BV175*12)</x:f>
      </x:c>
      <x:c r="BX175" s="47"/>
      <x:c r="BY175" s="60"/>
      <x:c r="BZ175" s="58">
        <x:f>(($O175*BX175)/100)+(BY175*12)</x:f>
      </x:c>
      <x:c r="CA175" s="47"/>
      <x:c r="CB175" s="60"/>
      <x:c r="CC175" s="58">
        <x:f>(($O175*CA175)/100)+(CB175*12)</x:f>
      </x:c>
      <x:c r="CD175" s="47"/>
      <x:c r="CE175" s="60"/>
      <x:c r="CF175" s="58">
        <x:f>(($O175*CD175)/100)+(CE175*12)</x:f>
      </x:c>
      <x:c r="CG175" s="47"/>
      <x:c r="CH175" s="60"/>
      <x:c r="CI175" s="58">
        <x:f>(($O175*CG175)/100)+(CH175*12)</x:f>
      </x:c>
      <x:c r="CJ175" s="47"/>
      <x:c r="CK175" s="60"/>
      <x:c r="CL175" s="58">
        <x:f>(($O175*CJ175)/100)+(CK175*12)</x:f>
      </x:c>
      <x:c r="CM175" s="47"/>
      <x:c r="CN175" s="60"/>
      <x:c r="CO175" s="58">
        <x:f>(($O175*CM175)/100)+(CN175*12)</x:f>
      </x:c>
      <x:c r="CP175" s="47"/>
      <x:c r="CQ175" s="60"/>
      <x:c r="CR175" s="58">
        <x:f>(($O175*CP175)/100)+(CQ175*12)</x:f>
      </x:c>
      <x:c r="CS175" s="47"/>
      <x:c r="CT175" s="60"/>
      <x:c r="CU175" s="58">
        <x:f>(($O175*CS175)/100)+(CT175*12)</x:f>
      </x:c>
      <x:c r="CV175" s="47"/>
      <x:c r="CW175" s="60"/>
      <x:c r="CX175" s="58"/>
      <x:c r="CY175" s="47"/>
      <x:c r="CZ175" s="60"/>
      <x:c r="DA175" s="58"/>
      <x:c r="DB175" s="47"/>
      <x:c r="DC175" s="60"/>
      <x:c r="DD175" s="58"/>
      <x:c r="DE175" s="47"/>
      <x:c r="DF175" s="60"/>
      <x:c r="DG175" s="58"/>
      <x:c r="DH175" s="47"/>
      <x:c r="DI175" s="60"/>
      <x:c r="DJ175" s="58"/>
      <x:c r="DK175" s="47"/>
      <x:c r="DL175" s="60"/>
      <x:c r="DM175" s="58"/>
      <x:c r="DN175" s="11"/>
      <x:c r="DO175" s="61"/>
      <x:c r="DP175" s="62"/>
      <x:c r="DQ175" s="11"/>
      <x:c r="DR175" s="61"/>
      <x:c r="DS175" s="62"/>
      <x:c r="DT175" s="11"/>
      <x:c r="DU175" s="61"/>
      <x:c r="DV175" s="62"/>
    </x:row>
    <x:row r="176" spans="1:126" x14ac:dyDescent="0.3">
      <x:c r="A176" s="47"/>
      <x:c r="B176" s="70"/>
      <x:c r="C176" s="70"/>
      <x:c r="D176" s="70"/>
      <x:c r="E176" s="70"/>
      <x:c r="F176" s="70"/>
      <x:c r="G176" s="70"/>
      <x:c r="H176" s="70"/>
      <x:c r="I176" s="70"/>
      <x:c r="J176" s="70"/>
      <x:c r="K176" s="190"/>
      <x:c r="L176" s="191"/>
      <x:c r="M176" s="192">
        <x:f>IF(ISERROR(INDEX('Meter Type Data'!$B$2:$E$1165,SUMPRODUCT(--('Meter Type Data'!$B$2:$B$1165&lt;=Analysis!L176)*('Meter Type Data'!$C$2:$C$1165&gt;=Analysis!L176),ROW('Meter Type Data'!$B$2:$B$1165))-1,4))," ",INDEX('Meter Type Data'!$B$2:$E$1165,SUMPRODUCT(--('Meter Type Data'!$B$2:$B$1165&lt;=Analysis!L176)*('Meter Type Data'!$C$2:$C$1165&gt;=Analysis!L176),ROW('Meter Type Data'!$B$2:$B$1165))-1,4))</x:f>
      </x:c>
      <x:c r="N176" s="192">
        <x:f>IF(ISERROR(INDEX('Meter Type Data'!$B$2:$D$1165,SUMPRODUCT(--('Meter Type Data'!$B$2:$B$1165&lt;=Analysis!L176)*('Meter Type Data'!$C$2:$C$1165&gt;=Analysis!L176),ROW('Meter Type Data'!$B$2:$B$1165))-1,3))," ",INDEX('Meter Type Data'!$B$2:$D$1165,SUMPRODUCT(--('Meter Type Data'!$B$2:$B$1165&lt;=Analysis!L176)*('Meter Type Data'!$C$2:$C$1165&gt;=Analysis!L176),ROW('Meter Type Data'!$B$2:$B$1165))-1,3))</x:f>
      </x:c>
      <x:c r="O176" s="69"/>
      <x:c r="P176" s="47"/>
      <x:c r="Q176" s="60"/>
      <x:c r="R176" s="58">
        <x:f>(($O176*P176)/100)+(Q176*12)</x:f>
      </x:c>
      <x:c r="S176" s="59"/>
      <x:c r="T176" s="59"/>
      <x:c r="U176" s="58">
        <x:f>(($O176*S176)/100)+(T176*12)</x:f>
      </x:c>
      <x:c r="V176" s="47"/>
      <x:c r="W176" s="60"/>
      <x:c r="X176" s="58">
        <x:f>(($O176*V176)/100)+(W176*12)</x:f>
      </x:c>
      <x:c r="Y176" s="47"/>
      <x:c r="Z176" s="60"/>
      <x:c r="AA176" s="58">
        <x:f>(($O176*Y176)/100)+(Z176*12)</x:f>
      </x:c>
      <x:c r="AB176" s="47"/>
      <x:c r="AC176" s="60"/>
      <x:c r="AD176" s="58">
        <x:f>(($O176*AB176)/100)+(AC176*12)</x:f>
      </x:c>
      <x:c r="AE176" s="47"/>
      <x:c r="AF176" s="60"/>
      <x:c r="AG176" s="58">
        <x:f>(($O176*AE176)/100)+(AF176*12)</x:f>
      </x:c>
      <x:c r="AH176" s="47"/>
      <x:c r="AI176" s="60"/>
      <x:c r="AJ176" s="58">
        <x:f>(($O176*AH176)/100)+(AI176*12)</x:f>
      </x:c>
      <x:c r="AK176" s="47"/>
      <x:c r="AL176" s="60"/>
      <x:c r="AM176" s="58">
        <x:f>(($O176*AK176)/100)+(AL176*12)</x:f>
      </x:c>
      <x:c r="AN176" s="47"/>
      <x:c r="AO176" s="60"/>
      <x:c r="AP176" s="58">
        <x:f>(($O176*AN176)/100)+(AO176*12)</x:f>
      </x:c>
      <x:c r="AQ176" s="47"/>
      <x:c r="AR176" s="60"/>
      <x:c r="AS176" s="58">
        <x:f>(($O176*AQ176)/100)+(AR176*12)</x:f>
      </x:c>
      <x:c r="AT176" s="47"/>
      <x:c r="AU176" s="60"/>
      <x:c r="AV176" s="58">
        <x:f>(($O176*AT176)/100)+(AU176*12)</x:f>
      </x:c>
      <x:c r="AW176" s="47"/>
      <x:c r="AX176" s="60"/>
      <x:c r="AY176" s="58">
        <x:f>(($O176*AW176)/100)+(AX176*12)</x:f>
      </x:c>
      <x:c r="AZ176" s="47"/>
      <x:c r="BA176" s="60"/>
      <x:c r="BB176" s="58">
        <x:f>(($O176*AZ176)/100)+(BA176*12)</x:f>
      </x:c>
      <x:c r="BC176" s="47"/>
      <x:c r="BD176" s="60"/>
      <x:c r="BE176" s="58">
        <x:f>(($O176*BC176)/100)+(BD176*12)</x:f>
      </x:c>
      <x:c r="BF176" s="47"/>
      <x:c r="BG176" s="60"/>
      <x:c r="BH176" s="58">
        <x:f>(($O176*BF176)/100)+(BG176*12)</x:f>
      </x:c>
      <x:c r="BI176" s="47"/>
      <x:c r="BJ176" s="60"/>
      <x:c r="BK176" s="58">
        <x:f>(($O176*BI176)/100)+(BJ176*12)</x:f>
      </x:c>
      <x:c r="BL176" s="47"/>
      <x:c r="BM176" s="60"/>
      <x:c r="BN176" s="58">
        <x:f>(($O176*BL176)/100)+(BM176*12)</x:f>
      </x:c>
      <x:c r="BO176" s="47"/>
      <x:c r="BP176" s="60"/>
      <x:c r="BQ176" s="58">
        <x:f>(($O176*BO176)/100)+(BP176*12)</x:f>
      </x:c>
      <x:c r="BR176" s="47"/>
      <x:c r="BS176" s="60"/>
      <x:c r="BT176" s="58">
        <x:f>(($O176*BR176)/100)+(BS176*12)</x:f>
      </x:c>
      <x:c r="BU176" s="47"/>
      <x:c r="BV176" s="60"/>
      <x:c r="BW176" s="58">
        <x:f>(($O176*BU176)/100)+(BV176*12)</x:f>
      </x:c>
      <x:c r="BX176" s="47"/>
      <x:c r="BY176" s="60"/>
      <x:c r="BZ176" s="58">
        <x:f>(($O176*BX176)/100)+(BY176*12)</x:f>
      </x:c>
      <x:c r="CA176" s="47"/>
      <x:c r="CB176" s="60"/>
      <x:c r="CC176" s="58">
        <x:f>(($O176*CA176)/100)+(CB176*12)</x:f>
      </x:c>
      <x:c r="CD176" s="47"/>
      <x:c r="CE176" s="60"/>
      <x:c r="CF176" s="58">
        <x:f>(($O176*CD176)/100)+(CE176*12)</x:f>
      </x:c>
      <x:c r="CG176" s="47"/>
      <x:c r="CH176" s="60"/>
      <x:c r="CI176" s="58">
        <x:f>(($O176*CG176)/100)+(CH176*12)</x:f>
      </x:c>
      <x:c r="CJ176" s="47"/>
      <x:c r="CK176" s="60"/>
      <x:c r="CL176" s="58">
        <x:f>(($O176*CJ176)/100)+(CK176*12)</x:f>
      </x:c>
      <x:c r="CM176" s="47"/>
      <x:c r="CN176" s="60"/>
      <x:c r="CO176" s="58">
        <x:f>(($O176*CM176)/100)+(CN176*12)</x:f>
      </x:c>
      <x:c r="CP176" s="47"/>
      <x:c r="CQ176" s="60"/>
      <x:c r="CR176" s="58">
        <x:f>(($O176*CP176)/100)+(CQ176*12)</x:f>
      </x:c>
      <x:c r="CS176" s="47"/>
      <x:c r="CT176" s="60"/>
      <x:c r="CU176" s="58">
        <x:f>(($O176*CS176)/100)+(CT176*12)</x:f>
      </x:c>
      <x:c r="CV176" s="47"/>
      <x:c r="CW176" s="60"/>
      <x:c r="CX176" s="58"/>
      <x:c r="CY176" s="47"/>
      <x:c r="CZ176" s="60"/>
      <x:c r="DA176" s="58"/>
      <x:c r="DB176" s="47"/>
      <x:c r="DC176" s="60"/>
      <x:c r="DD176" s="58"/>
      <x:c r="DE176" s="47"/>
      <x:c r="DF176" s="60"/>
      <x:c r="DG176" s="58"/>
      <x:c r="DH176" s="47"/>
      <x:c r="DI176" s="60"/>
      <x:c r="DJ176" s="58"/>
      <x:c r="DK176" s="47"/>
      <x:c r="DL176" s="60"/>
      <x:c r="DM176" s="58"/>
      <x:c r="DN176" s="11"/>
      <x:c r="DO176" s="61"/>
      <x:c r="DP176" s="62"/>
      <x:c r="DQ176" s="11"/>
      <x:c r="DR176" s="61"/>
      <x:c r="DS176" s="62"/>
      <x:c r="DT176" s="11"/>
      <x:c r="DU176" s="61"/>
      <x:c r="DV176" s="62"/>
    </x:row>
    <x:row r="177" spans="1:126" x14ac:dyDescent="0.3">
      <x:c r="A177" s="47"/>
      <x:c r="B177" s="70"/>
      <x:c r="C177" s="70"/>
      <x:c r="D177" s="70"/>
      <x:c r="E177" s="70"/>
      <x:c r="F177" s="70"/>
      <x:c r="G177" s="70"/>
      <x:c r="H177" s="70"/>
      <x:c r="I177" s="70"/>
      <x:c r="J177" s="70"/>
      <x:c r="K177" s="190"/>
      <x:c r="L177" s="191"/>
      <x:c r="M177" s="192">
        <x:f>IF(ISERROR(INDEX('Meter Type Data'!$B$2:$E$1165,SUMPRODUCT(--('Meter Type Data'!$B$2:$B$1165&lt;=Analysis!L177)*('Meter Type Data'!$C$2:$C$1165&gt;=Analysis!L177),ROW('Meter Type Data'!$B$2:$B$1165))-1,4))," ",INDEX('Meter Type Data'!$B$2:$E$1165,SUMPRODUCT(--('Meter Type Data'!$B$2:$B$1165&lt;=Analysis!L177)*('Meter Type Data'!$C$2:$C$1165&gt;=Analysis!L177),ROW('Meter Type Data'!$B$2:$B$1165))-1,4))</x:f>
      </x:c>
      <x:c r="N177" s="192">
        <x:f>IF(ISERROR(INDEX('Meter Type Data'!$B$2:$D$1165,SUMPRODUCT(--('Meter Type Data'!$B$2:$B$1165&lt;=Analysis!L177)*('Meter Type Data'!$C$2:$C$1165&gt;=Analysis!L177),ROW('Meter Type Data'!$B$2:$B$1165))-1,3))," ",INDEX('Meter Type Data'!$B$2:$D$1165,SUMPRODUCT(--('Meter Type Data'!$B$2:$B$1165&lt;=Analysis!L177)*('Meter Type Data'!$C$2:$C$1165&gt;=Analysis!L177),ROW('Meter Type Data'!$B$2:$B$1165))-1,3))</x:f>
      </x:c>
      <x:c r="O177" s="69"/>
      <x:c r="P177" s="47"/>
      <x:c r="Q177" s="60"/>
      <x:c r="R177" s="58">
        <x:f>(($O177*P177)/100)+(Q177*12)</x:f>
      </x:c>
      <x:c r="S177" s="59"/>
      <x:c r="T177" s="59"/>
      <x:c r="U177" s="58">
        <x:f>(($O177*S177)/100)+(T177*12)</x:f>
      </x:c>
      <x:c r="V177" s="47"/>
      <x:c r="W177" s="60"/>
      <x:c r="X177" s="58">
        <x:f>(($O177*V177)/100)+(W177*12)</x:f>
      </x:c>
      <x:c r="Y177" s="47"/>
      <x:c r="Z177" s="60"/>
      <x:c r="AA177" s="58">
        <x:f>(($O177*Y177)/100)+(Z177*12)</x:f>
      </x:c>
      <x:c r="AB177" s="47"/>
      <x:c r="AC177" s="60"/>
      <x:c r="AD177" s="58">
        <x:f>(($O177*AB177)/100)+(AC177*12)</x:f>
      </x:c>
      <x:c r="AE177" s="47"/>
      <x:c r="AF177" s="60"/>
      <x:c r="AG177" s="58">
        <x:f>(($O177*AE177)/100)+(AF177*12)</x:f>
      </x:c>
      <x:c r="AH177" s="47"/>
      <x:c r="AI177" s="60"/>
      <x:c r="AJ177" s="58">
        <x:f>(($O177*AH177)/100)+(AI177*12)</x:f>
      </x:c>
      <x:c r="AK177" s="47"/>
      <x:c r="AL177" s="60"/>
      <x:c r="AM177" s="58">
        <x:f>(($O177*AK177)/100)+(AL177*12)</x:f>
      </x:c>
      <x:c r="AN177" s="47"/>
      <x:c r="AO177" s="60"/>
      <x:c r="AP177" s="58">
        <x:f>(($O177*AN177)/100)+(AO177*12)</x:f>
      </x:c>
      <x:c r="AQ177" s="47"/>
      <x:c r="AR177" s="60"/>
      <x:c r="AS177" s="58">
        <x:f>(($O177*AQ177)/100)+(AR177*12)</x:f>
      </x:c>
      <x:c r="AT177" s="47"/>
      <x:c r="AU177" s="60"/>
      <x:c r="AV177" s="58">
        <x:f>(($O177*AT177)/100)+(AU177*12)</x:f>
      </x:c>
      <x:c r="AW177" s="47"/>
      <x:c r="AX177" s="60"/>
      <x:c r="AY177" s="58">
        <x:f>(($O177*AW177)/100)+(AX177*12)</x:f>
      </x:c>
      <x:c r="AZ177" s="47"/>
      <x:c r="BA177" s="60"/>
      <x:c r="BB177" s="58">
        <x:f>(($O177*AZ177)/100)+(BA177*12)</x:f>
      </x:c>
      <x:c r="BC177" s="47"/>
      <x:c r="BD177" s="60"/>
      <x:c r="BE177" s="58">
        <x:f>(($O177*BC177)/100)+(BD177*12)</x:f>
      </x:c>
      <x:c r="BF177" s="47"/>
      <x:c r="BG177" s="60"/>
      <x:c r="BH177" s="58">
        <x:f>(($O177*BF177)/100)+(BG177*12)</x:f>
      </x:c>
      <x:c r="BI177" s="47"/>
      <x:c r="BJ177" s="60"/>
      <x:c r="BK177" s="58">
        <x:f>(($O177*BI177)/100)+(BJ177*12)</x:f>
      </x:c>
      <x:c r="BL177" s="47"/>
      <x:c r="BM177" s="60"/>
      <x:c r="BN177" s="58">
        <x:f>(($O177*BL177)/100)+(BM177*12)</x:f>
      </x:c>
      <x:c r="BO177" s="47"/>
      <x:c r="BP177" s="60"/>
      <x:c r="BQ177" s="58">
        <x:f>(($O177*BO177)/100)+(BP177*12)</x:f>
      </x:c>
      <x:c r="BR177" s="47"/>
      <x:c r="BS177" s="60"/>
      <x:c r="BT177" s="58">
        <x:f>(($O177*BR177)/100)+(BS177*12)</x:f>
      </x:c>
      <x:c r="BU177" s="47"/>
      <x:c r="BV177" s="60"/>
      <x:c r="BW177" s="58">
        <x:f>(($O177*BU177)/100)+(BV177*12)</x:f>
      </x:c>
      <x:c r="BX177" s="47"/>
      <x:c r="BY177" s="60"/>
      <x:c r="BZ177" s="58">
        <x:f>(($O177*BX177)/100)+(BY177*12)</x:f>
      </x:c>
      <x:c r="CA177" s="47"/>
      <x:c r="CB177" s="60"/>
      <x:c r="CC177" s="58">
        <x:f>(($O177*CA177)/100)+(CB177*12)</x:f>
      </x:c>
      <x:c r="CD177" s="47"/>
      <x:c r="CE177" s="60"/>
      <x:c r="CF177" s="58">
        <x:f>(($O177*CD177)/100)+(CE177*12)</x:f>
      </x:c>
      <x:c r="CG177" s="47"/>
      <x:c r="CH177" s="60"/>
      <x:c r="CI177" s="58">
        <x:f>(($O177*CG177)/100)+(CH177*12)</x:f>
      </x:c>
      <x:c r="CJ177" s="47"/>
      <x:c r="CK177" s="60"/>
      <x:c r="CL177" s="58">
        <x:f>(($O177*CJ177)/100)+(CK177*12)</x:f>
      </x:c>
      <x:c r="CM177" s="47"/>
      <x:c r="CN177" s="60"/>
      <x:c r="CO177" s="58">
        <x:f>(($O177*CM177)/100)+(CN177*12)</x:f>
      </x:c>
      <x:c r="CP177" s="47"/>
      <x:c r="CQ177" s="60"/>
      <x:c r="CR177" s="58">
        <x:f>(($O177*CP177)/100)+(CQ177*12)</x:f>
      </x:c>
      <x:c r="CS177" s="47"/>
      <x:c r="CT177" s="60"/>
      <x:c r="CU177" s="58">
        <x:f>(($O177*CS177)/100)+(CT177*12)</x:f>
      </x:c>
      <x:c r="CV177" s="47"/>
      <x:c r="CW177" s="60"/>
      <x:c r="CX177" s="58"/>
      <x:c r="CY177" s="47"/>
      <x:c r="CZ177" s="60"/>
      <x:c r="DA177" s="58"/>
      <x:c r="DB177" s="47"/>
      <x:c r="DC177" s="60"/>
      <x:c r="DD177" s="58"/>
      <x:c r="DE177" s="47"/>
      <x:c r="DF177" s="60"/>
      <x:c r="DG177" s="58"/>
      <x:c r="DH177" s="47"/>
      <x:c r="DI177" s="60"/>
      <x:c r="DJ177" s="58"/>
      <x:c r="DK177" s="47"/>
      <x:c r="DL177" s="60"/>
      <x:c r="DM177" s="58"/>
      <x:c r="DN177" s="11"/>
      <x:c r="DO177" s="61"/>
      <x:c r="DP177" s="62"/>
      <x:c r="DQ177" s="11"/>
      <x:c r="DR177" s="61"/>
      <x:c r="DS177" s="62"/>
      <x:c r="DT177" s="11"/>
      <x:c r="DU177" s="61"/>
      <x:c r="DV177" s="62"/>
    </x:row>
    <x:row r="178" spans="1:126" x14ac:dyDescent="0.3">
      <x:c r="A178" s="47"/>
      <x:c r="B178" s="70"/>
      <x:c r="C178" s="70"/>
      <x:c r="D178" s="70"/>
      <x:c r="E178" s="70"/>
      <x:c r="F178" s="70"/>
      <x:c r="G178" s="70"/>
      <x:c r="H178" s="70"/>
      <x:c r="I178" s="70"/>
      <x:c r="J178" s="70"/>
      <x:c r="K178" s="190"/>
      <x:c r="L178" s="191"/>
      <x:c r="M178" s="192">
        <x:f>IF(ISERROR(INDEX('Meter Type Data'!$B$2:$E$1165,SUMPRODUCT(--('Meter Type Data'!$B$2:$B$1165&lt;=Analysis!L178)*('Meter Type Data'!$C$2:$C$1165&gt;=Analysis!L178),ROW('Meter Type Data'!$B$2:$B$1165))-1,4))," ",INDEX('Meter Type Data'!$B$2:$E$1165,SUMPRODUCT(--('Meter Type Data'!$B$2:$B$1165&lt;=Analysis!L178)*('Meter Type Data'!$C$2:$C$1165&gt;=Analysis!L178),ROW('Meter Type Data'!$B$2:$B$1165))-1,4))</x:f>
      </x:c>
      <x:c r="N178" s="192">
        <x:f>IF(ISERROR(INDEX('Meter Type Data'!$B$2:$D$1165,SUMPRODUCT(--('Meter Type Data'!$B$2:$B$1165&lt;=Analysis!L178)*('Meter Type Data'!$C$2:$C$1165&gt;=Analysis!L178),ROW('Meter Type Data'!$B$2:$B$1165))-1,3))," ",INDEX('Meter Type Data'!$B$2:$D$1165,SUMPRODUCT(--('Meter Type Data'!$B$2:$B$1165&lt;=Analysis!L178)*('Meter Type Data'!$C$2:$C$1165&gt;=Analysis!L178),ROW('Meter Type Data'!$B$2:$B$1165))-1,3))</x:f>
      </x:c>
      <x:c r="O178" s="69"/>
      <x:c r="P178" s="47"/>
      <x:c r="Q178" s="60"/>
      <x:c r="R178" s="58">
        <x:f>(($O178*P178)/100)+(Q178*12)</x:f>
      </x:c>
      <x:c r="S178" s="59"/>
      <x:c r="T178" s="59"/>
      <x:c r="U178" s="58">
        <x:f>(($O178*S178)/100)+(T178*12)</x:f>
      </x:c>
      <x:c r="V178" s="47"/>
      <x:c r="W178" s="60"/>
      <x:c r="X178" s="58">
        <x:f>(($O178*V178)/100)+(W178*12)</x:f>
      </x:c>
      <x:c r="Y178" s="47"/>
      <x:c r="Z178" s="60"/>
      <x:c r="AA178" s="58">
        <x:f>(($O178*Y178)/100)+(Z178*12)</x:f>
      </x:c>
      <x:c r="AB178" s="47"/>
      <x:c r="AC178" s="60"/>
      <x:c r="AD178" s="58">
        <x:f>(($O178*AB178)/100)+(AC178*12)</x:f>
      </x:c>
      <x:c r="AE178" s="47"/>
      <x:c r="AF178" s="60"/>
      <x:c r="AG178" s="58">
        <x:f>(($O178*AE178)/100)+(AF178*12)</x:f>
      </x:c>
      <x:c r="AH178" s="47"/>
      <x:c r="AI178" s="60"/>
      <x:c r="AJ178" s="58">
        <x:f>(($O178*AH178)/100)+(AI178*12)</x:f>
      </x:c>
      <x:c r="AK178" s="47"/>
      <x:c r="AL178" s="60"/>
      <x:c r="AM178" s="58">
        <x:f>(($O178*AK178)/100)+(AL178*12)</x:f>
      </x:c>
      <x:c r="AN178" s="47"/>
      <x:c r="AO178" s="60"/>
      <x:c r="AP178" s="58">
        <x:f>(($O178*AN178)/100)+(AO178*12)</x:f>
      </x:c>
      <x:c r="AQ178" s="47"/>
      <x:c r="AR178" s="60"/>
      <x:c r="AS178" s="58">
        <x:f>(($O178*AQ178)/100)+(AR178*12)</x:f>
      </x:c>
      <x:c r="AT178" s="47"/>
      <x:c r="AU178" s="60"/>
      <x:c r="AV178" s="58">
        <x:f>(($O178*AT178)/100)+(AU178*12)</x:f>
      </x:c>
      <x:c r="AW178" s="47"/>
      <x:c r="AX178" s="60"/>
      <x:c r="AY178" s="58">
        <x:f>(($O178*AW178)/100)+(AX178*12)</x:f>
      </x:c>
      <x:c r="AZ178" s="47"/>
      <x:c r="BA178" s="60"/>
      <x:c r="BB178" s="58">
        <x:f>(($O178*AZ178)/100)+(BA178*12)</x:f>
      </x:c>
      <x:c r="BC178" s="47"/>
      <x:c r="BD178" s="60"/>
      <x:c r="BE178" s="58">
        <x:f>(($O178*BC178)/100)+(BD178*12)</x:f>
      </x:c>
      <x:c r="BF178" s="47"/>
      <x:c r="BG178" s="60"/>
      <x:c r="BH178" s="58">
        <x:f>(($O178*BF178)/100)+(BG178*12)</x:f>
      </x:c>
      <x:c r="BI178" s="47"/>
      <x:c r="BJ178" s="60"/>
      <x:c r="BK178" s="58">
        <x:f>(($O178*BI178)/100)+(BJ178*12)</x:f>
      </x:c>
      <x:c r="BL178" s="47"/>
      <x:c r="BM178" s="60"/>
      <x:c r="BN178" s="58">
        <x:f>(($O178*BL178)/100)+(BM178*12)</x:f>
      </x:c>
      <x:c r="BO178" s="47"/>
      <x:c r="BP178" s="60"/>
      <x:c r="BQ178" s="58">
        <x:f>(($O178*BO178)/100)+(BP178*12)</x:f>
      </x:c>
      <x:c r="BR178" s="47"/>
      <x:c r="BS178" s="60"/>
      <x:c r="BT178" s="58">
        <x:f>(($O178*BR178)/100)+(BS178*12)</x:f>
      </x:c>
      <x:c r="BU178" s="47"/>
      <x:c r="BV178" s="60"/>
      <x:c r="BW178" s="58">
        <x:f>(($O178*BU178)/100)+(BV178*12)</x:f>
      </x:c>
      <x:c r="BX178" s="47"/>
      <x:c r="BY178" s="60"/>
      <x:c r="BZ178" s="58">
        <x:f>(($O178*BX178)/100)+(BY178*12)</x:f>
      </x:c>
      <x:c r="CA178" s="47"/>
      <x:c r="CB178" s="60"/>
      <x:c r="CC178" s="58">
        <x:f>(($O178*CA178)/100)+(CB178*12)</x:f>
      </x:c>
      <x:c r="CD178" s="47"/>
      <x:c r="CE178" s="60"/>
      <x:c r="CF178" s="58">
        <x:f>(($O178*CD178)/100)+(CE178*12)</x:f>
      </x:c>
      <x:c r="CG178" s="47"/>
      <x:c r="CH178" s="60"/>
      <x:c r="CI178" s="58">
        <x:f>(($O178*CG178)/100)+(CH178*12)</x:f>
      </x:c>
      <x:c r="CJ178" s="47"/>
      <x:c r="CK178" s="60"/>
      <x:c r="CL178" s="58">
        <x:f>(($O178*CJ178)/100)+(CK178*12)</x:f>
      </x:c>
      <x:c r="CM178" s="47"/>
      <x:c r="CN178" s="60"/>
      <x:c r="CO178" s="58">
        <x:f>(($O178*CM178)/100)+(CN178*12)</x:f>
      </x:c>
      <x:c r="CP178" s="47"/>
      <x:c r="CQ178" s="60"/>
      <x:c r="CR178" s="58">
        <x:f>(($O178*CP178)/100)+(CQ178*12)</x:f>
      </x:c>
      <x:c r="CS178" s="47"/>
      <x:c r="CT178" s="60"/>
      <x:c r="CU178" s="58">
        <x:f>(($O178*CS178)/100)+(CT178*12)</x:f>
      </x:c>
      <x:c r="CV178" s="47"/>
      <x:c r="CW178" s="60"/>
      <x:c r="CX178" s="58"/>
      <x:c r="CY178" s="47"/>
      <x:c r="CZ178" s="60"/>
      <x:c r="DA178" s="58"/>
      <x:c r="DB178" s="47"/>
      <x:c r="DC178" s="60"/>
      <x:c r="DD178" s="58"/>
      <x:c r="DE178" s="47"/>
      <x:c r="DF178" s="60"/>
      <x:c r="DG178" s="58"/>
      <x:c r="DH178" s="47"/>
      <x:c r="DI178" s="60"/>
      <x:c r="DJ178" s="58"/>
      <x:c r="DK178" s="47"/>
      <x:c r="DL178" s="60"/>
      <x:c r="DM178" s="58"/>
      <x:c r="DN178" s="11"/>
      <x:c r="DO178" s="61"/>
      <x:c r="DP178" s="62"/>
      <x:c r="DQ178" s="11"/>
      <x:c r="DR178" s="61"/>
      <x:c r="DS178" s="62"/>
      <x:c r="DT178" s="11"/>
      <x:c r="DU178" s="61"/>
      <x:c r="DV178" s="62"/>
    </x:row>
    <x:row r="179" spans="1:126" x14ac:dyDescent="0.3">
      <x:c r="A179" s="47"/>
      <x:c r="B179" s="70"/>
      <x:c r="C179" s="70"/>
      <x:c r="D179" s="70"/>
      <x:c r="E179" s="70"/>
      <x:c r="F179" s="70"/>
      <x:c r="G179" s="70"/>
      <x:c r="H179" s="70"/>
      <x:c r="I179" s="70"/>
      <x:c r="J179" s="70"/>
      <x:c r="K179" s="190"/>
      <x:c r="L179" s="191"/>
      <x:c r="M179" s="192">
        <x:f>IF(ISERROR(INDEX('Meter Type Data'!$B$2:$E$1165,SUMPRODUCT(--('Meter Type Data'!$B$2:$B$1165&lt;=Analysis!L179)*('Meter Type Data'!$C$2:$C$1165&gt;=Analysis!L179),ROW('Meter Type Data'!$B$2:$B$1165))-1,4))," ",INDEX('Meter Type Data'!$B$2:$E$1165,SUMPRODUCT(--('Meter Type Data'!$B$2:$B$1165&lt;=Analysis!L179)*('Meter Type Data'!$C$2:$C$1165&gt;=Analysis!L179),ROW('Meter Type Data'!$B$2:$B$1165))-1,4))</x:f>
      </x:c>
      <x:c r="N179" s="192">
        <x:f>IF(ISERROR(INDEX('Meter Type Data'!$B$2:$D$1165,SUMPRODUCT(--('Meter Type Data'!$B$2:$B$1165&lt;=Analysis!L179)*('Meter Type Data'!$C$2:$C$1165&gt;=Analysis!L179),ROW('Meter Type Data'!$B$2:$B$1165))-1,3))," ",INDEX('Meter Type Data'!$B$2:$D$1165,SUMPRODUCT(--('Meter Type Data'!$B$2:$B$1165&lt;=Analysis!L179)*('Meter Type Data'!$C$2:$C$1165&gt;=Analysis!L179),ROW('Meter Type Data'!$B$2:$B$1165))-1,3))</x:f>
      </x:c>
      <x:c r="O179" s="69"/>
      <x:c r="P179" s="47"/>
      <x:c r="Q179" s="60"/>
      <x:c r="R179" s="58">
        <x:f>(($O179*P179)/100)+(Q179*12)</x:f>
      </x:c>
      <x:c r="S179" s="59"/>
      <x:c r="T179" s="59"/>
      <x:c r="U179" s="58">
        <x:f>(($O179*S179)/100)+(T179*12)</x:f>
      </x:c>
      <x:c r="V179" s="47"/>
      <x:c r="W179" s="60"/>
      <x:c r="X179" s="58">
        <x:f>(($O179*V179)/100)+(W179*12)</x:f>
      </x:c>
      <x:c r="Y179" s="47"/>
      <x:c r="Z179" s="60"/>
      <x:c r="AA179" s="58">
        <x:f>(($O179*Y179)/100)+(Z179*12)</x:f>
      </x:c>
      <x:c r="AB179" s="47"/>
      <x:c r="AC179" s="60"/>
      <x:c r="AD179" s="58">
        <x:f>(($O179*AB179)/100)+(AC179*12)</x:f>
      </x:c>
      <x:c r="AE179" s="47"/>
      <x:c r="AF179" s="60"/>
      <x:c r="AG179" s="58">
        <x:f>(($O179*AE179)/100)+(AF179*12)</x:f>
      </x:c>
      <x:c r="AH179" s="47"/>
      <x:c r="AI179" s="60"/>
      <x:c r="AJ179" s="58">
        <x:f>(($O179*AH179)/100)+(AI179*12)</x:f>
      </x:c>
      <x:c r="AK179" s="47"/>
      <x:c r="AL179" s="60"/>
      <x:c r="AM179" s="58">
        <x:f>(($O179*AK179)/100)+(AL179*12)</x:f>
      </x:c>
      <x:c r="AN179" s="47"/>
      <x:c r="AO179" s="60"/>
      <x:c r="AP179" s="58">
        <x:f>(($O179*AN179)/100)+(AO179*12)</x:f>
      </x:c>
      <x:c r="AQ179" s="47"/>
      <x:c r="AR179" s="60"/>
      <x:c r="AS179" s="58">
        <x:f>(($O179*AQ179)/100)+(AR179*12)</x:f>
      </x:c>
      <x:c r="AT179" s="47"/>
      <x:c r="AU179" s="60"/>
      <x:c r="AV179" s="58">
        <x:f>(($O179*AT179)/100)+(AU179*12)</x:f>
      </x:c>
      <x:c r="AW179" s="47"/>
      <x:c r="AX179" s="60"/>
      <x:c r="AY179" s="58">
        <x:f>(($O179*AW179)/100)+(AX179*12)</x:f>
      </x:c>
      <x:c r="AZ179" s="47"/>
      <x:c r="BA179" s="60"/>
      <x:c r="BB179" s="58">
        <x:f>(($O179*AZ179)/100)+(BA179*12)</x:f>
      </x:c>
      <x:c r="BC179" s="47"/>
      <x:c r="BD179" s="60"/>
      <x:c r="BE179" s="58">
        <x:f>(($O179*BC179)/100)+(BD179*12)</x:f>
      </x:c>
      <x:c r="BF179" s="47"/>
      <x:c r="BG179" s="60"/>
      <x:c r="BH179" s="58">
        <x:f>(($O179*BF179)/100)+(BG179*12)</x:f>
      </x:c>
      <x:c r="BI179" s="47"/>
      <x:c r="BJ179" s="60"/>
      <x:c r="BK179" s="58">
        <x:f>(($O179*BI179)/100)+(BJ179*12)</x:f>
      </x:c>
      <x:c r="BL179" s="47"/>
      <x:c r="BM179" s="60"/>
      <x:c r="BN179" s="58">
        <x:f>(($O179*BL179)/100)+(BM179*12)</x:f>
      </x:c>
      <x:c r="BO179" s="47"/>
      <x:c r="BP179" s="60"/>
      <x:c r="BQ179" s="58">
        <x:f>(($O179*BO179)/100)+(BP179*12)</x:f>
      </x:c>
      <x:c r="BR179" s="47"/>
      <x:c r="BS179" s="60"/>
      <x:c r="BT179" s="58">
        <x:f>(($O179*BR179)/100)+(BS179*12)</x:f>
      </x:c>
      <x:c r="BU179" s="47"/>
      <x:c r="BV179" s="60"/>
      <x:c r="BW179" s="58">
        <x:f>(($O179*BU179)/100)+(BV179*12)</x:f>
      </x:c>
      <x:c r="BX179" s="47"/>
      <x:c r="BY179" s="60"/>
      <x:c r="BZ179" s="58">
        <x:f>(($O179*BX179)/100)+(BY179*12)</x:f>
      </x:c>
      <x:c r="CA179" s="47"/>
      <x:c r="CB179" s="60"/>
      <x:c r="CC179" s="58">
        <x:f>(($O179*CA179)/100)+(CB179*12)</x:f>
      </x:c>
      <x:c r="CD179" s="47"/>
      <x:c r="CE179" s="60"/>
      <x:c r="CF179" s="58">
        <x:f>(($O179*CD179)/100)+(CE179*12)</x:f>
      </x:c>
      <x:c r="CG179" s="47"/>
      <x:c r="CH179" s="60"/>
      <x:c r="CI179" s="58">
        <x:f>(($O179*CG179)/100)+(CH179*12)</x:f>
      </x:c>
      <x:c r="CJ179" s="47"/>
      <x:c r="CK179" s="60"/>
      <x:c r="CL179" s="58">
        <x:f>(($O179*CJ179)/100)+(CK179*12)</x:f>
      </x:c>
      <x:c r="CM179" s="47"/>
      <x:c r="CN179" s="60"/>
      <x:c r="CO179" s="58">
        <x:f>(($O179*CM179)/100)+(CN179*12)</x:f>
      </x:c>
      <x:c r="CP179" s="47"/>
      <x:c r="CQ179" s="60"/>
      <x:c r="CR179" s="58">
        <x:f>(($O179*CP179)/100)+(CQ179*12)</x:f>
      </x:c>
      <x:c r="CS179" s="47"/>
      <x:c r="CT179" s="60"/>
      <x:c r="CU179" s="58">
        <x:f>(($O179*CS179)/100)+(CT179*12)</x:f>
      </x:c>
      <x:c r="CV179" s="47"/>
      <x:c r="CW179" s="60"/>
      <x:c r="CX179" s="58"/>
      <x:c r="CY179" s="47"/>
      <x:c r="CZ179" s="60"/>
      <x:c r="DA179" s="58"/>
      <x:c r="DB179" s="47"/>
      <x:c r="DC179" s="60"/>
      <x:c r="DD179" s="58"/>
      <x:c r="DE179" s="47"/>
      <x:c r="DF179" s="60"/>
      <x:c r="DG179" s="58"/>
      <x:c r="DH179" s="47"/>
      <x:c r="DI179" s="60"/>
      <x:c r="DJ179" s="58"/>
      <x:c r="DK179" s="47"/>
      <x:c r="DL179" s="60"/>
      <x:c r="DM179" s="58"/>
      <x:c r="DN179" s="11"/>
      <x:c r="DO179" s="61"/>
      <x:c r="DP179" s="62"/>
      <x:c r="DQ179" s="11"/>
      <x:c r="DR179" s="61"/>
      <x:c r="DS179" s="62"/>
      <x:c r="DT179" s="11"/>
      <x:c r="DU179" s="61"/>
      <x:c r="DV179" s="62"/>
    </x:row>
    <x:row r="180" spans="1:126" x14ac:dyDescent="0.3">
      <x:c r="A180" s="47"/>
      <x:c r="B180" s="70"/>
      <x:c r="C180" s="70"/>
      <x:c r="D180" s="70"/>
      <x:c r="E180" s="70"/>
      <x:c r="F180" s="70"/>
      <x:c r="G180" s="70"/>
      <x:c r="H180" s="70"/>
      <x:c r="I180" s="70"/>
      <x:c r="J180" s="70"/>
      <x:c r="K180" s="190"/>
      <x:c r="L180" s="191"/>
      <x:c r="M180" s="192">
        <x:f>IF(ISERROR(INDEX('Meter Type Data'!$B$2:$E$1165,SUMPRODUCT(--('Meter Type Data'!$B$2:$B$1165&lt;=Analysis!L180)*('Meter Type Data'!$C$2:$C$1165&gt;=Analysis!L180),ROW('Meter Type Data'!$B$2:$B$1165))-1,4))," ",INDEX('Meter Type Data'!$B$2:$E$1165,SUMPRODUCT(--('Meter Type Data'!$B$2:$B$1165&lt;=Analysis!L180)*('Meter Type Data'!$C$2:$C$1165&gt;=Analysis!L180),ROW('Meter Type Data'!$B$2:$B$1165))-1,4))</x:f>
      </x:c>
      <x:c r="N180" s="192">
        <x:f>IF(ISERROR(INDEX('Meter Type Data'!$B$2:$D$1165,SUMPRODUCT(--('Meter Type Data'!$B$2:$B$1165&lt;=Analysis!L180)*('Meter Type Data'!$C$2:$C$1165&gt;=Analysis!L180),ROW('Meter Type Data'!$B$2:$B$1165))-1,3))," ",INDEX('Meter Type Data'!$B$2:$D$1165,SUMPRODUCT(--('Meter Type Data'!$B$2:$B$1165&lt;=Analysis!L180)*('Meter Type Data'!$C$2:$C$1165&gt;=Analysis!L180),ROW('Meter Type Data'!$B$2:$B$1165))-1,3))</x:f>
      </x:c>
      <x:c r="O180" s="69"/>
      <x:c r="P180" s="47"/>
      <x:c r="Q180" s="60"/>
      <x:c r="R180" s="58">
        <x:f>(($O180*P180)/100)+(Q180*12)</x:f>
      </x:c>
      <x:c r="S180" s="59"/>
      <x:c r="T180" s="59"/>
      <x:c r="U180" s="58">
        <x:f>(($O180*S180)/100)+(T180*12)</x:f>
      </x:c>
      <x:c r="V180" s="47"/>
      <x:c r="W180" s="60"/>
      <x:c r="X180" s="58">
        <x:f>(($O180*V180)/100)+(W180*12)</x:f>
      </x:c>
      <x:c r="Y180" s="47"/>
      <x:c r="Z180" s="60"/>
      <x:c r="AA180" s="58">
        <x:f>(($O180*Y180)/100)+(Z180*12)</x:f>
      </x:c>
      <x:c r="AB180" s="47"/>
      <x:c r="AC180" s="60"/>
      <x:c r="AD180" s="58">
        <x:f>(($O180*AB180)/100)+(AC180*12)</x:f>
      </x:c>
      <x:c r="AE180" s="47"/>
      <x:c r="AF180" s="60"/>
      <x:c r="AG180" s="58">
        <x:f>(($O180*AE180)/100)+(AF180*12)</x:f>
      </x:c>
      <x:c r="AH180" s="47"/>
      <x:c r="AI180" s="60"/>
      <x:c r="AJ180" s="58">
        <x:f>(($O180*AH180)/100)+(AI180*12)</x:f>
      </x:c>
      <x:c r="AK180" s="47"/>
      <x:c r="AL180" s="60"/>
      <x:c r="AM180" s="58">
        <x:f>(($O180*AK180)/100)+(AL180*12)</x:f>
      </x:c>
      <x:c r="AN180" s="47"/>
      <x:c r="AO180" s="60"/>
      <x:c r="AP180" s="58">
        <x:f>(($O180*AN180)/100)+(AO180*12)</x:f>
      </x:c>
      <x:c r="AQ180" s="47"/>
      <x:c r="AR180" s="60"/>
      <x:c r="AS180" s="58">
        <x:f>(($O180*AQ180)/100)+(AR180*12)</x:f>
      </x:c>
      <x:c r="AT180" s="47"/>
      <x:c r="AU180" s="60"/>
      <x:c r="AV180" s="58">
        <x:f>(($O180*AT180)/100)+(AU180*12)</x:f>
      </x:c>
      <x:c r="AW180" s="47"/>
      <x:c r="AX180" s="60"/>
      <x:c r="AY180" s="58">
        <x:f>(($O180*AW180)/100)+(AX180*12)</x:f>
      </x:c>
      <x:c r="AZ180" s="47"/>
      <x:c r="BA180" s="60"/>
      <x:c r="BB180" s="58">
        <x:f>(($O180*AZ180)/100)+(BA180*12)</x:f>
      </x:c>
      <x:c r="BC180" s="47"/>
      <x:c r="BD180" s="60"/>
      <x:c r="BE180" s="58">
        <x:f>(($O180*BC180)/100)+(BD180*12)</x:f>
      </x:c>
      <x:c r="BF180" s="47"/>
      <x:c r="BG180" s="60"/>
      <x:c r="BH180" s="58">
        <x:f>(($O180*BF180)/100)+(BG180*12)</x:f>
      </x:c>
      <x:c r="BI180" s="47"/>
      <x:c r="BJ180" s="60"/>
      <x:c r="BK180" s="58">
        <x:f>(($O180*BI180)/100)+(BJ180*12)</x:f>
      </x:c>
      <x:c r="BL180" s="47"/>
      <x:c r="BM180" s="60"/>
      <x:c r="BN180" s="58">
        <x:f>(($O180*BL180)/100)+(BM180*12)</x:f>
      </x:c>
      <x:c r="BO180" s="47"/>
      <x:c r="BP180" s="60"/>
      <x:c r="BQ180" s="58">
        <x:f>(($O180*BO180)/100)+(BP180*12)</x:f>
      </x:c>
      <x:c r="BR180" s="47"/>
      <x:c r="BS180" s="60"/>
      <x:c r="BT180" s="58">
        <x:f>(($O180*BR180)/100)+(BS180*12)</x:f>
      </x:c>
      <x:c r="BU180" s="47"/>
      <x:c r="BV180" s="60"/>
      <x:c r="BW180" s="58">
        <x:f>(($O180*BU180)/100)+(BV180*12)</x:f>
      </x:c>
      <x:c r="BX180" s="47"/>
      <x:c r="BY180" s="60"/>
      <x:c r="BZ180" s="58">
        <x:f>(($O180*BX180)/100)+(BY180*12)</x:f>
      </x:c>
      <x:c r="CA180" s="47"/>
      <x:c r="CB180" s="60"/>
      <x:c r="CC180" s="58">
        <x:f>(($O180*CA180)/100)+(CB180*12)</x:f>
      </x:c>
      <x:c r="CD180" s="47"/>
      <x:c r="CE180" s="60"/>
      <x:c r="CF180" s="58">
        <x:f>(($O180*CD180)/100)+(CE180*12)</x:f>
      </x:c>
      <x:c r="CG180" s="47"/>
      <x:c r="CH180" s="60"/>
      <x:c r="CI180" s="58">
        <x:f>(($O180*CG180)/100)+(CH180*12)</x:f>
      </x:c>
      <x:c r="CJ180" s="47"/>
      <x:c r="CK180" s="60"/>
      <x:c r="CL180" s="58">
        <x:f>(($O180*CJ180)/100)+(CK180*12)</x:f>
      </x:c>
      <x:c r="CM180" s="47"/>
      <x:c r="CN180" s="60"/>
      <x:c r="CO180" s="58">
        <x:f>(($O180*CM180)/100)+(CN180*12)</x:f>
      </x:c>
      <x:c r="CP180" s="47"/>
      <x:c r="CQ180" s="60"/>
      <x:c r="CR180" s="58">
        <x:f>(($O180*CP180)/100)+(CQ180*12)</x:f>
      </x:c>
      <x:c r="CS180" s="47"/>
      <x:c r="CT180" s="60"/>
      <x:c r="CU180" s="58">
        <x:f>(($O180*CS180)/100)+(CT180*12)</x:f>
      </x:c>
      <x:c r="CV180" s="47"/>
      <x:c r="CW180" s="60"/>
      <x:c r="CX180" s="58"/>
      <x:c r="CY180" s="47"/>
      <x:c r="CZ180" s="60"/>
      <x:c r="DA180" s="58"/>
      <x:c r="DB180" s="47"/>
      <x:c r="DC180" s="60"/>
      <x:c r="DD180" s="58"/>
      <x:c r="DE180" s="47"/>
      <x:c r="DF180" s="60"/>
      <x:c r="DG180" s="58"/>
      <x:c r="DH180" s="47"/>
      <x:c r="DI180" s="60"/>
      <x:c r="DJ180" s="58"/>
      <x:c r="DK180" s="47"/>
      <x:c r="DL180" s="60"/>
      <x:c r="DM180" s="58"/>
      <x:c r="DN180" s="11"/>
      <x:c r="DO180" s="61"/>
      <x:c r="DP180" s="62"/>
      <x:c r="DQ180" s="11"/>
      <x:c r="DR180" s="61"/>
      <x:c r="DS180" s="62"/>
      <x:c r="DT180" s="11"/>
      <x:c r="DU180" s="61"/>
      <x:c r="DV180" s="62"/>
    </x:row>
    <x:row r="181" spans="1:126" x14ac:dyDescent="0.3">
      <x:c r="A181" s="47"/>
      <x:c r="B181" s="70"/>
      <x:c r="C181" s="70"/>
      <x:c r="D181" s="70"/>
      <x:c r="E181" s="70"/>
      <x:c r="F181" s="70"/>
      <x:c r="G181" s="70"/>
      <x:c r="H181" s="70"/>
      <x:c r="I181" s="70"/>
      <x:c r="J181" s="70"/>
      <x:c r="K181" s="190"/>
      <x:c r="L181" s="191"/>
      <x:c r="M181" s="192">
        <x:f>IF(ISERROR(INDEX('Meter Type Data'!$B$2:$E$1165,SUMPRODUCT(--('Meter Type Data'!$B$2:$B$1165&lt;=Analysis!L181)*('Meter Type Data'!$C$2:$C$1165&gt;=Analysis!L181),ROW('Meter Type Data'!$B$2:$B$1165))-1,4))," ",INDEX('Meter Type Data'!$B$2:$E$1165,SUMPRODUCT(--('Meter Type Data'!$B$2:$B$1165&lt;=Analysis!L181)*('Meter Type Data'!$C$2:$C$1165&gt;=Analysis!L181),ROW('Meter Type Data'!$B$2:$B$1165))-1,4))</x:f>
      </x:c>
      <x:c r="N181" s="192">
        <x:f>IF(ISERROR(INDEX('Meter Type Data'!$B$2:$D$1165,SUMPRODUCT(--('Meter Type Data'!$B$2:$B$1165&lt;=Analysis!L181)*('Meter Type Data'!$C$2:$C$1165&gt;=Analysis!L181),ROW('Meter Type Data'!$B$2:$B$1165))-1,3))," ",INDEX('Meter Type Data'!$B$2:$D$1165,SUMPRODUCT(--('Meter Type Data'!$B$2:$B$1165&lt;=Analysis!L181)*('Meter Type Data'!$C$2:$C$1165&gt;=Analysis!L181),ROW('Meter Type Data'!$B$2:$B$1165))-1,3))</x:f>
      </x:c>
      <x:c r="O181" s="69"/>
      <x:c r="P181" s="47"/>
      <x:c r="Q181" s="60"/>
      <x:c r="R181" s="58">
        <x:f>(($O181*P181)/100)+(Q181*12)</x:f>
      </x:c>
      <x:c r="S181" s="59"/>
      <x:c r="T181" s="59"/>
      <x:c r="U181" s="58">
        <x:f>(($O181*S181)/100)+(T181*12)</x:f>
      </x:c>
      <x:c r="V181" s="47"/>
      <x:c r="W181" s="60"/>
      <x:c r="X181" s="58">
        <x:f>(($O181*V181)/100)+(W181*12)</x:f>
      </x:c>
      <x:c r="Y181" s="47"/>
      <x:c r="Z181" s="60"/>
      <x:c r="AA181" s="58">
        <x:f>(($O181*Y181)/100)+(Z181*12)</x:f>
      </x:c>
      <x:c r="AB181" s="47"/>
      <x:c r="AC181" s="60"/>
      <x:c r="AD181" s="58">
        <x:f>(($O181*AB181)/100)+(AC181*12)</x:f>
      </x:c>
      <x:c r="AE181" s="47"/>
      <x:c r="AF181" s="60"/>
      <x:c r="AG181" s="58">
        <x:f>(($O181*AE181)/100)+(AF181*12)</x:f>
      </x:c>
      <x:c r="AH181" s="47"/>
      <x:c r="AI181" s="60"/>
      <x:c r="AJ181" s="58">
        <x:f>(($O181*AH181)/100)+(AI181*12)</x:f>
      </x:c>
      <x:c r="AK181" s="47"/>
      <x:c r="AL181" s="60"/>
      <x:c r="AM181" s="58">
        <x:f>(($O181*AK181)/100)+(AL181*12)</x:f>
      </x:c>
      <x:c r="AN181" s="47"/>
      <x:c r="AO181" s="60"/>
      <x:c r="AP181" s="58">
        <x:f>(($O181*AN181)/100)+(AO181*12)</x:f>
      </x:c>
      <x:c r="AQ181" s="47"/>
      <x:c r="AR181" s="60"/>
      <x:c r="AS181" s="58">
        <x:f>(($O181*AQ181)/100)+(AR181*12)</x:f>
      </x:c>
      <x:c r="AT181" s="47"/>
      <x:c r="AU181" s="60"/>
      <x:c r="AV181" s="58">
        <x:f>(($O181*AT181)/100)+(AU181*12)</x:f>
      </x:c>
      <x:c r="AW181" s="47"/>
      <x:c r="AX181" s="60"/>
      <x:c r="AY181" s="58">
        <x:f>(($O181*AW181)/100)+(AX181*12)</x:f>
      </x:c>
      <x:c r="AZ181" s="47"/>
      <x:c r="BA181" s="60"/>
      <x:c r="BB181" s="58">
        <x:f>(($O181*AZ181)/100)+(BA181*12)</x:f>
      </x:c>
      <x:c r="BC181" s="47"/>
      <x:c r="BD181" s="60"/>
      <x:c r="BE181" s="58">
        <x:f>(($O181*BC181)/100)+(BD181*12)</x:f>
      </x:c>
      <x:c r="BF181" s="47"/>
      <x:c r="BG181" s="60"/>
      <x:c r="BH181" s="58">
        <x:f>(($O181*BF181)/100)+(BG181*12)</x:f>
      </x:c>
      <x:c r="BI181" s="47"/>
      <x:c r="BJ181" s="60"/>
      <x:c r="BK181" s="58">
        <x:f>(($O181*BI181)/100)+(BJ181*12)</x:f>
      </x:c>
      <x:c r="BL181" s="47"/>
      <x:c r="BM181" s="60"/>
      <x:c r="BN181" s="58">
        <x:f>(($O181*BL181)/100)+(BM181*12)</x:f>
      </x:c>
      <x:c r="BO181" s="47"/>
      <x:c r="BP181" s="60"/>
      <x:c r="BQ181" s="58">
        <x:f>(($O181*BO181)/100)+(BP181*12)</x:f>
      </x:c>
      <x:c r="BR181" s="47"/>
      <x:c r="BS181" s="60"/>
      <x:c r="BT181" s="58">
        <x:f>(($O181*BR181)/100)+(BS181*12)</x:f>
      </x:c>
      <x:c r="BU181" s="47"/>
      <x:c r="BV181" s="60"/>
      <x:c r="BW181" s="58">
        <x:f>(($O181*BU181)/100)+(BV181*12)</x:f>
      </x:c>
      <x:c r="BX181" s="47"/>
      <x:c r="BY181" s="60"/>
      <x:c r="BZ181" s="58">
        <x:f>(($O181*BX181)/100)+(BY181*12)</x:f>
      </x:c>
      <x:c r="CA181" s="47"/>
      <x:c r="CB181" s="60"/>
      <x:c r="CC181" s="58">
        <x:f>(($O181*CA181)/100)+(CB181*12)</x:f>
      </x:c>
      <x:c r="CD181" s="47"/>
      <x:c r="CE181" s="60"/>
      <x:c r="CF181" s="58">
        <x:f>(($O181*CD181)/100)+(CE181*12)</x:f>
      </x:c>
      <x:c r="CG181" s="47"/>
      <x:c r="CH181" s="60"/>
      <x:c r="CI181" s="58">
        <x:f>(($O181*CG181)/100)+(CH181*12)</x:f>
      </x:c>
      <x:c r="CJ181" s="47"/>
      <x:c r="CK181" s="60"/>
      <x:c r="CL181" s="58">
        <x:f>(($O181*CJ181)/100)+(CK181*12)</x:f>
      </x:c>
      <x:c r="CM181" s="47"/>
      <x:c r="CN181" s="60"/>
      <x:c r="CO181" s="58">
        <x:f>(($O181*CM181)/100)+(CN181*12)</x:f>
      </x:c>
      <x:c r="CP181" s="47"/>
      <x:c r="CQ181" s="60"/>
      <x:c r="CR181" s="58">
        <x:f>(($O181*CP181)/100)+(CQ181*12)</x:f>
      </x:c>
      <x:c r="CS181" s="47"/>
      <x:c r="CT181" s="60"/>
      <x:c r="CU181" s="58">
        <x:f>(($O181*CS181)/100)+(CT181*12)</x:f>
      </x:c>
      <x:c r="CV181" s="47"/>
      <x:c r="CW181" s="60"/>
      <x:c r="CX181" s="58"/>
      <x:c r="CY181" s="47"/>
      <x:c r="CZ181" s="60"/>
      <x:c r="DA181" s="58"/>
      <x:c r="DB181" s="47"/>
      <x:c r="DC181" s="60"/>
      <x:c r="DD181" s="58"/>
      <x:c r="DE181" s="47"/>
      <x:c r="DF181" s="60"/>
      <x:c r="DG181" s="58"/>
      <x:c r="DH181" s="47"/>
      <x:c r="DI181" s="60"/>
      <x:c r="DJ181" s="58"/>
      <x:c r="DK181" s="47"/>
      <x:c r="DL181" s="60"/>
      <x:c r="DM181" s="58"/>
      <x:c r="DN181" s="11"/>
      <x:c r="DO181" s="61"/>
      <x:c r="DP181" s="62"/>
      <x:c r="DQ181" s="11"/>
      <x:c r="DR181" s="61"/>
      <x:c r="DS181" s="62"/>
      <x:c r="DT181" s="11"/>
      <x:c r="DU181" s="61"/>
      <x:c r="DV181" s="62"/>
    </x:row>
    <x:row r="182" spans="1:126" x14ac:dyDescent="0.3">
      <x:c r="A182" s="47"/>
      <x:c r="B182" s="70"/>
      <x:c r="C182" s="70"/>
      <x:c r="D182" s="70"/>
      <x:c r="E182" s="70"/>
      <x:c r="F182" s="70"/>
      <x:c r="G182" s="70"/>
      <x:c r="H182" s="70"/>
      <x:c r="I182" s="70"/>
      <x:c r="J182" s="70"/>
      <x:c r="K182" s="190"/>
      <x:c r="L182" s="191"/>
      <x:c r="M182" s="192">
        <x:f>IF(ISERROR(INDEX('Meter Type Data'!$B$2:$E$1165,SUMPRODUCT(--('Meter Type Data'!$B$2:$B$1165&lt;=Analysis!L182)*('Meter Type Data'!$C$2:$C$1165&gt;=Analysis!L182),ROW('Meter Type Data'!$B$2:$B$1165))-1,4))," ",INDEX('Meter Type Data'!$B$2:$E$1165,SUMPRODUCT(--('Meter Type Data'!$B$2:$B$1165&lt;=Analysis!L182)*('Meter Type Data'!$C$2:$C$1165&gt;=Analysis!L182),ROW('Meter Type Data'!$B$2:$B$1165))-1,4))</x:f>
      </x:c>
      <x:c r="N182" s="192">
        <x:f>IF(ISERROR(INDEX('Meter Type Data'!$B$2:$D$1165,SUMPRODUCT(--('Meter Type Data'!$B$2:$B$1165&lt;=Analysis!L182)*('Meter Type Data'!$C$2:$C$1165&gt;=Analysis!L182),ROW('Meter Type Data'!$B$2:$B$1165))-1,3))," ",INDEX('Meter Type Data'!$B$2:$D$1165,SUMPRODUCT(--('Meter Type Data'!$B$2:$B$1165&lt;=Analysis!L182)*('Meter Type Data'!$C$2:$C$1165&gt;=Analysis!L182),ROW('Meter Type Data'!$B$2:$B$1165))-1,3))</x:f>
      </x:c>
      <x:c r="O182" s="69"/>
      <x:c r="P182" s="47"/>
      <x:c r="Q182" s="60"/>
      <x:c r="R182" s="58">
        <x:f>(($O182*P182)/100)+(Q182*12)</x:f>
      </x:c>
      <x:c r="S182" s="59"/>
      <x:c r="T182" s="59"/>
      <x:c r="U182" s="58">
        <x:f>(($O182*S182)/100)+(T182*12)</x:f>
      </x:c>
      <x:c r="V182" s="47"/>
      <x:c r="W182" s="60"/>
      <x:c r="X182" s="58">
        <x:f>(($O182*V182)/100)+(W182*12)</x:f>
      </x:c>
      <x:c r="Y182" s="47"/>
      <x:c r="Z182" s="60"/>
      <x:c r="AA182" s="58">
        <x:f>(($O182*Y182)/100)+(Z182*12)</x:f>
      </x:c>
      <x:c r="AB182" s="47"/>
      <x:c r="AC182" s="60"/>
      <x:c r="AD182" s="58">
        <x:f>(($O182*AB182)/100)+(AC182*12)</x:f>
      </x:c>
      <x:c r="AE182" s="47"/>
      <x:c r="AF182" s="60"/>
      <x:c r="AG182" s="58">
        <x:f>(($O182*AE182)/100)+(AF182*12)</x:f>
      </x:c>
      <x:c r="AH182" s="47"/>
      <x:c r="AI182" s="60"/>
      <x:c r="AJ182" s="58">
        <x:f>(($O182*AH182)/100)+(AI182*12)</x:f>
      </x:c>
      <x:c r="AK182" s="47"/>
      <x:c r="AL182" s="60"/>
      <x:c r="AM182" s="58">
        <x:f>(($O182*AK182)/100)+(AL182*12)</x:f>
      </x:c>
      <x:c r="AN182" s="47"/>
      <x:c r="AO182" s="60"/>
      <x:c r="AP182" s="58">
        <x:f>(($O182*AN182)/100)+(AO182*12)</x:f>
      </x:c>
      <x:c r="AQ182" s="47"/>
      <x:c r="AR182" s="60"/>
      <x:c r="AS182" s="58">
        <x:f>(($O182*AQ182)/100)+(AR182*12)</x:f>
      </x:c>
      <x:c r="AT182" s="47"/>
      <x:c r="AU182" s="60"/>
      <x:c r="AV182" s="58">
        <x:f>(($O182*AT182)/100)+(AU182*12)</x:f>
      </x:c>
      <x:c r="AW182" s="47"/>
      <x:c r="AX182" s="60"/>
      <x:c r="AY182" s="58">
        <x:f>(($O182*AW182)/100)+(AX182*12)</x:f>
      </x:c>
      <x:c r="AZ182" s="47"/>
      <x:c r="BA182" s="60"/>
      <x:c r="BB182" s="58">
        <x:f>(($O182*AZ182)/100)+(BA182*12)</x:f>
      </x:c>
      <x:c r="BC182" s="47"/>
      <x:c r="BD182" s="60"/>
      <x:c r="BE182" s="58">
        <x:f>(($O182*BC182)/100)+(BD182*12)</x:f>
      </x:c>
      <x:c r="BF182" s="47"/>
      <x:c r="BG182" s="60"/>
      <x:c r="BH182" s="58">
        <x:f>(($O182*BF182)/100)+(BG182*12)</x:f>
      </x:c>
      <x:c r="BI182" s="47"/>
      <x:c r="BJ182" s="60"/>
      <x:c r="BK182" s="58">
        <x:f>(($O182*BI182)/100)+(BJ182*12)</x:f>
      </x:c>
      <x:c r="BL182" s="47"/>
      <x:c r="BM182" s="60"/>
      <x:c r="BN182" s="58">
        <x:f>(($O182*BL182)/100)+(BM182*12)</x:f>
      </x:c>
      <x:c r="BO182" s="47"/>
      <x:c r="BP182" s="60"/>
      <x:c r="BQ182" s="58">
        <x:f>(($O182*BO182)/100)+(BP182*12)</x:f>
      </x:c>
      <x:c r="BR182" s="47"/>
      <x:c r="BS182" s="60"/>
      <x:c r="BT182" s="58">
        <x:f>(($O182*BR182)/100)+(BS182*12)</x:f>
      </x:c>
      <x:c r="BU182" s="47"/>
      <x:c r="BV182" s="60"/>
      <x:c r="BW182" s="58">
        <x:f>(($O182*BU182)/100)+(BV182*12)</x:f>
      </x:c>
      <x:c r="BX182" s="47"/>
      <x:c r="BY182" s="60"/>
      <x:c r="BZ182" s="58">
        <x:f>(($O182*BX182)/100)+(BY182*12)</x:f>
      </x:c>
      <x:c r="CA182" s="47"/>
      <x:c r="CB182" s="60"/>
      <x:c r="CC182" s="58">
        <x:f>(($O182*CA182)/100)+(CB182*12)</x:f>
      </x:c>
      <x:c r="CD182" s="47"/>
      <x:c r="CE182" s="60"/>
      <x:c r="CF182" s="58">
        <x:f>(($O182*CD182)/100)+(CE182*12)</x:f>
      </x:c>
      <x:c r="CG182" s="47"/>
      <x:c r="CH182" s="60"/>
      <x:c r="CI182" s="58">
        <x:f>(($O182*CG182)/100)+(CH182*12)</x:f>
      </x:c>
      <x:c r="CJ182" s="47"/>
      <x:c r="CK182" s="60"/>
      <x:c r="CL182" s="58">
        <x:f>(($O182*CJ182)/100)+(CK182*12)</x:f>
      </x:c>
      <x:c r="CM182" s="47"/>
      <x:c r="CN182" s="60"/>
      <x:c r="CO182" s="58">
        <x:f>(($O182*CM182)/100)+(CN182*12)</x:f>
      </x:c>
      <x:c r="CP182" s="47"/>
      <x:c r="CQ182" s="60"/>
      <x:c r="CR182" s="58">
        <x:f>(($O182*CP182)/100)+(CQ182*12)</x:f>
      </x:c>
      <x:c r="CS182" s="47"/>
      <x:c r="CT182" s="60"/>
      <x:c r="CU182" s="58">
        <x:f>(($O182*CS182)/100)+(CT182*12)</x:f>
      </x:c>
      <x:c r="CV182" s="47"/>
      <x:c r="CW182" s="60"/>
      <x:c r="CX182" s="58"/>
      <x:c r="CY182" s="47"/>
      <x:c r="CZ182" s="60"/>
      <x:c r="DA182" s="58"/>
      <x:c r="DB182" s="47"/>
      <x:c r="DC182" s="60"/>
      <x:c r="DD182" s="58"/>
      <x:c r="DE182" s="47"/>
      <x:c r="DF182" s="60"/>
      <x:c r="DG182" s="58"/>
      <x:c r="DH182" s="47"/>
      <x:c r="DI182" s="60"/>
      <x:c r="DJ182" s="58"/>
      <x:c r="DK182" s="47"/>
      <x:c r="DL182" s="60"/>
      <x:c r="DM182" s="58"/>
      <x:c r="DN182" s="11"/>
      <x:c r="DO182" s="61"/>
      <x:c r="DP182" s="62"/>
      <x:c r="DQ182" s="11"/>
      <x:c r="DR182" s="61"/>
      <x:c r="DS182" s="62"/>
      <x:c r="DT182" s="11"/>
      <x:c r="DU182" s="61"/>
      <x:c r="DV182" s="62"/>
    </x:row>
    <x:row r="183" spans="1:126" x14ac:dyDescent="0.3">
      <x:c r="A183" s="47"/>
      <x:c r="B183" s="70"/>
      <x:c r="C183" s="70"/>
      <x:c r="D183" s="70"/>
      <x:c r="E183" s="70"/>
      <x:c r="F183" s="70"/>
      <x:c r="G183" s="70"/>
      <x:c r="H183" s="70"/>
      <x:c r="I183" s="70"/>
      <x:c r="J183" s="70"/>
      <x:c r="K183" s="190"/>
      <x:c r="L183" s="191"/>
      <x:c r="M183" s="192">
        <x:f>IF(ISERROR(INDEX('Meter Type Data'!$B$2:$E$1165,SUMPRODUCT(--('Meter Type Data'!$B$2:$B$1165&lt;=Analysis!L183)*('Meter Type Data'!$C$2:$C$1165&gt;=Analysis!L183),ROW('Meter Type Data'!$B$2:$B$1165))-1,4))," ",INDEX('Meter Type Data'!$B$2:$E$1165,SUMPRODUCT(--('Meter Type Data'!$B$2:$B$1165&lt;=Analysis!L183)*('Meter Type Data'!$C$2:$C$1165&gt;=Analysis!L183),ROW('Meter Type Data'!$B$2:$B$1165))-1,4))</x:f>
      </x:c>
      <x:c r="N183" s="192">
        <x:f>IF(ISERROR(INDEX('Meter Type Data'!$B$2:$D$1165,SUMPRODUCT(--('Meter Type Data'!$B$2:$B$1165&lt;=Analysis!L183)*('Meter Type Data'!$C$2:$C$1165&gt;=Analysis!L183),ROW('Meter Type Data'!$B$2:$B$1165))-1,3))," ",INDEX('Meter Type Data'!$B$2:$D$1165,SUMPRODUCT(--('Meter Type Data'!$B$2:$B$1165&lt;=Analysis!L183)*('Meter Type Data'!$C$2:$C$1165&gt;=Analysis!L183),ROW('Meter Type Data'!$B$2:$B$1165))-1,3))</x:f>
      </x:c>
      <x:c r="O183" s="69"/>
      <x:c r="P183" s="47"/>
      <x:c r="Q183" s="60"/>
      <x:c r="R183" s="58">
        <x:f>(($O183*P183)/100)+(Q183*12)</x:f>
      </x:c>
      <x:c r="S183" s="59"/>
      <x:c r="T183" s="59"/>
      <x:c r="U183" s="58">
        <x:f>(($O183*S183)/100)+(T183*12)</x:f>
      </x:c>
      <x:c r="V183" s="47"/>
      <x:c r="W183" s="60"/>
      <x:c r="X183" s="58">
        <x:f>(($O183*V183)/100)+(W183*12)</x:f>
      </x:c>
      <x:c r="Y183" s="47"/>
      <x:c r="Z183" s="60"/>
      <x:c r="AA183" s="58">
        <x:f>(($O183*Y183)/100)+(Z183*12)</x:f>
      </x:c>
      <x:c r="AB183" s="47"/>
      <x:c r="AC183" s="60"/>
      <x:c r="AD183" s="58">
        <x:f>(($O183*AB183)/100)+(AC183*12)</x:f>
      </x:c>
      <x:c r="AE183" s="47"/>
      <x:c r="AF183" s="60"/>
      <x:c r="AG183" s="58">
        <x:f>(($O183*AE183)/100)+(AF183*12)</x:f>
      </x:c>
      <x:c r="AH183" s="47"/>
      <x:c r="AI183" s="60"/>
      <x:c r="AJ183" s="58">
        <x:f>(($O183*AH183)/100)+(AI183*12)</x:f>
      </x:c>
      <x:c r="AK183" s="47"/>
      <x:c r="AL183" s="60"/>
      <x:c r="AM183" s="58">
        <x:f>(($O183*AK183)/100)+(AL183*12)</x:f>
      </x:c>
      <x:c r="AN183" s="47"/>
      <x:c r="AO183" s="60"/>
      <x:c r="AP183" s="58">
        <x:f>(($O183*AN183)/100)+(AO183*12)</x:f>
      </x:c>
      <x:c r="AQ183" s="47"/>
      <x:c r="AR183" s="60"/>
      <x:c r="AS183" s="58">
        <x:f>(($O183*AQ183)/100)+(AR183*12)</x:f>
      </x:c>
      <x:c r="AT183" s="47"/>
      <x:c r="AU183" s="60"/>
      <x:c r="AV183" s="58">
        <x:f>(($O183*AT183)/100)+(AU183*12)</x:f>
      </x:c>
      <x:c r="AW183" s="47"/>
      <x:c r="AX183" s="60"/>
      <x:c r="AY183" s="58">
        <x:f>(($O183*AW183)/100)+(AX183*12)</x:f>
      </x:c>
      <x:c r="AZ183" s="47"/>
      <x:c r="BA183" s="60"/>
      <x:c r="BB183" s="58">
        <x:f>(($O183*AZ183)/100)+(BA183*12)</x:f>
      </x:c>
      <x:c r="BC183" s="47"/>
      <x:c r="BD183" s="60"/>
      <x:c r="BE183" s="58">
        <x:f>(($O183*BC183)/100)+(BD183*12)</x:f>
      </x:c>
      <x:c r="BF183" s="47"/>
      <x:c r="BG183" s="60"/>
      <x:c r="BH183" s="58">
        <x:f>(($O183*BF183)/100)+(BG183*12)</x:f>
      </x:c>
      <x:c r="BI183" s="47"/>
      <x:c r="BJ183" s="60"/>
      <x:c r="BK183" s="58">
        <x:f>(($O183*BI183)/100)+(BJ183*12)</x:f>
      </x:c>
      <x:c r="BL183" s="47"/>
      <x:c r="BM183" s="60"/>
      <x:c r="BN183" s="58">
        <x:f>(($O183*BL183)/100)+(BM183*12)</x:f>
      </x:c>
      <x:c r="BO183" s="47"/>
      <x:c r="BP183" s="60"/>
      <x:c r="BQ183" s="58">
        <x:f>(($O183*BO183)/100)+(BP183*12)</x:f>
      </x:c>
      <x:c r="BR183" s="47"/>
      <x:c r="BS183" s="60"/>
      <x:c r="BT183" s="58">
        <x:f>(($O183*BR183)/100)+(BS183*12)</x:f>
      </x:c>
      <x:c r="BU183" s="47"/>
      <x:c r="BV183" s="60"/>
      <x:c r="BW183" s="58">
        <x:f>(($O183*BU183)/100)+(BV183*12)</x:f>
      </x:c>
      <x:c r="BX183" s="47"/>
      <x:c r="BY183" s="60"/>
      <x:c r="BZ183" s="58">
        <x:f>(($O183*BX183)/100)+(BY183*12)</x:f>
      </x:c>
      <x:c r="CA183" s="47"/>
      <x:c r="CB183" s="60"/>
      <x:c r="CC183" s="58">
        <x:f>(($O183*CA183)/100)+(CB183*12)</x:f>
      </x:c>
      <x:c r="CD183" s="47"/>
      <x:c r="CE183" s="60"/>
      <x:c r="CF183" s="58">
        <x:f>(($O183*CD183)/100)+(CE183*12)</x:f>
      </x:c>
      <x:c r="CG183" s="47"/>
      <x:c r="CH183" s="60"/>
      <x:c r="CI183" s="58">
        <x:f>(($O183*CG183)/100)+(CH183*12)</x:f>
      </x:c>
      <x:c r="CJ183" s="47"/>
      <x:c r="CK183" s="60"/>
      <x:c r="CL183" s="58">
        <x:f>(($O183*CJ183)/100)+(CK183*12)</x:f>
      </x:c>
      <x:c r="CM183" s="47"/>
      <x:c r="CN183" s="60"/>
      <x:c r="CO183" s="58">
        <x:f>(($O183*CM183)/100)+(CN183*12)</x:f>
      </x:c>
      <x:c r="CP183" s="47"/>
      <x:c r="CQ183" s="60"/>
      <x:c r="CR183" s="58">
        <x:f>(($O183*CP183)/100)+(CQ183*12)</x:f>
      </x:c>
      <x:c r="CS183" s="47"/>
      <x:c r="CT183" s="60"/>
      <x:c r="CU183" s="58">
        <x:f>(($O183*CS183)/100)+(CT183*12)</x:f>
      </x:c>
      <x:c r="CV183" s="47"/>
      <x:c r="CW183" s="60"/>
      <x:c r="CX183" s="58"/>
      <x:c r="CY183" s="47"/>
      <x:c r="CZ183" s="60"/>
      <x:c r="DA183" s="58"/>
      <x:c r="DB183" s="47"/>
      <x:c r="DC183" s="60"/>
      <x:c r="DD183" s="58"/>
      <x:c r="DE183" s="47"/>
      <x:c r="DF183" s="60"/>
      <x:c r="DG183" s="58"/>
      <x:c r="DH183" s="47"/>
      <x:c r="DI183" s="60"/>
      <x:c r="DJ183" s="58"/>
      <x:c r="DK183" s="47"/>
      <x:c r="DL183" s="60"/>
      <x:c r="DM183" s="58"/>
      <x:c r="DN183" s="11"/>
      <x:c r="DO183" s="61"/>
      <x:c r="DP183" s="62"/>
      <x:c r="DQ183" s="11"/>
      <x:c r="DR183" s="61"/>
      <x:c r="DS183" s="62"/>
      <x:c r="DT183" s="11"/>
      <x:c r="DU183" s="61"/>
      <x:c r="DV183" s="62"/>
    </x:row>
    <x:row r="184" spans="1:126" x14ac:dyDescent="0.3">
      <x:c r="A184" s="47"/>
      <x:c r="B184" s="70"/>
      <x:c r="C184" s="70"/>
      <x:c r="D184" s="70"/>
      <x:c r="E184" s="70"/>
      <x:c r="F184" s="70"/>
      <x:c r="G184" s="70"/>
      <x:c r="H184" s="70"/>
      <x:c r="I184" s="70"/>
      <x:c r="J184" s="70"/>
      <x:c r="K184" s="190"/>
      <x:c r="L184" s="191"/>
      <x:c r="M184" s="192">
        <x:f>IF(ISERROR(INDEX('Meter Type Data'!$B$2:$E$1165,SUMPRODUCT(--('Meter Type Data'!$B$2:$B$1165&lt;=Analysis!L184)*('Meter Type Data'!$C$2:$C$1165&gt;=Analysis!L184),ROW('Meter Type Data'!$B$2:$B$1165))-1,4))," ",INDEX('Meter Type Data'!$B$2:$E$1165,SUMPRODUCT(--('Meter Type Data'!$B$2:$B$1165&lt;=Analysis!L184)*('Meter Type Data'!$C$2:$C$1165&gt;=Analysis!L184),ROW('Meter Type Data'!$B$2:$B$1165))-1,4))</x:f>
      </x:c>
      <x:c r="N184" s="192">
        <x:f>IF(ISERROR(INDEX('Meter Type Data'!$B$2:$D$1165,SUMPRODUCT(--('Meter Type Data'!$B$2:$B$1165&lt;=Analysis!L184)*('Meter Type Data'!$C$2:$C$1165&gt;=Analysis!L184),ROW('Meter Type Data'!$B$2:$B$1165))-1,3))," ",INDEX('Meter Type Data'!$B$2:$D$1165,SUMPRODUCT(--('Meter Type Data'!$B$2:$B$1165&lt;=Analysis!L184)*('Meter Type Data'!$C$2:$C$1165&gt;=Analysis!L184),ROW('Meter Type Data'!$B$2:$B$1165))-1,3))</x:f>
      </x:c>
      <x:c r="O184" s="69"/>
      <x:c r="P184" s="47"/>
      <x:c r="Q184" s="60"/>
      <x:c r="R184" s="58">
        <x:f>(($O184*P184)/100)+(Q184*12)</x:f>
      </x:c>
      <x:c r="S184" s="59"/>
      <x:c r="T184" s="59"/>
      <x:c r="U184" s="58">
        <x:f>(($O184*S184)/100)+(T184*12)</x:f>
      </x:c>
      <x:c r="V184" s="47"/>
      <x:c r="W184" s="60"/>
      <x:c r="X184" s="58">
        <x:f>(($O184*V184)/100)+(W184*12)</x:f>
      </x:c>
      <x:c r="Y184" s="47"/>
      <x:c r="Z184" s="60"/>
      <x:c r="AA184" s="58">
        <x:f>(($O184*Y184)/100)+(Z184*12)</x:f>
      </x:c>
      <x:c r="AB184" s="47"/>
      <x:c r="AC184" s="60"/>
      <x:c r="AD184" s="58">
        <x:f>(($O184*AB184)/100)+(AC184*12)</x:f>
      </x:c>
      <x:c r="AE184" s="47"/>
      <x:c r="AF184" s="60"/>
      <x:c r="AG184" s="58">
        <x:f>(($O184*AE184)/100)+(AF184*12)</x:f>
      </x:c>
      <x:c r="AH184" s="47"/>
      <x:c r="AI184" s="60"/>
      <x:c r="AJ184" s="58">
        <x:f>(($O184*AH184)/100)+(AI184*12)</x:f>
      </x:c>
      <x:c r="AK184" s="47"/>
      <x:c r="AL184" s="60"/>
      <x:c r="AM184" s="58">
        <x:f>(($O184*AK184)/100)+(AL184*12)</x:f>
      </x:c>
      <x:c r="AN184" s="47"/>
      <x:c r="AO184" s="60"/>
      <x:c r="AP184" s="58">
        <x:f>(($O184*AN184)/100)+(AO184*12)</x:f>
      </x:c>
      <x:c r="AQ184" s="47"/>
      <x:c r="AR184" s="60"/>
      <x:c r="AS184" s="58">
        <x:f>(($O184*AQ184)/100)+(AR184*12)</x:f>
      </x:c>
      <x:c r="AT184" s="47"/>
      <x:c r="AU184" s="60"/>
      <x:c r="AV184" s="58">
        <x:f>(($O184*AT184)/100)+(AU184*12)</x:f>
      </x:c>
      <x:c r="AW184" s="47"/>
      <x:c r="AX184" s="60"/>
      <x:c r="AY184" s="58">
        <x:f>(($O184*AW184)/100)+(AX184*12)</x:f>
      </x:c>
      <x:c r="AZ184" s="47"/>
      <x:c r="BA184" s="60"/>
      <x:c r="BB184" s="58">
        <x:f>(($O184*AZ184)/100)+(BA184*12)</x:f>
      </x:c>
      <x:c r="BC184" s="47"/>
      <x:c r="BD184" s="60"/>
      <x:c r="BE184" s="58">
        <x:f>(($O184*BC184)/100)+(BD184*12)</x:f>
      </x:c>
      <x:c r="BF184" s="47"/>
      <x:c r="BG184" s="60"/>
      <x:c r="BH184" s="58">
        <x:f>(($O184*BF184)/100)+(BG184*12)</x:f>
      </x:c>
      <x:c r="BI184" s="47"/>
      <x:c r="BJ184" s="60"/>
      <x:c r="BK184" s="58">
        <x:f>(($O184*BI184)/100)+(BJ184*12)</x:f>
      </x:c>
      <x:c r="BL184" s="47"/>
      <x:c r="BM184" s="60"/>
      <x:c r="BN184" s="58">
        <x:f>(($O184*BL184)/100)+(BM184*12)</x:f>
      </x:c>
      <x:c r="BO184" s="47"/>
      <x:c r="BP184" s="60"/>
      <x:c r="BQ184" s="58">
        <x:f>(($O184*BO184)/100)+(BP184*12)</x:f>
      </x:c>
      <x:c r="BR184" s="47"/>
      <x:c r="BS184" s="60"/>
      <x:c r="BT184" s="58">
        <x:f>(($O184*BR184)/100)+(BS184*12)</x:f>
      </x:c>
      <x:c r="BU184" s="47"/>
      <x:c r="BV184" s="60"/>
      <x:c r="BW184" s="58">
        <x:f>(($O184*BU184)/100)+(BV184*12)</x:f>
      </x:c>
      <x:c r="BX184" s="47"/>
      <x:c r="BY184" s="60"/>
      <x:c r="BZ184" s="58">
        <x:f>(($O184*BX184)/100)+(BY184*12)</x:f>
      </x:c>
      <x:c r="CA184" s="47"/>
      <x:c r="CB184" s="60"/>
      <x:c r="CC184" s="58">
        <x:f>(($O184*CA184)/100)+(CB184*12)</x:f>
      </x:c>
      <x:c r="CD184" s="47"/>
      <x:c r="CE184" s="60"/>
      <x:c r="CF184" s="58">
        <x:f>(($O184*CD184)/100)+(CE184*12)</x:f>
      </x:c>
      <x:c r="CG184" s="47"/>
      <x:c r="CH184" s="60"/>
      <x:c r="CI184" s="58">
        <x:f>(($O184*CG184)/100)+(CH184*12)</x:f>
      </x:c>
      <x:c r="CJ184" s="47"/>
      <x:c r="CK184" s="60"/>
      <x:c r="CL184" s="58">
        <x:f>(($O184*CJ184)/100)+(CK184*12)</x:f>
      </x:c>
      <x:c r="CM184" s="47"/>
      <x:c r="CN184" s="60"/>
      <x:c r="CO184" s="58">
        <x:f>(($O184*CM184)/100)+(CN184*12)</x:f>
      </x:c>
      <x:c r="CP184" s="47"/>
      <x:c r="CQ184" s="60"/>
      <x:c r="CR184" s="58">
        <x:f>(($O184*CP184)/100)+(CQ184*12)</x:f>
      </x:c>
      <x:c r="CS184" s="47"/>
      <x:c r="CT184" s="60"/>
      <x:c r="CU184" s="58">
        <x:f>(($O184*CS184)/100)+(CT184*12)</x:f>
      </x:c>
      <x:c r="CV184" s="47"/>
      <x:c r="CW184" s="60"/>
      <x:c r="CX184" s="58"/>
      <x:c r="CY184" s="47"/>
      <x:c r="CZ184" s="60"/>
      <x:c r="DA184" s="58"/>
      <x:c r="DB184" s="47"/>
      <x:c r="DC184" s="60"/>
      <x:c r="DD184" s="58"/>
      <x:c r="DE184" s="47"/>
      <x:c r="DF184" s="60"/>
      <x:c r="DG184" s="58"/>
      <x:c r="DH184" s="47"/>
      <x:c r="DI184" s="60"/>
      <x:c r="DJ184" s="58"/>
      <x:c r="DK184" s="47"/>
      <x:c r="DL184" s="60"/>
      <x:c r="DM184" s="58"/>
      <x:c r="DN184" s="11"/>
      <x:c r="DO184" s="61"/>
      <x:c r="DP184" s="62"/>
      <x:c r="DQ184" s="11"/>
      <x:c r="DR184" s="61"/>
      <x:c r="DS184" s="62"/>
      <x:c r="DT184" s="11"/>
      <x:c r="DU184" s="61"/>
      <x:c r="DV184" s="62"/>
    </x:row>
    <x:row r="185" spans="1:126" x14ac:dyDescent="0.3">
      <x:c r="A185" s="47"/>
      <x:c r="B185" s="70"/>
      <x:c r="C185" s="70"/>
      <x:c r="D185" s="70"/>
      <x:c r="E185" s="70"/>
      <x:c r="F185" s="70"/>
      <x:c r="G185" s="70"/>
      <x:c r="H185" s="70"/>
      <x:c r="I185" s="70"/>
      <x:c r="J185" s="70"/>
      <x:c r="K185" s="190"/>
      <x:c r="L185" s="191"/>
      <x:c r="M185" s="192">
        <x:f>IF(ISERROR(INDEX('Meter Type Data'!$B$2:$E$1165,SUMPRODUCT(--('Meter Type Data'!$B$2:$B$1165&lt;=Analysis!L185)*('Meter Type Data'!$C$2:$C$1165&gt;=Analysis!L185),ROW('Meter Type Data'!$B$2:$B$1165))-1,4))," ",INDEX('Meter Type Data'!$B$2:$E$1165,SUMPRODUCT(--('Meter Type Data'!$B$2:$B$1165&lt;=Analysis!L185)*('Meter Type Data'!$C$2:$C$1165&gt;=Analysis!L185),ROW('Meter Type Data'!$B$2:$B$1165))-1,4))</x:f>
      </x:c>
      <x:c r="N185" s="192">
        <x:f>IF(ISERROR(INDEX('Meter Type Data'!$B$2:$D$1165,SUMPRODUCT(--('Meter Type Data'!$B$2:$B$1165&lt;=Analysis!L185)*('Meter Type Data'!$C$2:$C$1165&gt;=Analysis!L185),ROW('Meter Type Data'!$B$2:$B$1165))-1,3))," ",INDEX('Meter Type Data'!$B$2:$D$1165,SUMPRODUCT(--('Meter Type Data'!$B$2:$B$1165&lt;=Analysis!L185)*('Meter Type Data'!$C$2:$C$1165&gt;=Analysis!L185),ROW('Meter Type Data'!$B$2:$B$1165))-1,3))</x:f>
      </x:c>
      <x:c r="O185" s="69"/>
      <x:c r="P185" s="47"/>
      <x:c r="Q185" s="60"/>
      <x:c r="R185" s="58">
        <x:f>(($O185*P185)/100)+(Q185*12)</x:f>
      </x:c>
      <x:c r="S185" s="59"/>
      <x:c r="T185" s="59"/>
      <x:c r="U185" s="58">
        <x:f>(($O185*S185)/100)+(T185*12)</x:f>
      </x:c>
      <x:c r="V185" s="47"/>
      <x:c r="W185" s="60"/>
      <x:c r="X185" s="58">
        <x:f>(($O185*V185)/100)+(W185*12)</x:f>
      </x:c>
      <x:c r="Y185" s="47"/>
      <x:c r="Z185" s="60"/>
      <x:c r="AA185" s="58">
        <x:f>(($O185*Y185)/100)+(Z185*12)</x:f>
      </x:c>
      <x:c r="AB185" s="47"/>
      <x:c r="AC185" s="60"/>
      <x:c r="AD185" s="58">
        <x:f>(($O185*AB185)/100)+(AC185*12)</x:f>
      </x:c>
      <x:c r="AE185" s="47"/>
      <x:c r="AF185" s="60"/>
      <x:c r="AG185" s="58">
        <x:f>(($O185*AE185)/100)+(AF185*12)</x:f>
      </x:c>
      <x:c r="AH185" s="47"/>
      <x:c r="AI185" s="60"/>
      <x:c r="AJ185" s="58">
        <x:f>(($O185*AH185)/100)+(AI185*12)</x:f>
      </x:c>
      <x:c r="AK185" s="47"/>
      <x:c r="AL185" s="60"/>
      <x:c r="AM185" s="58">
        <x:f>(($O185*AK185)/100)+(AL185*12)</x:f>
      </x:c>
      <x:c r="AN185" s="47"/>
      <x:c r="AO185" s="60"/>
      <x:c r="AP185" s="58">
        <x:f>(($O185*AN185)/100)+(AO185*12)</x:f>
      </x:c>
      <x:c r="AQ185" s="47"/>
      <x:c r="AR185" s="60"/>
      <x:c r="AS185" s="58">
        <x:f>(($O185*AQ185)/100)+(AR185*12)</x:f>
      </x:c>
      <x:c r="AT185" s="47"/>
      <x:c r="AU185" s="60"/>
      <x:c r="AV185" s="58">
        <x:f>(($O185*AT185)/100)+(AU185*12)</x:f>
      </x:c>
      <x:c r="AW185" s="47"/>
      <x:c r="AX185" s="60"/>
      <x:c r="AY185" s="58">
        <x:f>(($O185*AW185)/100)+(AX185*12)</x:f>
      </x:c>
      <x:c r="AZ185" s="47"/>
      <x:c r="BA185" s="60"/>
      <x:c r="BB185" s="58">
        <x:f>(($O185*AZ185)/100)+(BA185*12)</x:f>
      </x:c>
      <x:c r="BC185" s="47"/>
      <x:c r="BD185" s="60"/>
      <x:c r="BE185" s="58">
        <x:f>(($O185*BC185)/100)+(BD185*12)</x:f>
      </x:c>
      <x:c r="BF185" s="47"/>
      <x:c r="BG185" s="60"/>
      <x:c r="BH185" s="58">
        <x:f>(($O185*BF185)/100)+(BG185*12)</x:f>
      </x:c>
      <x:c r="BI185" s="47"/>
      <x:c r="BJ185" s="60"/>
      <x:c r="BK185" s="58">
        <x:f>(($O185*BI185)/100)+(BJ185*12)</x:f>
      </x:c>
      <x:c r="BL185" s="47"/>
      <x:c r="BM185" s="60"/>
      <x:c r="BN185" s="58">
        <x:f>(($O185*BL185)/100)+(BM185*12)</x:f>
      </x:c>
      <x:c r="BO185" s="47"/>
      <x:c r="BP185" s="60"/>
      <x:c r="BQ185" s="58">
        <x:f>(($O185*BO185)/100)+(BP185*12)</x:f>
      </x:c>
      <x:c r="BR185" s="47"/>
      <x:c r="BS185" s="60"/>
      <x:c r="BT185" s="58">
        <x:f>(($O185*BR185)/100)+(BS185*12)</x:f>
      </x:c>
      <x:c r="BU185" s="47"/>
      <x:c r="BV185" s="60"/>
      <x:c r="BW185" s="58">
        <x:f>(($O185*BU185)/100)+(BV185*12)</x:f>
      </x:c>
      <x:c r="BX185" s="47"/>
      <x:c r="BY185" s="60"/>
      <x:c r="BZ185" s="58">
        <x:f>(($O185*BX185)/100)+(BY185*12)</x:f>
      </x:c>
      <x:c r="CA185" s="47"/>
      <x:c r="CB185" s="60"/>
      <x:c r="CC185" s="58">
        <x:f>(($O185*CA185)/100)+(CB185*12)</x:f>
      </x:c>
      <x:c r="CD185" s="47"/>
      <x:c r="CE185" s="60"/>
      <x:c r="CF185" s="58">
        <x:f>(($O185*CD185)/100)+(CE185*12)</x:f>
      </x:c>
      <x:c r="CG185" s="47"/>
      <x:c r="CH185" s="60"/>
      <x:c r="CI185" s="58">
        <x:f>(($O185*CG185)/100)+(CH185*12)</x:f>
      </x:c>
      <x:c r="CJ185" s="47"/>
      <x:c r="CK185" s="60"/>
      <x:c r="CL185" s="58">
        <x:f>(($O185*CJ185)/100)+(CK185*12)</x:f>
      </x:c>
      <x:c r="CM185" s="47"/>
      <x:c r="CN185" s="60"/>
      <x:c r="CO185" s="58">
        <x:f>(($O185*CM185)/100)+(CN185*12)</x:f>
      </x:c>
      <x:c r="CP185" s="47"/>
      <x:c r="CQ185" s="60"/>
      <x:c r="CR185" s="58">
        <x:f>(($O185*CP185)/100)+(CQ185*12)</x:f>
      </x:c>
      <x:c r="CS185" s="47"/>
      <x:c r="CT185" s="60"/>
      <x:c r="CU185" s="58">
        <x:f>(($O185*CS185)/100)+(CT185*12)</x:f>
      </x:c>
      <x:c r="CV185" s="47"/>
      <x:c r="CW185" s="60"/>
      <x:c r="CX185" s="58"/>
      <x:c r="CY185" s="47"/>
      <x:c r="CZ185" s="60"/>
      <x:c r="DA185" s="58"/>
      <x:c r="DB185" s="47"/>
      <x:c r="DC185" s="60"/>
      <x:c r="DD185" s="58"/>
      <x:c r="DE185" s="47"/>
      <x:c r="DF185" s="60"/>
      <x:c r="DG185" s="58"/>
      <x:c r="DH185" s="47"/>
      <x:c r="DI185" s="60"/>
      <x:c r="DJ185" s="58"/>
      <x:c r="DK185" s="47"/>
      <x:c r="DL185" s="60"/>
      <x:c r="DM185" s="58"/>
      <x:c r="DN185" s="11"/>
      <x:c r="DO185" s="61"/>
      <x:c r="DP185" s="62"/>
      <x:c r="DQ185" s="11"/>
      <x:c r="DR185" s="61"/>
      <x:c r="DS185" s="62"/>
      <x:c r="DT185" s="11"/>
      <x:c r="DU185" s="61"/>
      <x:c r="DV185" s="62"/>
    </x:row>
    <x:row r="186" spans="1:126" x14ac:dyDescent="0.3">
      <x:c r="A186" s="47"/>
      <x:c r="B186" s="70"/>
      <x:c r="C186" s="70"/>
      <x:c r="D186" s="70"/>
      <x:c r="E186" s="70"/>
      <x:c r="F186" s="70"/>
      <x:c r="G186" s="70"/>
      <x:c r="H186" s="70"/>
      <x:c r="I186" s="70"/>
      <x:c r="J186" s="70"/>
      <x:c r="K186" s="190"/>
      <x:c r="L186" s="191"/>
      <x:c r="M186" s="192">
        <x:f>IF(ISERROR(INDEX('Meter Type Data'!$B$2:$E$1165,SUMPRODUCT(--('Meter Type Data'!$B$2:$B$1165&lt;=Analysis!L186)*('Meter Type Data'!$C$2:$C$1165&gt;=Analysis!L186),ROW('Meter Type Data'!$B$2:$B$1165))-1,4))," ",INDEX('Meter Type Data'!$B$2:$E$1165,SUMPRODUCT(--('Meter Type Data'!$B$2:$B$1165&lt;=Analysis!L186)*('Meter Type Data'!$C$2:$C$1165&gt;=Analysis!L186),ROW('Meter Type Data'!$B$2:$B$1165))-1,4))</x:f>
      </x:c>
      <x:c r="N186" s="192">
        <x:f>IF(ISERROR(INDEX('Meter Type Data'!$B$2:$D$1165,SUMPRODUCT(--('Meter Type Data'!$B$2:$B$1165&lt;=Analysis!L186)*('Meter Type Data'!$C$2:$C$1165&gt;=Analysis!L186),ROW('Meter Type Data'!$B$2:$B$1165))-1,3))," ",INDEX('Meter Type Data'!$B$2:$D$1165,SUMPRODUCT(--('Meter Type Data'!$B$2:$B$1165&lt;=Analysis!L186)*('Meter Type Data'!$C$2:$C$1165&gt;=Analysis!L186),ROW('Meter Type Data'!$B$2:$B$1165))-1,3))</x:f>
      </x:c>
      <x:c r="O186" s="69"/>
      <x:c r="P186" s="47"/>
      <x:c r="Q186" s="60"/>
      <x:c r="R186" s="58">
        <x:f>(($O186*P186)/100)+(Q186*12)</x:f>
      </x:c>
      <x:c r="S186" s="59"/>
      <x:c r="T186" s="59"/>
      <x:c r="U186" s="58">
        <x:f>(($O186*S186)/100)+(T186*12)</x:f>
      </x:c>
      <x:c r="V186" s="47"/>
      <x:c r="W186" s="60"/>
      <x:c r="X186" s="58">
        <x:f>(($O186*V186)/100)+(W186*12)</x:f>
      </x:c>
      <x:c r="Y186" s="47"/>
      <x:c r="Z186" s="60"/>
      <x:c r="AA186" s="58">
        <x:f>(($O186*Y186)/100)+(Z186*12)</x:f>
      </x:c>
      <x:c r="AB186" s="47"/>
      <x:c r="AC186" s="60"/>
      <x:c r="AD186" s="58">
        <x:f>(($O186*AB186)/100)+(AC186*12)</x:f>
      </x:c>
      <x:c r="AE186" s="47"/>
      <x:c r="AF186" s="60"/>
      <x:c r="AG186" s="58">
        <x:f>(($O186*AE186)/100)+(AF186*12)</x:f>
      </x:c>
      <x:c r="AH186" s="47"/>
      <x:c r="AI186" s="60"/>
      <x:c r="AJ186" s="58">
        <x:f>(($O186*AH186)/100)+(AI186*12)</x:f>
      </x:c>
      <x:c r="AK186" s="47"/>
      <x:c r="AL186" s="60"/>
      <x:c r="AM186" s="58">
        <x:f>(($O186*AK186)/100)+(AL186*12)</x:f>
      </x:c>
      <x:c r="AN186" s="47"/>
      <x:c r="AO186" s="60"/>
      <x:c r="AP186" s="58">
        <x:f>(($O186*AN186)/100)+(AO186*12)</x:f>
      </x:c>
      <x:c r="AQ186" s="47"/>
      <x:c r="AR186" s="60"/>
      <x:c r="AS186" s="58">
        <x:f>(($O186*AQ186)/100)+(AR186*12)</x:f>
      </x:c>
      <x:c r="AT186" s="47"/>
      <x:c r="AU186" s="60"/>
      <x:c r="AV186" s="58">
        <x:f>(($O186*AT186)/100)+(AU186*12)</x:f>
      </x:c>
      <x:c r="AW186" s="47"/>
      <x:c r="AX186" s="60"/>
      <x:c r="AY186" s="58">
        <x:f>(($O186*AW186)/100)+(AX186*12)</x:f>
      </x:c>
      <x:c r="AZ186" s="47"/>
      <x:c r="BA186" s="60"/>
      <x:c r="BB186" s="58">
        <x:f>(($O186*AZ186)/100)+(BA186*12)</x:f>
      </x:c>
      <x:c r="BC186" s="47"/>
      <x:c r="BD186" s="60"/>
      <x:c r="BE186" s="58">
        <x:f>(($O186*BC186)/100)+(BD186*12)</x:f>
      </x:c>
      <x:c r="BF186" s="47"/>
      <x:c r="BG186" s="60"/>
      <x:c r="BH186" s="58">
        <x:f>(($O186*BF186)/100)+(BG186*12)</x:f>
      </x:c>
      <x:c r="BI186" s="47"/>
      <x:c r="BJ186" s="60"/>
      <x:c r="BK186" s="58">
        <x:f>(($O186*BI186)/100)+(BJ186*12)</x:f>
      </x:c>
      <x:c r="BL186" s="47"/>
      <x:c r="BM186" s="60"/>
      <x:c r="BN186" s="58">
        <x:f>(($O186*BL186)/100)+(BM186*12)</x:f>
      </x:c>
      <x:c r="BO186" s="47"/>
      <x:c r="BP186" s="60"/>
      <x:c r="BQ186" s="58">
        <x:f>(($O186*BO186)/100)+(BP186*12)</x:f>
      </x:c>
      <x:c r="BR186" s="47"/>
      <x:c r="BS186" s="60"/>
      <x:c r="BT186" s="58">
        <x:f>(($O186*BR186)/100)+(BS186*12)</x:f>
      </x:c>
      <x:c r="BU186" s="47"/>
      <x:c r="BV186" s="60"/>
      <x:c r="BW186" s="58">
        <x:f>(($O186*BU186)/100)+(BV186*12)</x:f>
      </x:c>
      <x:c r="BX186" s="47"/>
      <x:c r="BY186" s="60"/>
      <x:c r="BZ186" s="58">
        <x:f>(($O186*BX186)/100)+(BY186*12)</x:f>
      </x:c>
      <x:c r="CA186" s="47"/>
      <x:c r="CB186" s="60"/>
      <x:c r="CC186" s="58">
        <x:f>(($O186*CA186)/100)+(CB186*12)</x:f>
      </x:c>
      <x:c r="CD186" s="47"/>
      <x:c r="CE186" s="60"/>
      <x:c r="CF186" s="58">
        <x:f>(($O186*CD186)/100)+(CE186*12)</x:f>
      </x:c>
      <x:c r="CG186" s="47"/>
      <x:c r="CH186" s="60"/>
      <x:c r="CI186" s="58">
        <x:f>(($O186*CG186)/100)+(CH186*12)</x:f>
      </x:c>
      <x:c r="CJ186" s="47"/>
      <x:c r="CK186" s="60"/>
      <x:c r="CL186" s="58">
        <x:f>(($O186*CJ186)/100)+(CK186*12)</x:f>
      </x:c>
      <x:c r="CM186" s="47"/>
      <x:c r="CN186" s="60"/>
      <x:c r="CO186" s="58">
        <x:f>(($O186*CM186)/100)+(CN186*12)</x:f>
      </x:c>
      <x:c r="CP186" s="47"/>
      <x:c r="CQ186" s="60"/>
      <x:c r="CR186" s="58">
        <x:f>(($O186*CP186)/100)+(CQ186*12)</x:f>
      </x:c>
      <x:c r="CS186" s="47"/>
      <x:c r="CT186" s="60"/>
      <x:c r="CU186" s="58">
        <x:f>(($O186*CS186)/100)+(CT186*12)</x:f>
      </x:c>
      <x:c r="CV186" s="47"/>
      <x:c r="CW186" s="60"/>
      <x:c r="CX186" s="58"/>
      <x:c r="CY186" s="47"/>
      <x:c r="CZ186" s="60"/>
      <x:c r="DA186" s="58"/>
      <x:c r="DB186" s="47"/>
      <x:c r="DC186" s="60"/>
      <x:c r="DD186" s="58"/>
      <x:c r="DE186" s="47"/>
      <x:c r="DF186" s="60"/>
      <x:c r="DG186" s="58"/>
      <x:c r="DH186" s="47"/>
      <x:c r="DI186" s="60"/>
      <x:c r="DJ186" s="58"/>
      <x:c r="DK186" s="47"/>
      <x:c r="DL186" s="60"/>
      <x:c r="DM186" s="58"/>
      <x:c r="DN186" s="11"/>
      <x:c r="DO186" s="61"/>
      <x:c r="DP186" s="62"/>
      <x:c r="DQ186" s="11"/>
      <x:c r="DR186" s="61"/>
      <x:c r="DS186" s="62"/>
      <x:c r="DT186" s="11"/>
      <x:c r="DU186" s="61"/>
      <x:c r="DV186" s="62"/>
    </x:row>
    <x:row r="187" spans="1:126" x14ac:dyDescent="0.3">
      <x:c r="A187" s="47"/>
      <x:c r="B187" s="70"/>
      <x:c r="C187" s="70"/>
      <x:c r="D187" s="70"/>
      <x:c r="E187" s="70"/>
      <x:c r="F187" s="70"/>
      <x:c r="G187" s="70"/>
      <x:c r="H187" s="70"/>
      <x:c r="I187" s="70"/>
      <x:c r="J187" s="70"/>
      <x:c r="K187" s="190"/>
      <x:c r="L187" s="191"/>
      <x:c r="M187" s="192">
        <x:f>IF(ISERROR(INDEX('Meter Type Data'!$B$2:$E$1165,SUMPRODUCT(--('Meter Type Data'!$B$2:$B$1165&lt;=Analysis!L187)*('Meter Type Data'!$C$2:$C$1165&gt;=Analysis!L187),ROW('Meter Type Data'!$B$2:$B$1165))-1,4))," ",INDEX('Meter Type Data'!$B$2:$E$1165,SUMPRODUCT(--('Meter Type Data'!$B$2:$B$1165&lt;=Analysis!L187)*('Meter Type Data'!$C$2:$C$1165&gt;=Analysis!L187),ROW('Meter Type Data'!$B$2:$B$1165))-1,4))</x:f>
      </x:c>
      <x:c r="N187" s="192">
        <x:f>IF(ISERROR(INDEX('Meter Type Data'!$B$2:$D$1165,SUMPRODUCT(--('Meter Type Data'!$B$2:$B$1165&lt;=Analysis!L187)*('Meter Type Data'!$C$2:$C$1165&gt;=Analysis!L187),ROW('Meter Type Data'!$B$2:$B$1165))-1,3))," ",INDEX('Meter Type Data'!$B$2:$D$1165,SUMPRODUCT(--('Meter Type Data'!$B$2:$B$1165&lt;=Analysis!L187)*('Meter Type Data'!$C$2:$C$1165&gt;=Analysis!L187),ROW('Meter Type Data'!$B$2:$B$1165))-1,3))</x:f>
      </x:c>
      <x:c r="O187" s="69"/>
      <x:c r="P187" s="47"/>
      <x:c r="Q187" s="60"/>
      <x:c r="R187" s="58">
        <x:f>(($O187*P187)/100)+(Q187*12)</x:f>
      </x:c>
      <x:c r="S187" s="59"/>
      <x:c r="T187" s="59"/>
      <x:c r="U187" s="58">
        <x:f>(($O187*S187)/100)+(T187*12)</x:f>
      </x:c>
      <x:c r="V187" s="47"/>
      <x:c r="W187" s="60"/>
      <x:c r="X187" s="58">
        <x:f>(($O187*V187)/100)+(W187*12)</x:f>
      </x:c>
      <x:c r="Y187" s="47"/>
      <x:c r="Z187" s="60"/>
      <x:c r="AA187" s="58">
        <x:f>(($O187*Y187)/100)+(Z187*12)</x:f>
      </x:c>
      <x:c r="AB187" s="47"/>
      <x:c r="AC187" s="60"/>
      <x:c r="AD187" s="58">
        <x:f>(($O187*AB187)/100)+(AC187*12)</x:f>
      </x:c>
      <x:c r="AE187" s="47"/>
      <x:c r="AF187" s="60"/>
      <x:c r="AG187" s="58">
        <x:f>(($O187*AE187)/100)+(AF187*12)</x:f>
      </x:c>
      <x:c r="AH187" s="47"/>
      <x:c r="AI187" s="60"/>
      <x:c r="AJ187" s="58">
        <x:f>(($O187*AH187)/100)+(AI187*12)</x:f>
      </x:c>
      <x:c r="AK187" s="47"/>
      <x:c r="AL187" s="60"/>
      <x:c r="AM187" s="58">
        <x:f>(($O187*AK187)/100)+(AL187*12)</x:f>
      </x:c>
      <x:c r="AN187" s="47"/>
      <x:c r="AO187" s="60"/>
      <x:c r="AP187" s="58">
        <x:f>(($O187*AN187)/100)+(AO187*12)</x:f>
      </x:c>
      <x:c r="AQ187" s="47"/>
      <x:c r="AR187" s="60"/>
      <x:c r="AS187" s="58">
        <x:f>(($O187*AQ187)/100)+(AR187*12)</x:f>
      </x:c>
      <x:c r="AT187" s="47"/>
      <x:c r="AU187" s="60"/>
      <x:c r="AV187" s="58">
        <x:f>(($O187*AT187)/100)+(AU187*12)</x:f>
      </x:c>
      <x:c r="AW187" s="47"/>
      <x:c r="AX187" s="60"/>
      <x:c r="AY187" s="58">
        <x:f>(($O187*AW187)/100)+(AX187*12)</x:f>
      </x:c>
      <x:c r="AZ187" s="47"/>
      <x:c r="BA187" s="60"/>
      <x:c r="BB187" s="58">
        <x:f>(($O187*AZ187)/100)+(BA187*12)</x:f>
      </x:c>
      <x:c r="BC187" s="47"/>
      <x:c r="BD187" s="60"/>
      <x:c r="BE187" s="58">
        <x:f>(($O187*BC187)/100)+(BD187*12)</x:f>
      </x:c>
      <x:c r="BF187" s="47"/>
      <x:c r="BG187" s="60"/>
      <x:c r="BH187" s="58">
        <x:f>(($O187*BF187)/100)+(BG187*12)</x:f>
      </x:c>
      <x:c r="BI187" s="47"/>
      <x:c r="BJ187" s="60"/>
      <x:c r="BK187" s="58">
        <x:f>(($O187*BI187)/100)+(BJ187*12)</x:f>
      </x:c>
      <x:c r="BL187" s="47"/>
      <x:c r="BM187" s="60"/>
      <x:c r="BN187" s="58">
        <x:f>(($O187*BL187)/100)+(BM187*12)</x:f>
      </x:c>
      <x:c r="BO187" s="47"/>
      <x:c r="BP187" s="60"/>
      <x:c r="BQ187" s="58">
        <x:f>(($O187*BO187)/100)+(BP187*12)</x:f>
      </x:c>
      <x:c r="BR187" s="47"/>
      <x:c r="BS187" s="60"/>
      <x:c r="BT187" s="58">
        <x:f>(($O187*BR187)/100)+(BS187*12)</x:f>
      </x:c>
      <x:c r="BU187" s="47"/>
      <x:c r="BV187" s="60"/>
      <x:c r="BW187" s="58">
        <x:f>(($O187*BU187)/100)+(BV187*12)</x:f>
      </x:c>
      <x:c r="BX187" s="47"/>
      <x:c r="BY187" s="60"/>
      <x:c r="BZ187" s="58">
        <x:f>(($O187*BX187)/100)+(BY187*12)</x:f>
      </x:c>
      <x:c r="CA187" s="47"/>
      <x:c r="CB187" s="60"/>
      <x:c r="CC187" s="58">
        <x:f>(($O187*CA187)/100)+(CB187*12)</x:f>
      </x:c>
      <x:c r="CD187" s="47"/>
      <x:c r="CE187" s="60"/>
      <x:c r="CF187" s="58">
        <x:f>(($O187*CD187)/100)+(CE187*12)</x:f>
      </x:c>
      <x:c r="CG187" s="47"/>
      <x:c r="CH187" s="60"/>
      <x:c r="CI187" s="58">
        <x:f>(($O187*CG187)/100)+(CH187*12)</x:f>
      </x:c>
      <x:c r="CJ187" s="47"/>
      <x:c r="CK187" s="60"/>
      <x:c r="CL187" s="58">
        <x:f>(($O187*CJ187)/100)+(CK187*12)</x:f>
      </x:c>
      <x:c r="CM187" s="47"/>
      <x:c r="CN187" s="60"/>
      <x:c r="CO187" s="58">
        <x:f>(($O187*CM187)/100)+(CN187*12)</x:f>
      </x:c>
      <x:c r="CP187" s="47"/>
      <x:c r="CQ187" s="60"/>
      <x:c r="CR187" s="58">
        <x:f>(($O187*CP187)/100)+(CQ187*12)</x:f>
      </x:c>
      <x:c r="CS187" s="47"/>
      <x:c r="CT187" s="60"/>
      <x:c r="CU187" s="58">
        <x:f>(($O187*CS187)/100)+(CT187*12)</x:f>
      </x:c>
      <x:c r="CV187" s="47"/>
      <x:c r="CW187" s="60"/>
      <x:c r="CX187" s="58"/>
      <x:c r="CY187" s="47"/>
      <x:c r="CZ187" s="60"/>
      <x:c r="DA187" s="58"/>
      <x:c r="DB187" s="47"/>
      <x:c r="DC187" s="60"/>
      <x:c r="DD187" s="58"/>
      <x:c r="DE187" s="47"/>
      <x:c r="DF187" s="60"/>
      <x:c r="DG187" s="58"/>
      <x:c r="DH187" s="47"/>
      <x:c r="DI187" s="60"/>
      <x:c r="DJ187" s="58"/>
      <x:c r="DK187" s="47"/>
      <x:c r="DL187" s="60"/>
      <x:c r="DM187" s="58"/>
      <x:c r="DN187" s="11"/>
      <x:c r="DO187" s="61"/>
      <x:c r="DP187" s="62"/>
      <x:c r="DQ187" s="11"/>
      <x:c r="DR187" s="61"/>
      <x:c r="DS187" s="62"/>
      <x:c r="DT187" s="11"/>
      <x:c r="DU187" s="61"/>
      <x:c r="DV187" s="62"/>
    </x:row>
    <x:row r="188" spans="1:126" x14ac:dyDescent="0.3">
      <x:c r="A188" s="47"/>
      <x:c r="B188" s="70"/>
      <x:c r="C188" s="70"/>
      <x:c r="D188" s="70"/>
      <x:c r="E188" s="70"/>
      <x:c r="F188" s="70"/>
      <x:c r="G188" s="70"/>
      <x:c r="H188" s="70"/>
      <x:c r="I188" s="70"/>
      <x:c r="J188" s="70"/>
      <x:c r="K188" s="190"/>
      <x:c r="L188" s="191"/>
      <x:c r="M188" s="192">
        <x:f>IF(ISERROR(INDEX('Meter Type Data'!$B$2:$E$1165,SUMPRODUCT(--('Meter Type Data'!$B$2:$B$1165&lt;=Analysis!L188)*('Meter Type Data'!$C$2:$C$1165&gt;=Analysis!L188),ROW('Meter Type Data'!$B$2:$B$1165))-1,4))," ",INDEX('Meter Type Data'!$B$2:$E$1165,SUMPRODUCT(--('Meter Type Data'!$B$2:$B$1165&lt;=Analysis!L188)*('Meter Type Data'!$C$2:$C$1165&gt;=Analysis!L188),ROW('Meter Type Data'!$B$2:$B$1165))-1,4))</x:f>
      </x:c>
      <x:c r="N188" s="192">
        <x:f>IF(ISERROR(INDEX('Meter Type Data'!$B$2:$D$1165,SUMPRODUCT(--('Meter Type Data'!$B$2:$B$1165&lt;=Analysis!L188)*('Meter Type Data'!$C$2:$C$1165&gt;=Analysis!L188),ROW('Meter Type Data'!$B$2:$B$1165))-1,3))," ",INDEX('Meter Type Data'!$B$2:$D$1165,SUMPRODUCT(--('Meter Type Data'!$B$2:$B$1165&lt;=Analysis!L188)*('Meter Type Data'!$C$2:$C$1165&gt;=Analysis!L188),ROW('Meter Type Data'!$B$2:$B$1165))-1,3))</x:f>
      </x:c>
      <x:c r="O188" s="69"/>
      <x:c r="P188" s="47"/>
      <x:c r="Q188" s="60"/>
      <x:c r="R188" s="58">
        <x:f>(($O188*P188)/100)+(Q188*12)</x:f>
      </x:c>
      <x:c r="S188" s="59"/>
      <x:c r="T188" s="59"/>
      <x:c r="U188" s="58">
        <x:f>(($O188*S188)/100)+(T188*12)</x:f>
      </x:c>
      <x:c r="V188" s="47"/>
      <x:c r="W188" s="60"/>
      <x:c r="X188" s="58">
        <x:f>(($O188*V188)/100)+(W188*12)</x:f>
      </x:c>
      <x:c r="Y188" s="47"/>
      <x:c r="Z188" s="60"/>
      <x:c r="AA188" s="58">
        <x:f>(($O188*Y188)/100)+(Z188*12)</x:f>
      </x:c>
      <x:c r="AB188" s="47"/>
      <x:c r="AC188" s="60"/>
      <x:c r="AD188" s="58">
        <x:f>(($O188*AB188)/100)+(AC188*12)</x:f>
      </x:c>
      <x:c r="AE188" s="47"/>
      <x:c r="AF188" s="60"/>
      <x:c r="AG188" s="58">
        <x:f>(($O188*AE188)/100)+(AF188*12)</x:f>
      </x:c>
      <x:c r="AH188" s="47"/>
      <x:c r="AI188" s="60"/>
      <x:c r="AJ188" s="58">
        <x:f>(($O188*AH188)/100)+(AI188*12)</x:f>
      </x:c>
      <x:c r="AK188" s="47"/>
      <x:c r="AL188" s="60"/>
      <x:c r="AM188" s="58">
        <x:f>(($O188*AK188)/100)+(AL188*12)</x:f>
      </x:c>
      <x:c r="AN188" s="47"/>
      <x:c r="AO188" s="60"/>
      <x:c r="AP188" s="58">
        <x:f>(($O188*AN188)/100)+(AO188*12)</x:f>
      </x:c>
      <x:c r="AQ188" s="47"/>
      <x:c r="AR188" s="60"/>
      <x:c r="AS188" s="58">
        <x:f>(($O188*AQ188)/100)+(AR188*12)</x:f>
      </x:c>
      <x:c r="AT188" s="47"/>
      <x:c r="AU188" s="60"/>
      <x:c r="AV188" s="58">
        <x:f>(($O188*AT188)/100)+(AU188*12)</x:f>
      </x:c>
      <x:c r="AW188" s="47"/>
      <x:c r="AX188" s="60"/>
      <x:c r="AY188" s="58">
        <x:f>(($O188*AW188)/100)+(AX188*12)</x:f>
      </x:c>
      <x:c r="AZ188" s="47"/>
      <x:c r="BA188" s="60"/>
      <x:c r="BB188" s="58">
        <x:f>(($O188*AZ188)/100)+(BA188*12)</x:f>
      </x:c>
      <x:c r="BC188" s="47"/>
      <x:c r="BD188" s="60"/>
      <x:c r="BE188" s="58">
        <x:f>(($O188*BC188)/100)+(BD188*12)</x:f>
      </x:c>
      <x:c r="BF188" s="47"/>
      <x:c r="BG188" s="60"/>
      <x:c r="BH188" s="58">
        <x:f>(($O188*BF188)/100)+(BG188*12)</x:f>
      </x:c>
      <x:c r="BI188" s="47"/>
      <x:c r="BJ188" s="60"/>
      <x:c r="BK188" s="58">
        <x:f>(($O188*BI188)/100)+(BJ188*12)</x:f>
      </x:c>
      <x:c r="BL188" s="47"/>
      <x:c r="BM188" s="60"/>
      <x:c r="BN188" s="58">
        <x:f>(($O188*BL188)/100)+(BM188*12)</x:f>
      </x:c>
      <x:c r="BO188" s="47"/>
      <x:c r="BP188" s="60"/>
      <x:c r="BQ188" s="58">
        <x:f>(($O188*BO188)/100)+(BP188*12)</x:f>
      </x:c>
      <x:c r="BR188" s="47"/>
      <x:c r="BS188" s="60"/>
      <x:c r="BT188" s="58">
        <x:f>(($O188*BR188)/100)+(BS188*12)</x:f>
      </x:c>
      <x:c r="BU188" s="47"/>
      <x:c r="BV188" s="60"/>
      <x:c r="BW188" s="58">
        <x:f>(($O188*BU188)/100)+(BV188*12)</x:f>
      </x:c>
      <x:c r="BX188" s="47"/>
      <x:c r="BY188" s="60"/>
      <x:c r="BZ188" s="58">
        <x:f>(($O188*BX188)/100)+(BY188*12)</x:f>
      </x:c>
      <x:c r="CA188" s="47"/>
      <x:c r="CB188" s="60"/>
      <x:c r="CC188" s="58">
        <x:f>(($O188*CA188)/100)+(CB188*12)</x:f>
      </x:c>
      <x:c r="CD188" s="47"/>
      <x:c r="CE188" s="60"/>
      <x:c r="CF188" s="58">
        <x:f>(($O188*CD188)/100)+(CE188*12)</x:f>
      </x:c>
      <x:c r="CG188" s="47"/>
      <x:c r="CH188" s="60"/>
      <x:c r="CI188" s="58">
        <x:f>(($O188*CG188)/100)+(CH188*12)</x:f>
      </x:c>
      <x:c r="CJ188" s="47"/>
      <x:c r="CK188" s="60"/>
      <x:c r="CL188" s="58">
        <x:f>(($O188*CJ188)/100)+(CK188*12)</x:f>
      </x:c>
      <x:c r="CM188" s="47"/>
      <x:c r="CN188" s="60"/>
      <x:c r="CO188" s="58">
        <x:f>(($O188*CM188)/100)+(CN188*12)</x:f>
      </x:c>
      <x:c r="CP188" s="47"/>
      <x:c r="CQ188" s="60"/>
      <x:c r="CR188" s="58">
        <x:f>(($O188*CP188)/100)+(CQ188*12)</x:f>
      </x:c>
      <x:c r="CS188" s="47"/>
      <x:c r="CT188" s="60"/>
      <x:c r="CU188" s="58">
        <x:f>(($O188*CS188)/100)+(CT188*12)</x:f>
      </x:c>
      <x:c r="CV188" s="47"/>
      <x:c r="CW188" s="60"/>
      <x:c r="CX188" s="58"/>
      <x:c r="CY188" s="47"/>
      <x:c r="CZ188" s="60"/>
      <x:c r="DA188" s="58"/>
      <x:c r="DB188" s="47"/>
      <x:c r="DC188" s="60"/>
      <x:c r="DD188" s="58"/>
      <x:c r="DE188" s="47"/>
      <x:c r="DF188" s="60"/>
      <x:c r="DG188" s="58"/>
      <x:c r="DH188" s="47"/>
      <x:c r="DI188" s="60"/>
      <x:c r="DJ188" s="58"/>
      <x:c r="DK188" s="47"/>
      <x:c r="DL188" s="60"/>
      <x:c r="DM188" s="58"/>
      <x:c r="DN188" s="11"/>
      <x:c r="DO188" s="61"/>
      <x:c r="DP188" s="62"/>
      <x:c r="DQ188" s="11"/>
      <x:c r="DR188" s="61"/>
      <x:c r="DS188" s="62"/>
      <x:c r="DT188" s="11"/>
      <x:c r="DU188" s="61"/>
      <x:c r="DV188" s="62"/>
    </x:row>
    <x:row r="189" spans="1:126" x14ac:dyDescent="0.3">
      <x:c r="A189" s="47"/>
      <x:c r="B189" s="70"/>
      <x:c r="C189" s="70"/>
      <x:c r="D189" s="70"/>
      <x:c r="E189" s="70"/>
      <x:c r="F189" s="70"/>
      <x:c r="G189" s="70"/>
      <x:c r="H189" s="70"/>
      <x:c r="I189" s="70"/>
      <x:c r="J189" s="70"/>
      <x:c r="K189" s="190"/>
      <x:c r="L189" s="191"/>
      <x:c r="M189" s="192">
        <x:f>IF(ISERROR(INDEX('Meter Type Data'!$B$2:$E$1165,SUMPRODUCT(--('Meter Type Data'!$B$2:$B$1165&lt;=Analysis!L189)*('Meter Type Data'!$C$2:$C$1165&gt;=Analysis!L189),ROW('Meter Type Data'!$B$2:$B$1165))-1,4))," ",INDEX('Meter Type Data'!$B$2:$E$1165,SUMPRODUCT(--('Meter Type Data'!$B$2:$B$1165&lt;=Analysis!L189)*('Meter Type Data'!$C$2:$C$1165&gt;=Analysis!L189),ROW('Meter Type Data'!$B$2:$B$1165))-1,4))</x:f>
      </x:c>
      <x:c r="N189" s="192">
        <x:f>IF(ISERROR(INDEX('Meter Type Data'!$B$2:$D$1165,SUMPRODUCT(--('Meter Type Data'!$B$2:$B$1165&lt;=Analysis!L189)*('Meter Type Data'!$C$2:$C$1165&gt;=Analysis!L189),ROW('Meter Type Data'!$B$2:$B$1165))-1,3))," ",INDEX('Meter Type Data'!$B$2:$D$1165,SUMPRODUCT(--('Meter Type Data'!$B$2:$B$1165&lt;=Analysis!L189)*('Meter Type Data'!$C$2:$C$1165&gt;=Analysis!L189),ROW('Meter Type Data'!$B$2:$B$1165))-1,3))</x:f>
      </x:c>
      <x:c r="O189" s="69"/>
      <x:c r="P189" s="47"/>
      <x:c r="Q189" s="60"/>
      <x:c r="R189" s="58">
        <x:f>(($O189*P189)/100)+(Q189*12)</x:f>
      </x:c>
      <x:c r="S189" s="59"/>
      <x:c r="T189" s="59"/>
      <x:c r="U189" s="58">
        <x:f>(($O189*S189)/100)+(T189*12)</x:f>
      </x:c>
      <x:c r="V189" s="47"/>
      <x:c r="W189" s="60"/>
      <x:c r="X189" s="58">
        <x:f>(($O189*V189)/100)+(W189*12)</x:f>
      </x:c>
      <x:c r="Y189" s="47"/>
      <x:c r="Z189" s="60"/>
      <x:c r="AA189" s="58">
        <x:f>(($O189*Y189)/100)+(Z189*12)</x:f>
      </x:c>
      <x:c r="AB189" s="47"/>
      <x:c r="AC189" s="60"/>
      <x:c r="AD189" s="58">
        <x:f>(($O189*AB189)/100)+(AC189*12)</x:f>
      </x:c>
      <x:c r="AE189" s="47"/>
      <x:c r="AF189" s="60"/>
      <x:c r="AG189" s="58">
        <x:f>(($O189*AE189)/100)+(AF189*12)</x:f>
      </x:c>
      <x:c r="AH189" s="47"/>
      <x:c r="AI189" s="60"/>
      <x:c r="AJ189" s="58">
        <x:f>(($O189*AH189)/100)+(AI189*12)</x:f>
      </x:c>
      <x:c r="AK189" s="47"/>
      <x:c r="AL189" s="60"/>
      <x:c r="AM189" s="58">
        <x:f>(($O189*AK189)/100)+(AL189*12)</x:f>
      </x:c>
      <x:c r="AN189" s="47"/>
      <x:c r="AO189" s="60"/>
      <x:c r="AP189" s="58">
        <x:f>(($O189*AN189)/100)+(AO189*12)</x:f>
      </x:c>
      <x:c r="AQ189" s="47"/>
      <x:c r="AR189" s="60"/>
      <x:c r="AS189" s="58">
        <x:f>(($O189*AQ189)/100)+(AR189*12)</x:f>
      </x:c>
      <x:c r="AT189" s="47"/>
      <x:c r="AU189" s="60"/>
      <x:c r="AV189" s="58">
        <x:f>(($O189*AT189)/100)+(AU189*12)</x:f>
      </x:c>
      <x:c r="AW189" s="47"/>
      <x:c r="AX189" s="60"/>
      <x:c r="AY189" s="58">
        <x:f>(($O189*AW189)/100)+(AX189*12)</x:f>
      </x:c>
      <x:c r="AZ189" s="47"/>
      <x:c r="BA189" s="60"/>
      <x:c r="BB189" s="58">
        <x:f>(($O189*AZ189)/100)+(BA189*12)</x:f>
      </x:c>
      <x:c r="BC189" s="47"/>
      <x:c r="BD189" s="60"/>
      <x:c r="BE189" s="58">
        <x:f>(($O189*BC189)/100)+(BD189*12)</x:f>
      </x:c>
      <x:c r="BF189" s="47"/>
      <x:c r="BG189" s="60"/>
      <x:c r="BH189" s="58">
        <x:f>(($O189*BF189)/100)+(BG189*12)</x:f>
      </x:c>
      <x:c r="BI189" s="47"/>
      <x:c r="BJ189" s="60"/>
      <x:c r="BK189" s="58">
        <x:f>(($O189*BI189)/100)+(BJ189*12)</x:f>
      </x:c>
      <x:c r="BL189" s="47"/>
      <x:c r="BM189" s="60"/>
      <x:c r="BN189" s="58">
        <x:f>(($O189*BL189)/100)+(BM189*12)</x:f>
      </x:c>
      <x:c r="BO189" s="47"/>
      <x:c r="BP189" s="60"/>
      <x:c r="BQ189" s="58">
        <x:f>(($O189*BO189)/100)+(BP189*12)</x:f>
      </x:c>
      <x:c r="BR189" s="47"/>
      <x:c r="BS189" s="60"/>
      <x:c r="BT189" s="58">
        <x:f>(($O189*BR189)/100)+(BS189*12)</x:f>
      </x:c>
      <x:c r="BU189" s="47"/>
      <x:c r="BV189" s="60"/>
      <x:c r="BW189" s="58">
        <x:f>(($O189*BU189)/100)+(BV189*12)</x:f>
      </x:c>
      <x:c r="BX189" s="47"/>
      <x:c r="BY189" s="60"/>
      <x:c r="BZ189" s="58">
        <x:f>(($O189*BX189)/100)+(BY189*12)</x:f>
      </x:c>
      <x:c r="CA189" s="47"/>
      <x:c r="CB189" s="60"/>
      <x:c r="CC189" s="58">
        <x:f>(($O189*CA189)/100)+(CB189*12)</x:f>
      </x:c>
      <x:c r="CD189" s="47"/>
      <x:c r="CE189" s="60"/>
      <x:c r="CF189" s="58">
        <x:f>(($O189*CD189)/100)+(CE189*12)</x:f>
      </x:c>
      <x:c r="CG189" s="47"/>
      <x:c r="CH189" s="60"/>
      <x:c r="CI189" s="58">
        <x:f>(($O189*CG189)/100)+(CH189*12)</x:f>
      </x:c>
      <x:c r="CJ189" s="47"/>
      <x:c r="CK189" s="60"/>
      <x:c r="CL189" s="58">
        <x:f>(($O189*CJ189)/100)+(CK189*12)</x:f>
      </x:c>
      <x:c r="CM189" s="47"/>
      <x:c r="CN189" s="60"/>
      <x:c r="CO189" s="58">
        <x:f>(($O189*CM189)/100)+(CN189*12)</x:f>
      </x:c>
      <x:c r="CP189" s="47"/>
      <x:c r="CQ189" s="60"/>
      <x:c r="CR189" s="58">
        <x:f>(($O189*CP189)/100)+(CQ189*12)</x:f>
      </x:c>
      <x:c r="CS189" s="47"/>
      <x:c r="CT189" s="60"/>
      <x:c r="CU189" s="58">
        <x:f>(($O189*CS189)/100)+(CT189*12)</x:f>
      </x:c>
      <x:c r="CV189" s="47"/>
      <x:c r="CW189" s="60"/>
      <x:c r="CX189" s="58"/>
      <x:c r="CY189" s="47"/>
      <x:c r="CZ189" s="60"/>
      <x:c r="DA189" s="58"/>
      <x:c r="DB189" s="47"/>
      <x:c r="DC189" s="60"/>
      <x:c r="DD189" s="58"/>
      <x:c r="DE189" s="47"/>
      <x:c r="DF189" s="60"/>
      <x:c r="DG189" s="58"/>
      <x:c r="DH189" s="47"/>
      <x:c r="DI189" s="60"/>
      <x:c r="DJ189" s="58"/>
      <x:c r="DK189" s="47"/>
      <x:c r="DL189" s="60"/>
      <x:c r="DM189" s="58"/>
      <x:c r="DN189" s="11"/>
      <x:c r="DO189" s="61"/>
      <x:c r="DP189" s="62"/>
      <x:c r="DQ189" s="11"/>
      <x:c r="DR189" s="61"/>
      <x:c r="DS189" s="62"/>
      <x:c r="DT189" s="11"/>
      <x:c r="DU189" s="61"/>
      <x:c r="DV189" s="62"/>
    </x:row>
    <x:row r="190" spans="1:126" x14ac:dyDescent="0.3">
      <x:c r="A190" s="47"/>
      <x:c r="B190" s="70"/>
      <x:c r="C190" s="70"/>
      <x:c r="D190" s="70"/>
      <x:c r="E190" s="70"/>
      <x:c r="F190" s="70"/>
      <x:c r="G190" s="70"/>
      <x:c r="H190" s="70"/>
      <x:c r="I190" s="70"/>
      <x:c r="J190" s="70"/>
      <x:c r="K190" s="190"/>
      <x:c r="L190" s="191"/>
      <x:c r="M190" s="192">
        <x:f>IF(ISERROR(INDEX('Meter Type Data'!$B$2:$E$1165,SUMPRODUCT(--('Meter Type Data'!$B$2:$B$1165&lt;=Analysis!L190)*('Meter Type Data'!$C$2:$C$1165&gt;=Analysis!L190),ROW('Meter Type Data'!$B$2:$B$1165))-1,4))," ",INDEX('Meter Type Data'!$B$2:$E$1165,SUMPRODUCT(--('Meter Type Data'!$B$2:$B$1165&lt;=Analysis!L190)*('Meter Type Data'!$C$2:$C$1165&gt;=Analysis!L190),ROW('Meter Type Data'!$B$2:$B$1165))-1,4))</x:f>
      </x:c>
      <x:c r="N190" s="192">
        <x:f>IF(ISERROR(INDEX('Meter Type Data'!$B$2:$D$1165,SUMPRODUCT(--('Meter Type Data'!$B$2:$B$1165&lt;=Analysis!L190)*('Meter Type Data'!$C$2:$C$1165&gt;=Analysis!L190),ROW('Meter Type Data'!$B$2:$B$1165))-1,3))," ",INDEX('Meter Type Data'!$B$2:$D$1165,SUMPRODUCT(--('Meter Type Data'!$B$2:$B$1165&lt;=Analysis!L190)*('Meter Type Data'!$C$2:$C$1165&gt;=Analysis!L190),ROW('Meter Type Data'!$B$2:$B$1165))-1,3))</x:f>
      </x:c>
      <x:c r="O190" s="69"/>
      <x:c r="P190" s="47"/>
      <x:c r="Q190" s="60"/>
      <x:c r="R190" s="58">
        <x:f>(($O190*P190)/100)+(Q190*12)</x:f>
      </x:c>
      <x:c r="S190" s="59"/>
      <x:c r="T190" s="59"/>
      <x:c r="U190" s="58">
        <x:f>(($O190*S190)/100)+(T190*12)</x:f>
      </x:c>
      <x:c r="V190" s="47"/>
      <x:c r="W190" s="60"/>
      <x:c r="X190" s="58">
        <x:f>(($O190*V190)/100)+(W190*12)</x:f>
      </x:c>
      <x:c r="Y190" s="47"/>
      <x:c r="Z190" s="60"/>
      <x:c r="AA190" s="58">
        <x:f>(($O190*Y190)/100)+(Z190*12)</x:f>
      </x:c>
      <x:c r="AB190" s="47"/>
      <x:c r="AC190" s="60"/>
      <x:c r="AD190" s="58">
        <x:f>(($O190*AB190)/100)+(AC190*12)</x:f>
      </x:c>
      <x:c r="AE190" s="47"/>
      <x:c r="AF190" s="60"/>
      <x:c r="AG190" s="58">
        <x:f>(($O190*AE190)/100)+(AF190*12)</x:f>
      </x:c>
      <x:c r="AH190" s="47"/>
      <x:c r="AI190" s="60"/>
      <x:c r="AJ190" s="58">
        <x:f>(($O190*AH190)/100)+(AI190*12)</x:f>
      </x:c>
      <x:c r="AK190" s="47"/>
      <x:c r="AL190" s="60"/>
      <x:c r="AM190" s="58">
        <x:f>(($O190*AK190)/100)+(AL190*12)</x:f>
      </x:c>
      <x:c r="AN190" s="47"/>
      <x:c r="AO190" s="60"/>
      <x:c r="AP190" s="58">
        <x:f>(($O190*AN190)/100)+(AO190*12)</x:f>
      </x:c>
      <x:c r="AQ190" s="47"/>
      <x:c r="AR190" s="60"/>
      <x:c r="AS190" s="58">
        <x:f>(($O190*AQ190)/100)+(AR190*12)</x:f>
      </x:c>
      <x:c r="AT190" s="47"/>
      <x:c r="AU190" s="60"/>
      <x:c r="AV190" s="58">
        <x:f>(($O190*AT190)/100)+(AU190*12)</x:f>
      </x:c>
      <x:c r="AW190" s="47"/>
      <x:c r="AX190" s="60"/>
      <x:c r="AY190" s="58">
        <x:f>(($O190*AW190)/100)+(AX190*12)</x:f>
      </x:c>
      <x:c r="AZ190" s="47"/>
      <x:c r="BA190" s="60"/>
      <x:c r="BB190" s="58">
        <x:f>(($O190*AZ190)/100)+(BA190*12)</x:f>
      </x:c>
      <x:c r="BC190" s="47"/>
      <x:c r="BD190" s="60"/>
      <x:c r="BE190" s="58">
        <x:f>(($O190*BC190)/100)+(BD190*12)</x:f>
      </x:c>
      <x:c r="BF190" s="47"/>
      <x:c r="BG190" s="60"/>
      <x:c r="BH190" s="58">
        <x:f>(($O190*BF190)/100)+(BG190*12)</x:f>
      </x:c>
      <x:c r="BI190" s="47"/>
      <x:c r="BJ190" s="60"/>
      <x:c r="BK190" s="58">
        <x:f>(($O190*BI190)/100)+(BJ190*12)</x:f>
      </x:c>
      <x:c r="BL190" s="47"/>
      <x:c r="BM190" s="60"/>
      <x:c r="BN190" s="58">
        <x:f>(($O190*BL190)/100)+(BM190*12)</x:f>
      </x:c>
      <x:c r="BO190" s="47"/>
      <x:c r="BP190" s="60"/>
      <x:c r="BQ190" s="58">
        <x:f>(($O190*BO190)/100)+(BP190*12)</x:f>
      </x:c>
      <x:c r="BR190" s="47"/>
      <x:c r="BS190" s="60"/>
      <x:c r="BT190" s="58">
        <x:f>(($O190*BR190)/100)+(BS190*12)</x:f>
      </x:c>
      <x:c r="BU190" s="47"/>
      <x:c r="BV190" s="60"/>
      <x:c r="BW190" s="58">
        <x:f>(($O190*BU190)/100)+(BV190*12)</x:f>
      </x:c>
      <x:c r="BX190" s="47"/>
      <x:c r="BY190" s="60"/>
      <x:c r="BZ190" s="58">
        <x:f>(($O190*BX190)/100)+(BY190*12)</x:f>
      </x:c>
      <x:c r="CA190" s="47"/>
      <x:c r="CB190" s="60"/>
      <x:c r="CC190" s="58">
        <x:f>(($O190*CA190)/100)+(CB190*12)</x:f>
      </x:c>
      <x:c r="CD190" s="47"/>
      <x:c r="CE190" s="60"/>
      <x:c r="CF190" s="58">
        <x:f>(($O190*CD190)/100)+(CE190*12)</x:f>
      </x:c>
      <x:c r="CG190" s="47"/>
      <x:c r="CH190" s="60"/>
      <x:c r="CI190" s="58">
        <x:f>(($O190*CG190)/100)+(CH190*12)</x:f>
      </x:c>
      <x:c r="CJ190" s="47"/>
      <x:c r="CK190" s="60"/>
      <x:c r="CL190" s="58">
        <x:f>(($O190*CJ190)/100)+(CK190*12)</x:f>
      </x:c>
      <x:c r="CM190" s="47"/>
      <x:c r="CN190" s="60"/>
      <x:c r="CO190" s="58">
        <x:f>(($O190*CM190)/100)+(CN190*12)</x:f>
      </x:c>
      <x:c r="CP190" s="47"/>
      <x:c r="CQ190" s="60"/>
      <x:c r="CR190" s="58">
        <x:f>(($O190*CP190)/100)+(CQ190*12)</x:f>
      </x:c>
      <x:c r="CS190" s="47"/>
      <x:c r="CT190" s="60"/>
      <x:c r="CU190" s="58">
        <x:f>(($O190*CS190)/100)+(CT190*12)</x:f>
      </x:c>
      <x:c r="CV190" s="47"/>
      <x:c r="CW190" s="60"/>
      <x:c r="CX190" s="58"/>
      <x:c r="CY190" s="47"/>
      <x:c r="CZ190" s="60"/>
      <x:c r="DA190" s="58"/>
      <x:c r="DB190" s="47"/>
      <x:c r="DC190" s="60"/>
      <x:c r="DD190" s="58"/>
      <x:c r="DE190" s="47"/>
      <x:c r="DF190" s="60"/>
      <x:c r="DG190" s="58"/>
      <x:c r="DH190" s="47"/>
      <x:c r="DI190" s="60"/>
      <x:c r="DJ190" s="58"/>
      <x:c r="DK190" s="47"/>
      <x:c r="DL190" s="60"/>
      <x:c r="DM190" s="58"/>
      <x:c r="DN190" s="11"/>
      <x:c r="DO190" s="61"/>
      <x:c r="DP190" s="62"/>
      <x:c r="DQ190" s="11"/>
      <x:c r="DR190" s="61"/>
      <x:c r="DS190" s="62"/>
      <x:c r="DT190" s="11"/>
      <x:c r="DU190" s="61"/>
      <x:c r="DV190" s="62"/>
    </x:row>
    <x:row r="191" spans="1:126" x14ac:dyDescent="0.3">
      <x:c r="A191" s="47"/>
      <x:c r="B191" s="70"/>
      <x:c r="C191" s="70"/>
      <x:c r="D191" s="70"/>
      <x:c r="E191" s="70"/>
      <x:c r="F191" s="70"/>
      <x:c r="G191" s="70"/>
      <x:c r="H191" s="70"/>
      <x:c r="I191" s="70"/>
      <x:c r="J191" s="70"/>
      <x:c r="K191" s="190"/>
      <x:c r="L191" s="191"/>
      <x:c r="M191" s="192">
        <x:f>IF(ISERROR(INDEX('Meter Type Data'!$B$2:$E$1165,SUMPRODUCT(--('Meter Type Data'!$B$2:$B$1165&lt;=Analysis!L191)*('Meter Type Data'!$C$2:$C$1165&gt;=Analysis!L191),ROW('Meter Type Data'!$B$2:$B$1165))-1,4))," ",INDEX('Meter Type Data'!$B$2:$E$1165,SUMPRODUCT(--('Meter Type Data'!$B$2:$B$1165&lt;=Analysis!L191)*('Meter Type Data'!$C$2:$C$1165&gt;=Analysis!L191),ROW('Meter Type Data'!$B$2:$B$1165))-1,4))</x:f>
      </x:c>
      <x:c r="N191" s="192">
        <x:f>IF(ISERROR(INDEX('Meter Type Data'!$B$2:$D$1165,SUMPRODUCT(--('Meter Type Data'!$B$2:$B$1165&lt;=Analysis!L191)*('Meter Type Data'!$C$2:$C$1165&gt;=Analysis!L191),ROW('Meter Type Data'!$B$2:$B$1165))-1,3))," ",INDEX('Meter Type Data'!$B$2:$D$1165,SUMPRODUCT(--('Meter Type Data'!$B$2:$B$1165&lt;=Analysis!L191)*('Meter Type Data'!$C$2:$C$1165&gt;=Analysis!L191),ROW('Meter Type Data'!$B$2:$B$1165))-1,3))</x:f>
      </x:c>
      <x:c r="O191" s="69"/>
      <x:c r="P191" s="47"/>
      <x:c r="Q191" s="60"/>
      <x:c r="R191" s="58">
        <x:f>(($O191*P191)/100)+(Q191*12)</x:f>
      </x:c>
      <x:c r="S191" s="59"/>
      <x:c r="T191" s="59"/>
      <x:c r="U191" s="58">
        <x:f>(($O191*S191)/100)+(T191*12)</x:f>
      </x:c>
      <x:c r="V191" s="47"/>
      <x:c r="W191" s="60"/>
      <x:c r="X191" s="58">
        <x:f>(($O191*V191)/100)+(W191*12)</x:f>
      </x:c>
      <x:c r="Y191" s="47"/>
      <x:c r="Z191" s="60"/>
      <x:c r="AA191" s="58">
        <x:f>(($O191*Y191)/100)+(Z191*12)</x:f>
      </x:c>
      <x:c r="AB191" s="47"/>
      <x:c r="AC191" s="60"/>
      <x:c r="AD191" s="58">
        <x:f>(($O191*AB191)/100)+(AC191*12)</x:f>
      </x:c>
      <x:c r="AE191" s="47"/>
      <x:c r="AF191" s="60"/>
      <x:c r="AG191" s="58">
        <x:f>(($O191*AE191)/100)+(AF191*12)</x:f>
      </x:c>
      <x:c r="AH191" s="47"/>
      <x:c r="AI191" s="60"/>
      <x:c r="AJ191" s="58">
        <x:f>(($O191*AH191)/100)+(AI191*12)</x:f>
      </x:c>
      <x:c r="AK191" s="47"/>
      <x:c r="AL191" s="60"/>
      <x:c r="AM191" s="58">
        <x:f>(($O191*AK191)/100)+(AL191*12)</x:f>
      </x:c>
      <x:c r="AN191" s="47"/>
      <x:c r="AO191" s="60"/>
      <x:c r="AP191" s="58">
        <x:f>(($O191*AN191)/100)+(AO191*12)</x:f>
      </x:c>
      <x:c r="AQ191" s="47"/>
      <x:c r="AR191" s="60"/>
      <x:c r="AS191" s="58">
        <x:f>(($O191*AQ191)/100)+(AR191*12)</x:f>
      </x:c>
      <x:c r="AT191" s="47"/>
      <x:c r="AU191" s="60"/>
      <x:c r="AV191" s="58">
        <x:f>(($O191*AT191)/100)+(AU191*12)</x:f>
      </x:c>
      <x:c r="AW191" s="47"/>
      <x:c r="AX191" s="60"/>
      <x:c r="AY191" s="58">
        <x:f>(($O191*AW191)/100)+(AX191*12)</x:f>
      </x:c>
      <x:c r="AZ191" s="47"/>
      <x:c r="BA191" s="60"/>
      <x:c r="BB191" s="58">
        <x:f>(($O191*AZ191)/100)+(BA191*12)</x:f>
      </x:c>
      <x:c r="BC191" s="47"/>
      <x:c r="BD191" s="60"/>
      <x:c r="BE191" s="58">
        <x:f>(($O191*BC191)/100)+(BD191*12)</x:f>
      </x:c>
      <x:c r="BF191" s="47"/>
      <x:c r="BG191" s="60"/>
      <x:c r="BH191" s="58">
        <x:f>(($O191*BF191)/100)+(BG191*12)</x:f>
      </x:c>
      <x:c r="BI191" s="47"/>
      <x:c r="BJ191" s="60"/>
      <x:c r="BK191" s="58">
        <x:f>(($O191*BI191)/100)+(BJ191*12)</x:f>
      </x:c>
      <x:c r="BL191" s="47"/>
      <x:c r="BM191" s="60"/>
      <x:c r="BN191" s="58">
        <x:f>(($O191*BL191)/100)+(BM191*12)</x:f>
      </x:c>
      <x:c r="BO191" s="47"/>
      <x:c r="BP191" s="60"/>
      <x:c r="BQ191" s="58">
        <x:f>(($O191*BO191)/100)+(BP191*12)</x:f>
      </x:c>
      <x:c r="BR191" s="47"/>
      <x:c r="BS191" s="60"/>
      <x:c r="BT191" s="58">
        <x:f>(($O191*BR191)/100)+(BS191*12)</x:f>
      </x:c>
      <x:c r="BU191" s="47"/>
      <x:c r="BV191" s="60"/>
      <x:c r="BW191" s="58">
        <x:f>(($O191*BU191)/100)+(BV191*12)</x:f>
      </x:c>
      <x:c r="BX191" s="47"/>
      <x:c r="BY191" s="60"/>
      <x:c r="BZ191" s="58">
        <x:f>(($O191*BX191)/100)+(BY191*12)</x:f>
      </x:c>
      <x:c r="CA191" s="47"/>
      <x:c r="CB191" s="60"/>
      <x:c r="CC191" s="58">
        <x:f>(($O191*CA191)/100)+(CB191*12)</x:f>
      </x:c>
      <x:c r="CD191" s="47"/>
      <x:c r="CE191" s="60"/>
      <x:c r="CF191" s="58">
        <x:f>(($O191*CD191)/100)+(CE191*12)</x:f>
      </x:c>
      <x:c r="CG191" s="47"/>
      <x:c r="CH191" s="60"/>
      <x:c r="CI191" s="58">
        <x:f>(($O191*CG191)/100)+(CH191*12)</x:f>
      </x:c>
      <x:c r="CJ191" s="47"/>
      <x:c r="CK191" s="60"/>
      <x:c r="CL191" s="58">
        <x:f>(($O191*CJ191)/100)+(CK191*12)</x:f>
      </x:c>
      <x:c r="CM191" s="47"/>
      <x:c r="CN191" s="60"/>
      <x:c r="CO191" s="58">
        <x:f>(($O191*CM191)/100)+(CN191*12)</x:f>
      </x:c>
      <x:c r="CP191" s="47"/>
      <x:c r="CQ191" s="60"/>
      <x:c r="CR191" s="58">
        <x:f>(($O191*CP191)/100)+(CQ191*12)</x:f>
      </x:c>
      <x:c r="CS191" s="47"/>
      <x:c r="CT191" s="60"/>
      <x:c r="CU191" s="58">
        <x:f>(($O191*CS191)/100)+(CT191*12)</x:f>
      </x:c>
      <x:c r="CV191" s="47"/>
      <x:c r="CW191" s="60"/>
      <x:c r="CX191" s="58"/>
      <x:c r="CY191" s="47"/>
      <x:c r="CZ191" s="60"/>
      <x:c r="DA191" s="58"/>
      <x:c r="DB191" s="47"/>
      <x:c r="DC191" s="60"/>
      <x:c r="DD191" s="58"/>
      <x:c r="DE191" s="47"/>
      <x:c r="DF191" s="60"/>
      <x:c r="DG191" s="58"/>
      <x:c r="DH191" s="47"/>
      <x:c r="DI191" s="60"/>
      <x:c r="DJ191" s="58"/>
      <x:c r="DK191" s="47"/>
      <x:c r="DL191" s="60"/>
      <x:c r="DM191" s="58"/>
      <x:c r="DN191" s="11"/>
      <x:c r="DO191" s="61"/>
      <x:c r="DP191" s="62"/>
      <x:c r="DQ191" s="11"/>
      <x:c r="DR191" s="61"/>
      <x:c r="DS191" s="62"/>
      <x:c r="DT191" s="11"/>
      <x:c r="DU191" s="61"/>
      <x:c r="DV191" s="62"/>
    </x:row>
    <x:row r="192" spans="1:126" x14ac:dyDescent="0.3">
      <x:c r="A192" s="47"/>
      <x:c r="B192" s="70"/>
      <x:c r="C192" s="70"/>
      <x:c r="D192" s="70"/>
      <x:c r="E192" s="70"/>
      <x:c r="F192" s="70"/>
      <x:c r="G192" s="70"/>
      <x:c r="H192" s="70"/>
      <x:c r="I192" s="70"/>
      <x:c r="J192" s="70"/>
      <x:c r="K192" s="190"/>
      <x:c r="L192" s="191"/>
      <x:c r="M192" s="192">
        <x:f>IF(ISERROR(INDEX('Meter Type Data'!$B$2:$E$1165,SUMPRODUCT(--('Meter Type Data'!$B$2:$B$1165&lt;=Analysis!L192)*('Meter Type Data'!$C$2:$C$1165&gt;=Analysis!L192),ROW('Meter Type Data'!$B$2:$B$1165))-1,4))," ",INDEX('Meter Type Data'!$B$2:$E$1165,SUMPRODUCT(--('Meter Type Data'!$B$2:$B$1165&lt;=Analysis!L192)*('Meter Type Data'!$C$2:$C$1165&gt;=Analysis!L192),ROW('Meter Type Data'!$B$2:$B$1165))-1,4))</x:f>
      </x:c>
      <x:c r="N192" s="192">
        <x:f>IF(ISERROR(INDEX('Meter Type Data'!$B$2:$D$1165,SUMPRODUCT(--('Meter Type Data'!$B$2:$B$1165&lt;=Analysis!L192)*('Meter Type Data'!$C$2:$C$1165&gt;=Analysis!L192),ROW('Meter Type Data'!$B$2:$B$1165))-1,3))," ",INDEX('Meter Type Data'!$B$2:$D$1165,SUMPRODUCT(--('Meter Type Data'!$B$2:$B$1165&lt;=Analysis!L192)*('Meter Type Data'!$C$2:$C$1165&gt;=Analysis!L192),ROW('Meter Type Data'!$B$2:$B$1165))-1,3))</x:f>
      </x:c>
      <x:c r="O192" s="69"/>
      <x:c r="P192" s="47"/>
      <x:c r="Q192" s="60"/>
      <x:c r="R192" s="58">
        <x:f>(($O192*P192)/100)+(Q192*12)</x:f>
      </x:c>
      <x:c r="S192" s="59"/>
      <x:c r="T192" s="59"/>
      <x:c r="U192" s="58">
        <x:f>(($O192*S192)/100)+(T192*12)</x:f>
      </x:c>
      <x:c r="V192" s="47"/>
      <x:c r="W192" s="60"/>
      <x:c r="X192" s="58">
        <x:f>(($O192*V192)/100)+(W192*12)</x:f>
      </x:c>
      <x:c r="Y192" s="47"/>
      <x:c r="Z192" s="60"/>
      <x:c r="AA192" s="58">
        <x:f>(($O192*Y192)/100)+(Z192*12)</x:f>
      </x:c>
      <x:c r="AB192" s="47"/>
      <x:c r="AC192" s="60"/>
      <x:c r="AD192" s="58">
        <x:f>(($O192*AB192)/100)+(AC192*12)</x:f>
      </x:c>
      <x:c r="AE192" s="47"/>
      <x:c r="AF192" s="60"/>
      <x:c r="AG192" s="58">
        <x:f>(($O192*AE192)/100)+(AF192*12)</x:f>
      </x:c>
      <x:c r="AH192" s="47"/>
      <x:c r="AI192" s="60"/>
      <x:c r="AJ192" s="58">
        <x:f>(($O192*AH192)/100)+(AI192*12)</x:f>
      </x:c>
      <x:c r="AK192" s="47"/>
      <x:c r="AL192" s="60"/>
      <x:c r="AM192" s="58">
        <x:f>(($O192*AK192)/100)+(AL192*12)</x:f>
      </x:c>
      <x:c r="AN192" s="47"/>
      <x:c r="AO192" s="60"/>
      <x:c r="AP192" s="58">
        <x:f>(($O192*AN192)/100)+(AO192*12)</x:f>
      </x:c>
      <x:c r="AQ192" s="47"/>
      <x:c r="AR192" s="60"/>
      <x:c r="AS192" s="58">
        <x:f>(($O192*AQ192)/100)+(AR192*12)</x:f>
      </x:c>
      <x:c r="AT192" s="47"/>
      <x:c r="AU192" s="60"/>
      <x:c r="AV192" s="58">
        <x:f>(($O192*AT192)/100)+(AU192*12)</x:f>
      </x:c>
      <x:c r="AW192" s="47"/>
      <x:c r="AX192" s="60"/>
      <x:c r="AY192" s="58">
        <x:f>(($O192*AW192)/100)+(AX192*12)</x:f>
      </x:c>
      <x:c r="AZ192" s="47"/>
      <x:c r="BA192" s="60"/>
      <x:c r="BB192" s="58">
        <x:f>(($O192*AZ192)/100)+(BA192*12)</x:f>
      </x:c>
      <x:c r="BC192" s="47"/>
      <x:c r="BD192" s="60"/>
      <x:c r="BE192" s="58">
        <x:f>(($O192*BC192)/100)+(BD192*12)</x:f>
      </x:c>
      <x:c r="BF192" s="47"/>
      <x:c r="BG192" s="60"/>
      <x:c r="BH192" s="58">
        <x:f>(($O192*BF192)/100)+(BG192*12)</x:f>
      </x:c>
      <x:c r="BI192" s="47"/>
      <x:c r="BJ192" s="60"/>
      <x:c r="BK192" s="58">
        <x:f>(($O192*BI192)/100)+(BJ192*12)</x:f>
      </x:c>
      <x:c r="BL192" s="47"/>
      <x:c r="BM192" s="60"/>
      <x:c r="BN192" s="58">
        <x:f>(($O192*BL192)/100)+(BM192*12)</x:f>
      </x:c>
      <x:c r="BO192" s="47"/>
      <x:c r="BP192" s="60"/>
      <x:c r="BQ192" s="58">
        <x:f>(($O192*BO192)/100)+(BP192*12)</x:f>
      </x:c>
      <x:c r="BR192" s="47"/>
      <x:c r="BS192" s="60"/>
      <x:c r="BT192" s="58">
        <x:f>(($O192*BR192)/100)+(BS192*12)</x:f>
      </x:c>
      <x:c r="BU192" s="47"/>
      <x:c r="BV192" s="60"/>
      <x:c r="BW192" s="58">
        <x:f>(($O192*BU192)/100)+(BV192*12)</x:f>
      </x:c>
      <x:c r="BX192" s="47"/>
      <x:c r="BY192" s="60"/>
      <x:c r="BZ192" s="58">
        <x:f>(($O192*BX192)/100)+(BY192*12)</x:f>
      </x:c>
      <x:c r="CA192" s="47"/>
      <x:c r="CB192" s="60"/>
      <x:c r="CC192" s="58">
        <x:f>(($O192*CA192)/100)+(CB192*12)</x:f>
      </x:c>
      <x:c r="CD192" s="47"/>
      <x:c r="CE192" s="60"/>
      <x:c r="CF192" s="58">
        <x:f>(($O192*CD192)/100)+(CE192*12)</x:f>
      </x:c>
      <x:c r="CG192" s="47"/>
      <x:c r="CH192" s="60"/>
      <x:c r="CI192" s="58">
        <x:f>(($O192*CG192)/100)+(CH192*12)</x:f>
      </x:c>
      <x:c r="CJ192" s="47"/>
      <x:c r="CK192" s="60"/>
      <x:c r="CL192" s="58">
        <x:f>(($O192*CJ192)/100)+(CK192*12)</x:f>
      </x:c>
      <x:c r="CM192" s="47"/>
      <x:c r="CN192" s="60"/>
      <x:c r="CO192" s="58">
        <x:f>(($O192*CM192)/100)+(CN192*12)</x:f>
      </x:c>
      <x:c r="CP192" s="47"/>
      <x:c r="CQ192" s="60"/>
      <x:c r="CR192" s="58">
        <x:f>(($O192*CP192)/100)+(CQ192*12)</x:f>
      </x:c>
      <x:c r="CS192" s="47"/>
      <x:c r="CT192" s="60"/>
      <x:c r="CU192" s="58">
        <x:f>(($O192*CS192)/100)+(CT192*12)</x:f>
      </x:c>
      <x:c r="CV192" s="47"/>
      <x:c r="CW192" s="60"/>
      <x:c r="CX192" s="58"/>
      <x:c r="CY192" s="47"/>
      <x:c r="CZ192" s="60"/>
      <x:c r="DA192" s="58"/>
      <x:c r="DB192" s="47"/>
      <x:c r="DC192" s="60"/>
      <x:c r="DD192" s="58"/>
      <x:c r="DE192" s="47"/>
      <x:c r="DF192" s="60"/>
      <x:c r="DG192" s="58"/>
      <x:c r="DH192" s="47"/>
      <x:c r="DI192" s="60"/>
      <x:c r="DJ192" s="58"/>
      <x:c r="DK192" s="47"/>
      <x:c r="DL192" s="60"/>
      <x:c r="DM192" s="58"/>
      <x:c r="DN192" s="11"/>
      <x:c r="DO192" s="61"/>
      <x:c r="DP192" s="62"/>
      <x:c r="DQ192" s="11"/>
      <x:c r="DR192" s="61"/>
      <x:c r="DS192" s="62"/>
      <x:c r="DT192" s="11"/>
      <x:c r="DU192" s="61"/>
      <x:c r="DV192" s="62"/>
    </x:row>
    <x:row r="193" spans="1:126" x14ac:dyDescent="0.3">
      <x:c r="A193" s="47"/>
      <x:c r="B193" s="70"/>
      <x:c r="C193" s="70"/>
      <x:c r="D193" s="70"/>
      <x:c r="E193" s="70"/>
      <x:c r="F193" s="70"/>
      <x:c r="G193" s="70"/>
      <x:c r="H193" s="70"/>
      <x:c r="I193" s="70"/>
      <x:c r="J193" s="70"/>
      <x:c r="K193" s="190"/>
      <x:c r="L193" s="191"/>
      <x:c r="M193" s="192">
        <x:f>IF(ISERROR(INDEX('Meter Type Data'!$B$2:$E$1165,SUMPRODUCT(--('Meter Type Data'!$B$2:$B$1165&lt;=Analysis!L193)*('Meter Type Data'!$C$2:$C$1165&gt;=Analysis!L193),ROW('Meter Type Data'!$B$2:$B$1165))-1,4))," ",INDEX('Meter Type Data'!$B$2:$E$1165,SUMPRODUCT(--('Meter Type Data'!$B$2:$B$1165&lt;=Analysis!L193)*('Meter Type Data'!$C$2:$C$1165&gt;=Analysis!L193),ROW('Meter Type Data'!$B$2:$B$1165))-1,4))</x:f>
      </x:c>
      <x:c r="N193" s="192">
        <x:f>IF(ISERROR(INDEX('Meter Type Data'!$B$2:$D$1165,SUMPRODUCT(--('Meter Type Data'!$B$2:$B$1165&lt;=Analysis!L193)*('Meter Type Data'!$C$2:$C$1165&gt;=Analysis!L193),ROW('Meter Type Data'!$B$2:$B$1165))-1,3))," ",INDEX('Meter Type Data'!$B$2:$D$1165,SUMPRODUCT(--('Meter Type Data'!$B$2:$B$1165&lt;=Analysis!L193)*('Meter Type Data'!$C$2:$C$1165&gt;=Analysis!L193),ROW('Meter Type Data'!$B$2:$B$1165))-1,3))</x:f>
      </x:c>
      <x:c r="O193" s="69"/>
      <x:c r="P193" s="47"/>
      <x:c r="Q193" s="60"/>
      <x:c r="R193" s="58">
        <x:f>(($O193*P193)/100)+(Q193*12)</x:f>
      </x:c>
      <x:c r="S193" s="59"/>
      <x:c r="T193" s="59"/>
      <x:c r="U193" s="58">
        <x:f>(($O193*S193)/100)+(T193*12)</x:f>
      </x:c>
      <x:c r="V193" s="47"/>
      <x:c r="W193" s="60"/>
      <x:c r="X193" s="58">
        <x:f>(($O193*V193)/100)+(W193*12)</x:f>
      </x:c>
      <x:c r="Y193" s="47"/>
      <x:c r="Z193" s="60"/>
      <x:c r="AA193" s="58">
        <x:f>(($O193*Y193)/100)+(Z193*12)</x:f>
      </x:c>
      <x:c r="AB193" s="47"/>
      <x:c r="AC193" s="60"/>
      <x:c r="AD193" s="58">
        <x:f>(($O193*AB193)/100)+(AC193*12)</x:f>
      </x:c>
      <x:c r="AE193" s="47"/>
      <x:c r="AF193" s="60"/>
      <x:c r="AG193" s="58">
        <x:f>(($O193*AE193)/100)+(AF193*12)</x:f>
      </x:c>
      <x:c r="AH193" s="47"/>
      <x:c r="AI193" s="60"/>
      <x:c r="AJ193" s="58">
        <x:f>(($O193*AH193)/100)+(AI193*12)</x:f>
      </x:c>
      <x:c r="AK193" s="47"/>
      <x:c r="AL193" s="60"/>
      <x:c r="AM193" s="58">
        <x:f>(($O193*AK193)/100)+(AL193*12)</x:f>
      </x:c>
      <x:c r="AN193" s="47"/>
      <x:c r="AO193" s="60"/>
      <x:c r="AP193" s="58">
        <x:f>(($O193*AN193)/100)+(AO193*12)</x:f>
      </x:c>
      <x:c r="AQ193" s="47"/>
      <x:c r="AR193" s="60"/>
      <x:c r="AS193" s="58">
        <x:f>(($O193*AQ193)/100)+(AR193*12)</x:f>
      </x:c>
      <x:c r="AT193" s="47"/>
      <x:c r="AU193" s="60"/>
      <x:c r="AV193" s="58">
        <x:f>(($O193*AT193)/100)+(AU193*12)</x:f>
      </x:c>
      <x:c r="AW193" s="47"/>
      <x:c r="AX193" s="60"/>
      <x:c r="AY193" s="58">
        <x:f>(($O193*AW193)/100)+(AX193*12)</x:f>
      </x:c>
      <x:c r="AZ193" s="47"/>
      <x:c r="BA193" s="60"/>
      <x:c r="BB193" s="58">
        <x:f>(($O193*AZ193)/100)+(BA193*12)</x:f>
      </x:c>
      <x:c r="BC193" s="47"/>
      <x:c r="BD193" s="60"/>
      <x:c r="BE193" s="58">
        <x:f>(($O193*BC193)/100)+(BD193*12)</x:f>
      </x:c>
      <x:c r="BF193" s="47"/>
      <x:c r="BG193" s="60"/>
      <x:c r="BH193" s="58">
        <x:f>(($O193*BF193)/100)+(BG193*12)</x:f>
      </x:c>
      <x:c r="BI193" s="47"/>
      <x:c r="BJ193" s="60"/>
      <x:c r="BK193" s="58">
        <x:f>(($O193*BI193)/100)+(BJ193*12)</x:f>
      </x:c>
      <x:c r="BL193" s="47"/>
      <x:c r="BM193" s="60"/>
      <x:c r="BN193" s="58">
        <x:f>(($O193*BL193)/100)+(BM193*12)</x:f>
      </x:c>
      <x:c r="BO193" s="47"/>
      <x:c r="BP193" s="60"/>
      <x:c r="BQ193" s="58">
        <x:f>(($O193*BO193)/100)+(BP193*12)</x:f>
      </x:c>
      <x:c r="BR193" s="47"/>
      <x:c r="BS193" s="60"/>
      <x:c r="BT193" s="58">
        <x:f>(($O193*BR193)/100)+(BS193*12)</x:f>
      </x:c>
      <x:c r="BU193" s="47"/>
      <x:c r="BV193" s="60"/>
      <x:c r="BW193" s="58">
        <x:f>(($O193*BU193)/100)+(BV193*12)</x:f>
      </x:c>
      <x:c r="BX193" s="47"/>
      <x:c r="BY193" s="60"/>
      <x:c r="BZ193" s="58">
        <x:f>(($O193*BX193)/100)+(BY193*12)</x:f>
      </x:c>
      <x:c r="CA193" s="47"/>
      <x:c r="CB193" s="60"/>
      <x:c r="CC193" s="58">
        <x:f>(($O193*CA193)/100)+(CB193*12)</x:f>
      </x:c>
      <x:c r="CD193" s="47"/>
      <x:c r="CE193" s="60"/>
      <x:c r="CF193" s="58">
        <x:f>(($O193*CD193)/100)+(CE193*12)</x:f>
      </x:c>
      <x:c r="CG193" s="47"/>
      <x:c r="CH193" s="60"/>
      <x:c r="CI193" s="58">
        <x:f>(($O193*CG193)/100)+(CH193*12)</x:f>
      </x:c>
      <x:c r="CJ193" s="47"/>
      <x:c r="CK193" s="60"/>
      <x:c r="CL193" s="58">
        <x:f>(($O193*CJ193)/100)+(CK193*12)</x:f>
      </x:c>
      <x:c r="CM193" s="47"/>
      <x:c r="CN193" s="60"/>
      <x:c r="CO193" s="58">
        <x:f>(($O193*CM193)/100)+(CN193*12)</x:f>
      </x:c>
      <x:c r="CP193" s="47"/>
      <x:c r="CQ193" s="60"/>
      <x:c r="CR193" s="58">
        <x:f>(($O193*CP193)/100)+(CQ193*12)</x:f>
      </x:c>
      <x:c r="CS193" s="47"/>
      <x:c r="CT193" s="60"/>
      <x:c r="CU193" s="58">
        <x:f>(($O193*CS193)/100)+(CT193*12)</x:f>
      </x:c>
      <x:c r="CV193" s="47"/>
      <x:c r="CW193" s="60"/>
      <x:c r="CX193" s="58"/>
      <x:c r="CY193" s="47"/>
      <x:c r="CZ193" s="60"/>
      <x:c r="DA193" s="58"/>
      <x:c r="DB193" s="47"/>
      <x:c r="DC193" s="60"/>
      <x:c r="DD193" s="58"/>
      <x:c r="DE193" s="47"/>
      <x:c r="DF193" s="60"/>
      <x:c r="DG193" s="58"/>
      <x:c r="DH193" s="47"/>
      <x:c r="DI193" s="60"/>
      <x:c r="DJ193" s="58"/>
      <x:c r="DK193" s="47"/>
      <x:c r="DL193" s="60"/>
      <x:c r="DM193" s="58"/>
      <x:c r="DN193" s="11"/>
      <x:c r="DO193" s="61"/>
      <x:c r="DP193" s="62"/>
      <x:c r="DQ193" s="11"/>
      <x:c r="DR193" s="61"/>
      <x:c r="DS193" s="62"/>
      <x:c r="DT193" s="11"/>
      <x:c r="DU193" s="61"/>
      <x:c r="DV193" s="62"/>
    </x:row>
    <x:row r="194" spans="1:126" x14ac:dyDescent="0.3">
      <x:c r="A194" s="47"/>
      <x:c r="B194" s="70"/>
      <x:c r="C194" s="70"/>
      <x:c r="D194" s="70"/>
      <x:c r="E194" s="70"/>
      <x:c r="F194" s="70"/>
      <x:c r="G194" s="70"/>
      <x:c r="H194" s="70"/>
      <x:c r="I194" s="70"/>
      <x:c r="J194" s="70"/>
      <x:c r="K194" s="190"/>
      <x:c r="L194" s="191"/>
      <x:c r="M194" s="192">
        <x:f>IF(ISERROR(INDEX('Meter Type Data'!$B$2:$E$1165,SUMPRODUCT(--('Meter Type Data'!$B$2:$B$1165&lt;=Analysis!L194)*('Meter Type Data'!$C$2:$C$1165&gt;=Analysis!L194),ROW('Meter Type Data'!$B$2:$B$1165))-1,4))," ",INDEX('Meter Type Data'!$B$2:$E$1165,SUMPRODUCT(--('Meter Type Data'!$B$2:$B$1165&lt;=Analysis!L194)*('Meter Type Data'!$C$2:$C$1165&gt;=Analysis!L194),ROW('Meter Type Data'!$B$2:$B$1165))-1,4))</x:f>
      </x:c>
      <x:c r="N194" s="192">
        <x:f>IF(ISERROR(INDEX('Meter Type Data'!$B$2:$D$1165,SUMPRODUCT(--('Meter Type Data'!$B$2:$B$1165&lt;=Analysis!L194)*('Meter Type Data'!$C$2:$C$1165&gt;=Analysis!L194),ROW('Meter Type Data'!$B$2:$B$1165))-1,3))," ",INDEX('Meter Type Data'!$B$2:$D$1165,SUMPRODUCT(--('Meter Type Data'!$B$2:$B$1165&lt;=Analysis!L194)*('Meter Type Data'!$C$2:$C$1165&gt;=Analysis!L194),ROW('Meter Type Data'!$B$2:$B$1165))-1,3))</x:f>
      </x:c>
      <x:c r="O194" s="69"/>
      <x:c r="P194" s="47"/>
      <x:c r="Q194" s="60"/>
      <x:c r="R194" s="58">
        <x:f>(($O194*P194)/100)+(Q194*12)</x:f>
      </x:c>
      <x:c r="S194" s="59"/>
      <x:c r="T194" s="59"/>
      <x:c r="U194" s="58">
        <x:f>(($O194*S194)/100)+(T194*12)</x:f>
      </x:c>
      <x:c r="V194" s="47"/>
      <x:c r="W194" s="60"/>
      <x:c r="X194" s="58">
        <x:f>(($O194*V194)/100)+(W194*12)</x:f>
      </x:c>
      <x:c r="Y194" s="47"/>
      <x:c r="Z194" s="60"/>
      <x:c r="AA194" s="58">
        <x:f>(($O194*Y194)/100)+(Z194*12)</x:f>
      </x:c>
      <x:c r="AB194" s="47"/>
      <x:c r="AC194" s="60"/>
      <x:c r="AD194" s="58">
        <x:f>(($O194*AB194)/100)+(AC194*12)</x:f>
      </x:c>
      <x:c r="AE194" s="47"/>
      <x:c r="AF194" s="60"/>
      <x:c r="AG194" s="58">
        <x:f>(($O194*AE194)/100)+(AF194*12)</x:f>
      </x:c>
      <x:c r="AH194" s="47"/>
      <x:c r="AI194" s="60"/>
      <x:c r="AJ194" s="58">
        <x:f>(($O194*AH194)/100)+(AI194*12)</x:f>
      </x:c>
      <x:c r="AK194" s="47"/>
      <x:c r="AL194" s="60"/>
      <x:c r="AM194" s="58">
        <x:f>(($O194*AK194)/100)+(AL194*12)</x:f>
      </x:c>
      <x:c r="AN194" s="47"/>
      <x:c r="AO194" s="60"/>
      <x:c r="AP194" s="58">
        <x:f>(($O194*AN194)/100)+(AO194*12)</x:f>
      </x:c>
      <x:c r="AQ194" s="47"/>
      <x:c r="AR194" s="60"/>
      <x:c r="AS194" s="58">
        <x:f>(($O194*AQ194)/100)+(AR194*12)</x:f>
      </x:c>
      <x:c r="AT194" s="47"/>
      <x:c r="AU194" s="60"/>
      <x:c r="AV194" s="58">
        <x:f>(($O194*AT194)/100)+(AU194*12)</x:f>
      </x:c>
      <x:c r="AW194" s="47"/>
      <x:c r="AX194" s="60"/>
      <x:c r="AY194" s="58">
        <x:f>(($O194*AW194)/100)+(AX194*12)</x:f>
      </x:c>
      <x:c r="AZ194" s="47"/>
      <x:c r="BA194" s="60"/>
      <x:c r="BB194" s="58">
        <x:f>(($O194*AZ194)/100)+(BA194*12)</x:f>
      </x:c>
      <x:c r="BC194" s="47"/>
      <x:c r="BD194" s="60"/>
      <x:c r="BE194" s="58">
        <x:f>(($O194*BC194)/100)+(BD194*12)</x:f>
      </x:c>
      <x:c r="BF194" s="47"/>
      <x:c r="BG194" s="60"/>
      <x:c r="BH194" s="58">
        <x:f>(($O194*BF194)/100)+(BG194*12)</x:f>
      </x:c>
      <x:c r="BI194" s="47"/>
      <x:c r="BJ194" s="60"/>
      <x:c r="BK194" s="58">
        <x:f>(($O194*BI194)/100)+(BJ194*12)</x:f>
      </x:c>
      <x:c r="BL194" s="47"/>
      <x:c r="BM194" s="60"/>
      <x:c r="BN194" s="58">
        <x:f>(($O194*BL194)/100)+(BM194*12)</x:f>
      </x:c>
      <x:c r="BO194" s="47"/>
      <x:c r="BP194" s="60"/>
      <x:c r="BQ194" s="58">
        <x:f>(($O194*BO194)/100)+(BP194*12)</x:f>
      </x:c>
      <x:c r="BR194" s="47"/>
      <x:c r="BS194" s="60"/>
      <x:c r="BT194" s="58">
        <x:f>(($O194*BR194)/100)+(BS194*12)</x:f>
      </x:c>
      <x:c r="BU194" s="47"/>
      <x:c r="BV194" s="60"/>
      <x:c r="BW194" s="58">
        <x:f>(($O194*BU194)/100)+(BV194*12)</x:f>
      </x:c>
      <x:c r="BX194" s="47"/>
      <x:c r="BY194" s="60"/>
      <x:c r="BZ194" s="58">
        <x:f>(($O194*BX194)/100)+(BY194*12)</x:f>
      </x:c>
      <x:c r="CA194" s="47"/>
      <x:c r="CB194" s="60"/>
      <x:c r="CC194" s="58">
        <x:f>(($O194*CA194)/100)+(CB194*12)</x:f>
      </x:c>
      <x:c r="CD194" s="47"/>
      <x:c r="CE194" s="60"/>
      <x:c r="CF194" s="58">
        <x:f>(($O194*CD194)/100)+(CE194*12)</x:f>
      </x:c>
      <x:c r="CG194" s="47"/>
      <x:c r="CH194" s="60"/>
      <x:c r="CI194" s="58">
        <x:f>(($O194*CG194)/100)+(CH194*12)</x:f>
      </x:c>
      <x:c r="CJ194" s="47"/>
      <x:c r="CK194" s="60"/>
      <x:c r="CL194" s="58">
        <x:f>(($O194*CJ194)/100)+(CK194*12)</x:f>
      </x:c>
      <x:c r="CM194" s="47"/>
      <x:c r="CN194" s="60"/>
      <x:c r="CO194" s="58">
        <x:f>(($O194*CM194)/100)+(CN194*12)</x:f>
      </x:c>
      <x:c r="CP194" s="47"/>
      <x:c r="CQ194" s="60"/>
      <x:c r="CR194" s="58">
        <x:f>(($O194*CP194)/100)+(CQ194*12)</x:f>
      </x:c>
      <x:c r="CS194" s="47"/>
      <x:c r="CT194" s="60"/>
      <x:c r="CU194" s="58">
        <x:f>(($O194*CS194)/100)+(CT194*12)</x:f>
      </x:c>
      <x:c r="CV194" s="47"/>
      <x:c r="CW194" s="60"/>
      <x:c r="CX194" s="58"/>
      <x:c r="CY194" s="47"/>
      <x:c r="CZ194" s="60"/>
      <x:c r="DA194" s="58"/>
      <x:c r="DB194" s="47"/>
      <x:c r="DC194" s="60"/>
      <x:c r="DD194" s="58"/>
      <x:c r="DE194" s="47"/>
      <x:c r="DF194" s="60"/>
      <x:c r="DG194" s="58"/>
      <x:c r="DH194" s="47"/>
      <x:c r="DI194" s="60"/>
      <x:c r="DJ194" s="58"/>
      <x:c r="DK194" s="47"/>
      <x:c r="DL194" s="60"/>
      <x:c r="DM194" s="58"/>
      <x:c r="DN194" s="11"/>
      <x:c r="DO194" s="61"/>
      <x:c r="DP194" s="62"/>
      <x:c r="DQ194" s="11"/>
      <x:c r="DR194" s="61"/>
      <x:c r="DS194" s="62"/>
      <x:c r="DT194" s="11"/>
      <x:c r="DU194" s="61"/>
      <x:c r="DV194" s="62"/>
    </x:row>
    <x:row r="195" spans="1:126" x14ac:dyDescent="0.3">
      <x:c r="A195" s="47"/>
      <x:c r="B195" s="70"/>
      <x:c r="C195" s="70"/>
      <x:c r="D195" s="70"/>
      <x:c r="E195" s="70"/>
      <x:c r="F195" s="70"/>
      <x:c r="G195" s="70"/>
      <x:c r="H195" s="70"/>
      <x:c r="I195" s="70"/>
      <x:c r="J195" s="70"/>
      <x:c r="K195" s="190"/>
      <x:c r="L195" s="191"/>
      <x:c r="M195" s="192">
        <x:f>IF(ISERROR(INDEX('Meter Type Data'!$B$2:$E$1165,SUMPRODUCT(--('Meter Type Data'!$B$2:$B$1165&lt;=Analysis!L195)*('Meter Type Data'!$C$2:$C$1165&gt;=Analysis!L195),ROW('Meter Type Data'!$B$2:$B$1165))-1,4))," ",INDEX('Meter Type Data'!$B$2:$E$1165,SUMPRODUCT(--('Meter Type Data'!$B$2:$B$1165&lt;=Analysis!L195)*('Meter Type Data'!$C$2:$C$1165&gt;=Analysis!L195),ROW('Meter Type Data'!$B$2:$B$1165))-1,4))</x:f>
      </x:c>
      <x:c r="N195" s="192">
        <x:f>IF(ISERROR(INDEX('Meter Type Data'!$B$2:$D$1165,SUMPRODUCT(--('Meter Type Data'!$B$2:$B$1165&lt;=Analysis!L195)*('Meter Type Data'!$C$2:$C$1165&gt;=Analysis!L195),ROW('Meter Type Data'!$B$2:$B$1165))-1,3))," ",INDEX('Meter Type Data'!$B$2:$D$1165,SUMPRODUCT(--('Meter Type Data'!$B$2:$B$1165&lt;=Analysis!L195)*('Meter Type Data'!$C$2:$C$1165&gt;=Analysis!L195),ROW('Meter Type Data'!$B$2:$B$1165))-1,3))</x:f>
      </x:c>
      <x:c r="O195" s="69"/>
      <x:c r="P195" s="47"/>
      <x:c r="Q195" s="60"/>
      <x:c r="R195" s="58">
        <x:f>(($O195*P195)/100)+(Q195*12)</x:f>
      </x:c>
      <x:c r="S195" s="59"/>
      <x:c r="T195" s="59"/>
      <x:c r="U195" s="58">
        <x:f>(($O195*S195)/100)+(T195*12)</x:f>
      </x:c>
      <x:c r="V195" s="47"/>
      <x:c r="W195" s="60"/>
      <x:c r="X195" s="58">
        <x:f>(($O195*V195)/100)+(W195*12)</x:f>
      </x:c>
      <x:c r="Y195" s="47"/>
      <x:c r="Z195" s="60"/>
      <x:c r="AA195" s="58">
        <x:f>(($O195*Y195)/100)+(Z195*12)</x:f>
      </x:c>
      <x:c r="AB195" s="47"/>
      <x:c r="AC195" s="60"/>
      <x:c r="AD195" s="58">
        <x:f>(($O195*AB195)/100)+(AC195*12)</x:f>
      </x:c>
      <x:c r="AE195" s="47"/>
      <x:c r="AF195" s="60"/>
      <x:c r="AG195" s="58">
        <x:f>(($O195*AE195)/100)+(AF195*12)</x:f>
      </x:c>
      <x:c r="AH195" s="47"/>
      <x:c r="AI195" s="60"/>
      <x:c r="AJ195" s="58">
        <x:f>(($O195*AH195)/100)+(AI195*12)</x:f>
      </x:c>
      <x:c r="AK195" s="47"/>
      <x:c r="AL195" s="60"/>
      <x:c r="AM195" s="58">
        <x:f>(($O195*AK195)/100)+(AL195*12)</x:f>
      </x:c>
      <x:c r="AN195" s="47"/>
      <x:c r="AO195" s="60"/>
      <x:c r="AP195" s="58">
        <x:f>(($O195*AN195)/100)+(AO195*12)</x:f>
      </x:c>
      <x:c r="AQ195" s="47"/>
      <x:c r="AR195" s="60"/>
      <x:c r="AS195" s="58">
        <x:f>(($O195*AQ195)/100)+(AR195*12)</x:f>
      </x:c>
      <x:c r="AT195" s="47"/>
      <x:c r="AU195" s="60"/>
      <x:c r="AV195" s="58">
        <x:f>(($O195*AT195)/100)+(AU195*12)</x:f>
      </x:c>
      <x:c r="AW195" s="47"/>
      <x:c r="AX195" s="60"/>
      <x:c r="AY195" s="58">
        <x:f>(($O195*AW195)/100)+(AX195*12)</x:f>
      </x:c>
      <x:c r="AZ195" s="47"/>
      <x:c r="BA195" s="60"/>
      <x:c r="BB195" s="58">
        <x:f>(($O195*AZ195)/100)+(BA195*12)</x:f>
      </x:c>
      <x:c r="BC195" s="47"/>
      <x:c r="BD195" s="60"/>
      <x:c r="BE195" s="58">
        <x:f>(($O195*BC195)/100)+(BD195*12)</x:f>
      </x:c>
      <x:c r="BF195" s="47"/>
      <x:c r="BG195" s="60"/>
      <x:c r="BH195" s="58">
        <x:f>(($O195*BF195)/100)+(BG195*12)</x:f>
      </x:c>
      <x:c r="BI195" s="47"/>
      <x:c r="BJ195" s="60"/>
      <x:c r="BK195" s="58">
        <x:f>(($O195*BI195)/100)+(BJ195*12)</x:f>
      </x:c>
      <x:c r="BL195" s="47"/>
      <x:c r="BM195" s="60"/>
      <x:c r="BN195" s="58">
        <x:f>(($O195*BL195)/100)+(BM195*12)</x:f>
      </x:c>
      <x:c r="BO195" s="47"/>
      <x:c r="BP195" s="60"/>
      <x:c r="BQ195" s="58">
        <x:f>(($O195*BO195)/100)+(BP195*12)</x:f>
      </x:c>
      <x:c r="BR195" s="47"/>
      <x:c r="BS195" s="60"/>
      <x:c r="BT195" s="58">
        <x:f>(($O195*BR195)/100)+(BS195*12)</x:f>
      </x:c>
      <x:c r="BU195" s="47"/>
      <x:c r="BV195" s="60"/>
      <x:c r="BW195" s="58">
        <x:f>(($O195*BU195)/100)+(BV195*12)</x:f>
      </x:c>
      <x:c r="BX195" s="47"/>
      <x:c r="BY195" s="60"/>
      <x:c r="BZ195" s="58">
        <x:f>(($O195*BX195)/100)+(BY195*12)</x:f>
      </x:c>
      <x:c r="CA195" s="47"/>
      <x:c r="CB195" s="60"/>
      <x:c r="CC195" s="58">
        <x:f>(($O195*CA195)/100)+(CB195*12)</x:f>
      </x:c>
      <x:c r="CD195" s="47"/>
      <x:c r="CE195" s="60"/>
      <x:c r="CF195" s="58">
        <x:f>(($O195*CD195)/100)+(CE195*12)</x:f>
      </x:c>
      <x:c r="CG195" s="47"/>
      <x:c r="CH195" s="60"/>
      <x:c r="CI195" s="58">
        <x:f>(($O195*CG195)/100)+(CH195*12)</x:f>
      </x:c>
      <x:c r="CJ195" s="47"/>
      <x:c r="CK195" s="60"/>
      <x:c r="CL195" s="58">
        <x:f>(($O195*CJ195)/100)+(CK195*12)</x:f>
      </x:c>
      <x:c r="CM195" s="47"/>
      <x:c r="CN195" s="60"/>
      <x:c r="CO195" s="58">
        <x:f>(($O195*CM195)/100)+(CN195*12)</x:f>
      </x:c>
      <x:c r="CP195" s="47"/>
      <x:c r="CQ195" s="60"/>
      <x:c r="CR195" s="58">
        <x:f>(($O195*CP195)/100)+(CQ195*12)</x:f>
      </x:c>
      <x:c r="CS195" s="47"/>
      <x:c r="CT195" s="60"/>
      <x:c r="CU195" s="58">
        <x:f>(($O195*CS195)/100)+(CT195*12)</x:f>
      </x:c>
      <x:c r="CV195" s="47"/>
      <x:c r="CW195" s="60"/>
      <x:c r="CX195" s="58"/>
      <x:c r="CY195" s="47"/>
      <x:c r="CZ195" s="60"/>
      <x:c r="DA195" s="58"/>
      <x:c r="DB195" s="47"/>
      <x:c r="DC195" s="60"/>
      <x:c r="DD195" s="58"/>
      <x:c r="DE195" s="47"/>
      <x:c r="DF195" s="60"/>
      <x:c r="DG195" s="58"/>
      <x:c r="DH195" s="47"/>
      <x:c r="DI195" s="60"/>
      <x:c r="DJ195" s="58"/>
      <x:c r="DK195" s="47"/>
      <x:c r="DL195" s="60"/>
      <x:c r="DM195" s="58"/>
      <x:c r="DN195" s="11"/>
      <x:c r="DO195" s="61"/>
      <x:c r="DP195" s="62"/>
      <x:c r="DQ195" s="11"/>
      <x:c r="DR195" s="61"/>
      <x:c r="DS195" s="62"/>
      <x:c r="DT195" s="11"/>
      <x:c r="DU195" s="61"/>
      <x:c r="DV195" s="62"/>
    </x:row>
    <x:row r="196" spans="1:126" x14ac:dyDescent="0.3">
      <x:c r="A196" s="47"/>
      <x:c r="B196" s="70"/>
      <x:c r="C196" s="70"/>
      <x:c r="D196" s="70"/>
      <x:c r="E196" s="70"/>
      <x:c r="F196" s="70"/>
      <x:c r="G196" s="70"/>
      <x:c r="H196" s="70"/>
      <x:c r="I196" s="70"/>
      <x:c r="J196" s="70"/>
      <x:c r="K196" s="190"/>
      <x:c r="L196" s="191"/>
      <x:c r="M196" s="192">
        <x:f>IF(ISERROR(INDEX('Meter Type Data'!$B$2:$E$1165,SUMPRODUCT(--('Meter Type Data'!$B$2:$B$1165&lt;=Analysis!L196)*('Meter Type Data'!$C$2:$C$1165&gt;=Analysis!L196),ROW('Meter Type Data'!$B$2:$B$1165))-1,4))," ",INDEX('Meter Type Data'!$B$2:$E$1165,SUMPRODUCT(--('Meter Type Data'!$B$2:$B$1165&lt;=Analysis!L196)*('Meter Type Data'!$C$2:$C$1165&gt;=Analysis!L196),ROW('Meter Type Data'!$B$2:$B$1165))-1,4))</x:f>
      </x:c>
      <x:c r="N196" s="192">
        <x:f>IF(ISERROR(INDEX('Meter Type Data'!$B$2:$D$1165,SUMPRODUCT(--('Meter Type Data'!$B$2:$B$1165&lt;=Analysis!L196)*('Meter Type Data'!$C$2:$C$1165&gt;=Analysis!L196),ROW('Meter Type Data'!$B$2:$B$1165))-1,3))," ",INDEX('Meter Type Data'!$B$2:$D$1165,SUMPRODUCT(--('Meter Type Data'!$B$2:$B$1165&lt;=Analysis!L196)*('Meter Type Data'!$C$2:$C$1165&gt;=Analysis!L196),ROW('Meter Type Data'!$B$2:$B$1165))-1,3))</x:f>
      </x:c>
      <x:c r="O196" s="69"/>
      <x:c r="P196" s="47"/>
      <x:c r="Q196" s="60"/>
      <x:c r="R196" s="58">
        <x:f>(($O196*P196)/100)+(Q196*12)</x:f>
      </x:c>
      <x:c r="S196" s="59"/>
      <x:c r="T196" s="59"/>
      <x:c r="U196" s="58">
        <x:f>(($O196*S196)/100)+(T196*12)</x:f>
      </x:c>
      <x:c r="V196" s="47"/>
      <x:c r="W196" s="60"/>
      <x:c r="X196" s="58">
        <x:f>(($O196*V196)/100)+(W196*12)</x:f>
      </x:c>
      <x:c r="Y196" s="47"/>
      <x:c r="Z196" s="60"/>
      <x:c r="AA196" s="58">
        <x:f>(($O196*Y196)/100)+(Z196*12)</x:f>
      </x:c>
      <x:c r="AB196" s="47"/>
      <x:c r="AC196" s="60"/>
      <x:c r="AD196" s="58">
        <x:f>(($O196*AB196)/100)+(AC196*12)</x:f>
      </x:c>
      <x:c r="AE196" s="47"/>
      <x:c r="AF196" s="60"/>
      <x:c r="AG196" s="58">
        <x:f>(($O196*AE196)/100)+(AF196*12)</x:f>
      </x:c>
      <x:c r="AH196" s="47"/>
      <x:c r="AI196" s="60"/>
      <x:c r="AJ196" s="58">
        <x:f>(($O196*AH196)/100)+(AI196*12)</x:f>
      </x:c>
      <x:c r="AK196" s="47"/>
      <x:c r="AL196" s="60"/>
      <x:c r="AM196" s="58">
        <x:f>(($O196*AK196)/100)+(AL196*12)</x:f>
      </x:c>
      <x:c r="AN196" s="47"/>
      <x:c r="AO196" s="60"/>
      <x:c r="AP196" s="58">
        <x:f>(($O196*AN196)/100)+(AO196*12)</x:f>
      </x:c>
      <x:c r="AQ196" s="47"/>
      <x:c r="AR196" s="60"/>
      <x:c r="AS196" s="58">
        <x:f>(($O196*AQ196)/100)+(AR196*12)</x:f>
      </x:c>
      <x:c r="AT196" s="47"/>
      <x:c r="AU196" s="60"/>
      <x:c r="AV196" s="58">
        <x:f>(($O196*AT196)/100)+(AU196*12)</x:f>
      </x:c>
      <x:c r="AW196" s="47"/>
      <x:c r="AX196" s="60"/>
      <x:c r="AY196" s="58">
        <x:f>(($O196*AW196)/100)+(AX196*12)</x:f>
      </x:c>
      <x:c r="AZ196" s="47"/>
      <x:c r="BA196" s="60"/>
      <x:c r="BB196" s="58">
        <x:f>(($O196*AZ196)/100)+(BA196*12)</x:f>
      </x:c>
      <x:c r="BC196" s="47"/>
      <x:c r="BD196" s="60"/>
      <x:c r="BE196" s="58">
        <x:f>(($O196*BC196)/100)+(BD196*12)</x:f>
      </x:c>
      <x:c r="BF196" s="47"/>
      <x:c r="BG196" s="60"/>
      <x:c r="BH196" s="58">
        <x:f>(($O196*BF196)/100)+(BG196*12)</x:f>
      </x:c>
      <x:c r="BI196" s="47"/>
      <x:c r="BJ196" s="60"/>
      <x:c r="BK196" s="58">
        <x:f>(($O196*BI196)/100)+(BJ196*12)</x:f>
      </x:c>
      <x:c r="BL196" s="47"/>
      <x:c r="BM196" s="60"/>
      <x:c r="BN196" s="58">
        <x:f>(($O196*BL196)/100)+(BM196*12)</x:f>
      </x:c>
      <x:c r="BO196" s="47"/>
      <x:c r="BP196" s="60"/>
      <x:c r="BQ196" s="58">
        <x:f>(($O196*BO196)/100)+(BP196*12)</x:f>
      </x:c>
      <x:c r="BR196" s="47"/>
      <x:c r="BS196" s="60"/>
      <x:c r="BT196" s="58">
        <x:f>(($O196*BR196)/100)+(BS196*12)</x:f>
      </x:c>
      <x:c r="BU196" s="47"/>
      <x:c r="BV196" s="60"/>
      <x:c r="BW196" s="58">
        <x:f>(($O196*BU196)/100)+(BV196*12)</x:f>
      </x:c>
      <x:c r="BX196" s="47"/>
      <x:c r="BY196" s="60"/>
      <x:c r="BZ196" s="58">
        <x:f>(($O196*BX196)/100)+(BY196*12)</x:f>
      </x:c>
      <x:c r="CA196" s="47"/>
      <x:c r="CB196" s="60"/>
      <x:c r="CC196" s="58">
        <x:f>(($O196*CA196)/100)+(CB196*12)</x:f>
      </x:c>
      <x:c r="CD196" s="47"/>
      <x:c r="CE196" s="60"/>
      <x:c r="CF196" s="58">
        <x:f>(($O196*CD196)/100)+(CE196*12)</x:f>
      </x:c>
      <x:c r="CG196" s="47"/>
      <x:c r="CH196" s="60"/>
      <x:c r="CI196" s="58">
        <x:f>(($O196*CG196)/100)+(CH196*12)</x:f>
      </x:c>
      <x:c r="CJ196" s="47"/>
      <x:c r="CK196" s="60"/>
      <x:c r="CL196" s="58">
        <x:f>(($O196*CJ196)/100)+(CK196*12)</x:f>
      </x:c>
      <x:c r="CM196" s="47"/>
      <x:c r="CN196" s="60"/>
      <x:c r="CO196" s="58">
        <x:f>(($O196*CM196)/100)+(CN196*12)</x:f>
      </x:c>
      <x:c r="CP196" s="47"/>
      <x:c r="CQ196" s="60"/>
      <x:c r="CR196" s="58">
        <x:f>(($O196*CP196)/100)+(CQ196*12)</x:f>
      </x:c>
      <x:c r="CS196" s="47"/>
      <x:c r="CT196" s="60"/>
      <x:c r="CU196" s="58">
        <x:f>(($O196*CS196)/100)+(CT196*12)</x:f>
      </x:c>
      <x:c r="CV196" s="47"/>
      <x:c r="CW196" s="60"/>
      <x:c r="CX196" s="58"/>
      <x:c r="CY196" s="47"/>
      <x:c r="CZ196" s="60"/>
      <x:c r="DA196" s="58"/>
      <x:c r="DB196" s="47"/>
      <x:c r="DC196" s="60"/>
      <x:c r="DD196" s="58"/>
      <x:c r="DE196" s="47"/>
      <x:c r="DF196" s="60"/>
      <x:c r="DG196" s="58"/>
      <x:c r="DH196" s="47"/>
      <x:c r="DI196" s="60"/>
      <x:c r="DJ196" s="58"/>
      <x:c r="DK196" s="47"/>
      <x:c r="DL196" s="60"/>
      <x:c r="DM196" s="58"/>
      <x:c r="DN196" s="11"/>
      <x:c r="DO196" s="61"/>
      <x:c r="DP196" s="62"/>
      <x:c r="DQ196" s="11"/>
      <x:c r="DR196" s="61"/>
      <x:c r="DS196" s="62"/>
      <x:c r="DT196" s="11"/>
      <x:c r="DU196" s="61"/>
      <x:c r="DV196" s="62"/>
    </x:row>
    <x:row r="197" spans="1:126" x14ac:dyDescent="0.3">
      <x:c r="A197" s="47"/>
      <x:c r="B197" s="70"/>
      <x:c r="C197" s="70"/>
      <x:c r="D197" s="70"/>
      <x:c r="E197" s="70"/>
      <x:c r="F197" s="70"/>
      <x:c r="G197" s="70"/>
      <x:c r="H197" s="70"/>
      <x:c r="I197" s="70"/>
      <x:c r="J197" s="70"/>
      <x:c r="K197" s="190"/>
      <x:c r="L197" s="191"/>
      <x:c r="M197" s="192">
        <x:f>IF(ISERROR(INDEX('Meter Type Data'!$B$2:$E$1165,SUMPRODUCT(--('Meter Type Data'!$B$2:$B$1165&lt;=Analysis!L197)*('Meter Type Data'!$C$2:$C$1165&gt;=Analysis!L197),ROW('Meter Type Data'!$B$2:$B$1165))-1,4))," ",INDEX('Meter Type Data'!$B$2:$E$1165,SUMPRODUCT(--('Meter Type Data'!$B$2:$B$1165&lt;=Analysis!L197)*('Meter Type Data'!$C$2:$C$1165&gt;=Analysis!L197),ROW('Meter Type Data'!$B$2:$B$1165))-1,4))</x:f>
      </x:c>
      <x:c r="N197" s="192">
        <x:f>IF(ISERROR(INDEX('Meter Type Data'!$B$2:$D$1165,SUMPRODUCT(--('Meter Type Data'!$B$2:$B$1165&lt;=Analysis!L197)*('Meter Type Data'!$C$2:$C$1165&gt;=Analysis!L197),ROW('Meter Type Data'!$B$2:$B$1165))-1,3))," ",INDEX('Meter Type Data'!$B$2:$D$1165,SUMPRODUCT(--('Meter Type Data'!$B$2:$B$1165&lt;=Analysis!L197)*('Meter Type Data'!$C$2:$C$1165&gt;=Analysis!L197),ROW('Meter Type Data'!$B$2:$B$1165))-1,3))</x:f>
      </x:c>
      <x:c r="O197" s="69"/>
      <x:c r="P197" s="47"/>
      <x:c r="Q197" s="60"/>
      <x:c r="R197" s="58">
        <x:f>(($O197*P197)/100)+(Q197*12)</x:f>
      </x:c>
      <x:c r="S197" s="59"/>
      <x:c r="T197" s="59"/>
      <x:c r="U197" s="58">
        <x:f>(($O197*S197)/100)+(T197*12)</x:f>
      </x:c>
      <x:c r="V197" s="47"/>
      <x:c r="W197" s="60"/>
      <x:c r="X197" s="58">
        <x:f>(($O197*V197)/100)+(W197*12)</x:f>
      </x:c>
      <x:c r="Y197" s="47"/>
      <x:c r="Z197" s="60"/>
      <x:c r="AA197" s="58">
        <x:f>(($O197*Y197)/100)+(Z197*12)</x:f>
      </x:c>
      <x:c r="AB197" s="47"/>
      <x:c r="AC197" s="60"/>
      <x:c r="AD197" s="58">
        <x:f>(($O197*AB197)/100)+(AC197*12)</x:f>
      </x:c>
      <x:c r="AE197" s="47"/>
      <x:c r="AF197" s="60"/>
      <x:c r="AG197" s="58">
        <x:f>(($O197*AE197)/100)+(AF197*12)</x:f>
      </x:c>
      <x:c r="AH197" s="47"/>
      <x:c r="AI197" s="60"/>
      <x:c r="AJ197" s="58">
        <x:f>(($O197*AH197)/100)+(AI197*12)</x:f>
      </x:c>
      <x:c r="AK197" s="47"/>
      <x:c r="AL197" s="60"/>
      <x:c r="AM197" s="58">
        <x:f>(($O197*AK197)/100)+(AL197*12)</x:f>
      </x:c>
      <x:c r="AN197" s="47"/>
      <x:c r="AO197" s="60"/>
      <x:c r="AP197" s="58">
        <x:f>(($O197*AN197)/100)+(AO197*12)</x:f>
      </x:c>
      <x:c r="AQ197" s="47"/>
      <x:c r="AR197" s="60"/>
      <x:c r="AS197" s="58">
        <x:f>(($O197*AQ197)/100)+(AR197*12)</x:f>
      </x:c>
      <x:c r="AT197" s="47"/>
      <x:c r="AU197" s="60"/>
      <x:c r="AV197" s="58">
        <x:f>(($O197*AT197)/100)+(AU197*12)</x:f>
      </x:c>
      <x:c r="AW197" s="47"/>
      <x:c r="AX197" s="60"/>
      <x:c r="AY197" s="58">
        <x:f>(($O197*AW197)/100)+(AX197*12)</x:f>
      </x:c>
      <x:c r="AZ197" s="47"/>
      <x:c r="BA197" s="60"/>
      <x:c r="BB197" s="58">
        <x:f>(($O197*AZ197)/100)+(BA197*12)</x:f>
      </x:c>
      <x:c r="BC197" s="47"/>
      <x:c r="BD197" s="60"/>
      <x:c r="BE197" s="58">
        <x:f>(($O197*BC197)/100)+(BD197*12)</x:f>
      </x:c>
      <x:c r="BF197" s="47"/>
      <x:c r="BG197" s="60"/>
      <x:c r="BH197" s="58">
        <x:f>(($O197*BF197)/100)+(BG197*12)</x:f>
      </x:c>
      <x:c r="BI197" s="47"/>
      <x:c r="BJ197" s="60"/>
      <x:c r="BK197" s="58">
        <x:f>(($O197*BI197)/100)+(BJ197*12)</x:f>
      </x:c>
      <x:c r="BL197" s="47"/>
      <x:c r="BM197" s="60"/>
      <x:c r="BN197" s="58">
        <x:f>(($O197*BL197)/100)+(BM197*12)</x:f>
      </x:c>
      <x:c r="BO197" s="47"/>
      <x:c r="BP197" s="60"/>
      <x:c r="BQ197" s="58">
        <x:f>(($O197*BO197)/100)+(BP197*12)</x:f>
      </x:c>
      <x:c r="BR197" s="47"/>
      <x:c r="BS197" s="60"/>
      <x:c r="BT197" s="58">
        <x:f>(($O197*BR197)/100)+(BS197*12)</x:f>
      </x:c>
      <x:c r="BU197" s="47"/>
      <x:c r="BV197" s="60"/>
      <x:c r="BW197" s="58">
        <x:f>(($O197*BU197)/100)+(BV197*12)</x:f>
      </x:c>
      <x:c r="BX197" s="47"/>
      <x:c r="BY197" s="60"/>
      <x:c r="BZ197" s="58">
        <x:f>(($O197*BX197)/100)+(BY197*12)</x:f>
      </x:c>
      <x:c r="CA197" s="47"/>
      <x:c r="CB197" s="60"/>
      <x:c r="CC197" s="58">
        <x:f>(($O197*CA197)/100)+(CB197*12)</x:f>
      </x:c>
      <x:c r="CD197" s="47"/>
      <x:c r="CE197" s="60"/>
      <x:c r="CF197" s="58">
        <x:f>(($O197*CD197)/100)+(CE197*12)</x:f>
      </x:c>
      <x:c r="CG197" s="47"/>
      <x:c r="CH197" s="60"/>
      <x:c r="CI197" s="58">
        <x:f>(($O197*CG197)/100)+(CH197*12)</x:f>
      </x:c>
      <x:c r="CJ197" s="47"/>
      <x:c r="CK197" s="60"/>
      <x:c r="CL197" s="58">
        <x:f>(($O197*CJ197)/100)+(CK197*12)</x:f>
      </x:c>
      <x:c r="CM197" s="47"/>
      <x:c r="CN197" s="60"/>
      <x:c r="CO197" s="58">
        <x:f>(($O197*CM197)/100)+(CN197*12)</x:f>
      </x:c>
      <x:c r="CP197" s="47"/>
      <x:c r="CQ197" s="60"/>
      <x:c r="CR197" s="58">
        <x:f>(($O197*CP197)/100)+(CQ197*12)</x:f>
      </x:c>
      <x:c r="CS197" s="47"/>
      <x:c r="CT197" s="60"/>
      <x:c r="CU197" s="58">
        <x:f>(($O197*CS197)/100)+(CT197*12)</x:f>
      </x:c>
      <x:c r="CV197" s="47"/>
      <x:c r="CW197" s="60"/>
      <x:c r="CX197" s="58"/>
      <x:c r="CY197" s="47"/>
      <x:c r="CZ197" s="60"/>
      <x:c r="DA197" s="58"/>
      <x:c r="DB197" s="47"/>
      <x:c r="DC197" s="60"/>
      <x:c r="DD197" s="58"/>
      <x:c r="DE197" s="47"/>
      <x:c r="DF197" s="60"/>
      <x:c r="DG197" s="58"/>
      <x:c r="DH197" s="47"/>
      <x:c r="DI197" s="60"/>
      <x:c r="DJ197" s="58"/>
      <x:c r="DK197" s="47"/>
      <x:c r="DL197" s="60"/>
      <x:c r="DM197" s="58"/>
      <x:c r="DN197" s="11"/>
      <x:c r="DO197" s="61"/>
      <x:c r="DP197" s="62"/>
      <x:c r="DQ197" s="11"/>
      <x:c r="DR197" s="61"/>
      <x:c r="DS197" s="62"/>
      <x:c r="DT197" s="11"/>
      <x:c r="DU197" s="61"/>
      <x:c r="DV197" s="62"/>
    </x:row>
    <x:row r="198" spans="1:126" x14ac:dyDescent="0.3">
      <x:c r="A198" s="47"/>
      <x:c r="B198" s="70"/>
      <x:c r="C198" s="70"/>
      <x:c r="D198" s="70"/>
      <x:c r="E198" s="70"/>
      <x:c r="F198" s="70"/>
      <x:c r="G198" s="70"/>
      <x:c r="H198" s="70"/>
      <x:c r="I198" s="70"/>
      <x:c r="J198" s="70"/>
      <x:c r="K198" s="190"/>
      <x:c r="L198" s="191"/>
      <x:c r="M198" s="192">
        <x:f>IF(ISERROR(INDEX('Meter Type Data'!$B$2:$E$1165,SUMPRODUCT(--('Meter Type Data'!$B$2:$B$1165&lt;=Analysis!L198)*('Meter Type Data'!$C$2:$C$1165&gt;=Analysis!L198),ROW('Meter Type Data'!$B$2:$B$1165))-1,4))," ",INDEX('Meter Type Data'!$B$2:$E$1165,SUMPRODUCT(--('Meter Type Data'!$B$2:$B$1165&lt;=Analysis!L198)*('Meter Type Data'!$C$2:$C$1165&gt;=Analysis!L198),ROW('Meter Type Data'!$B$2:$B$1165))-1,4))</x:f>
      </x:c>
      <x:c r="N198" s="192">
        <x:f>IF(ISERROR(INDEX('Meter Type Data'!$B$2:$D$1165,SUMPRODUCT(--('Meter Type Data'!$B$2:$B$1165&lt;=Analysis!L198)*('Meter Type Data'!$C$2:$C$1165&gt;=Analysis!L198),ROW('Meter Type Data'!$B$2:$B$1165))-1,3))," ",INDEX('Meter Type Data'!$B$2:$D$1165,SUMPRODUCT(--('Meter Type Data'!$B$2:$B$1165&lt;=Analysis!L198)*('Meter Type Data'!$C$2:$C$1165&gt;=Analysis!L198),ROW('Meter Type Data'!$B$2:$B$1165))-1,3))</x:f>
      </x:c>
      <x:c r="O198" s="69"/>
      <x:c r="P198" s="47"/>
      <x:c r="Q198" s="60"/>
      <x:c r="R198" s="58">
        <x:f>(($O198*P198)/100)+(Q198*12)</x:f>
      </x:c>
      <x:c r="S198" s="59"/>
      <x:c r="T198" s="59"/>
      <x:c r="U198" s="58">
        <x:f>(($O198*S198)/100)+(T198*12)</x:f>
      </x:c>
      <x:c r="V198" s="47"/>
      <x:c r="W198" s="60"/>
      <x:c r="X198" s="58">
        <x:f>(($O198*V198)/100)+(W198*12)</x:f>
      </x:c>
      <x:c r="Y198" s="47"/>
      <x:c r="Z198" s="60"/>
      <x:c r="AA198" s="58">
        <x:f>(($O198*Y198)/100)+(Z198*12)</x:f>
      </x:c>
      <x:c r="AB198" s="47"/>
      <x:c r="AC198" s="60"/>
      <x:c r="AD198" s="58">
        <x:f>(($O198*AB198)/100)+(AC198*12)</x:f>
      </x:c>
      <x:c r="AE198" s="47"/>
      <x:c r="AF198" s="60"/>
      <x:c r="AG198" s="58">
        <x:f>(($O198*AE198)/100)+(AF198*12)</x:f>
      </x:c>
      <x:c r="AH198" s="47"/>
      <x:c r="AI198" s="60"/>
      <x:c r="AJ198" s="58">
        <x:f>(($O198*AH198)/100)+(AI198*12)</x:f>
      </x:c>
      <x:c r="AK198" s="47"/>
      <x:c r="AL198" s="60"/>
      <x:c r="AM198" s="58">
        <x:f>(($O198*AK198)/100)+(AL198*12)</x:f>
      </x:c>
      <x:c r="AN198" s="47"/>
      <x:c r="AO198" s="60"/>
      <x:c r="AP198" s="58">
        <x:f>(($O198*AN198)/100)+(AO198*12)</x:f>
      </x:c>
      <x:c r="AQ198" s="47"/>
      <x:c r="AR198" s="60"/>
      <x:c r="AS198" s="58">
        <x:f>(($O198*AQ198)/100)+(AR198*12)</x:f>
      </x:c>
      <x:c r="AT198" s="47"/>
      <x:c r="AU198" s="60"/>
      <x:c r="AV198" s="58">
        <x:f>(($O198*AT198)/100)+(AU198*12)</x:f>
      </x:c>
      <x:c r="AW198" s="47"/>
      <x:c r="AX198" s="60"/>
      <x:c r="AY198" s="58">
        <x:f>(($O198*AW198)/100)+(AX198*12)</x:f>
      </x:c>
      <x:c r="AZ198" s="47"/>
      <x:c r="BA198" s="60"/>
      <x:c r="BB198" s="58">
        <x:f>(($O198*AZ198)/100)+(BA198*12)</x:f>
      </x:c>
      <x:c r="BC198" s="47"/>
      <x:c r="BD198" s="60"/>
      <x:c r="BE198" s="58">
        <x:f>(($O198*BC198)/100)+(BD198*12)</x:f>
      </x:c>
      <x:c r="BF198" s="47"/>
      <x:c r="BG198" s="60"/>
      <x:c r="BH198" s="58">
        <x:f>(($O198*BF198)/100)+(BG198*12)</x:f>
      </x:c>
      <x:c r="BI198" s="47"/>
      <x:c r="BJ198" s="60"/>
      <x:c r="BK198" s="58">
        <x:f>(($O198*BI198)/100)+(BJ198*12)</x:f>
      </x:c>
      <x:c r="BL198" s="47"/>
      <x:c r="BM198" s="60"/>
      <x:c r="BN198" s="58">
        <x:f>(($O198*BL198)/100)+(BM198*12)</x:f>
      </x:c>
      <x:c r="BO198" s="47"/>
      <x:c r="BP198" s="60"/>
      <x:c r="BQ198" s="58">
        <x:f>(($O198*BO198)/100)+(BP198*12)</x:f>
      </x:c>
      <x:c r="BR198" s="47"/>
      <x:c r="BS198" s="60"/>
      <x:c r="BT198" s="58">
        <x:f>(($O198*BR198)/100)+(BS198*12)</x:f>
      </x:c>
      <x:c r="BU198" s="47"/>
      <x:c r="BV198" s="60"/>
      <x:c r="BW198" s="58">
        <x:f>(($O198*BU198)/100)+(BV198*12)</x:f>
      </x:c>
      <x:c r="BX198" s="47"/>
      <x:c r="BY198" s="60"/>
      <x:c r="BZ198" s="58">
        <x:f>(($O198*BX198)/100)+(BY198*12)</x:f>
      </x:c>
      <x:c r="CA198" s="47"/>
      <x:c r="CB198" s="60"/>
      <x:c r="CC198" s="58">
        <x:f>(($O198*CA198)/100)+(CB198*12)</x:f>
      </x:c>
      <x:c r="CD198" s="47"/>
      <x:c r="CE198" s="60"/>
      <x:c r="CF198" s="58">
        <x:f>(($O198*CD198)/100)+(CE198*12)</x:f>
      </x:c>
      <x:c r="CG198" s="47"/>
      <x:c r="CH198" s="60"/>
      <x:c r="CI198" s="58">
        <x:f>(($O198*CG198)/100)+(CH198*12)</x:f>
      </x:c>
      <x:c r="CJ198" s="47"/>
      <x:c r="CK198" s="60"/>
      <x:c r="CL198" s="58">
        <x:f>(($O198*CJ198)/100)+(CK198*12)</x:f>
      </x:c>
      <x:c r="CM198" s="47"/>
      <x:c r="CN198" s="60"/>
      <x:c r="CO198" s="58">
        <x:f>(($O198*CM198)/100)+(CN198*12)</x:f>
      </x:c>
      <x:c r="CP198" s="47"/>
      <x:c r="CQ198" s="60"/>
      <x:c r="CR198" s="58">
        <x:f>(($O198*CP198)/100)+(CQ198*12)</x:f>
      </x:c>
      <x:c r="CS198" s="47"/>
      <x:c r="CT198" s="60"/>
      <x:c r="CU198" s="58">
        <x:f>(($O198*CS198)/100)+(CT198*12)</x:f>
      </x:c>
      <x:c r="CV198" s="47"/>
      <x:c r="CW198" s="60"/>
      <x:c r="CX198" s="58"/>
      <x:c r="CY198" s="47"/>
      <x:c r="CZ198" s="60"/>
      <x:c r="DA198" s="58"/>
      <x:c r="DB198" s="47"/>
      <x:c r="DC198" s="60"/>
      <x:c r="DD198" s="58"/>
      <x:c r="DE198" s="47"/>
      <x:c r="DF198" s="60"/>
      <x:c r="DG198" s="58"/>
      <x:c r="DH198" s="47"/>
      <x:c r="DI198" s="60"/>
      <x:c r="DJ198" s="58"/>
      <x:c r="DK198" s="47"/>
      <x:c r="DL198" s="60"/>
      <x:c r="DM198" s="58"/>
      <x:c r="DN198" s="11"/>
      <x:c r="DO198" s="61"/>
      <x:c r="DP198" s="62"/>
      <x:c r="DQ198" s="11"/>
      <x:c r="DR198" s="61"/>
      <x:c r="DS198" s="62"/>
      <x:c r="DT198" s="11"/>
      <x:c r="DU198" s="61"/>
      <x:c r="DV198" s="62"/>
    </x:row>
    <x:row r="199" spans="1:126" x14ac:dyDescent="0.3">
      <x:c r="A199" s="47"/>
      <x:c r="B199" s="70"/>
      <x:c r="C199" s="70"/>
      <x:c r="D199" s="70"/>
      <x:c r="E199" s="70"/>
      <x:c r="F199" s="70"/>
      <x:c r="G199" s="70"/>
      <x:c r="H199" s="70"/>
      <x:c r="I199" s="70"/>
      <x:c r="J199" s="70"/>
      <x:c r="K199" s="190"/>
      <x:c r="L199" s="191"/>
      <x:c r="M199" s="192">
        <x:f>IF(ISERROR(INDEX('Meter Type Data'!$B$2:$E$1165,SUMPRODUCT(--('Meter Type Data'!$B$2:$B$1165&lt;=Analysis!L199)*('Meter Type Data'!$C$2:$C$1165&gt;=Analysis!L199),ROW('Meter Type Data'!$B$2:$B$1165))-1,4))," ",INDEX('Meter Type Data'!$B$2:$E$1165,SUMPRODUCT(--('Meter Type Data'!$B$2:$B$1165&lt;=Analysis!L199)*('Meter Type Data'!$C$2:$C$1165&gt;=Analysis!L199),ROW('Meter Type Data'!$B$2:$B$1165))-1,4))</x:f>
      </x:c>
      <x:c r="N199" s="192">
        <x:f>IF(ISERROR(INDEX('Meter Type Data'!$B$2:$D$1165,SUMPRODUCT(--('Meter Type Data'!$B$2:$B$1165&lt;=Analysis!L199)*('Meter Type Data'!$C$2:$C$1165&gt;=Analysis!L199),ROW('Meter Type Data'!$B$2:$B$1165))-1,3))," ",INDEX('Meter Type Data'!$B$2:$D$1165,SUMPRODUCT(--('Meter Type Data'!$B$2:$B$1165&lt;=Analysis!L199)*('Meter Type Data'!$C$2:$C$1165&gt;=Analysis!L199),ROW('Meter Type Data'!$B$2:$B$1165))-1,3))</x:f>
      </x:c>
      <x:c r="O199" s="69"/>
      <x:c r="P199" s="47"/>
      <x:c r="Q199" s="60"/>
      <x:c r="R199" s="58">
        <x:f>(($O199*P199)/100)+(Q199*12)</x:f>
      </x:c>
      <x:c r="S199" s="59"/>
      <x:c r="T199" s="59"/>
      <x:c r="U199" s="58">
        <x:f>(($O199*S199)/100)+(T199*12)</x:f>
      </x:c>
      <x:c r="V199" s="47"/>
      <x:c r="W199" s="60"/>
      <x:c r="X199" s="58">
        <x:f>(($O199*V199)/100)+(W199*12)</x:f>
      </x:c>
      <x:c r="Y199" s="47"/>
      <x:c r="Z199" s="60"/>
      <x:c r="AA199" s="58">
        <x:f>(($O199*Y199)/100)+(Z199*12)</x:f>
      </x:c>
      <x:c r="AB199" s="47"/>
      <x:c r="AC199" s="60"/>
      <x:c r="AD199" s="58">
        <x:f>(($O199*AB199)/100)+(AC199*12)</x:f>
      </x:c>
      <x:c r="AE199" s="47"/>
      <x:c r="AF199" s="60"/>
      <x:c r="AG199" s="58">
        <x:f>(($O199*AE199)/100)+(AF199*12)</x:f>
      </x:c>
      <x:c r="AH199" s="47"/>
      <x:c r="AI199" s="60"/>
      <x:c r="AJ199" s="58">
        <x:f>(($O199*AH199)/100)+(AI199*12)</x:f>
      </x:c>
      <x:c r="AK199" s="47"/>
      <x:c r="AL199" s="60"/>
      <x:c r="AM199" s="58">
        <x:f>(($O199*AK199)/100)+(AL199*12)</x:f>
      </x:c>
      <x:c r="AN199" s="47"/>
      <x:c r="AO199" s="60"/>
      <x:c r="AP199" s="58">
        <x:f>(($O199*AN199)/100)+(AO199*12)</x:f>
      </x:c>
      <x:c r="AQ199" s="47"/>
      <x:c r="AR199" s="60"/>
      <x:c r="AS199" s="58">
        <x:f>(($O199*AQ199)/100)+(AR199*12)</x:f>
      </x:c>
      <x:c r="AT199" s="47"/>
      <x:c r="AU199" s="60"/>
      <x:c r="AV199" s="58">
        <x:f>(($O199*AT199)/100)+(AU199*12)</x:f>
      </x:c>
      <x:c r="AW199" s="47"/>
      <x:c r="AX199" s="60"/>
      <x:c r="AY199" s="58">
        <x:f>(($O199*AW199)/100)+(AX199*12)</x:f>
      </x:c>
      <x:c r="AZ199" s="47"/>
      <x:c r="BA199" s="60"/>
      <x:c r="BB199" s="58">
        <x:f>(($O199*AZ199)/100)+(BA199*12)</x:f>
      </x:c>
      <x:c r="BC199" s="47"/>
      <x:c r="BD199" s="60"/>
      <x:c r="BE199" s="58">
        <x:f>(($O199*BC199)/100)+(BD199*12)</x:f>
      </x:c>
      <x:c r="BF199" s="47"/>
      <x:c r="BG199" s="60"/>
      <x:c r="BH199" s="58">
        <x:f>(($O199*BF199)/100)+(BG199*12)</x:f>
      </x:c>
      <x:c r="BI199" s="47"/>
      <x:c r="BJ199" s="60"/>
      <x:c r="BK199" s="58">
        <x:f>(($O199*BI199)/100)+(BJ199*12)</x:f>
      </x:c>
      <x:c r="BL199" s="47"/>
      <x:c r="BM199" s="60"/>
      <x:c r="BN199" s="58">
        <x:f>(($O199*BL199)/100)+(BM199*12)</x:f>
      </x:c>
      <x:c r="BO199" s="47"/>
      <x:c r="BP199" s="60"/>
      <x:c r="BQ199" s="58">
        <x:f>(($O199*BO199)/100)+(BP199*12)</x:f>
      </x:c>
      <x:c r="BR199" s="47"/>
      <x:c r="BS199" s="60"/>
      <x:c r="BT199" s="58">
        <x:f>(($O199*BR199)/100)+(BS199*12)</x:f>
      </x:c>
      <x:c r="BU199" s="47"/>
      <x:c r="BV199" s="60"/>
      <x:c r="BW199" s="58">
        <x:f>(($O199*BU199)/100)+(BV199*12)</x:f>
      </x:c>
      <x:c r="BX199" s="47"/>
      <x:c r="BY199" s="60"/>
      <x:c r="BZ199" s="58">
        <x:f>(($O199*BX199)/100)+(BY199*12)</x:f>
      </x:c>
      <x:c r="CA199" s="47"/>
      <x:c r="CB199" s="60"/>
      <x:c r="CC199" s="58">
        <x:f>(($O199*CA199)/100)+(CB199*12)</x:f>
      </x:c>
      <x:c r="CD199" s="47"/>
      <x:c r="CE199" s="60"/>
      <x:c r="CF199" s="58">
        <x:f>(($O199*CD199)/100)+(CE199*12)</x:f>
      </x:c>
      <x:c r="CG199" s="47"/>
      <x:c r="CH199" s="60"/>
      <x:c r="CI199" s="58">
        <x:f>(($O199*CG199)/100)+(CH199*12)</x:f>
      </x:c>
      <x:c r="CJ199" s="47"/>
      <x:c r="CK199" s="60"/>
      <x:c r="CL199" s="58">
        <x:f>(($O199*CJ199)/100)+(CK199*12)</x:f>
      </x:c>
      <x:c r="CM199" s="47"/>
      <x:c r="CN199" s="60"/>
      <x:c r="CO199" s="58">
        <x:f>(($O199*CM199)/100)+(CN199*12)</x:f>
      </x:c>
      <x:c r="CP199" s="47"/>
      <x:c r="CQ199" s="60"/>
      <x:c r="CR199" s="58">
        <x:f>(($O199*CP199)/100)+(CQ199*12)</x:f>
      </x:c>
      <x:c r="CS199" s="47"/>
      <x:c r="CT199" s="60"/>
      <x:c r="CU199" s="58">
        <x:f>(($O199*CS199)/100)+(CT199*12)</x:f>
      </x:c>
      <x:c r="CV199" s="47"/>
      <x:c r="CW199" s="60"/>
      <x:c r="CX199" s="58"/>
      <x:c r="CY199" s="47"/>
      <x:c r="CZ199" s="60"/>
      <x:c r="DA199" s="58"/>
      <x:c r="DB199" s="47"/>
      <x:c r="DC199" s="60"/>
      <x:c r="DD199" s="58"/>
      <x:c r="DE199" s="47"/>
      <x:c r="DF199" s="60"/>
      <x:c r="DG199" s="58"/>
      <x:c r="DH199" s="47"/>
      <x:c r="DI199" s="60"/>
      <x:c r="DJ199" s="58"/>
      <x:c r="DK199" s="47"/>
      <x:c r="DL199" s="60"/>
      <x:c r="DM199" s="58"/>
      <x:c r="DN199" s="11"/>
      <x:c r="DO199" s="61"/>
      <x:c r="DP199" s="62"/>
      <x:c r="DQ199" s="11"/>
      <x:c r="DR199" s="61"/>
      <x:c r="DS199" s="62"/>
      <x:c r="DT199" s="11"/>
      <x:c r="DU199" s="61"/>
      <x:c r="DV199" s="62"/>
    </x:row>
    <x:row r="200" spans="1:126" x14ac:dyDescent="0.3">
      <x:c r="A200" s="47"/>
      <x:c r="B200" s="70"/>
      <x:c r="C200" s="70"/>
      <x:c r="D200" s="70"/>
      <x:c r="E200" s="70"/>
      <x:c r="F200" s="70"/>
      <x:c r="G200" s="70"/>
      <x:c r="H200" s="70"/>
      <x:c r="I200" s="70"/>
      <x:c r="J200" s="70"/>
      <x:c r="K200" s="190"/>
      <x:c r="L200" s="191"/>
      <x:c r="M200" s="192">
        <x:f>IF(ISERROR(INDEX('Meter Type Data'!$B$2:$E$1165,SUMPRODUCT(--('Meter Type Data'!$B$2:$B$1165&lt;=Analysis!L200)*('Meter Type Data'!$C$2:$C$1165&gt;=Analysis!L200),ROW('Meter Type Data'!$B$2:$B$1165))-1,4))," ",INDEX('Meter Type Data'!$B$2:$E$1165,SUMPRODUCT(--('Meter Type Data'!$B$2:$B$1165&lt;=Analysis!L200)*('Meter Type Data'!$C$2:$C$1165&gt;=Analysis!L200),ROW('Meter Type Data'!$B$2:$B$1165))-1,4))</x:f>
      </x:c>
      <x:c r="N200" s="192">
        <x:f>IF(ISERROR(INDEX('Meter Type Data'!$B$2:$D$1165,SUMPRODUCT(--('Meter Type Data'!$B$2:$B$1165&lt;=Analysis!L200)*('Meter Type Data'!$C$2:$C$1165&gt;=Analysis!L200),ROW('Meter Type Data'!$B$2:$B$1165))-1,3))," ",INDEX('Meter Type Data'!$B$2:$D$1165,SUMPRODUCT(--('Meter Type Data'!$B$2:$B$1165&lt;=Analysis!L200)*('Meter Type Data'!$C$2:$C$1165&gt;=Analysis!L200),ROW('Meter Type Data'!$B$2:$B$1165))-1,3))</x:f>
      </x:c>
      <x:c r="O200" s="69"/>
      <x:c r="P200" s="47"/>
      <x:c r="Q200" s="60"/>
      <x:c r="R200" s="58">
        <x:f>(($O200*P200)/100)+(Q200*12)</x:f>
      </x:c>
      <x:c r="S200" s="59"/>
      <x:c r="T200" s="59"/>
      <x:c r="U200" s="58">
        <x:f>(($O200*S200)/100)+(T200*12)</x:f>
      </x:c>
      <x:c r="V200" s="47"/>
      <x:c r="W200" s="60"/>
      <x:c r="X200" s="58">
        <x:f>(($O200*V200)/100)+(W200*12)</x:f>
      </x:c>
      <x:c r="Y200" s="47"/>
      <x:c r="Z200" s="60"/>
      <x:c r="AA200" s="58">
        <x:f>(($O200*Y200)/100)+(Z200*12)</x:f>
      </x:c>
      <x:c r="AB200" s="47"/>
      <x:c r="AC200" s="60"/>
      <x:c r="AD200" s="58">
        <x:f>(($O200*AB200)/100)+(AC200*12)</x:f>
      </x:c>
      <x:c r="AE200" s="47"/>
      <x:c r="AF200" s="60"/>
      <x:c r="AG200" s="58">
        <x:f>(($O200*AE200)/100)+(AF200*12)</x:f>
      </x:c>
      <x:c r="AH200" s="47"/>
      <x:c r="AI200" s="60"/>
      <x:c r="AJ200" s="58">
        <x:f>(($O200*AH200)/100)+(AI200*12)</x:f>
      </x:c>
      <x:c r="AK200" s="47"/>
      <x:c r="AL200" s="60"/>
      <x:c r="AM200" s="58">
        <x:f>(($O200*AK200)/100)+(AL200*12)</x:f>
      </x:c>
      <x:c r="AN200" s="47"/>
      <x:c r="AO200" s="60"/>
      <x:c r="AP200" s="58">
        <x:f>(($O200*AN200)/100)+(AO200*12)</x:f>
      </x:c>
      <x:c r="AQ200" s="47"/>
      <x:c r="AR200" s="60"/>
      <x:c r="AS200" s="58">
        <x:f>(($O200*AQ200)/100)+(AR200*12)</x:f>
      </x:c>
      <x:c r="AT200" s="47"/>
      <x:c r="AU200" s="60"/>
      <x:c r="AV200" s="58">
        <x:f>(($O200*AT200)/100)+(AU200*12)</x:f>
      </x:c>
      <x:c r="AW200" s="47"/>
      <x:c r="AX200" s="60"/>
      <x:c r="AY200" s="58">
        <x:f>(($O200*AW200)/100)+(AX200*12)</x:f>
      </x:c>
      <x:c r="AZ200" s="47"/>
      <x:c r="BA200" s="60"/>
      <x:c r="BB200" s="58">
        <x:f>(($O200*AZ200)/100)+(BA200*12)</x:f>
      </x:c>
      <x:c r="BC200" s="47"/>
      <x:c r="BD200" s="60"/>
      <x:c r="BE200" s="58">
        <x:f>(($O200*BC200)/100)+(BD200*12)</x:f>
      </x:c>
      <x:c r="BF200" s="47"/>
      <x:c r="BG200" s="60"/>
      <x:c r="BH200" s="58">
        <x:f>(($O200*BF200)/100)+(BG200*12)</x:f>
      </x:c>
      <x:c r="BI200" s="47"/>
      <x:c r="BJ200" s="60"/>
      <x:c r="BK200" s="58">
        <x:f>(($O200*BI200)/100)+(BJ200*12)</x:f>
      </x:c>
      <x:c r="BL200" s="47"/>
      <x:c r="BM200" s="60"/>
      <x:c r="BN200" s="58">
        <x:f>(($O200*BL200)/100)+(BM200*12)</x:f>
      </x:c>
      <x:c r="BO200" s="47"/>
      <x:c r="BP200" s="60"/>
      <x:c r="BQ200" s="58">
        <x:f>(($O200*BO200)/100)+(BP200*12)</x:f>
      </x:c>
      <x:c r="BR200" s="47"/>
      <x:c r="BS200" s="60"/>
      <x:c r="BT200" s="58">
        <x:f>(($O200*BR200)/100)+(BS200*12)</x:f>
      </x:c>
      <x:c r="BU200" s="47"/>
      <x:c r="BV200" s="60"/>
      <x:c r="BW200" s="58">
        <x:f>(($O200*BU200)/100)+(BV200*12)</x:f>
      </x:c>
      <x:c r="BX200" s="47"/>
      <x:c r="BY200" s="60"/>
      <x:c r="BZ200" s="58">
        <x:f>(($O200*BX200)/100)+(BY200*12)</x:f>
      </x:c>
      <x:c r="CA200" s="47"/>
      <x:c r="CB200" s="60"/>
      <x:c r="CC200" s="58">
        <x:f>(($O200*CA200)/100)+(CB200*12)</x:f>
      </x:c>
      <x:c r="CD200" s="47"/>
      <x:c r="CE200" s="60"/>
      <x:c r="CF200" s="58">
        <x:f>(($O200*CD200)/100)+(CE200*12)</x:f>
      </x:c>
      <x:c r="CG200" s="47"/>
      <x:c r="CH200" s="60"/>
      <x:c r="CI200" s="58">
        <x:f>(($O200*CG200)/100)+(CH200*12)</x:f>
      </x:c>
      <x:c r="CJ200" s="47"/>
      <x:c r="CK200" s="60"/>
      <x:c r="CL200" s="58">
        <x:f>(($O200*CJ200)/100)+(CK200*12)</x:f>
      </x:c>
      <x:c r="CM200" s="47"/>
      <x:c r="CN200" s="60"/>
      <x:c r="CO200" s="58">
        <x:f>(($O200*CM200)/100)+(CN200*12)</x:f>
      </x:c>
      <x:c r="CP200" s="47"/>
      <x:c r="CQ200" s="60"/>
      <x:c r="CR200" s="58">
        <x:f>(($O200*CP200)/100)+(CQ200*12)</x:f>
      </x:c>
      <x:c r="CS200" s="47"/>
      <x:c r="CT200" s="60"/>
      <x:c r="CU200" s="58">
        <x:f>(($O200*CS200)/100)+(CT200*12)</x:f>
      </x:c>
      <x:c r="CV200" s="47"/>
      <x:c r="CW200" s="60"/>
      <x:c r="CX200" s="58"/>
      <x:c r="CY200" s="47"/>
      <x:c r="CZ200" s="60"/>
      <x:c r="DA200" s="58"/>
      <x:c r="DB200" s="47"/>
      <x:c r="DC200" s="60"/>
      <x:c r="DD200" s="58"/>
      <x:c r="DE200" s="47"/>
      <x:c r="DF200" s="60"/>
      <x:c r="DG200" s="58"/>
      <x:c r="DH200" s="47"/>
      <x:c r="DI200" s="60"/>
      <x:c r="DJ200" s="58"/>
      <x:c r="DK200" s="47"/>
      <x:c r="DL200" s="60"/>
      <x:c r="DM200" s="58"/>
      <x:c r="DN200" s="11"/>
      <x:c r="DO200" s="61"/>
      <x:c r="DP200" s="62"/>
      <x:c r="DQ200" s="11"/>
      <x:c r="DR200" s="61"/>
      <x:c r="DS200" s="62"/>
      <x:c r="DT200" s="11"/>
      <x:c r="DU200" s="61"/>
      <x:c r="DV200" s="62"/>
    </x:row>
    <x:row r="201" spans="1:126" x14ac:dyDescent="0.3">
      <x:c r="A201" s="47"/>
      <x:c r="B201" s="70"/>
      <x:c r="C201" s="70"/>
      <x:c r="D201" s="70"/>
      <x:c r="E201" s="70"/>
      <x:c r="F201" s="70"/>
      <x:c r="G201" s="70"/>
      <x:c r="H201" s="70"/>
      <x:c r="I201" s="70"/>
      <x:c r="J201" s="70"/>
      <x:c r="K201" s="190"/>
      <x:c r="L201" s="191"/>
      <x:c r="M201" s="192">
        <x:f>IF(ISERROR(INDEX('Meter Type Data'!$B$2:$E$1165,SUMPRODUCT(--('Meter Type Data'!$B$2:$B$1165&lt;=Analysis!L201)*('Meter Type Data'!$C$2:$C$1165&gt;=Analysis!L201),ROW('Meter Type Data'!$B$2:$B$1165))-1,4))," ",INDEX('Meter Type Data'!$B$2:$E$1165,SUMPRODUCT(--('Meter Type Data'!$B$2:$B$1165&lt;=Analysis!L201)*('Meter Type Data'!$C$2:$C$1165&gt;=Analysis!L201),ROW('Meter Type Data'!$B$2:$B$1165))-1,4))</x:f>
      </x:c>
      <x:c r="N201" s="192">
        <x:f>IF(ISERROR(INDEX('Meter Type Data'!$B$2:$D$1165,SUMPRODUCT(--('Meter Type Data'!$B$2:$B$1165&lt;=Analysis!L201)*('Meter Type Data'!$C$2:$C$1165&gt;=Analysis!L201),ROW('Meter Type Data'!$B$2:$B$1165))-1,3))," ",INDEX('Meter Type Data'!$B$2:$D$1165,SUMPRODUCT(--('Meter Type Data'!$B$2:$B$1165&lt;=Analysis!L201)*('Meter Type Data'!$C$2:$C$1165&gt;=Analysis!L201),ROW('Meter Type Data'!$B$2:$B$1165))-1,3))</x:f>
      </x:c>
      <x:c r="O201" s="69"/>
      <x:c r="P201" s="47"/>
      <x:c r="Q201" s="60"/>
      <x:c r="R201" s="58">
        <x:f>(($O201*P201)/100)+(Q201*12)</x:f>
      </x:c>
      <x:c r="S201" s="59"/>
      <x:c r="T201" s="59"/>
      <x:c r="U201" s="58">
        <x:f>(($O201*S201)/100)+(T201*12)</x:f>
      </x:c>
      <x:c r="V201" s="47"/>
      <x:c r="W201" s="60"/>
      <x:c r="X201" s="58">
        <x:f>(($O201*V201)/100)+(W201*12)</x:f>
      </x:c>
      <x:c r="Y201" s="47"/>
      <x:c r="Z201" s="60"/>
      <x:c r="AA201" s="58">
        <x:f>(($O201*Y201)/100)+(Z201*12)</x:f>
      </x:c>
      <x:c r="AB201" s="47"/>
      <x:c r="AC201" s="60"/>
      <x:c r="AD201" s="58">
        <x:f>(($O201*AB201)/100)+(AC201*12)</x:f>
      </x:c>
      <x:c r="AE201" s="47"/>
      <x:c r="AF201" s="60"/>
      <x:c r="AG201" s="58">
        <x:f>(($O201*AE201)/100)+(AF201*12)</x:f>
      </x:c>
      <x:c r="AH201" s="47"/>
      <x:c r="AI201" s="60"/>
      <x:c r="AJ201" s="58">
        <x:f>(($O201*AH201)/100)+(AI201*12)</x:f>
      </x:c>
      <x:c r="AK201" s="47"/>
      <x:c r="AL201" s="60"/>
      <x:c r="AM201" s="58">
        <x:f>(($O201*AK201)/100)+(AL201*12)</x:f>
      </x:c>
      <x:c r="AN201" s="47"/>
      <x:c r="AO201" s="60"/>
      <x:c r="AP201" s="58">
        <x:f>(($O201*AN201)/100)+(AO201*12)</x:f>
      </x:c>
      <x:c r="AQ201" s="47"/>
      <x:c r="AR201" s="60"/>
      <x:c r="AS201" s="58">
        <x:f>(($O201*AQ201)/100)+(AR201*12)</x:f>
      </x:c>
      <x:c r="AT201" s="47"/>
      <x:c r="AU201" s="60"/>
      <x:c r="AV201" s="58">
        <x:f>(($O201*AT201)/100)+(AU201*12)</x:f>
      </x:c>
      <x:c r="AW201" s="47"/>
      <x:c r="AX201" s="60"/>
      <x:c r="AY201" s="58">
        <x:f>(($O201*AW201)/100)+(AX201*12)</x:f>
      </x:c>
      <x:c r="AZ201" s="47"/>
      <x:c r="BA201" s="60"/>
      <x:c r="BB201" s="58">
        <x:f>(($O201*AZ201)/100)+(BA201*12)</x:f>
      </x:c>
      <x:c r="BC201" s="47"/>
      <x:c r="BD201" s="60"/>
      <x:c r="BE201" s="58">
        <x:f>(($O201*BC201)/100)+(BD201*12)</x:f>
      </x:c>
      <x:c r="BF201" s="47"/>
      <x:c r="BG201" s="60"/>
      <x:c r="BH201" s="58">
        <x:f>(($O201*BF201)/100)+(BG201*12)</x:f>
      </x:c>
      <x:c r="BI201" s="47"/>
      <x:c r="BJ201" s="60"/>
      <x:c r="BK201" s="58">
        <x:f>(($O201*BI201)/100)+(BJ201*12)</x:f>
      </x:c>
      <x:c r="BL201" s="47"/>
      <x:c r="BM201" s="60"/>
      <x:c r="BN201" s="58">
        <x:f>(($O201*BL201)/100)+(BM201*12)</x:f>
      </x:c>
      <x:c r="BO201" s="47"/>
      <x:c r="BP201" s="60"/>
      <x:c r="BQ201" s="58">
        <x:f>(($O201*BO201)/100)+(BP201*12)</x:f>
      </x:c>
      <x:c r="BR201" s="47"/>
      <x:c r="BS201" s="60"/>
      <x:c r="BT201" s="58">
        <x:f>(($O201*BR201)/100)+(BS201*12)</x:f>
      </x:c>
      <x:c r="BU201" s="47"/>
      <x:c r="BV201" s="60"/>
      <x:c r="BW201" s="58">
        <x:f>(($O201*BU201)/100)+(BV201*12)</x:f>
      </x:c>
      <x:c r="BX201" s="47"/>
      <x:c r="BY201" s="60"/>
      <x:c r="BZ201" s="58">
        <x:f>(($O201*BX201)/100)+(BY201*12)</x:f>
      </x:c>
      <x:c r="CA201" s="47"/>
      <x:c r="CB201" s="60"/>
      <x:c r="CC201" s="58">
        <x:f>(($O201*CA201)/100)+(CB201*12)</x:f>
      </x:c>
      <x:c r="CD201" s="47"/>
      <x:c r="CE201" s="60"/>
      <x:c r="CF201" s="58">
        <x:f>(($O201*CD201)/100)+(CE201*12)</x:f>
      </x:c>
      <x:c r="CG201" s="47"/>
      <x:c r="CH201" s="60"/>
      <x:c r="CI201" s="58">
        <x:f>(($O201*CG201)/100)+(CH201*12)</x:f>
      </x:c>
      <x:c r="CJ201" s="47"/>
      <x:c r="CK201" s="60"/>
      <x:c r="CL201" s="58">
        <x:f>(($O201*CJ201)/100)+(CK201*12)</x:f>
      </x:c>
      <x:c r="CM201" s="47"/>
      <x:c r="CN201" s="60"/>
      <x:c r="CO201" s="58">
        <x:f>(($O201*CM201)/100)+(CN201*12)</x:f>
      </x:c>
      <x:c r="CP201" s="47"/>
      <x:c r="CQ201" s="60"/>
      <x:c r="CR201" s="58">
        <x:f>(($O201*CP201)/100)+(CQ201*12)</x:f>
      </x:c>
      <x:c r="CS201" s="47"/>
      <x:c r="CT201" s="60"/>
      <x:c r="CU201" s="58">
        <x:f>(($O201*CS201)/100)+(CT201*12)</x:f>
      </x:c>
      <x:c r="CV201" s="47"/>
      <x:c r="CW201" s="60"/>
      <x:c r="CX201" s="58"/>
      <x:c r="CY201" s="47"/>
      <x:c r="CZ201" s="60"/>
      <x:c r="DA201" s="58"/>
      <x:c r="DB201" s="47"/>
      <x:c r="DC201" s="60"/>
      <x:c r="DD201" s="58"/>
      <x:c r="DE201" s="47"/>
      <x:c r="DF201" s="60"/>
      <x:c r="DG201" s="58"/>
      <x:c r="DH201" s="47"/>
      <x:c r="DI201" s="60"/>
      <x:c r="DJ201" s="58"/>
      <x:c r="DK201" s="47"/>
      <x:c r="DL201" s="60"/>
      <x:c r="DM201" s="58"/>
      <x:c r="DN201" s="11"/>
      <x:c r="DO201" s="61"/>
      <x:c r="DP201" s="62"/>
      <x:c r="DQ201" s="11"/>
      <x:c r="DR201" s="61"/>
      <x:c r="DS201" s="62"/>
      <x:c r="DT201" s="11"/>
      <x:c r="DU201" s="61"/>
      <x:c r="DV201" s="62"/>
    </x:row>
    <x:row r="202" spans="1:126" x14ac:dyDescent="0.3">
      <x:c r="A202" s="47"/>
      <x:c r="B202" s="70"/>
      <x:c r="C202" s="70"/>
      <x:c r="D202" s="70"/>
      <x:c r="E202" s="70"/>
      <x:c r="F202" s="70"/>
      <x:c r="G202" s="70"/>
      <x:c r="H202" s="70"/>
      <x:c r="I202" s="70"/>
      <x:c r="J202" s="70"/>
      <x:c r="K202" s="190"/>
      <x:c r="L202" s="191"/>
      <x:c r="M202" s="192">
        <x:f>IF(ISERROR(INDEX('Meter Type Data'!$B$2:$E$1165,SUMPRODUCT(--('Meter Type Data'!$B$2:$B$1165&lt;=Analysis!L202)*('Meter Type Data'!$C$2:$C$1165&gt;=Analysis!L202),ROW('Meter Type Data'!$B$2:$B$1165))-1,4))," ",INDEX('Meter Type Data'!$B$2:$E$1165,SUMPRODUCT(--('Meter Type Data'!$B$2:$B$1165&lt;=Analysis!L202)*('Meter Type Data'!$C$2:$C$1165&gt;=Analysis!L202),ROW('Meter Type Data'!$B$2:$B$1165))-1,4))</x:f>
      </x:c>
      <x:c r="N202" s="192">
        <x:f>IF(ISERROR(INDEX('Meter Type Data'!$B$2:$D$1165,SUMPRODUCT(--('Meter Type Data'!$B$2:$B$1165&lt;=Analysis!L202)*('Meter Type Data'!$C$2:$C$1165&gt;=Analysis!L202),ROW('Meter Type Data'!$B$2:$B$1165))-1,3))," ",INDEX('Meter Type Data'!$B$2:$D$1165,SUMPRODUCT(--('Meter Type Data'!$B$2:$B$1165&lt;=Analysis!L202)*('Meter Type Data'!$C$2:$C$1165&gt;=Analysis!L202),ROW('Meter Type Data'!$B$2:$B$1165))-1,3))</x:f>
      </x:c>
      <x:c r="O202" s="69"/>
      <x:c r="P202" s="47"/>
      <x:c r="Q202" s="60"/>
      <x:c r="R202" s="58">
        <x:f>(($O202*P202)/100)+(Q202*12)</x:f>
      </x:c>
      <x:c r="S202" s="59"/>
      <x:c r="T202" s="59"/>
      <x:c r="U202" s="58">
        <x:f>(($O202*S202)/100)+(T202*12)</x:f>
      </x:c>
      <x:c r="V202" s="47"/>
      <x:c r="W202" s="60"/>
      <x:c r="X202" s="58">
        <x:f>(($O202*V202)/100)+(W202*12)</x:f>
      </x:c>
      <x:c r="Y202" s="47"/>
      <x:c r="Z202" s="60"/>
      <x:c r="AA202" s="58">
        <x:f>(($O202*Y202)/100)+(Z202*12)</x:f>
      </x:c>
      <x:c r="AB202" s="47"/>
      <x:c r="AC202" s="60"/>
      <x:c r="AD202" s="58">
        <x:f>(($O202*AB202)/100)+(AC202*12)</x:f>
      </x:c>
      <x:c r="AE202" s="47"/>
      <x:c r="AF202" s="60"/>
      <x:c r="AG202" s="58">
        <x:f>(($O202*AE202)/100)+(AF202*12)</x:f>
      </x:c>
      <x:c r="AH202" s="47"/>
      <x:c r="AI202" s="60"/>
      <x:c r="AJ202" s="58">
        <x:f>(($O202*AH202)/100)+(AI202*12)</x:f>
      </x:c>
      <x:c r="AK202" s="47"/>
      <x:c r="AL202" s="60"/>
      <x:c r="AM202" s="58">
        <x:f>(($O202*AK202)/100)+(AL202*12)</x:f>
      </x:c>
      <x:c r="AN202" s="47"/>
      <x:c r="AO202" s="60"/>
      <x:c r="AP202" s="58">
        <x:f>(($O202*AN202)/100)+(AO202*12)</x:f>
      </x:c>
      <x:c r="AQ202" s="47"/>
      <x:c r="AR202" s="60"/>
      <x:c r="AS202" s="58">
        <x:f>(($O202*AQ202)/100)+(AR202*12)</x:f>
      </x:c>
      <x:c r="AT202" s="47"/>
      <x:c r="AU202" s="60"/>
      <x:c r="AV202" s="58">
        <x:f>(($O202*AT202)/100)+(AU202*12)</x:f>
      </x:c>
      <x:c r="AW202" s="47"/>
      <x:c r="AX202" s="60"/>
      <x:c r="AY202" s="58">
        <x:f>(($O202*AW202)/100)+(AX202*12)</x:f>
      </x:c>
      <x:c r="AZ202" s="47"/>
      <x:c r="BA202" s="60"/>
      <x:c r="BB202" s="58">
        <x:f>(($O202*AZ202)/100)+(BA202*12)</x:f>
      </x:c>
      <x:c r="BC202" s="47"/>
      <x:c r="BD202" s="60"/>
      <x:c r="BE202" s="58">
        <x:f>(($O202*BC202)/100)+(BD202*12)</x:f>
      </x:c>
      <x:c r="BF202" s="47"/>
      <x:c r="BG202" s="60"/>
      <x:c r="BH202" s="58">
        <x:f>(($O202*BF202)/100)+(BG202*12)</x:f>
      </x:c>
      <x:c r="BI202" s="47"/>
      <x:c r="BJ202" s="60"/>
      <x:c r="BK202" s="58">
        <x:f>(($O202*BI202)/100)+(BJ202*12)</x:f>
      </x:c>
      <x:c r="BL202" s="47"/>
      <x:c r="BM202" s="60"/>
      <x:c r="BN202" s="58">
        <x:f>(($O202*BL202)/100)+(BM202*12)</x:f>
      </x:c>
      <x:c r="BO202" s="47"/>
      <x:c r="BP202" s="60"/>
      <x:c r="BQ202" s="58">
        <x:f>(($O202*BO202)/100)+(BP202*12)</x:f>
      </x:c>
      <x:c r="BR202" s="47"/>
      <x:c r="BS202" s="60"/>
      <x:c r="BT202" s="58">
        <x:f>(($O202*BR202)/100)+(BS202*12)</x:f>
      </x:c>
      <x:c r="BU202" s="47"/>
      <x:c r="BV202" s="60"/>
      <x:c r="BW202" s="58">
        <x:f>(($O202*BU202)/100)+(BV202*12)</x:f>
      </x:c>
      <x:c r="BX202" s="47"/>
      <x:c r="BY202" s="60"/>
      <x:c r="BZ202" s="58">
        <x:f>(($O202*BX202)/100)+(BY202*12)</x:f>
      </x:c>
      <x:c r="CA202" s="47"/>
      <x:c r="CB202" s="60"/>
      <x:c r="CC202" s="58">
        <x:f>(($O202*CA202)/100)+(CB202*12)</x:f>
      </x:c>
      <x:c r="CD202" s="47"/>
      <x:c r="CE202" s="60"/>
      <x:c r="CF202" s="58">
        <x:f>(($O202*CD202)/100)+(CE202*12)</x:f>
      </x:c>
      <x:c r="CG202" s="47"/>
      <x:c r="CH202" s="60"/>
      <x:c r="CI202" s="58">
        <x:f>(($O202*CG202)/100)+(CH202*12)</x:f>
      </x:c>
      <x:c r="CJ202" s="47"/>
      <x:c r="CK202" s="60"/>
      <x:c r="CL202" s="58">
        <x:f>(($O202*CJ202)/100)+(CK202*12)</x:f>
      </x:c>
      <x:c r="CM202" s="47"/>
      <x:c r="CN202" s="60"/>
      <x:c r="CO202" s="58">
        <x:f>(($O202*CM202)/100)+(CN202*12)</x:f>
      </x:c>
      <x:c r="CP202" s="47"/>
      <x:c r="CQ202" s="60"/>
      <x:c r="CR202" s="58">
        <x:f>(($O202*CP202)/100)+(CQ202*12)</x:f>
      </x:c>
      <x:c r="CS202" s="47"/>
      <x:c r="CT202" s="60"/>
      <x:c r="CU202" s="58">
        <x:f>(($O202*CS202)/100)+(CT202*12)</x:f>
      </x:c>
      <x:c r="CV202" s="47"/>
      <x:c r="CW202" s="60"/>
      <x:c r="CX202" s="58"/>
      <x:c r="CY202" s="47"/>
      <x:c r="CZ202" s="60"/>
      <x:c r="DA202" s="58"/>
      <x:c r="DB202" s="47"/>
      <x:c r="DC202" s="60"/>
      <x:c r="DD202" s="58"/>
      <x:c r="DE202" s="47"/>
      <x:c r="DF202" s="60"/>
      <x:c r="DG202" s="58"/>
      <x:c r="DH202" s="47"/>
      <x:c r="DI202" s="60"/>
      <x:c r="DJ202" s="58"/>
      <x:c r="DK202" s="47"/>
      <x:c r="DL202" s="60"/>
      <x:c r="DM202" s="58"/>
      <x:c r="DN202" s="11"/>
      <x:c r="DO202" s="61"/>
      <x:c r="DP202" s="62"/>
      <x:c r="DQ202" s="11"/>
      <x:c r="DR202" s="61"/>
      <x:c r="DS202" s="62"/>
      <x:c r="DT202" s="11"/>
      <x:c r="DU202" s="61"/>
      <x:c r="DV202" s="62"/>
    </x:row>
    <x:row r="203" spans="1:126" x14ac:dyDescent="0.3">
      <x:c r="A203" s="47"/>
      <x:c r="B203" s="70"/>
      <x:c r="C203" s="70"/>
      <x:c r="D203" s="70"/>
      <x:c r="E203" s="70"/>
      <x:c r="F203" s="70"/>
      <x:c r="G203" s="70"/>
      <x:c r="H203" s="70"/>
      <x:c r="I203" s="70"/>
      <x:c r="J203" s="70"/>
      <x:c r="K203" s="190"/>
      <x:c r="L203" s="191"/>
      <x:c r="M203" s="192">
        <x:f>IF(ISERROR(INDEX('Meter Type Data'!$B$2:$E$1165,SUMPRODUCT(--('Meter Type Data'!$B$2:$B$1165&lt;=Analysis!L203)*('Meter Type Data'!$C$2:$C$1165&gt;=Analysis!L203),ROW('Meter Type Data'!$B$2:$B$1165))-1,4))," ",INDEX('Meter Type Data'!$B$2:$E$1165,SUMPRODUCT(--('Meter Type Data'!$B$2:$B$1165&lt;=Analysis!L203)*('Meter Type Data'!$C$2:$C$1165&gt;=Analysis!L203),ROW('Meter Type Data'!$B$2:$B$1165))-1,4))</x:f>
      </x:c>
      <x:c r="N203" s="192">
        <x:f>IF(ISERROR(INDEX('Meter Type Data'!$B$2:$D$1165,SUMPRODUCT(--('Meter Type Data'!$B$2:$B$1165&lt;=Analysis!L203)*('Meter Type Data'!$C$2:$C$1165&gt;=Analysis!L203),ROW('Meter Type Data'!$B$2:$B$1165))-1,3))," ",INDEX('Meter Type Data'!$B$2:$D$1165,SUMPRODUCT(--('Meter Type Data'!$B$2:$B$1165&lt;=Analysis!L203)*('Meter Type Data'!$C$2:$C$1165&gt;=Analysis!L203),ROW('Meter Type Data'!$B$2:$B$1165))-1,3))</x:f>
      </x:c>
      <x:c r="O203" s="69"/>
      <x:c r="P203" s="47"/>
      <x:c r="Q203" s="60"/>
      <x:c r="R203" s="58">
        <x:f>(($O203*P203)/100)+(Q203*12)</x:f>
      </x:c>
      <x:c r="S203" s="59"/>
      <x:c r="T203" s="59"/>
      <x:c r="U203" s="58">
        <x:f>(($O203*S203)/100)+(T203*12)</x:f>
      </x:c>
      <x:c r="V203" s="47"/>
      <x:c r="W203" s="60"/>
      <x:c r="X203" s="58">
        <x:f>(($O203*V203)/100)+(W203*12)</x:f>
      </x:c>
      <x:c r="Y203" s="47"/>
      <x:c r="Z203" s="60"/>
      <x:c r="AA203" s="58">
        <x:f>(($O203*Y203)/100)+(Z203*12)</x:f>
      </x:c>
      <x:c r="AB203" s="47"/>
      <x:c r="AC203" s="60"/>
      <x:c r="AD203" s="58">
        <x:f>(($O203*AB203)/100)+(AC203*12)</x:f>
      </x:c>
      <x:c r="AE203" s="47"/>
      <x:c r="AF203" s="60"/>
      <x:c r="AG203" s="58">
        <x:f>(($O203*AE203)/100)+(AF203*12)</x:f>
      </x:c>
      <x:c r="AH203" s="47"/>
      <x:c r="AI203" s="60"/>
      <x:c r="AJ203" s="58">
        <x:f>(($O203*AH203)/100)+(AI203*12)</x:f>
      </x:c>
      <x:c r="AK203" s="47"/>
      <x:c r="AL203" s="60"/>
      <x:c r="AM203" s="58">
        <x:f>(($O203*AK203)/100)+(AL203*12)</x:f>
      </x:c>
      <x:c r="AN203" s="47"/>
      <x:c r="AO203" s="60"/>
      <x:c r="AP203" s="58">
        <x:f>(($O203*AN203)/100)+(AO203*12)</x:f>
      </x:c>
      <x:c r="AQ203" s="47"/>
      <x:c r="AR203" s="60"/>
      <x:c r="AS203" s="58">
        <x:f>(($O203*AQ203)/100)+(AR203*12)</x:f>
      </x:c>
      <x:c r="AT203" s="47"/>
      <x:c r="AU203" s="60"/>
      <x:c r="AV203" s="58">
        <x:f>(($O203*AT203)/100)+(AU203*12)</x:f>
      </x:c>
      <x:c r="AW203" s="47"/>
      <x:c r="AX203" s="60"/>
      <x:c r="AY203" s="58">
        <x:f>(($O203*AW203)/100)+(AX203*12)</x:f>
      </x:c>
      <x:c r="AZ203" s="47"/>
      <x:c r="BA203" s="60"/>
      <x:c r="BB203" s="58">
        <x:f>(($O203*AZ203)/100)+(BA203*12)</x:f>
      </x:c>
      <x:c r="BC203" s="47"/>
      <x:c r="BD203" s="60"/>
      <x:c r="BE203" s="58">
        <x:f>(($O203*BC203)/100)+(BD203*12)</x:f>
      </x:c>
      <x:c r="BF203" s="47"/>
      <x:c r="BG203" s="60"/>
      <x:c r="BH203" s="58">
        <x:f>(($O203*BF203)/100)+(BG203*12)</x:f>
      </x:c>
      <x:c r="BI203" s="47"/>
      <x:c r="BJ203" s="60"/>
      <x:c r="BK203" s="58">
        <x:f>(($O203*BI203)/100)+(BJ203*12)</x:f>
      </x:c>
      <x:c r="BL203" s="47"/>
      <x:c r="BM203" s="60"/>
      <x:c r="BN203" s="58">
        <x:f>(($O203*BL203)/100)+(BM203*12)</x:f>
      </x:c>
      <x:c r="BO203" s="47"/>
      <x:c r="BP203" s="60"/>
      <x:c r="BQ203" s="58">
        <x:f>(($O203*BO203)/100)+(BP203*12)</x:f>
      </x:c>
      <x:c r="BR203" s="47"/>
      <x:c r="BS203" s="60"/>
      <x:c r="BT203" s="58">
        <x:f>(($O203*BR203)/100)+(BS203*12)</x:f>
      </x:c>
      <x:c r="BU203" s="47"/>
      <x:c r="BV203" s="60"/>
      <x:c r="BW203" s="58">
        <x:f>(($O203*BU203)/100)+(BV203*12)</x:f>
      </x:c>
      <x:c r="BX203" s="47"/>
      <x:c r="BY203" s="60"/>
      <x:c r="BZ203" s="58">
        <x:f>(($O203*BX203)/100)+(BY203*12)</x:f>
      </x:c>
      <x:c r="CA203" s="47"/>
      <x:c r="CB203" s="60"/>
      <x:c r="CC203" s="58">
        <x:f>(($O203*CA203)/100)+(CB203*12)</x:f>
      </x:c>
      <x:c r="CD203" s="47"/>
      <x:c r="CE203" s="60"/>
      <x:c r="CF203" s="58">
        <x:f>(($O203*CD203)/100)+(CE203*12)</x:f>
      </x:c>
      <x:c r="CG203" s="47"/>
      <x:c r="CH203" s="60"/>
      <x:c r="CI203" s="58">
        <x:f>(($O203*CG203)/100)+(CH203*12)</x:f>
      </x:c>
      <x:c r="CJ203" s="47"/>
      <x:c r="CK203" s="60"/>
      <x:c r="CL203" s="58">
        <x:f>(($O203*CJ203)/100)+(CK203*12)</x:f>
      </x:c>
      <x:c r="CM203" s="47"/>
      <x:c r="CN203" s="60"/>
      <x:c r="CO203" s="58">
        <x:f>(($O203*CM203)/100)+(CN203*12)</x:f>
      </x:c>
      <x:c r="CP203" s="47"/>
      <x:c r="CQ203" s="60"/>
      <x:c r="CR203" s="58">
        <x:f>(($O203*CP203)/100)+(CQ203*12)</x:f>
      </x:c>
      <x:c r="CS203" s="47"/>
      <x:c r="CT203" s="60"/>
      <x:c r="CU203" s="58">
        <x:f>(($O203*CS203)/100)+(CT203*12)</x:f>
      </x:c>
      <x:c r="CV203" s="47"/>
      <x:c r="CW203" s="60"/>
      <x:c r="CX203" s="58"/>
      <x:c r="CY203" s="47"/>
      <x:c r="CZ203" s="60"/>
      <x:c r="DA203" s="58"/>
      <x:c r="DB203" s="47"/>
      <x:c r="DC203" s="60"/>
      <x:c r="DD203" s="58"/>
      <x:c r="DE203" s="47"/>
      <x:c r="DF203" s="60"/>
      <x:c r="DG203" s="58"/>
      <x:c r="DH203" s="47"/>
      <x:c r="DI203" s="60"/>
      <x:c r="DJ203" s="58"/>
      <x:c r="DK203" s="47"/>
      <x:c r="DL203" s="60"/>
      <x:c r="DM203" s="58"/>
      <x:c r="DN203" s="11"/>
      <x:c r="DO203" s="61"/>
      <x:c r="DP203" s="62"/>
      <x:c r="DQ203" s="11"/>
      <x:c r="DR203" s="61"/>
      <x:c r="DS203" s="62"/>
      <x:c r="DT203" s="11"/>
      <x:c r="DU203" s="61"/>
      <x:c r="DV203" s="62"/>
    </x:row>
    <x:row r="204" spans="1:126" x14ac:dyDescent="0.3">
      <x:c r="A204" s="47"/>
      <x:c r="B204" s="70"/>
      <x:c r="C204" s="70"/>
      <x:c r="D204" s="70"/>
      <x:c r="E204" s="70"/>
      <x:c r="F204" s="70"/>
      <x:c r="G204" s="70"/>
      <x:c r="H204" s="70"/>
      <x:c r="I204" s="70"/>
      <x:c r="J204" s="70"/>
      <x:c r="K204" s="190"/>
      <x:c r="L204" s="191"/>
      <x:c r="M204" s="192">
        <x:f>IF(ISERROR(INDEX('Meter Type Data'!$B$2:$E$1165,SUMPRODUCT(--('Meter Type Data'!$B$2:$B$1165&lt;=Analysis!L204)*('Meter Type Data'!$C$2:$C$1165&gt;=Analysis!L204),ROW('Meter Type Data'!$B$2:$B$1165))-1,4))," ",INDEX('Meter Type Data'!$B$2:$E$1165,SUMPRODUCT(--('Meter Type Data'!$B$2:$B$1165&lt;=Analysis!L204)*('Meter Type Data'!$C$2:$C$1165&gt;=Analysis!L204),ROW('Meter Type Data'!$B$2:$B$1165))-1,4))</x:f>
      </x:c>
      <x:c r="N204" s="192">
        <x:f>IF(ISERROR(INDEX('Meter Type Data'!$B$2:$D$1165,SUMPRODUCT(--('Meter Type Data'!$B$2:$B$1165&lt;=Analysis!L204)*('Meter Type Data'!$C$2:$C$1165&gt;=Analysis!L204),ROW('Meter Type Data'!$B$2:$B$1165))-1,3))," ",INDEX('Meter Type Data'!$B$2:$D$1165,SUMPRODUCT(--('Meter Type Data'!$B$2:$B$1165&lt;=Analysis!L204)*('Meter Type Data'!$C$2:$C$1165&gt;=Analysis!L204),ROW('Meter Type Data'!$B$2:$B$1165))-1,3))</x:f>
      </x:c>
      <x:c r="O204" s="69"/>
      <x:c r="P204" s="47"/>
      <x:c r="Q204" s="60"/>
      <x:c r="R204" s="58">
        <x:f>(($O204*P204)/100)+(Q204*12)</x:f>
      </x:c>
      <x:c r="S204" s="59"/>
      <x:c r="T204" s="59"/>
      <x:c r="U204" s="58">
        <x:f>(($O204*S204)/100)+(T204*12)</x:f>
      </x:c>
      <x:c r="V204" s="47"/>
      <x:c r="W204" s="60"/>
      <x:c r="X204" s="58">
        <x:f>(($O204*V204)/100)+(W204*12)</x:f>
      </x:c>
      <x:c r="Y204" s="47"/>
      <x:c r="Z204" s="60"/>
      <x:c r="AA204" s="58">
        <x:f>(($O204*Y204)/100)+(Z204*12)</x:f>
      </x:c>
      <x:c r="AB204" s="47"/>
      <x:c r="AC204" s="60"/>
      <x:c r="AD204" s="58">
        <x:f>(($O204*AB204)/100)+(AC204*12)</x:f>
      </x:c>
      <x:c r="AE204" s="47"/>
      <x:c r="AF204" s="60"/>
      <x:c r="AG204" s="58">
        <x:f>(($O204*AE204)/100)+(AF204*12)</x:f>
      </x:c>
      <x:c r="AH204" s="47"/>
      <x:c r="AI204" s="60"/>
      <x:c r="AJ204" s="58">
        <x:f>(($O204*AH204)/100)+(AI204*12)</x:f>
      </x:c>
      <x:c r="AK204" s="47"/>
      <x:c r="AL204" s="60"/>
      <x:c r="AM204" s="58">
        <x:f>(($O204*AK204)/100)+(AL204*12)</x:f>
      </x:c>
      <x:c r="AN204" s="47"/>
      <x:c r="AO204" s="60"/>
      <x:c r="AP204" s="58">
        <x:f>(($O204*AN204)/100)+(AO204*12)</x:f>
      </x:c>
      <x:c r="AQ204" s="47"/>
      <x:c r="AR204" s="60"/>
      <x:c r="AS204" s="58">
        <x:f>(($O204*AQ204)/100)+(AR204*12)</x:f>
      </x:c>
      <x:c r="AT204" s="47"/>
      <x:c r="AU204" s="60"/>
      <x:c r="AV204" s="58">
        <x:f>(($O204*AT204)/100)+(AU204*12)</x:f>
      </x:c>
      <x:c r="AW204" s="47"/>
      <x:c r="AX204" s="60"/>
      <x:c r="AY204" s="58">
        <x:f>(($O204*AW204)/100)+(AX204*12)</x:f>
      </x:c>
      <x:c r="AZ204" s="47"/>
      <x:c r="BA204" s="60"/>
      <x:c r="BB204" s="58">
        <x:f>(($O204*AZ204)/100)+(BA204*12)</x:f>
      </x:c>
      <x:c r="BC204" s="47"/>
      <x:c r="BD204" s="60"/>
      <x:c r="BE204" s="58">
        <x:f>(($O204*BC204)/100)+(BD204*12)</x:f>
      </x:c>
      <x:c r="BF204" s="47"/>
      <x:c r="BG204" s="60"/>
      <x:c r="BH204" s="58">
        <x:f>(($O204*BF204)/100)+(BG204*12)</x:f>
      </x:c>
      <x:c r="BI204" s="47"/>
      <x:c r="BJ204" s="60"/>
      <x:c r="BK204" s="58">
        <x:f>(($O204*BI204)/100)+(BJ204*12)</x:f>
      </x:c>
      <x:c r="BL204" s="47"/>
      <x:c r="BM204" s="60"/>
      <x:c r="BN204" s="58">
        <x:f>(($O204*BL204)/100)+(BM204*12)</x:f>
      </x:c>
      <x:c r="BO204" s="47"/>
      <x:c r="BP204" s="60"/>
      <x:c r="BQ204" s="58">
        <x:f>(($O204*BO204)/100)+(BP204*12)</x:f>
      </x:c>
      <x:c r="BR204" s="47"/>
      <x:c r="BS204" s="60"/>
      <x:c r="BT204" s="58">
        <x:f>(($O204*BR204)/100)+(BS204*12)</x:f>
      </x:c>
      <x:c r="BU204" s="47"/>
      <x:c r="BV204" s="60"/>
      <x:c r="BW204" s="58">
        <x:f>(($O204*BU204)/100)+(BV204*12)</x:f>
      </x:c>
      <x:c r="BX204" s="47"/>
      <x:c r="BY204" s="60"/>
      <x:c r="BZ204" s="58">
        <x:f>(($O204*BX204)/100)+(BY204*12)</x:f>
      </x:c>
      <x:c r="CA204" s="47"/>
      <x:c r="CB204" s="60"/>
      <x:c r="CC204" s="58">
        <x:f>(($O204*CA204)/100)+(CB204*12)</x:f>
      </x:c>
      <x:c r="CD204" s="47"/>
      <x:c r="CE204" s="60"/>
      <x:c r="CF204" s="58">
        <x:f>(($O204*CD204)/100)+(CE204*12)</x:f>
      </x:c>
      <x:c r="CG204" s="47"/>
      <x:c r="CH204" s="60"/>
      <x:c r="CI204" s="58">
        <x:f>(($O204*CG204)/100)+(CH204*12)</x:f>
      </x:c>
      <x:c r="CJ204" s="47"/>
      <x:c r="CK204" s="60"/>
      <x:c r="CL204" s="58">
        <x:f>(($O204*CJ204)/100)+(CK204*12)</x:f>
      </x:c>
      <x:c r="CM204" s="47"/>
      <x:c r="CN204" s="60"/>
      <x:c r="CO204" s="58">
        <x:f>(($O204*CM204)/100)+(CN204*12)</x:f>
      </x:c>
      <x:c r="CP204" s="47"/>
      <x:c r="CQ204" s="60"/>
      <x:c r="CR204" s="58">
        <x:f>(($O204*CP204)/100)+(CQ204*12)</x:f>
      </x:c>
      <x:c r="CS204" s="47"/>
      <x:c r="CT204" s="60"/>
      <x:c r="CU204" s="58">
        <x:f>(($O204*CS204)/100)+(CT204*12)</x:f>
      </x:c>
      <x:c r="CV204" s="47"/>
      <x:c r="CW204" s="60"/>
      <x:c r="CX204" s="58"/>
      <x:c r="CY204" s="47"/>
      <x:c r="CZ204" s="60"/>
      <x:c r="DA204" s="58"/>
      <x:c r="DB204" s="47"/>
      <x:c r="DC204" s="60"/>
      <x:c r="DD204" s="58"/>
      <x:c r="DE204" s="47"/>
      <x:c r="DF204" s="60"/>
      <x:c r="DG204" s="58"/>
      <x:c r="DH204" s="47"/>
      <x:c r="DI204" s="60"/>
      <x:c r="DJ204" s="58"/>
      <x:c r="DK204" s="47"/>
      <x:c r="DL204" s="60"/>
      <x:c r="DM204" s="58"/>
      <x:c r="DN204" s="11"/>
      <x:c r="DO204" s="61"/>
      <x:c r="DP204" s="62"/>
      <x:c r="DQ204" s="11"/>
      <x:c r="DR204" s="61"/>
      <x:c r="DS204" s="62"/>
      <x:c r="DT204" s="11"/>
      <x:c r="DU204" s="61"/>
      <x:c r="DV204" s="62"/>
    </x:row>
    <x:row r="205" spans="1:126" x14ac:dyDescent="0.3">
      <x:c r="A205" s="47"/>
      <x:c r="B205" s="70"/>
      <x:c r="C205" s="70"/>
      <x:c r="D205" s="70"/>
      <x:c r="E205" s="70"/>
      <x:c r="F205" s="70"/>
      <x:c r="G205" s="70"/>
      <x:c r="H205" s="70"/>
      <x:c r="I205" s="70"/>
      <x:c r="J205" s="70"/>
      <x:c r="K205" s="190"/>
      <x:c r="L205" s="191"/>
      <x:c r="M205" s="192">
        <x:f>IF(ISERROR(INDEX('Meter Type Data'!$B$2:$E$1165,SUMPRODUCT(--('Meter Type Data'!$B$2:$B$1165&lt;=Analysis!L205)*('Meter Type Data'!$C$2:$C$1165&gt;=Analysis!L205),ROW('Meter Type Data'!$B$2:$B$1165))-1,4))," ",INDEX('Meter Type Data'!$B$2:$E$1165,SUMPRODUCT(--('Meter Type Data'!$B$2:$B$1165&lt;=Analysis!L205)*('Meter Type Data'!$C$2:$C$1165&gt;=Analysis!L205),ROW('Meter Type Data'!$B$2:$B$1165))-1,4))</x:f>
      </x:c>
      <x:c r="N205" s="192">
        <x:f>IF(ISERROR(INDEX('Meter Type Data'!$B$2:$D$1165,SUMPRODUCT(--('Meter Type Data'!$B$2:$B$1165&lt;=Analysis!L205)*('Meter Type Data'!$C$2:$C$1165&gt;=Analysis!L205),ROW('Meter Type Data'!$B$2:$B$1165))-1,3))," ",INDEX('Meter Type Data'!$B$2:$D$1165,SUMPRODUCT(--('Meter Type Data'!$B$2:$B$1165&lt;=Analysis!L205)*('Meter Type Data'!$C$2:$C$1165&gt;=Analysis!L205),ROW('Meter Type Data'!$B$2:$B$1165))-1,3))</x:f>
      </x:c>
      <x:c r="O205" s="69"/>
      <x:c r="P205" s="47"/>
      <x:c r="Q205" s="60"/>
      <x:c r="R205" s="58">
        <x:f>(($O205*P205)/100)+(Q205*12)</x:f>
      </x:c>
      <x:c r="S205" s="59"/>
      <x:c r="T205" s="59"/>
      <x:c r="U205" s="58">
        <x:f>(($O205*S205)/100)+(T205*12)</x:f>
      </x:c>
      <x:c r="V205" s="47"/>
      <x:c r="W205" s="60"/>
      <x:c r="X205" s="58">
        <x:f>(($O205*V205)/100)+(W205*12)</x:f>
      </x:c>
      <x:c r="Y205" s="47"/>
      <x:c r="Z205" s="60"/>
      <x:c r="AA205" s="58">
        <x:f>(($O205*Y205)/100)+(Z205*12)</x:f>
      </x:c>
      <x:c r="AB205" s="47"/>
      <x:c r="AC205" s="60"/>
      <x:c r="AD205" s="58">
        <x:f>(($O205*AB205)/100)+(AC205*12)</x:f>
      </x:c>
      <x:c r="AE205" s="47"/>
      <x:c r="AF205" s="60"/>
      <x:c r="AG205" s="58">
        <x:f>(($O205*AE205)/100)+(AF205*12)</x:f>
      </x:c>
      <x:c r="AH205" s="47"/>
      <x:c r="AI205" s="60"/>
      <x:c r="AJ205" s="58">
        <x:f>(($O205*AH205)/100)+(AI205*12)</x:f>
      </x:c>
      <x:c r="AK205" s="47"/>
      <x:c r="AL205" s="60"/>
      <x:c r="AM205" s="58">
        <x:f>(($O205*AK205)/100)+(AL205*12)</x:f>
      </x:c>
      <x:c r="AN205" s="47"/>
      <x:c r="AO205" s="60"/>
      <x:c r="AP205" s="58">
        <x:f>(($O205*AN205)/100)+(AO205*12)</x:f>
      </x:c>
      <x:c r="AQ205" s="47"/>
      <x:c r="AR205" s="60"/>
      <x:c r="AS205" s="58">
        <x:f>(($O205*AQ205)/100)+(AR205*12)</x:f>
      </x:c>
      <x:c r="AT205" s="47"/>
      <x:c r="AU205" s="60"/>
      <x:c r="AV205" s="58">
        <x:f>(($O205*AT205)/100)+(AU205*12)</x:f>
      </x:c>
      <x:c r="AW205" s="47"/>
      <x:c r="AX205" s="60"/>
      <x:c r="AY205" s="58">
        <x:f>(($O205*AW205)/100)+(AX205*12)</x:f>
      </x:c>
      <x:c r="AZ205" s="47"/>
      <x:c r="BA205" s="60"/>
      <x:c r="BB205" s="58">
        <x:f>(($O205*AZ205)/100)+(BA205*12)</x:f>
      </x:c>
      <x:c r="BC205" s="47"/>
      <x:c r="BD205" s="60"/>
      <x:c r="BE205" s="58">
        <x:f>(($O205*BC205)/100)+(BD205*12)</x:f>
      </x:c>
      <x:c r="BF205" s="47"/>
      <x:c r="BG205" s="60"/>
      <x:c r="BH205" s="58">
        <x:f>(($O205*BF205)/100)+(BG205*12)</x:f>
      </x:c>
      <x:c r="BI205" s="47"/>
      <x:c r="BJ205" s="60"/>
      <x:c r="BK205" s="58">
        <x:f>(($O205*BI205)/100)+(BJ205*12)</x:f>
      </x:c>
      <x:c r="BL205" s="47"/>
      <x:c r="BM205" s="60"/>
      <x:c r="BN205" s="58">
        <x:f>(($O205*BL205)/100)+(BM205*12)</x:f>
      </x:c>
      <x:c r="BO205" s="47"/>
      <x:c r="BP205" s="60"/>
      <x:c r="BQ205" s="58">
        <x:f>(($O205*BO205)/100)+(BP205*12)</x:f>
      </x:c>
      <x:c r="BR205" s="47"/>
      <x:c r="BS205" s="60"/>
      <x:c r="BT205" s="58">
        <x:f>(($O205*BR205)/100)+(BS205*12)</x:f>
      </x:c>
      <x:c r="BU205" s="47"/>
      <x:c r="BV205" s="60"/>
      <x:c r="BW205" s="58">
        <x:f>(($O205*BU205)/100)+(BV205*12)</x:f>
      </x:c>
      <x:c r="BX205" s="47"/>
      <x:c r="BY205" s="60"/>
      <x:c r="BZ205" s="58">
        <x:f>(($O205*BX205)/100)+(BY205*12)</x:f>
      </x:c>
      <x:c r="CA205" s="47"/>
      <x:c r="CB205" s="60"/>
      <x:c r="CC205" s="58">
        <x:f>(($O205*CA205)/100)+(CB205*12)</x:f>
      </x:c>
      <x:c r="CD205" s="47"/>
      <x:c r="CE205" s="60"/>
      <x:c r="CF205" s="58">
        <x:f>(($O205*CD205)/100)+(CE205*12)</x:f>
      </x:c>
      <x:c r="CG205" s="47"/>
      <x:c r="CH205" s="60"/>
      <x:c r="CI205" s="58">
        <x:f>(($O205*CG205)/100)+(CH205*12)</x:f>
      </x:c>
      <x:c r="CJ205" s="47"/>
      <x:c r="CK205" s="60"/>
      <x:c r="CL205" s="58">
        <x:f>(($O205*CJ205)/100)+(CK205*12)</x:f>
      </x:c>
      <x:c r="CM205" s="47"/>
      <x:c r="CN205" s="60"/>
      <x:c r="CO205" s="58">
        <x:f>(($O205*CM205)/100)+(CN205*12)</x:f>
      </x:c>
      <x:c r="CP205" s="47"/>
      <x:c r="CQ205" s="60"/>
      <x:c r="CR205" s="58">
        <x:f>(($O205*CP205)/100)+(CQ205*12)</x:f>
      </x:c>
      <x:c r="CS205" s="47"/>
      <x:c r="CT205" s="60"/>
      <x:c r="CU205" s="58">
        <x:f>(($O205*CS205)/100)+(CT205*12)</x:f>
      </x:c>
      <x:c r="CV205" s="47"/>
      <x:c r="CW205" s="60"/>
      <x:c r="CX205" s="58"/>
      <x:c r="CY205" s="47"/>
      <x:c r="CZ205" s="60"/>
      <x:c r="DA205" s="58"/>
      <x:c r="DB205" s="47"/>
      <x:c r="DC205" s="60"/>
      <x:c r="DD205" s="58"/>
      <x:c r="DE205" s="47"/>
      <x:c r="DF205" s="60"/>
      <x:c r="DG205" s="58"/>
      <x:c r="DH205" s="47"/>
      <x:c r="DI205" s="60"/>
      <x:c r="DJ205" s="58"/>
      <x:c r="DK205" s="47"/>
      <x:c r="DL205" s="60"/>
      <x:c r="DM205" s="58"/>
      <x:c r="DN205" s="11"/>
      <x:c r="DO205" s="61"/>
      <x:c r="DP205" s="62"/>
      <x:c r="DQ205" s="11"/>
      <x:c r="DR205" s="61"/>
      <x:c r="DS205" s="62"/>
      <x:c r="DT205" s="11"/>
      <x:c r="DU205" s="61"/>
      <x:c r="DV205" s="62"/>
    </x:row>
    <x:row r="206" spans="1:126" x14ac:dyDescent="0.3">
      <x:c r="A206" s="47"/>
      <x:c r="B206" s="70"/>
      <x:c r="C206" s="70"/>
      <x:c r="D206" s="70"/>
      <x:c r="E206" s="70"/>
      <x:c r="F206" s="70"/>
      <x:c r="G206" s="70"/>
      <x:c r="H206" s="70"/>
      <x:c r="I206" s="70"/>
      <x:c r="J206" s="70"/>
      <x:c r="K206" s="190"/>
      <x:c r="L206" s="191"/>
      <x:c r="M206" s="192">
        <x:f>IF(ISERROR(INDEX('Meter Type Data'!$B$2:$E$1165,SUMPRODUCT(--('Meter Type Data'!$B$2:$B$1165&lt;=Analysis!L206)*('Meter Type Data'!$C$2:$C$1165&gt;=Analysis!L206),ROW('Meter Type Data'!$B$2:$B$1165))-1,4))," ",INDEX('Meter Type Data'!$B$2:$E$1165,SUMPRODUCT(--('Meter Type Data'!$B$2:$B$1165&lt;=Analysis!L206)*('Meter Type Data'!$C$2:$C$1165&gt;=Analysis!L206),ROW('Meter Type Data'!$B$2:$B$1165))-1,4))</x:f>
      </x:c>
      <x:c r="N206" s="192">
        <x:f>IF(ISERROR(INDEX('Meter Type Data'!$B$2:$D$1165,SUMPRODUCT(--('Meter Type Data'!$B$2:$B$1165&lt;=Analysis!L206)*('Meter Type Data'!$C$2:$C$1165&gt;=Analysis!L206),ROW('Meter Type Data'!$B$2:$B$1165))-1,3))," ",INDEX('Meter Type Data'!$B$2:$D$1165,SUMPRODUCT(--('Meter Type Data'!$B$2:$B$1165&lt;=Analysis!L206)*('Meter Type Data'!$C$2:$C$1165&gt;=Analysis!L206),ROW('Meter Type Data'!$B$2:$B$1165))-1,3))</x:f>
      </x:c>
      <x:c r="O206" s="69"/>
      <x:c r="P206" s="47"/>
      <x:c r="Q206" s="60"/>
      <x:c r="R206" s="58">
        <x:f>(($O206*P206)/100)+(Q206*12)</x:f>
      </x:c>
      <x:c r="S206" s="59"/>
      <x:c r="T206" s="59"/>
      <x:c r="U206" s="58">
        <x:f>(($O206*S206)/100)+(T206*12)</x:f>
      </x:c>
      <x:c r="V206" s="47"/>
      <x:c r="W206" s="60"/>
      <x:c r="X206" s="58">
        <x:f>(($O206*V206)/100)+(W206*12)</x:f>
      </x:c>
      <x:c r="Y206" s="47"/>
      <x:c r="Z206" s="60"/>
      <x:c r="AA206" s="58">
        <x:f>(($O206*Y206)/100)+(Z206*12)</x:f>
      </x:c>
      <x:c r="AB206" s="47"/>
      <x:c r="AC206" s="60"/>
      <x:c r="AD206" s="58">
        <x:f>(($O206*AB206)/100)+(AC206*12)</x:f>
      </x:c>
      <x:c r="AE206" s="47"/>
      <x:c r="AF206" s="60"/>
      <x:c r="AG206" s="58">
        <x:f>(($O206*AE206)/100)+(AF206*12)</x:f>
      </x:c>
      <x:c r="AH206" s="47"/>
      <x:c r="AI206" s="60"/>
      <x:c r="AJ206" s="58">
        <x:f>(($O206*AH206)/100)+(AI206*12)</x:f>
      </x:c>
      <x:c r="AK206" s="47"/>
      <x:c r="AL206" s="60"/>
      <x:c r="AM206" s="58">
        <x:f>(($O206*AK206)/100)+(AL206*12)</x:f>
      </x:c>
      <x:c r="AN206" s="47"/>
      <x:c r="AO206" s="60"/>
      <x:c r="AP206" s="58">
        <x:f>(($O206*AN206)/100)+(AO206*12)</x:f>
      </x:c>
      <x:c r="AQ206" s="47"/>
      <x:c r="AR206" s="60"/>
      <x:c r="AS206" s="58">
        <x:f>(($O206*AQ206)/100)+(AR206*12)</x:f>
      </x:c>
      <x:c r="AT206" s="47"/>
      <x:c r="AU206" s="60"/>
      <x:c r="AV206" s="58">
        <x:f>(($O206*AT206)/100)+(AU206*12)</x:f>
      </x:c>
      <x:c r="AW206" s="47"/>
      <x:c r="AX206" s="60"/>
      <x:c r="AY206" s="58">
        <x:f>(($O206*AW206)/100)+(AX206*12)</x:f>
      </x:c>
      <x:c r="AZ206" s="47"/>
      <x:c r="BA206" s="60"/>
      <x:c r="BB206" s="58">
        <x:f>(($O206*AZ206)/100)+(BA206*12)</x:f>
      </x:c>
      <x:c r="BC206" s="47"/>
      <x:c r="BD206" s="60"/>
      <x:c r="BE206" s="58">
        <x:f>(($O206*BC206)/100)+(BD206*12)</x:f>
      </x:c>
      <x:c r="BF206" s="47"/>
      <x:c r="BG206" s="60"/>
      <x:c r="BH206" s="58">
        <x:f>(($O206*BF206)/100)+(BG206*12)</x:f>
      </x:c>
      <x:c r="BI206" s="47"/>
      <x:c r="BJ206" s="60"/>
      <x:c r="BK206" s="58">
        <x:f>(($O206*BI206)/100)+(BJ206*12)</x:f>
      </x:c>
      <x:c r="BL206" s="47"/>
      <x:c r="BM206" s="60"/>
      <x:c r="BN206" s="58">
        <x:f>(($O206*BL206)/100)+(BM206*12)</x:f>
      </x:c>
      <x:c r="BO206" s="47"/>
      <x:c r="BP206" s="60"/>
      <x:c r="BQ206" s="58">
        <x:f>(($O206*BO206)/100)+(BP206*12)</x:f>
      </x:c>
      <x:c r="BR206" s="47"/>
      <x:c r="BS206" s="60"/>
      <x:c r="BT206" s="58">
        <x:f>(($O206*BR206)/100)+(BS206*12)</x:f>
      </x:c>
      <x:c r="BU206" s="47"/>
      <x:c r="BV206" s="60"/>
      <x:c r="BW206" s="58">
        <x:f>(($O206*BU206)/100)+(BV206*12)</x:f>
      </x:c>
      <x:c r="BX206" s="47"/>
      <x:c r="BY206" s="60"/>
      <x:c r="BZ206" s="58">
        <x:f>(($O206*BX206)/100)+(BY206*12)</x:f>
      </x:c>
      <x:c r="CA206" s="47"/>
      <x:c r="CB206" s="60"/>
      <x:c r="CC206" s="58">
        <x:f>(($O206*CA206)/100)+(CB206*12)</x:f>
      </x:c>
      <x:c r="CD206" s="47"/>
      <x:c r="CE206" s="60"/>
      <x:c r="CF206" s="58">
        <x:f>(($O206*CD206)/100)+(CE206*12)</x:f>
      </x:c>
      <x:c r="CG206" s="47"/>
      <x:c r="CH206" s="60"/>
      <x:c r="CI206" s="58">
        <x:f>(($O206*CG206)/100)+(CH206*12)</x:f>
      </x:c>
      <x:c r="CJ206" s="47"/>
      <x:c r="CK206" s="60"/>
      <x:c r="CL206" s="58">
        <x:f>(($O206*CJ206)/100)+(CK206*12)</x:f>
      </x:c>
      <x:c r="CM206" s="47"/>
      <x:c r="CN206" s="60"/>
      <x:c r="CO206" s="58">
        <x:f>(($O206*CM206)/100)+(CN206*12)</x:f>
      </x:c>
      <x:c r="CP206" s="47"/>
      <x:c r="CQ206" s="60"/>
      <x:c r="CR206" s="58">
        <x:f>(($O206*CP206)/100)+(CQ206*12)</x:f>
      </x:c>
      <x:c r="CS206" s="47"/>
      <x:c r="CT206" s="60"/>
      <x:c r="CU206" s="58">
        <x:f>(($O206*CS206)/100)+(CT206*12)</x:f>
      </x:c>
      <x:c r="CV206" s="47"/>
      <x:c r="CW206" s="60"/>
      <x:c r="CX206" s="58"/>
      <x:c r="CY206" s="47"/>
      <x:c r="CZ206" s="60"/>
      <x:c r="DA206" s="58"/>
      <x:c r="DB206" s="47"/>
      <x:c r="DC206" s="60"/>
      <x:c r="DD206" s="58"/>
      <x:c r="DE206" s="47"/>
      <x:c r="DF206" s="60"/>
      <x:c r="DG206" s="58"/>
      <x:c r="DH206" s="47"/>
      <x:c r="DI206" s="60"/>
      <x:c r="DJ206" s="58"/>
      <x:c r="DK206" s="47"/>
      <x:c r="DL206" s="60"/>
      <x:c r="DM206" s="58"/>
      <x:c r="DN206" s="11"/>
      <x:c r="DO206" s="61"/>
      <x:c r="DP206" s="62"/>
      <x:c r="DQ206" s="11"/>
      <x:c r="DR206" s="61"/>
      <x:c r="DS206" s="62"/>
      <x:c r="DT206" s="11"/>
      <x:c r="DU206" s="61"/>
      <x:c r="DV206" s="62"/>
    </x:row>
    <x:row r="207" spans="1:126" x14ac:dyDescent="0.3">
      <x:c r="A207" s="47"/>
      <x:c r="B207" s="70"/>
      <x:c r="C207" s="70"/>
      <x:c r="D207" s="70"/>
      <x:c r="E207" s="70"/>
      <x:c r="F207" s="70"/>
      <x:c r="G207" s="70"/>
      <x:c r="H207" s="70"/>
      <x:c r="I207" s="70"/>
      <x:c r="J207" s="70"/>
      <x:c r="K207" s="190"/>
      <x:c r="L207" s="191"/>
      <x:c r="M207" s="192">
        <x:f>IF(ISERROR(INDEX('Meter Type Data'!$B$2:$E$1165,SUMPRODUCT(--('Meter Type Data'!$B$2:$B$1165&lt;=Analysis!L207)*('Meter Type Data'!$C$2:$C$1165&gt;=Analysis!L207),ROW('Meter Type Data'!$B$2:$B$1165))-1,4))," ",INDEX('Meter Type Data'!$B$2:$E$1165,SUMPRODUCT(--('Meter Type Data'!$B$2:$B$1165&lt;=Analysis!L207)*('Meter Type Data'!$C$2:$C$1165&gt;=Analysis!L207),ROW('Meter Type Data'!$B$2:$B$1165))-1,4))</x:f>
      </x:c>
      <x:c r="N207" s="192">
        <x:f>IF(ISERROR(INDEX('Meter Type Data'!$B$2:$D$1165,SUMPRODUCT(--('Meter Type Data'!$B$2:$B$1165&lt;=Analysis!L207)*('Meter Type Data'!$C$2:$C$1165&gt;=Analysis!L207),ROW('Meter Type Data'!$B$2:$B$1165))-1,3))," ",INDEX('Meter Type Data'!$B$2:$D$1165,SUMPRODUCT(--('Meter Type Data'!$B$2:$B$1165&lt;=Analysis!L207)*('Meter Type Data'!$C$2:$C$1165&gt;=Analysis!L207),ROW('Meter Type Data'!$B$2:$B$1165))-1,3))</x:f>
      </x:c>
      <x:c r="O207" s="69"/>
      <x:c r="P207" s="47"/>
      <x:c r="Q207" s="60"/>
      <x:c r="R207" s="58">
        <x:f>(($O207*P207)/100)+(Q207*12)</x:f>
      </x:c>
      <x:c r="S207" s="59"/>
      <x:c r="T207" s="59"/>
      <x:c r="U207" s="58">
        <x:f>(($O207*S207)/100)+(T207*12)</x:f>
      </x:c>
      <x:c r="V207" s="47"/>
      <x:c r="W207" s="60"/>
      <x:c r="X207" s="58">
        <x:f>(($O207*V207)/100)+(W207*12)</x:f>
      </x:c>
      <x:c r="Y207" s="47"/>
      <x:c r="Z207" s="60"/>
      <x:c r="AA207" s="58">
        <x:f>(($O207*Y207)/100)+(Z207*12)</x:f>
      </x:c>
      <x:c r="AB207" s="47"/>
      <x:c r="AC207" s="60"/>
      <x:c r="AD207" s="58">
        <x:f>(($O207*AB207)/100)+(AC207*12)</x:f>
      </x:c>
      <x:c r="AE207" s="47"/>
      <x:c r="AF207" s="60"/>
      <x:c r="AG207" s="58">
        <x:f>(($O207*AE207)/100)+(AF207*12)</x:f>
      </x:c>
      <x:c r="AH207" s="47"/>
      <x:c r="AI207" s="60"/>
      <x:c r="AJ207" s="58">
        <x:f>(($O207*AH207)/100)+(AI207*12)</x:f>
      </x:c>
      <x:c r="AK207" s="47"/>
      <x:c r="AL207" s="60"/>
      <x:c r="AM207" s="58">
        <x:f>(($O207*AK207)/100)+(AL207*12)</x:f>
      </x:c>
      <x:c r="AN207" s="47"/>
      <x:c r="AO207" s="60"/>
      <x:c r="AP207" s="58">
        <x:f>(($O207*AN207)/100)+(AO207*12)</x:f>
      </x:c>
      <x:c r="AQ207" s="47"/>
      <x:c r="AR207" s="60"/>
      <x:c r="AS207" s="58">
        <x:f>(($O207*AQ207)/100)+(AR207*12)</x:f>
      </x:c>
      <x:c r="AT207" s="47"/>
      <x:c r="AU207" s="60"/>
      <x:c r="AV207" s="58">
        <x:f>(($O207*AT207)/100)+(AU207*12)</x:f>
      </x:c>
      <x:c r="AW207" s="47"/>
      <x:c r="AX207" s="60"/>
      <x:c r="AY207" s="58">
        <x:f>(($O207*AW207)/100)+(AX207*12)</x:f>
      </x:c>
      <x:c r="AZ207" s="47"/>
      <x:c r="BA207" s="60"/>
      <x:c r="BB207" s="58">
        <x:f>(($O207*AZ207)/100)+(BA207*12)</x:f>
      </x:c>
      <x:c r="BC207" s="47"/>
      <x:c r="BD207" s="60"/>
      <x:c r="BE207" s="58">
        <x:f>(($O207*BC207)/100)+(BD207*12)</x:f>
      </x:c>
      <x:c r="BF207" s="47"/>
      <x:c r="BG207" s="60"/>
      <x:c r="BH207" s="58">
        <x:f>(($O207*BF207)/100)+(BG207*12)</x:f>
      </x:c>
      <x:c r="BI207" s="47"/>
      <x:c r="BJ207" s="60"/>
      <x:c r="BK207" s="58">
        <x:f>(($O207*BI207)/100)+(BJ207*12)</x:f>
      </x:c>
      <x:c r="BL207" s="47"/>
      <x:c r="BM207" s="60"/>
      <x:c r="BN207" s="58">
        <x:f>(($O207*BL207)/100)+(BM207*12)</x:f>
      </x:c>
      <x:c r="BO207" s="47"/>
      <x:c r="BP207" s="60"/>
      <x:c r="BQ207" s="58">
        <x:f>(($O207*BO207)/100)+(BP207*12)</x:f>
      </x:c>
      <x:c r="BR207" s="47"/>
      <x:c r="BS207" s="60"/>
      <x:c r="BT207" s="58">
        <x:f>(($O207*BR207)/100)+(BS207*12)</x:f>
      </x:c>
      <x:c r="BU207" s="47"/>
      <x:c r="BV207" s="60"/>
      <x:c r="BW207" s="58">
        <x:f>(($O207*BU207)/100)+(BV207*12)</x:f>
      </x:c>
      <x:c r="BX207" s="47"/>
      <x:c r="BY207" s="60"/>
      <x:c r="BZ207" s="58">
        <x:f>(($O207*BX207)/100)+(BY207*12)</x:f>
      </x:c>
      <x:c r="CA207" s="47"/>
      <x:c r="CB207" s="60"/>
      <x:c r="CC207" s="58">
        <x:f>(($O207*CA207)/100)+(CB207*12)</x:f>
      </x:c>
      <x:c r="CD207" s="47"/>
      <x:c r="CE207" s="60"/>
      <x:c r="CF207" s="58">
        <x:f>(($O207*CD207)/100)+(CE207*12)</x:f>
      </x:c>
      <x:c r="CG207" s="47"/>
      <x:c r="CH207" s="60"/>
      <x:c r="CI207" s="58">
        <x:f>(($O207*CG207)/100)+(CH207*12)</x:f>
      </x:c>
      <x:c r="CJ207" s="47"/>
      <x:c r="CK207" s="60"/>
      <x:c r="CL207" s="58">
        <x:f>(($O207*CJ207)/100)+(CK207*12)</x:f>
      </x:c>
      <x:c r="CM207" s="47"/>
      <x:c r="CN207" s="60"/>
      <x:c r="CO207" s="58">
        <x:f>(($O207*CM207)/100)+(CN207*12)</x:f>
      </x:c>
      <x:c r="CP207" s="47"/>
      <x:c r="CQ207" s="60"/>
      <x:c r="CR207" s="58">
        <x:f>(($O207*CP207)/100)+(CQ207*12)</x:f>
      </x:c>
      <x:c r="CS207" s="47"/>
      <x:c r="CT207" s="60"/>
      <x:c r="CU207" s="58">
        <x:f>(($O207*CS207)/100)+(CT207*12)</x:f>
      </x:c>
      <x:c r="CV207" s="47"/>
      <x:c r="CW207" s="60"/>
      <x:c r="CX207" s="58"/>
      <x:c r="CY207" s="47"/>
      <x:c r="CZ207" s="60"/>
      <x:c r="DA207" s="58"/>
      <x:c r="DB207" s="47"/>
      <x:c r="DC207" s="60"/>
      <x:c r="DD207" s="58"/>
      <x:c r="DE207" s="47"/>
      <x:c r="DF207" s="60"/>
      <x:c r="DG207" s="58"/>
      <x:c r="DH207" s="47"/>
      <x:c r="DI207" s="60"/>
      <x:c r="DJ207" s="58"/>
      <x:c r="DK207" s="47"/>
      <x:c r="DL207" s="60"/>
      <x:c r="DM207" s="58"/>
      <x:c r="DN207" s="11"/>
      <x:c r="DO207" s="61"/>
      <x:c r="DP207" s="62"/>
      <x:c r="DQ207" s="11"/>
      <x:c r="DR207" s="61"/>
      <x:c r="DS207" s="62"/>
      <x:c r="DT207" s="11"/>
      <x:c r="DU207" s="61"/>
      <x:c r="DV207" s="62"/>
    </x:row>
    <x:row r="208" spans="1:126" x14ac:dyDescent="0.3">
      <x:c r="A208" s="47"/>
      <x:c r="B208" s="70"/>
      <x:c r="C208" s="70"/>
      <x:c r="D208" s="70"/>
      <x:c r="E208" s="70"/>
      <x:c r="F208" s="70"/>
      <x:c r="G208" s="70"/>
      <x:c r="H208" s="70"/>
      <x:c r="I208" s="70"/>
      <x:c r="J208" s="70"/>
      <x:c r="K208" s="190"/>
      <x:c r="L208" s="191"/>
      <x:c r="M208" s="192">
        <x:f>IF(ISERROR(INDEX('Meter Type Data'!$B$2:$E$1165,SUMPRODUCT(--('Meter Type Data'!$B$2:$B$1165&lt;=Analysis!L208)*('Meter Type Data'!$C$2:$C$1165&gt;=Analysis!L208),ROW('Meter Type Data'!$B$2:$B$1165))-1,4))," ",INDEX('Meter Type Data'!$B$2:$E$1165,SUMPRODUCT(--('Meter Type Data'!$B$2:$B$1165&lt;=Analysis!L208)*('Meter Type Data'!$C$2:$C$1165&gt;=Analysis!L208),ROW('Meter Type Data'!$B$2:$B$1165))-1,4))</x:f>
      </x:c>
      <x:c r="N208" s="192">
        <x:f>IF(ISERROR(INDEX('Meter Type Data'!$B$2:$D$1165,SUMPRODUCT(--('Meter Type Data'!$B$2:$B$1165&lt;=Analysis!L208)*('Meter Type Data'!$C$2:$C$1165&gt;=Analysis!L208),ROW('Meter Type Data'!$B$2:$B$1165))-1,3))," ",INDEX('Meter Type Data'!$B$2:$D$1165,SUMPRODUCT(--('Meter Type Data'!$B$2:$B$1165&lt;=Analysis!L208)*('Meter Type Data'!$C$2:$C$1165&gt;=Analysis!L208),ROW('Meter Type Data'!$B$2:$B$1165))-1,3))</x:f>
      </x:c>
      <x:c r="O208" s="69"/>
      <x:c r="P208" s="47"/>
      <x:c r="Q208" s="60"/>
      <x:c r="R208" s="58">
        <x:f>(($O208*P208)/100)+(Q208*12)</x:f>
      </x:c>
      <x:c r="S208" s="59"/>
      <x:c r="T208" s="59"/>
      <x:c r="U208" s="58">
        <x:f>(($O208*S208)/100)+(T208*12)</x:f>
      </x:c>
      <x:c r="V208" s="47"/>
      <x:c r="W208" s="60"/>
      <x:c r="X208" s="58">
        <x:f>(($O208*V208)/100)+(W208*12)</x:f>
      </x:c>
      <x:c r="Y208" s="47"/>
      <x:c r="Z208" s="60"/>
      <x:c r="AA208" s="58">
        <x:f>(($O208*Y208)/100)+(Z208*12)</x:f>
      </x:c>
      <x:c r="AB208" s="47"/>
      <x:c r="AC208" s="60"/>
      <x:c r="AD208" s="58">
        <x:f>(($O208*AB208)/100)+(AC208*12)</x:f>
      </x:c>
      <x:c r="AE208" s="47"/>
      <x:c r="AF208" s="60"/>
      <x:c r="AG208" s="58">
        <x:f>(($O208*AE208)/100)+(AF208*12)</x:f>
      </x:c>
      <x:c r="AH208" s="47"/>
      <x:c r="AI208" s="60"/>
      <x:c r="AJ208" s="58">
        <x:f>(($O208*AH208)/100)+(AI208*12)</x:f>
      </x:c>
      <x:c r="AK208" s="47"/>
      <x:c r="AL208" s="60"/>
      <x:c r="AM208" s="58">
        <x:f>(($O208*AK208)/100)+(AL208*12)</x:f>
      </x:c>
      <x:c r="AN208" s="47"/>
      <x:c r="AO208" s="60"/>
      <x:c r="AP208" s="58">
        <x:f>(($O208*AN208)/100)+(AO208*12)</x:f>
      </x:c>
      <x:c r="AQ208" s="47"/>
      <x:c r="AR208" s="60"/>
      <x:c r="AS208" s="58">
        <x:f>(($O208*AQ208)/100)+(AR208*12)</x:f>
      </x:c>
      <x:c r="AT208" s="47"/>
      <x:c r="AU208" s="60"/>
      <x:c r="AV208" s="58">
        <x:f>(($O208*AT208)/100)+(AU208*12)</x:f>
      </x:c>
      <x:c r="AW208" s="47"/>
      <x:c r="AX208" s="60"/>
      <x:c r="AY208" s="58">
        <x:f>(($O208*AW208)/100)+(AX208*12)</x:f>
      </x:c>
      <x:c r="AZ208" s="47"/>
      <x:c r="BA208" s="60"/>
      <x:c r="BB208" s="58">
        <x:f>(($O208*AZ208)/100)+(BA208*12)</x:f>
      </x:c>
      <x:c r="BC208" s="47"/>
      <x:c r="BD208" s="60"/>
      <x:c r="BE208" s="58">
        <x:f>(($O208*BC208)/100)+(BD208*12)</x:f>
      </x:c>
      <x:c r="BF208" s="47"/>
      <x:c r="BG208" s="60"/>
      <x:c r="BH208" s="58">
        <x:f>(($O208*BF208)/100)+(BG208*12)</x:f>
      </x:c>
      <x:c r="BI208" s="47"/>
      <x:c r="BJ208" s="60"/>
      <x:c r="BK208" s="58">
        <x:f>(($O208*BI208)/100)+(BJ208*12)</x:f>
      </x:c>
      <x:c r="BL208" s="47"/>
      <x:c r="BM208" s="60"/>
      <x:c r="BN208" s="58">
        <x:f>(($O208*BL208)/100)+(BM208*12)</x:f>
      </x:c>
      <x:c r="BO208" s="47"/>
      <x:c r="BP208" s="60"/>
      <x:c r="BQ208" s="58">
        <x:f>(($O208*BO208)/100)+(BP208*12)</x:f>
      </x:c>
      <x:c r="BR208" s="47"/>
      <x:c r="BS208" s="60"/>
      <x:c r="BT208" s="58">
        <x:f>(($O208*BR208)/100)+(BS208*12)</x:f>
      </x:c>
      <x:c r="BU208" s="47"/>
      <x:c r="BV208" s="60"/>
      <x:c r="BW208" s="58">
        <x:f>(($O208*BU208)/100)+(BV208*12)</x:f>
      </x:c>
      <x:c r="BX208" s="47"/>
      <x:c r="BY208" s="60"/>
      <x:c r="BZ208" s="58">
        <x:f>(($O208*BX208)/100)+(BY208*12)</x:f>
      </x:c>
      <x:c r="CA208" s="47"/>
      <x:c r="CB208" s="60"/>
      <x:c r="CC208" s="58">
        <x:f>(($O208*CA208)/100)+(CB208*12)</x:f>
      </x:c>
      <x:c r="CD208" s="47"/>
      <x:c r="CE208" s="60"/>
      <x:c r="CF208" s="58">
        <x:f>(($O208*CD208)/100)+(CE208*12)</x:f>
      </x:c>
      <x:c r="CG208" s="47"/>
      <x:c r="CH208" s="60"/>
      <x:c r="CI208" s="58">
        <x:f>(($O208*CG208)/100)+(CH208*12)</x:f>
      </x:c>
      <x:c r="CJ208" s="47"/>
      <x:c r="CK208" s="60"/>
      <x:c r="CL208" s="58">
        <x:f>(($O208*CJ208)/100)+(CK208*12)</x:f>
      </x:c>
      <x:c r="CM208" s="47"/>
      <x:c r="CN208" s="60"/>
      <x:c r="CO208" s="58">
        <x:f>(($O208*CM208)/100)+(CN208*12)</x:f>
      </x:c>
      <x:c r="CP208" s="47"/>
      <x:c r="CQ208" s="60"/>
      <x:c r="CR208" s="58">
        <x:f>(($O208*CP208)/100)+(CQ208*12)</x:f>
      </x:c>
      <x:c r="CS208" s="47"/>
      <x:c r="CT208" s="60"/>
      <x:c r="CU208" s="58">
        <x:f>(($O208*CS208)/100)+(CT208*12)</x:f>
      </x:c>
      <x:c r="CV208" s="47"/>
      <x:c r="CW208" s="60"/>
      <x:c r="CX208" s="58"/>
      <x:c r="CY208" s="47"/>
      <x:c r="CZ208" s="60"/>
      <x:c r="DA208" s="58"/>
      <x:c r="DB208" s="47"/>
      <x:c r="DC208" s="60"/>
      <x:c r="DD208" s="58"/>
      <x:c r="DE208" s="47"/>
      <x:c r="DF208" s="60"/>
      <x:c r="DG208" s="58"/>
      <x:c r="DH208" s="47"/>
      <x:c r="DI208" s="60"/>
      <x:c r="DJ208" s="58"/>
      <x:c r="DK208" s="47"/>
      <x:c r="DL208" s="60"/>
      <x:c r="DM208" s="58"/>
      <x:c r="DN208" s="11"/>
      <x:c r="DO208" s="61"/>
      <x:c r="DP208" s="62"/>
      <x:c r="DQ208" s="11"/>
      <x:c r="DR208" s="61"/>
      <x:c r="DS208" s="62"/>
      <x:c r="DT208" s="11"/>
      <x:c r="DU208" s="61"/>
      <x:c r="DV208" s="62"/>
    </x:row>
    <x:row r="209" spans="1:126" x14ac:dyDescent="0.3">
      <x:c r="A209" s="47"/>
      <x:c r="B209" s="70"/>
      <x:c r="C209" s="70"/>
      <x:c r="D209" s="70"/>
      <x:c r="E209" s="70"/>
      <x:c r="F209" s="70"/>
      <x:c r="G209" s="70"/>
      <x:c r="H209" s="70"/>
      <x:c r="I209" s="70"/>
      <x:c r="J209" s="70"/>
      <x:c r="K209" s="190"/>
      <x:c r="L209" s="191"/>
      <x:c r="M209" s="192">
        <x:f>IF(ISERROR(INDEX('Meter Type Data'!$B$2:$E$1165,SUMPRODUCT(--('Meter Type Data'!$B$2:$B$1165&lt;=Analysis!L209)*('Meter Type Data'!$C$2:$C$1165&gt;=Analysis!L209),ROW('Meter Type Data'!$B$2:$B$1165))-1,4))," ",INDEX('Meter Type Data'!$B$2:$E$1165,SUMPRODUCT(--('Meter Type Data'!$B$2:$B$1165&lt;=Analysis!L209)*('Meter Type Data'!$C$2:$C$1165&gt;=Analysis!L209),ROW('Meter Type Data'!$B$2:$B$1165))-1,4))</x:f>
      </x:c>
      <x:c r="N209" s="192">
        <x:f>IF(ISERROR(INDEX('Meter Type Data'!$B$2:$D$1165,SUMPRODUCT(--('Meter Type Data'!$B$2:$B$1165&lt;=Analysis!L209)*('Meter Type Data'!$C$2:$C$1165&gt;=Analysis!L209),ROW('Meter Type Data'!$B$2:$B$1165))-1,3))," ",INDEX('Meter Type Data'!$B$2:$D$1165,SUMPRODUCT(--('Meter Type Data'!$B$2:$B$1165&lt;=Analysis!L209)*('Meter Type Data'!$C$2:$C$1165&gt;=Analysis!L209),ROW('Meter Type Data'!$B$2:$B$1165))-1,3))</x:f>
      </x:c>
      <x:c r="O209" s="69"/>
      <x:c r="P209" s="47"/>
      <x:c r="Q209" s="60"/>
      <x:c r="R209" s="58">
        <x:f>(($O209*P209)/100)+(Q209*12)</x:f>
      </x:c>
      <x:c r="S209" s="59"/>
      <x:c r="T209" s="59"/>
      <x:c r="U209" s="58">
        <x:f>(($O209*S209)/100)+(T209*12)</x:f>
      </x:c>
      <x:c r="V209" s="47"/>
      <x:c r="W209" s="60"/>
      <x:c r="X209" s="58">
        <x:f>(($O209*V209)/100)+(W209*12)</x:f>
      </x:c>
      <x:c r="Y209" s="47"/>
      <x:c r="Z209" s="60"/>
      <x:c r="AA209" s="58">
        <x:f>(($O209*Y209)/100)+(Z209*12)</x:f>
      </x:c>
      <x:c r="AB209" s="47"/>
      <x:c r="AC209" s="60"/>
      <x:c r="AD209" s="58">
        <x:f>(($O209*AB209)/100)+(AC209*12)</x:f>
      </x:c>
      <x:c r="AE209" s="47"/>
      <x:c r="AF209" s="60"/>
      <x:c r="AG209" s="58">
        <x:f>(($O209*AE209)/100)+(AF209*12)</x:f>
      </x:c>
      <x:c r="AH209" s="47"/>
      <x:c r="AI209" s="60"/>
      <x:c r="AJ209" s="58">
        <x:f>(($O209*AH209)/100)+(AI209*12)</x:f>
      </x:c>
      <x:c r="AK209" s="47"/>
      <x:c r="AL209" s="60"/>
      <x:c r="AM209" s="58">
        <x:f>(($O209*AK209)/100)+(AL209*12)</x:f>
      </x:c>
      <x:c r="AN209" s="47"/>
      <x:c r="AO209" s="60"/>
      <x:c r="AP209" s="58">
        <x:f>(($O209*AN209)/100)+(AO209*12)</x:f>
      </x:c>
      <x:c r="AQ209" s="47"/>
      <x:c r="AR209" s="60"/>
      <x:c r="AS209" s="58">
        <x:f>(($O209*AQ209)/100)+(AR209*12)</x:f>
      </x:c>
      <x:c r="AT209" s="47"/>
      <x:c r="AU209" s="60"/>
      <x:c r="AV209" s="58">
        <x:f>(($O209*AT209)/100)+(AU209*12)</x:f>
      </x:c>
      <x:c r="AW209" s="47"/>
      <x:c r="AX209" s="60"/>
      <x:c r="AY209" s="58">
        <x:f>(($O209*AW209)/100)+(AX209*12)</x:f>
      </x:c>
      <x:c r="AZ209" s="47"/>
      <x:c r="BA209" s="60"/>
      <x:c r="BB209" s="58">
        <x:f>(($O209*AZ209)/100)+(BA209*12)</x:f>
      </x:c>
      <x:c r="BC209" s="47"/>
      <x:c r="BD209" s="60"/>
      <x:c r="BE209" s="58">
        <x:f>(($O209*BC209)/100)+(BD209*12)</x:f>
      </x:c>
      <x:c r="BF209" s="47"/>
      <x:c r="BG209" s="60"/>
      <x:c r="BH209" s="58">
        <x:f>(($O209*BF209)/100)+(BG209*12)</x:f>
      </x:c>
      <x:c r="BI209" s="47"/>
      <x:c r="BJ209" s="60"/>
      <x:c r="BK209" s="58">
        <x:f>(($O209*BI209)/100)+(BJ209*12)</x:f>
      </x:c>
      <x:c r="BL209" s="47"/>
      <x:c r="BM209" s="60"/>
      <x:c r="BN209" s="58">
        <x:f>(($O209*BL209)/100)+(BM209*12)</x:f>
      </x:c>
      <x:c r="BO209" s="47"/>
      <x:c r="BP209" s="60"/>
      <x:c r="BQ209" s="58">
        <x:f>(($O209*BO209)/100)+(BP209*12)</x:f>
      </x:c>
      <x:c r="BR209" s="47"/>
      <x:c r="BS209" s="60"/>
      <x:c r="BT209" s="58">
        <x:f>(($O209*BR209)/100)+(BS209*12)</x:f>
      </x:c>
      <x:c r="BU209" s="47"/>
      <x:c r="BV209" s="60"/>
      <x:c r="BW209" s="58">
        <x:f>(($O209*BU209)/100)+(BV209*12)</x:f>
      </x:c>
      <x:c r="BX209" s="47"/>
      <x:c r="BY209" s="60"/>
      <x:c r="BZ209" s="58">
        <x:f>(($O209*BX209)/100)+(BY209*12)</x:f>
      </x:c>
      <x:c r="CA209" s="47"/>
      <x:c r="CB209" s="60"/>
      <x:c r="CC209" s="58">
        <x:f>(($O209*CA209)/100)+(CB209*12)</x:f>
      </x:c>
      <x:c r="CD209" s="47"/>
      <x:c r="CE209" s="60"/>
      <x:c r="CF209" s="58">
        <x:f>(($O209*CD209)/100)+(CE209*12)</x:f>
      </x:c>
      <x:c r="CG209" s="47"/>
      <x:c r="CH209" s="60"/>
      <x:c r="CI209" s="58">
        <x:f>(($O209*CG209)/100)+(CH209*12)</x:f>
      </x:c>
      <x:c r="CJ209" s="47"/>
      <x:c r="CK209" s="60"/>
      <x:c r="CL209" s="58">
        <x:f>(($O209*CJ209)/100)+(CK209*12)</x:f>
      </x:c>
      <x:c r="CM209" s="47"/>
      <x:c r="CN209" s="60"/>
      <x:c r="CO209" s="58">
        <x:f>(($O209*CM209)/100)+(CN209*12)</x:f>
      </x:c>
      <x:c r="CP209" s="47"/>
      <x:c r="CQ209" s="60"/>
      <x:c r="CR209" s="58">
        <x:f>(($O209*CP209)/100)+(CQ209*12)</x:f>
      </x:c>
      <x:c r="CS209" s="47"/>
      <x:c r="CT209" s="60"/>
      <x:c r="CU209" s="58">
        <x:f>(($O209*CS209)/100)+(CT209*12)</x:f>
      </x:c>
      <x:c r="CV209" s="47"/>
      <x:c r="CW209" s="60"/>
      <x:c r="CX209" s="58"/>
      <x:c r="CY209" s="47"/>
      <x:c r="CZ209" s="60"/>
      <x:c r="DA209" s="58"/>
      <x:c r="DB209" s="47"/>
      <x:c r="DC209" s="60"/>
      <x:c r="DD209" s="58"/>
      <x:c r="DE209" s="47"/>
      <x:c r="DF209" s="60"/>
      <x:c r="DG209" s="58"/>
      <x:c r="DH209" s="47"/>
      <x:c r="DI209" s="60"/>
      <x:c r="DJ209" s="58"/>
      <x:c r="DK209" s="47"/>
      <x:c r="DL209" s="60"/>
      <x:c r="DM209" s="58"/>
      <x:c r="DN209" s="11"/>
      <x:c r="DO209" s="61"/>
      <x:c r="DP209" s="62"/>
      <x:c r="DQ209" s="11"/>
      <x:c r="DR209" s="61"/>
      <x:c r="DS209" s="62"/>
      <x:c r="DT209" s="11"/>
      <x:c r="DU209" s="61"/>
      <x:c r="DV209" s="62"/>
    </x:row>
    <x:row r="210" spans="1:126" x14ac:dyDescent="0.3">
      <x:c r="A210" s="47"/>
      <x:c r="B210" s="70"/>
      <x:c r="C210" s="70"/>
      <x:c r="D210" s="70"/>
      <x:c r="E210" s="70"/>
      <x:c r="F210" s="70"/>
      <x:c r="G210" s="70"/>
      <x:c r="H210" s="70"/>
      <x:c r="I210" s="70"/>
      <x:c r="J210" s="70"/>
      <x:c r="K210" s="190"/>
      <x:c r="L210" s="191"/>
      <x:c r="M210" s="192">
        <x:f>IF(ISERROR(INDEX('Meter Type Data'!$B$2:$E$1165,SUMPRODUCT(--('Meter Type Data'!$B$2:$B$1165&lt;=Analysis!L210)*('Meter Type Data'!$C$2:$C$1165&gt;=Analysis!L210),ROW('Meter Type Data'!$B$2:$B$1165))-1,4))," ",INDEX('Meter Type Data'!$B$2:$E$1165,SUMPRODUCT(--('Meter Type Data'!$B$2:$B$1165&lt;=Analysis!L210)*('Meter Type Data'!$C$2:$C$1165&gt;=Analysis!L210),ROW('Meter Type Data'!$B$2:$B$1165))-1,4))</x:f>
      </x:c>
      <x:c r="N210" s="192">
        <x:f>IF(ISERROR(INDEX('Meter Type Data'!$B$2:$D$1165,SUMPRODUCT(--('Meter Type Data'!$B$2:$B$1165&lt;=Analysis!L210)*('Meter Type Data'!$C$2:$C$1165&gt;=Analysis!L210),ROW('Meter Type Data'!$B$2:$B$1165))-1,3))," ",INDEX('Meter Type Data'!$B$2:$D$1165,SUMPRODUCT(--('Meter Type Data'!$B$2:$B$1165&lt;=Analysis!L210)*('Meter Type Data'!$C$2:$C$1165&gt;=Analysis!L210),ROW('Meter Type Data'!$B$2:$B$1165))-1,3))</x:f>
      </x:c>
      <x:c r="O210" s="69"/>
      <x:c r="P210" s="47"/>
      <x:c r="Q210" s="60"/>
      <x:c r="R210" s="58">
        <x:f>(($O210*P210)/100)+(Q210*12)</x:f>
      </x:c>
      <x:c r="S210" s="59"/>
      <x:c r="T210" s="59"/>
      <x:c r="U210" s="58">
        <x:f>(($O210*S210)/100)+(T210*12)</x:f>
      </x:c>
      <x:c r="V210" s="47"/>
      <x:c r="W210" s="60"/>
      <x:c r="X210" s="58">
        <x:f>(($O210*V210)/100)+(W210*12)</x:f>
      </x:c>
      <x:c r="Y210" s="47"/>
      <x:c r="Z210" s="60"/>
      <x:c r="AA210" s="58">
        <x:f>(($O210*Y210)/100)+(Z210*12)</x:f>
      </x:c>
      <x:c r="AB210" s="47"/>
      <x:c r="AC210" s="60"/>
      <x:c r="AD210" s="58">
        <x:f>(($O210*AB210)/100)+(AC210*12)</x:f>
      </x:c>
      <x:c r="AE210" s="47"/>
      <x:c r="AF210" s="60"/>
      <x:c r="AG210" s="58">
        <x:f>(($O210*AE210)/100)+(AF210*12)</x:f>
      </x:c>
      <x:c r="AH210" s="47"/>
      <x:c r="AI210" s="60"/>
      <x:c r="AJ210" s="58">
        <x:f>(($O210*AH210)/100)+(AI210*12)</x:f>
      </x:c>
      <x:c r="AK210" s="47"/>
      <x:c r="AL210" s="60"/>
      <x:c r="AM210" s="58">
        <x:f>(($O210*AK210)/100)+(AL210*12)</x:f>
      </x:c>
      <x:c r="AN210" s="47"/>
      <x:c r="AO210" s="60"/>
      <x:c r="AP210" s="58">
        <x:f>(($O210*AN210)/100)+(AO210*12)</x:f>
      </x:c>
      <x:c r="AQ210" s="47"/>
      <x:c r="AR210" s="60"/>
      <x:c r="AS210" s="58">
        <x:f>(($O210*AQ210)/100)+(AR210*12)</x:f>
      </x:c>
      <x:c r="AT210" s="47"/>
      <x:c r="AU210" s="60"/>
      <x:c r="AV210" s="58">
        <x:f>(($O210*AT210)/100)+(AU210*12)</x:f>
      </x:c>
      <x:c r="AW210" s="47"/>
      <x:c r="AX210" s="60"/>
      <x:c r="AY210" s="58">
        <x:f>(($O210*AW210)/100)+(AX210*12)</x:f>
      </x:c>
      <x:c r="AZ210" s="47"/>
      <x:c r="BA210" s="60"/>
      <x:c r="BB210" s="58">
        <x:f>(($O210*AZ210)/100)+(BA210*12)</x:f>
      </x:c>
      <x:c r="BC210" s="47"/>
      <x:c r="BD210" s="60"/>
      <x:c r="BE210" s="58">
        <x:f>(($O210*BC210)/100)+(BD210*12)</x:f>
      </x:c>
      <x:c r="BF210" s="47"/>
      <x:c r="BG210" s="60"/>
      <x:c r="BH210" s="58">
        <x:f>(($O210*BF210)/100)+(BG210*12)</x:f>
      </x:c>
      <x:c r="BI210" s="47"/>
      <x:c r="BJ210" s="60"/>
      <x:c r="BK210" s="58">
        <x:f>(($O210*BI210)/100)+(BJ210*12)</x:f>
      </x:c>
      <x:c r="BL210" s="47"/>
      <x:c r="BM210" s="60"/>
      <x:c r="BN210" s="58">
        <x:f>(($O210*BL210)/100)+(BM210*12)</x:f>
      </x:c>
      <x:c r="BO210" s="47"/>
      <x:c r="BP210" s="60"/>
      <x:c r="BQ210" s="58">
        <x:f>(($O210*BO210)/100)+(BP210*12)</x:f>
      </x:c>
      <x:c r="BR210" s="47"/>
      <x:c r="BS210" s="60"/>
      <x:c r="BT210" s="58">
        <x:f>(($O210*BR210)/100)+(BS210*12)</x:f>
      </x:c>
      <x:c r="BU210" s="47"/>
      <x:c r="BV210" s="60"/>
      <x:c r="BW210" s="58">
        <x:f>(($O210*BU210)/100)+(BV210*12)</x:f>
      </x:c>
      <x:c r="BX210" s="47"/>
      <x:c r="BY210" s="60"/>
      <x:c r="BZ210" s="58">
        <x:f>(($O210*BX210)/100)+(BY210*12)</x:f>
      </x:c>
      <x:c r="CA210" s="47"/>
      <x:c r="CB210" s="60"/>
      <x:c r="CC210" s="58">
        <x:f>(($O210*CA210)/100)+(CB210*12)</x:f>
      </x:c>
      <x:c r="CD210" s="47"/>
      <x:c r="CE210" s="60"/>
      <x:c r="CF210" s="58">
        <x:f>(($O210*CD210)/100)+(CE210*12)</x:f>
      </x:c>
      <x:c r="CG210" s="47"/>
      <x:c r="CH210" s="60"/>
      <x:c r="CI210" s="58">
        <x:f>(($O210*CG210)/100)+(CH210*12)</x:f>
      </x:c>
      <x:c r="CJ210" s="47"/>
      <x:c r="CK210" s="60"/>
      <x:c r="CL210" s="58">
        <x:f>(($O210*CJ210)/100)+(CK210*12)</x:f>
      </x:c>
      <x:c r="CM210" s="47"/>
      <x:c r="CN210" s="60"/>
      <x:c r="CO210" s="58">
        <x:f>(($O210*CM210)/100)+(CN210*12)</x:f>
      </x:c>
      <x:c r="CP210" s="47"/>
      <x:c r="CQ210" s="60"/>
      <x:c r="CR210" s="58">
        <x:f>(($O210*CP210)/100)+(CQ210*12)</x:f>
      </x:c>
      <x:c r="CS210" s="47"/>
      <x:c r="CT210" s="60"/>
      <x:c r="CU210" s="58">
        <x:f>(($O210*CS210)/100)+(CT210*12)</x:f>
      </x:c>
      <x:c r="CV210" s="47"/>
      <x:c r="CW210" s="60"/>
      <x:c r="CX210" s="58"/>
      <x:c r="CY210" s="47"/>
      <x:c r="CZ210" s="60"/>
      <x:c r="DA210" s="58"/>
      <x:c r="DB210" s="47"/>
      <x:c r="DC210" s="60"/>
      <x:c r="DD210" s="58"/>
      <x:c r="DE210" s="47"/>
      <x:c r="DF210" s="60"/>
      <x:c r="DG210" s="58"/>
      <x:c r="DH210" s="47"/>
      <x:c r="DI210" s="60"/>
      <x:c r="DJ210" s="58"/>
      <x:c r="DK210" s="47"/>
      <x:c r="DL210" s="60"/>
      <x:c r="DM210" s="58"/>
      <x:c r="DN210" s="11"/>
      <x:c r="DO210" s="61"/>
      <x:c r="DP210" s="62"/>
      <x:c r="DQ210" s="11"/>
      <x:c r="DR210" s="61"/>
      <x:c r="DS210" s="62"/>
      <x:c r="DT210" s="11"/>
      <x:c r="DU210" s="61"/>
      <x:c r="DV210" s="62"/>
    </x:row>
    <x:row r="211" spans="1:126" x14ac:dyDescent="0.3">
      <x:c r="A211" s="47"/>
      <x:c r="B211" s="70"/>
      <x:c r="C211" s="70"/>
      <x:c r="D211" s="70"/>
      <x:c r="E211" s="70"/>
      <x:c r="F211" s="70"/>
      <x:c r="G211" s="70"/>
      <x:c r="H211" s="70"/>
      <x:c r="I211" s="70"/>
      <x:c r="J211" s="70"/>
      <x:c r="K211" s="190"/>
      <x:c r="L211" s="191"/>
      <x:c r="M211" s="192">
        <x:f>IF(ISERROR(INDEX('Meter Type Data'!$B$2:$E$1165,SUMPRODUCT(--('Meter Type Data'!$B$2:$B$1165&lt;=Analysis!L211)*('Meter Type Data'!$C$2:$C$1165&gt;=Analysis!L211),ROW('Meter Type Data'!$B$2:$B$1165))-1,4))," ",INDEX('Meter Type Data'!$B$2:$E$1165,SUMPRODUCT(--('Meter Type Data'!$B$2:$B$1165&lt;=Analysis!L211)*('Meter Type Data'!$C$2:$C$1165&gt;=Analysis!L211),ROW('Meter Type Data'!$B$2:$B$1165))-1,4))</x:f>
      </x:c>
      <x:c r="N211" s="192">
        <x:f>IF(ISERROR(INDEX('Meter Type Data'!$B$2:$D$1165,SUMPRODUCT(--('Meter Type Data'!$B$2:$B$1165&lt;=Analysis!L211)*('Meter Type Data'!$C$2:$C$1165&gt;=Analysis!L211),ROW('Meter Type Data'!$B$2:$B$1165))-1,3))," ",INDEX('Meter Type Data'!$B$2:$D$1165,SUMPRODUCT(--('Meter Type Data'!$B$2:$B$1165&lt;=Analysis!L211)*('Meter Type Data'!$C$2:$C$1165&gt;=Analysis!L211),ROW('Meter Type Data'!$B$2:$B$1165))-1,3))</x:f>
      </x:c>
      <x:c r="O211" s="69"/>
      <x:c r="P211" s="47"/>
      <x:c r="Q211" s="60"/>
      <x:c r="R211" s="58">
        <x:f>(($O211*P211)/100)+(Q211*12)</x:f>
      </x:c>
      <x:c r="S211" s="59"/>
      <x:c r="T211" s="59"/>
      <x:c r="U211" s="58">
        <x:f>(($O211*S211)/100)+(T211*12)</x:f>
      </x:c>
      <x:c r="V211" s="47"/>
      <x:c r="W211" s="60"/>
      <x:c r="X211" s="58">
        <x:f>(($O211*V211)/100)+(W211*12)</x:f>
      </x:c>
      <x:c r="Y211" s="47"/>
      <x:c r="Z211" s="60"/>
      <x:c r="AA211" s="58">
        <x:f>(($O211*Y211)/100)+(Z211*12)</x:f>
      </x:c>
      <x:c r="AB211" s="47"/>
      <x:c r="AC211" s="60"/>
      <x:c r="AD211" s="58">
        <x:f>(($O211*AB211)/100)+(AC211*12)</x:f>
      </x:c>
      <x:c r="AE211" s="47"/>
      <x:c r="AF211" s="60"/>
      <x:c r="AG211" s="58">
        <x:f>(($O211*AE211)/100)+(AF211*12)</x:f>
      </x:c>
      <x:c r="AH211" s="47"/>
      <x:c r="AI211" s="60"/>
      <x:c r="AJ211" s="58">
        <x:f>(($O211*AH211)/100)+(AI211*12)</x:f>
      </x:c>
      <x:c r="AK211" s="47"/>
      <x:c r="AL211" s="60"/>
      <x:c r="AM211" s="58">
        <x:f>(($O211*AK211)/100)+(AL211*12)</x:f>
      </x:c>
      <x:c r="AN211" s="47"/>
      <x:c r="AO211" s="60"/>
      <x:c r="AP211" s="58">
        <x:f>(($O211*AN211)/100)+(AO211*12)</x:f>
      </x:c>
      <x:c r="AQ211" s="47"/>
      <x:c r="AR211" s="60"/>
      <x:c r="AS211" s="58">
        <x:f>(($O211*AQ211)/100)+(AR211*12)</x:f>
      </x:c>
      <x:c r="AT211" s="47"/>
      <x:c r="AU211" s="60"/>
      <x:c r="AV211" s="58">
        <x:f>(($O211*AT211)/100)+(AU211*12)</x:f>
      </x:c>
      <x:c r="AW211" s="47"/>
      <x:c r="AX211" s="60"/>
      <x:c r="AY211" s="58">
        <x:f>(($O211*AW211)/100)+(AX211*12)</x:f>
      </x:c>
      <x:c r="AZ211" s="47"/>
      <x:c r="BA211" s="60"/>
      <x:c r="BB211" s="58">
        <x:f>(($O211*AZ211)/100)+(BA211*12)</x:f>
      </x:c>
      <x:c r="BC211" s="47"/>
      <x:c r="BD211" s="60"/>
      <x:c r="BE211" s="58">
        <x:f>(($O211*BC211)/100)+(BD211*12)</x:f>
      </x:c>
      <x:c r="BF211" s="47"/>
      <x:c r="BG211" s="60"/>
      <x:c r="BH211" s="58">
        <x:f>(($O211*BF211)/100)+(BG211*12)</x:f>
      </x:c>
      <x:c r="BI211" s="47"/>
      <x:c r="BJ211" s="60"/>
      <x:c r="BK211" s="58">
        <x:f>(($O211*BI211)/100)+(BJ211*12)</x:f>
      </x:c>
      <x:c r="BL211" s="47"/>
      <x:c r="BM211" s="60"/>
      <x:c r="BN211" s="58">
        <x:f>(($O211*BL211)/100)+(BM211*12)</x:f>
      </x:c>
      <x:c r="BO211" s="47"/>
      <x:c r="BP211" s="60"/>
      <x:c r="BQ211" s="58">
        <x:f>(($O211*BO211)/100)+(BP211*12)</x:f>
      </x:c>
      <x:c r="BR211" s="47"/>
      <x:c r="BS211" s="60"/>
      <x:c r="BT211" s="58">
        <x:f>(($O211*BR211)/100)+(BS211*12)</x:f>
      </x:c>
      <x:c r="BU211" s="47"/>
      <x:c r="BV211" s="60"/>
      <x:c r="BW211" s="58">
        <x:f>(($O211*BU211)/100)+(BV211*12)</x:f>
      </x:c>
      <x:c r="BX211" s="47"/>
      <x:c r="BY211" s="60"/>
      <x:c r="BZ211" s="58">
        <x:f>(($O211*BX211)/100)+(BY211*12)</x:f>
      </x:c>
      <x:c r="CA211" s="47"/>
      <x:c r="CB211" s="60"/>
      <x:c r="CC211" s="58">
        <x:f>(($O211*CA211)/100)+(CB211*12)</x:f>
      </x:c>
      <x:c r="CD211" s="47"/>
      <x:c r="CE211" s="60"/>
      <x:c r="CF211" s="58">
        <x:f>(($O211*CD211)/100)+(CE211*12)</x:f>
      </x:c>
      <x:c r="CG211" s="47"/>
      <x:c r="CH211" s="60"/>
      <x:c r="CI211" s="58">
        <x:f>(($O211*CG211)/100)+(CH211*12)</x:f>
      </x:c>
      <x:c r="CJ211" s="47"/>
      <x:c r="CK211" s="60"/>
      <x:c r="CL211" s="58">
        <x:f>(($O211*CJ211)/100)+(CK211*12)</x:f>
      </x:c>
      <x:c r="CM211" s="47"/>
      <x:c r="CN211" s="60"/>
      <x:c r="CO211" s="58">
        <x:f>(($O211*CM211)/100)+(CN211*12)</x:f>
      </x:c>
      <x:c r="CP211" s="47"/>
      <x:c r="CQ211" s="60"/>
      <x:c r="CR211" s="58">
        <x:f>(($O211*CP211)/100)+(CQ211*12)</x:f>
      </x:c>
      <x:c r="CS211" s="47"/>
      <x:c r="CT211" s="60"/>
      <x:c r="CU211" s="58">
        <x:f>(($O211*CS211)/100)+(CT211*12)</x:f>
      </x:c>
      <x:c r="CV211" s="47"/>
      <x:c r="CW211" s="60"/>
      <x:c r="CX211" s="58"/>
      <x:c r="CY211" s="47"/>
      <x:c r="CZ211" s="60"/>
      <x:c r="DA211" s="58"/>
      <x:c r="DB211" s="47"/>
      <x:c r="DC211" s="60"/>
      <x:c r="DD211" s="58"/>
      <x:c r="DE211" s="47"/>
      <x:c r="DF211" s="60"/>
      <x:c r="DG211" s="58"/>
      <x:c r="DH211" s="47"/>
      <x:c r="DI211" s="60"/>
      <x:c r="DJ211" s="58"/>
      <x:c r="DK211" s="47"/>
      <x:c r="DL211" s="60"/>
      <x:c r="DM211" s="58"/>
      <x:c r="DN211" s="11"/>
      <x:c r="DO211" s="61"/>
      <x:c r="DP211" s="62"/>
      <x:c r="DQ211" s="11"/>
      <x:c r="DR211" s="61"/>
      <x:c r="DS211" s="62"/>
      <x:c r="DT211" s="11"/>
      <x:c r="DU211" s="61"/>
      <x:c r="DV211" s="62"/>
    </x:row>
    <x:row r="212" spans="1:126" x14ac:dyDescent="0.3">
      <x:c r="A212" s="47"/>
      <x:c r="B212" s="70"/>
      <x:c r="C212" s="70"/>
      <x:c r="D212" s="70"/>
      <x:c r="E212" s="70"/>
      <x:c r="F212" s="70"/>
      <x:c r="G212" s="70"/>
      <x:c r="H212" s="70"/>
      <x:c r="I212" s="70"/>
      <x:c r="J212" s="70"/>
      <x:c r="K212" s="190"/>
      <x:c r="L212" s="191"/>
      <x:c r="M212" s="192">
        <x:f>IF(ISERROR(INDEX('Meter Type Data'!$B$2:$E$1165,SUMPRODUCT(--('Meter Type Data'!$B$2:$B$1165&lt;=Analysis!L212)*('Meter Type Data'!$C$2:$C$1165&gt;=Analysis!L212),ROW('Meter Type Data'!$B$2:$B$1165))-1,4))," ",INDEX('Meter Type Data'!$B$2:$E$1165,SUMPRODUCT(--('Meter Type Data'!$B$2:$B$1165&lt;=Analysis!L212)*('Meter Type Data'!$C$2:$C$1165&gt;=Analysis!L212),ROW('Meter Type Data'!$B$2:$B$1165))-1,4))</x:f>
      </x:c>
      <x:c r="N212" s="192">
        <x:f>IF(ISERROR(INDEX('Meter Type Data'!$B$2:$D$1165,SUMPRODUCT(--('Meter Type Data'!$B$2:$B$1165&lt;=Analysis!L212)*('Meter Type Data'!$C$2:$C$1165&gt;=Analysis!L212),ROW('Meter Type Data'!$B$2:$B$1165))-1,3))," ",INDEX('Meter Type Data'!$B$2:$D$1165,SUMPRODUCT(--('Meter Type Data'!$B$2:$B$1165&lt;=Analysis!L212)*('Meter Type Data'!$C$2:$C$1165&gt;=Analysis!L212),ROW('Meter Type Data'!$B$2:$B$1165))-1,3))</x:f>
      </x:c>
      <x:c r="O212" s="69"/>
      <x:c r="P212" s="47"/>
      <x:c r="Q212" s="60"/>
      <x:c r="R212" s="58">
        <x:f>(($O212*P212)/100)+(Q212*12)</x:f>
      </x:c>
      <x:c r="S212" s="59"/>
      <x:c r="T212" s="59"/>
      <x:c r="U212" s="58">
        <x:f>(($O212*S212)/100)+(T212*12)</x:f>
      </x:c>
      <x:c r="V212" s="47"/>
      <x:c r="W212" s="60"/>
      <x:c r="X212" s="58">
        <x:f>(($O212*V212)/100)+(W212*12)</x:f>
      </x:c>
      <x:c r="Y212" s="47"/>
      <x:c r="Z212" s="60"/>
      <x:c r="AA212" s="58">
        <x:f>(($O212*Y212)/100)+(Z212*12)</x:f>
      </x:c>
      <x:c r="AB212" s="47"/>
      <x:c r="AC212" s="60"/>
      <x:c r="AD212" s="58">
        <x:f>(($O212*AB212)/100)+(AC212*12)</x:f>
      </x:c>
      <x:c r="AE212" s="47"/>
      <x:c r="AF212" s="60"/>
      <x:c r="AG212" s="58">
        <x:f>(($O212*AE212)/100)+(AF212*12)</x:f>
      </x:c>
      <x:c r="AH212" s="47"/>
      <x:c r="AI212" s="60"/>
      <x:c r="AJ212" s="58">
        <x:f>(($O212*AH212)/100)+(AI212*12)</x:f>
      </x:c>
      <x:c r="AK212" s="47"/>
      <x:c r="AL212" s="60"/>
      <x:c r="AM212" s="58">
        <x:f>(($O212*AK212)/100)+(AL212*12)</x:f>
      </x:c>
      <x:c r="AN212" s="47"/>
      <x:c r="AO212" s="60"/>
      <x:c r="AP212" s="58">
        <x:f>(($O212*AN212)/100)+(AO212*12)</x:f>
      </x:c>
      <x:c r="AQ212" s="47"/>
      <x:c r="AR212" s="60"/>
      <x:c r="AS212" s="58">
        <x:f>(($O212*AQ212)/100)+(AR212*12)</x:f>
      </x:c>
      <x:c r="AT212" s="47"/>
      <x:c r="AU212" s="60"/>
      <x:c r="AV212" s="58">
        <x:f>(($O212*AT212)/100)+(AU212*12)</x:f>
      </x:c>
      <x:c r="AW212" s="47"/>
      <x:c r="AX212" s="60"/>
      <x:c r="AY212" s="58">
        <x:f>(($O212*AW212)/100)+(AX212*12)</x:f>
      </x:c>
      <x:c r="AZ212" s="47"/>
      <x:c r="BA212" s="60"/>
      <x:c r="BB212" s="58">
        <x:f>(($O212*AZ212)/100)+(BA212*12)</x:f>
      </x:c>
      <x:c r="BC212" s="47"/>
      <x:c r="BD212" s="60"/>
      <x:c r="BE212" s="58">
        <x:f>(($O212*BC212)/100)+(BD212*12)</x:f>
      </x:c>
      <x:c r="BF212" s="47"/>
      <x:c r="BG212" s="60"/>
      <x:c r="BH212" s="58">
        <x:f>(($O212*BF212)/100)+(BG212*12)</x:f>
      </x:c>
      <x:c r="BI212" s="47"/>
      <x:c r="BJ212" s="60"/>
      <x:c r="BK212" s="58">
        <x:f>(($O212*BI212)/100)+(BJ212*12)</x:f>
      </x:c>
      <x:c r="BL212" s="47"/>
      <x:c r="BM212" s="60"/>
      <x:c r="BN212" s="58">
        <x:f>(($O212*BL212)/100)+(BM212*12)</x:f>
      </x:c>
      <x:c r="BO212" s="47"/>
      <x:c r="BP212" s="60"/>
      <x:c r="BQ212" s="58">
        <x:f>(($O212*BO212)/100)+(BP212*12)</x:f>
      </x:c>
      <x:c r="BR212" s="47"/>
      <x:c r="BS212" s="60"/>
      <x:c r="BT212" s="58">
        <x:f>(($O212*BR212)/100)+(BS212*12)</x:f>
      </x:c>
      <x:c r="BU212" s="47"/>
      <x:c r="BV212" s="60"/>
      <x:c r="BW212" s="58">
        <x:f>(($O212*BU212)/100)+(BV212*12)</x:f>
      </x:c>
      <x:c r="BX212" s="47"/>
      <x:c r="BY212" s="60"/>
      <x:c r="BZ212" s="58">
        <x:f>(($O212*BX212)/100)+(BY212*12)</x:f>
      </x:c>
      <x:c r="CA212" s="47"/>
      <x:c r="CB212" s="60"/>
      <x:c r="CC212" s="58">
        <x:f>(($O212*CA212)/100)+(CB212*12)</x:f>
      </x:c>
      <x:c r="CD212" s="47"/>
      <x:c r="CE212" s="60"/>
      <x:c r="CF212" s="58">
        <x:f>(($O212*CD212)/100)+(CE212*12)</x:f>
      </x:c>
      <x:c r="CG212" s="47"/>
      <x:c r="CH212" s="60"/>
      <x:c r="CI212" s="58">
        <x:f>(($O212*CG212)/100)+(CH212*12)</x:f>
      </x:c>
      <x:c r="CJ212" s="47"/>
      <x:c r="CK212" s="60"/>
      <x:c r="CL212" s="58">
        <x:f>(($O212*CJ212)/100)+(CK212*12)</x:f>
      </x:c>
      <x:c r="CM212" s="47"/>
      <x:c r="CN212" s="60"/>
      <x:c r="CO212" s="58">
        <x:f>(($O212*CM212)/100)+(CN212*12)</x:f>
      </x:c>
      <x:c r="CP212" s="47"/>
      <x:c r="CQ212" s="60"/>
      <x:c r="CR212" s="58">
        <x:f>(($O212*CP212)/100)+(CQ212*12)</x:f>
      </x:c>
      <x:c r="CS212" s="47"/>
      <x:c r="CT212" s="60"/>
      <x:c r="CU212" s="58">
        <x:f>(($O212*CS212)/100)+(CT212*12)</x:f>
      </x:c>
      <x:c r="CV212" s="47"/>
      <x:c r="CW212" s="60"/>
      <x:c r="CX212" s="58"/>
      <x:c r="CY212" s="47"/>
      <x:c r="CZ212" s="60"/>
      <x:c r="DA212" s="58"/>
      <x:c r="DB212" s="47"/>
      <x:c r="DC212" s="60"/>
      <x:c r="DD212" s="58"/>
      <x:c r="DE212" s="47"/>
      <x:c r="DF212" s="60"/>
      <x:c r="DG212" s="58"/>
      <x:c r="DH212" s="47"/>
      <x:c r="DI212" s="60"/>
      <x:c r="DJ212" s="58"/>
      <x:c r="DK212" s="47"/>
      <x:c r="DL212" s="60"/>
      <x:c r="DM212" s="58"/>
      <x:c r="DN212" s="11"/>
      <x:c r="DO212" s="61"/>
      <x:c r="DP212" s="62"/>
      <x:c r="DQ212" s="11"/>
      <x:c r="DR212" s="61"/>
      <x:c r="DS212" s="62"/>
      <x:c r="DT212" s="11"/>
      <x:c r="DU212" s="61"/>
      <x:c r="DV212" s="62"/>
    </x:row>
    <x:row r="213" spans="1:126" x14ac:dyDescent="0.3">
      <x:c r="A213" s="47"/>
      <x:c r="B213" s="70"/>
      <x:c r="C213" s="70"/>
      <x:c r="D213" s="70"/>
      <x:c r="E213" s="70"/>
      <x:c r="F213" s="70"/>
      <x:c r="G213" s="70"/>
      <x:c r="H213" s="70"/>
      <x:c r="I213" s="70"/>
      <x:c r="J213" s="70"/>
      <x:c r="K213" s="190"/>
      <x:c r="L213" s="191"/>
      <x:c r="M213" s="192">
        <x:f>IF(ISERROR(INDEX('Meter Type Data'!$B$2:$E$1165,SUMPRODUCT(--('Meter Type Data'!$B$2:$B$1165&lt;=Analysis!L213)*('Meter Type Data'!$C$2:$C$1165&gt;=Analysis!L213),ROW('Meter Type Data'!$B$2:$B$1165))-1,4))," ",INDEX('Meter Type Data'!$B$2:$E$1165,SUMPRODUCT(--('Meter Type Data'!$B$2:$B$1165&lt;=Analysis!L213)*('Meter Type Data'!$C$2:$C$1165&gt;=Analysis!L213),ROW('Meter Type Data'!$B$2:$B$1165))-1,4))</x:f>
      </x:c>
      <x:c r="N213" s="192">
        <x:f>IF(ISERROR(INDEX('Meter Type Data'!$B$2:$D$1165,SUMPRODUCT(--('Meter Type Data'!$B$2:$B$1165&lt;=Analysis!L213)*('Meter Type Data'!$C$2:$C$1165&gt;=Analysis!L213),ROW('Meter Type Data'!$B$2:$B$1165))-1,3))," ",INDEX('Meter Type Data'!$B$2:$D$1165,SUMPRODUCT(--('Meter Type Data'!$B$2:$B$1165&lt;=Analysis!L213)*('Meter Type Data'!$C$2:$C$1165&gt;=Analysis!L213),ROW('Meter Type Data'!$B$2:$B$1165))-1,3))</x:f>
      </x:c>
      <x:c r="O213" s="69"/>
      <x:c r="P213" s="47"/>
      <x:c r="Q213" s="60"/>
      <x:c r="R213" s="58">
        <x:f>(($O213*P213)/100)+(Q213*12)</x:f>
      </x:c>
      <x:c r="S213" s="59"/>
      <x:c r="T213" s="59"/>
      <x:c r="U213" s="58">
        <x:f>(($O213*S213)/100)+(T213*12)</x:f>
      </x:c>
      <x:c r="V213" s="47"/>
      <x:c r="W213" s="60"/>
      <x:c r="X213" s="58">
        <x:f>(($O213*V213)/100)+(W213*12)</x:f>
      </x:c>
      <x:c r="Y213" s="47"/>
      <x:c r="Z213" s="60"/>
      <x:c r="AA213" s="58">
        <x:f>(($O213*Y213)/100)+(Z213*12)</x:f>
      </x:c>
      <x:c r="AB213" s="47"/>
      <x:c r="AC213" s="60"/>
      <x:c r="AD213" s="58">
        <x:f>(($O213*AB213)/100)+(AC213*12)</x:f>
      </x:c>
      <x:c r="AE213" s="47"/>
      <x:c r="AF213" s="60"/>
      <x:c r="AG213" s="58">
        <x:f>(($O213*AE213)/100)+(AF213*12)</x:f>
      </x:c>
      <x:c r="AH213" s="47"/>
      <x:c r="AI213" s="60"/>
      <x:c r="AJ213" s="58">
        <x:f>(($O213*AH213)/100)+(AI213*12)</x:f>
      </x:c>
      <x:c r="AK213" s="47"/>
      <x:c r="AL213" s="60"/>
      <x:c r="AM213" s="58">
        <x:f>(($O213*AK213)/100)+(AL213*12)</x:f>
      </x:c>
      <x:c r="AN213" s="47"/>
      <x:c r="AO213" s="60"/>
      <x:c r="AP213" s="58">
        <x:f>(($O213*AN213)/100)+(AO213*12)</x:f>
      </x:c>
      <x:c r="AQ213" s="47"/>
      <x:c r="AR213" s="60"/>
      <x:c r="AS213" s="58">
        <x:f>(($O213*AQ213)/100)+(AR213*12)</x:f>
      </x:c>
      <x:c r="AT213" s="47"/>
      <x:c r="AU213" s="60"/>
      <x:c r="AV213" s="58">
        <x:f>(($O213*AT213)/100)+(AU213*12)</x:f>
      </x:c>
      <x:c r="AW213" s="47"/>
      <x:c r="AX213" s="60"/>
      <x:c r="AY213" s="58">
        <x:f>(($O213*AW213)/100)+(AX213*12)</x:f>
      </x:c>
      <x:c r="AZ213" s="47"/>
      <x:c r="BA213" s="60"/>
      <x:c r="BB213" s="58">
        <x:f>(($O213*AZ213)/100)+(BA213*12)</x:f>
      </x:c>
      <x:c r="BC213" s="47"/>
      <x:c r="BD213" s="60"/>
      <x:c r="BE213" s="58">
        <x:f>(($O213*BC213)/100)+(BD213*12)</x:f>
      </x:c>
      <x:c r="BF213" s="47"/>
      <x:c r="BG213" s="60"/>
      <x:c r="BH213" s="58">
        <x:f>(($O213*BF213)/100)+(BG213*12)</x:f>
      </x:c>
      <x:c r="BI213" s="47"/>
      <x:c r="BJ213" s="60"/>
      <x:c r="BK213" s="58">
        <x:f>(($O213*BI213)/100)+(BJ213*12)</x:f>
      </x:c>
      <x:c r="BL213" s="47"/>
      <x:c r="BM213" s="60"/>
      <x:c r="BN213" s="58">
        <x:f>(($O213*BL213)/100)+(BM213*12)</x:f>
      </x:c>
      <x:c r="BO213" s="47"/>
      <x:c r="BP213" s="60"/>
      <x:c r="BQ213" s="58">
        <x:f>(($O213*BO213)/100)+(BP213*12)</x:f>
      </x:c>
      <x:c r="BR213" s="47"/>
      <x:c r="BS213" s="60"/>
      <x:c r="BT213" s="58">
        <x:f>(($O213*BR213)/100)+(BS213*12)</x:f>
      </x:c>
      <x:c r="BU213" s="47"/>
      <x:c r="BV213" s="60"/>
      <x:c r="BW213" s="58">
        <x:f>(($O213*BU213)/100)+(BV213*12)</x:f>
      </x:c>
      <x:c r="BX213" s="47"/>
      <x:c r="BY213" s="60"/>
      <x:c r="BZ213" s="58">
        <x:f>(($O213*BX213)/100)+(BY213*12)</x:f>
      </x:c>
      <x:c r="CA213" s="47"/>
      <x:c r="CB213" s="60"/>
      <x:c r="CC213" s="58">
        <x:f>(($O213*CA213)/100)+(CB213*12)</x:f>
      </x:c>
      <x:c r="CD213" s="47"/>
      <x:c r="CE213" s="60"/>
      <x:c r="CF213" s="58">
        <x:f>(($O213*CD213)/100)+(CE213*12)</x:f>
      </x:c>
      <x:c r="CG213" s="47"/>
      <x:c r="CH213" s="60"/>
      <x:c r="CI213" s="58">
        <x:f>(($O213*CG213)/100)+(CH213*12)</x:f>
      </x:c>
      <x:c r="CJ213" s="47"/>
      <x:c r="CK213" s="60"/>
      <x:c r="CL213" s="58">
        <x:f>(($O213*CJ213)/100)+(CK213*12)</x:f>
      </x:c>
      <x:c r="CM213" s="47"/>
      <x:c r="CN213" s="60"/>
      <x:c r="CO213" s="58">
        <x:f>(($O213*CM213)/100)+(CN213*12)</x:f>
      </x:c>
      <x:c r="CP213" s="47"/>
      <x:c r="CQ213" s="60"/>
      <x:c r="CR213" s="58">
        <x:f>(($O213*CP213)/100)+(CQ213*12)</x:f>
      </x:c>
      <x:c r="CS213" s="47"/>
      <x:c r="CT213" s="60"/>
      <x:c r="CU213" s="58">
        <x:f>(($O213*CS213)/100)+(CT213*12)</x:f>
      </x:c>
      <x:c r="CV213" s="47"/>
      <x:c r="CW213" s="60"/>
      <x:c r="CX213" s="58"/>
      <x:c r="CY213" s="47"/>
      <x:c r="CZ213" s="60"/>
      <x:c r="DA213" s="58"/>
      <x:c r="DB213" s="47"/>
      <x:c r="DC213" s="60"/>
      <x:c r="DD213" s="58"/>
      <x:c r="DE213" s="47"/>
      <x:c r="DF213" s="60"/>
      <x:c r="DG213" s="58"/>
      <x:c r="DH213" s="47"/>
      <x:c r="DI213" s="60"/>
      <x:c r="DJ213" s="58"/>
      <x:c r="DK213" s="47"/>
      <x:c r="DL213" s="60"/>
      <x:c r="DM213" s="58"/>
      <x:c r="DN213" s="11"/>
      <x:c r="DO213" s="61"/>
      <x:c r="DP213" s="62"/>
      <x:c r="DQ213" s="11"/>
      <x:c r="DR213" s="61"/>
      <x:c r="DS213" s="62"/>
      <x:c r="DT213" s="11"/>
      <x:c r="DU213" s="61"/>
      <x:c r="DV213" s="62"/>
    </x:row>
    <x:row r="214" spans="1:126" x14ac:dyDescent="0.3">
      <x:c r="A214" s="47"/>
      <x:c r="B214" s="70"/>
      <x:c r="C214" s="70"/>
      <x:c r="D214" s="70"/>
      <x:c r="E214" s="70"/>
      <x:c r="F214" s="70"/>
      <x:c r="G214" s="70"/>
      <x:c r="H214" s="70"/>
      <x:c r="I214" s="70"/>
      <x:c r="J214" s="70"/>
      <x:c r="K214" s="190"/>
      <x:c r="L214" s="191"/>
      <x:c r="M214" s="192">
        <x:f>IF(ISERROR(INDEX('Meter Type Data'!$B$2:$E$1165,SUMPRODUCT(--('Meter Type Data'!$B$2:$B$1165&lt;=Analysis!L214)*('Meter Type Data'!$C$2:$C$1165&gt;=Analysis!L214),ROW('Meter Type Data'!$B$2:$B$1165))-1,4))," ",INDEX('Meter Type Data'!$B$2:$E$1165,SUMPRODUCT(--('Meter Type Data'!$B$2:$B$1165&lt;=Analysis!L214)*('Meter Type Data'!$C$2:$C$1165&gt;=Analysis!L214),ROW('Meter Type Data'!$B$2:$B$1165))-1,4))</x:f>
      </x:c>
      <x:c r="N214" s="192">
        <x:f>IF(ISERROR(INDEX('Meter Type Data'!$B$2:$D$1165,SUMPRODUCT(--('Meter Type Data'!$B$2:$B$1165&lt;=Analysis!L214)*('Meter Type Data'!$C$2:$C$1165&gt;=Analysis!L214),ROW('Meter Type Data'!$B$2:$B$1165))-1,3))," ",INDEX('Meter Type Data'!$B$2:$D$1165,SUMPRODUCT(--('Meter Type Data'!$B$2:$B$1165&lt;=Analysis!L214)*('Meter Type Data'!$C$2:$C$1165&gt;=Analysis!L214),ROW('Meter Type Data'!$B$2:$B$1165))-1,3))</x:f>
      </x:c>
      <x:c r="O214" s="69"/>
      <x:c r="P214" s="47"/>
      <x:c r="Q214" s="60"/>
      <x:c r="R214" s="58">
        <x:f>(($O214*P214)/100)+(Q214*12)</x:f>
      </x:c>
      <x:c r="S214" s="59"/>
      <x:c r="T214" s="59"/>
      <x:c r="U214" s="58">
        <x:f>(($O214*S214)/100)+(T214*12)</x:f>
      </x:c>
      <x:c r="V214" s="47"/>
      <x:c r="W214" s="60"/>
      <x:c r="X214" s="58">
        <x:f>(($O214*V214)/100)+(W214*12)</x:f>
      </x:c>
      <x:c r="Y214" s="47"/>
      <x:c r="Z214" s="60"/>
      <x:c r="AA214" s="58">
        <x:f>(($O214*Y214)/100)+(Z214*12)</x:f>
      </x:c>
      <x:c r="AB214" s="47"/>
      <x:c r="AC214" s="60"/>
      <x:c r="AD214" s="58">
        <x:f>(($O214*AB214)/100)+(AC214*12)</x:f>
      </x:c>
      <x:c r="AE214" s="47"/>
      <x:c r="AF214" s="60"/>
      <x:c r="AG214" s="58">
        <x:f>(($O214*AE214)/100)+(AF214*12)</x:f>
      </x:c>
      <x:c r="AH214" s="47"/>
      <x:c r="AI214" s="60"/>
      <x:c r="AJ214" s="58">
        <x:f>(($O214*AH214)/100)+(AI214*12)</x:f>
      </x:c>
      <x:c r="AK214" s="47"/>
      <x:c r="AL214" s="60"/>
      <x:c r="AM214" s="58">
        <x:f>(($O214*AK214)/100)+(AL214*12)</x:f>
      </x:c>
      <x:c r="AN214" s="47"/>
      <x:c r="AO214" s="60"/>
      <x:c r="AP214" s="58">
        <x:f>(($O214*AN214)/100)+(AO214*12)</x:f>
      </x:c>
      <x:c r="AQ214" s="47"/>
      <x:c r="AR214" s="60"/>
      <x:c r="AS214" s="58">
        <x:f>(($O214*AQ214)/100)+(AR214*12)</x:f>
      </x:c>
      <x:c r="AT214" s="47"/>
      <x:c r="AU214" s="60"/>
      <x:c r="AV214" s="58">
        <x:f>(($O214*AT214)/100)+(AU214*12)</x:f>
      </x:c>
      <x:c r="AW214" s="47"/>
      <x:c r="AX214" s="60"/>
      <x:c r="AY214" s="58">
        <x:f>(($O214*AW214)/100)+(AX214*12)</x:f>
      </x:c>
      <x:c r="AZ214" s="47"/>
      <x:c r="BA214" s="60"/>
      <x:c r="BB214" s="58">
        <x:f>(($O214*AZ214)/100)+(BA214*12)</x:f>
      </x:c>
      <x:c r="BC214" s="47"/>
      <x:c r="BD214" s="60"/>
      <x:c r="BE214" s="58">
        <x:f>(($O214*BC214)/100)+(BD214*12)</x:f>
      </x:c>
      <x:c r="BF214" s="47"/>
      <x:c r="BG214" s="60"/>
      <x:c r="BH214" s="58">
        <x:f>(($O214*BF214)/100)+(BG214*12)</x:f>
      </x:c>
      <x:c r="BI214" s="47"/>
      <x:c r="BJ214" s="60"/>
      <x:c r="BK214" s="58">
        <x:f>(($O214*BI214)/100)+(BJ214*12)</x:f>
      </x:c>
      <x:c r="BL214" s="47"/>
      <x:c r="BM214" s="60"/>
      <x:c r="BN214" s="58">
        <x:f>(($O214*BL214)/100)+(BM214*12)</x:f>
      </x:c>
      <x:c r="BO214" s="47"/>
      <x:c r="BP214" s="60"/>
      <x:c r="BQ214" s="58">
        <x:f>(($O214*BO214)/100)+(BP214*12)</x:f>
      </x:c>
      <x:c r="BR214" s="47"/>
      <x:c r="BS214" s="60"/>
      <x:c r="BT214" s="58">
        <x:f>(($O214*BR214)/100)+(BS214*12)</x:f>
      </x:c>
      <x:c r="BU214" s="47"/>
      <x:c r="BV214" s="60"/>
      <x:c r="BW214" s="58">
        <x:f>(($O214*BU214)/100)+(BV214*12)</x:f>
      </x:c>
      <x:c r="BX214" s="47"/>
      <x:c r="BY214" s="60"/>
      <x:c r="BZ214" s="58">
        <x:f>(($O214*BX214)/100)+(BY214*12)</x:f>
      </x:c>
      <x:c r="CA214" s="47"/>
      <x:c r="CB214" s="60"/>
      <x:c r="CC214" s="58">
        <x:f>(($O214*CA214)/100)+(CB214*12)</x:f>
      </x:c>
      <x:c r="CD214" s="47"/>
      <x:c r="CE214" s="60"/>
      <x:c r="CF214" s="58">
        <x:f>(($O214*CD214)/100)+(CE214*12)</x:f>
      </x:c>
      <x:c r="CG214" s="47"/>
      <x:c r="CH214" s="60"/>
      <x:c r="CI214" s="58">
        <x:f>(($O214*CG214)/100)+(CH214*12)</x:f>
      </x:c>
      <x:c r="CJ214" s="47"/>
      <x:c r="CK214" s="60"/>
      <x:c r="CL214" s="58">
        <x:f>(($O214*CJ214)/100)+(CK214*12)</x:f>
      </x:c>
      <x:c r="CM214" s="47"/>
      <x:c r="CN214" s="60"/>
      <x:c r="CO214" s="58">
        <x:f>(($O214*CM214)/100)+(CN214*12)</x:f>
      </x:c>
      <x:c r="CP214" s="47"/>
      <x:c r="CQ214" s="60"/>
      <x:c r="CR214" s="58">
        <x:f>(($O214*CP214)/100)+(CQ214*12)</x:f>
      </x:c>
      <x:c r="CS214" s="47"/>
      <x:c r="CT214" s="60"/>
      <x:c r="CU214" s="58">
        <x:f>(($O214*CS214)/100)+(CT214*12)</x:f>
      </x:c>
      <x:c r="CV214" s="47"/>
      <x:c r="CW214" s="60"/>
      <x:c r="CX214" s="58"/>
      <x:c r="CY214" s="47"/>
      <x:c r="CZ214" s="60"/>
      <x:c r="DA214" s="58"/>
      <x:c r="DB214" s="47"/>
      <x:c r="DC214" s="60"/>
      <x:c r="DD214" s="58"/>
      <x:c r="DE214" s="47"/>
      <x:c r="DF214" s="60"/>
      <x:c r="DG214" s="58"/>
      <x:c r="DH214" s="47"/>
      <x:c r="DI214" s="60"/>
      <x:c r="DJ214" s="58"/>
      <x:c r="DK214" s="47"/>
      <x:c r="DL214" s="60"/>
      <x:c r="DM214" s="58"/>
      <x:c r="DN214" s="11"/>
      <x:c r="DO214" s="61"/>
      <x:c r="DP214" s="62"/>
      <x:c r="DQ214" s="11"/>
      <x:c r="DR214" s="61"/>
      <x:c r="DS214" s="62"/>
      <x:c r="DT214" s="11"/>
      <x:c r="DU214" s="61"/>
      <x:c r="DV214" s="62"/>
    </x:row>
    <x:row r="215" spans="1:126" x14ac:dyDescent="0.3">
      <x:c r="A215" s="47"/>
      <x:c r="B215" s="70"/>
      <x:c r="C215" s="70"/>
      <x:c r="D215" s="70"/>
      <x:c r="E215" s="70"/>
      <x:c r="F215" s="70"/>
      <x:c r="G215" s="70"/>
      <x:c r="H215" s="70"/>
      <x:c r="I215" s="70"/>
      <x:c r="J215" s="70"/>
      <x:c r="K215" s="190"/>
      <x:c r="L215" s="191"/>
      <x:c r="M215" s="192">
        <x:f>IF(ISERROR(INDEX('Meter Type Data'!$B$2:$E$1165,SUMPRODUCT(--('Meter Type Data'!$B$2:$B$1165&lt;=Analysis!L215)*('Meter Type Data'!$C$2:$C$1165&gt;=Analysis!L215),ROW('Meter Type Data'!$B$2:$B$1165))-1,4))," ",INDEX('Meter Type Data'!$B$2:$E$1165,SUMPRODUCT(--('Meter Type Data'!$B$2:$B$1165&lt;=Analysis!L215)*('Meter Type Data'!$C$2:$C$1165&gt;=Analysis!L215),ROW('Meter Type Data'!$B$2:$B$1165))-1,4))</x:f>
      </x:c>
      <x:c r="N215" s="192">
        <x:f>IF(ISERROR(INDEX('Meter Type Data'!$B$2:$D$1165,SUMPRODUCT(--('Meter Type Data'!$B$2:$B$1165&lt;=Analysis!L215)*('Meter Type Data'!$C$2:$C$1165&gt;=Analysis!L215),ROW('Meter Type Data'!$B$2:$B$1165))-1,3))," ",INDEX('Meter Type Data'!$B$2:$D$1165,SUMPRODUCT(--('Meter Type Data'!$B$2:$B$1165&lt;=Analysis!L215)*('Meter Type Data'!$C$2:$C$1165&gt;=Analysis!L215),ROW('Meter Type Data'!$B$2:$B$1165))-1,3))</x:f>
      </x:c>
      <x:c r="O215" s="69"/>
      <x:c r="P215" s="47"/>
      <x:c r="Q215" s="60"/>
      <x:c r="R215" s="58">
        <x:f>(($O215*P215)/100)+(Q215*12)</x:f>
      </x:c>
      <x:c r="S215" s="59"/>
      <x:c r="T215" s="59"/>
      <x:c r="U215" s="58">
        <x:f>(($O215*S215)/100)+(T215*12)</x:f>
      </x:c>
      <x:c r="V215" s="47"/>
      <x:c r="W215" s="60"/>
      <x:c r="X215" s="58">
        <x:f>(($O215*V215)/100)+(W215*12)</x:f>
      </x:c>
      <x:c r="Y215" s="47"/>
      <x:c r="Z215" s="60"/>
      <x:c r="AA215" s="58">
        <x:f>(($O215*Y215)/100)+(Z215*12)</x:f>
      </x:c>
      <x:c r="AB215" s="47"/>
      <x:c r="AC215" s="60"/>
      <x:c r="AD215" s="58">
        <x:f>(($O215*AB215)/100)+(AC215*12)</x:f>
      </x:c>
      <x:c r="AE215" s="47"/>
      <x:c r="AF215" s="60"/>
      <x:c r="AG215" s="58">
        <x:f>(($O215*AE215)/100)+(AF215*12)</x:f>
      </x:c>
      <x:c r="AH215" s="47"/>
      <x:c r="AI215" s="60"/>
      <x:c r="AJ215" s="58">
        <x:f>(($O215*AH215)/100)+(AI215*12)</x:f>
      </x:c>
      <x:c r="AK215" s="47"/>
      <x:c r="AL215" s="60"/>
      <x:c r="AM215" s="58">
        <x:f>(($O215*AK215)/100)+(AL215*12)</x:f>
      </x:c>
      <x:c r="AN215" s="47"/>
      <x:c r="AO215" s="60"/>
      <x:c r="AP215" s="58">
        <x:f>(($O215*AN215)/100)+(AO215*12)</x:f>
      </x:c>
      <x:c r="AQ215" s="47"/>
      <x:c r="AR215" s="60"/>
      <x:c r="AS215" s="58">
        <x:f>(($O215*AQ215)/100)+(AR215*12)</x:f>
      </x:c>
      <x:c r="AT215" s="47"/>
      <x:c r="AU215" s="60"/>
      <x:c r="AV215" s="58">
        <x:f>(($O215*AT215)/100)+(AU215*12)</x:f>
      </x:c>
      <x:c r="AW215" s="47"/>
      <x:c r="AX215" s="60"/>
      <x:c r="AY215" s="58">
        <x:f>(($O215*AW215)/100)+(AX215*12)</x:f>
      </x:c>
      <x:c r="AZ215" s="47"/>
      <x:c r="BA215" s="60"/>
      <x:c r="BB215" s="58">
        <x:f>(($O215*AZ215)/100)+(BA215*12)</x:f>
      </x:c>
      <x:c r="BC215" s="47"/>
      <x:c r="BD215" s="60"/>
      <x:c r="BE215" s="58">
        <x:f>(($O215*BC215)/100)+(BD215*12)</x:f>
      </x:c>
      <x:c r="BF215" s="47"/>
      <x:c r="BG215" s="60"/>
      <x:c r="BH215" s="58">
        <x:f>(($O215*BF215)/100)+(BG215*12)</x:f>
      </x:c>
      <x:c r="BI215" s="47"/>
      <x:c r="BJ215" s="60"/>
      <x:c r="BK215" s="58">
        <x:f>(($O215*BI215)/100)+(BJ215*12)</x:f>
      </x:c>
      <x:c r="BL215" s="47"/>
      <x:c r="BM215" s="60"/>
      <x:c r="BN215" s="58">
        <x:f>(($O215*BL215)/100)+(BM215*12)</x:f>
      </x:c>
      <x:c r="BO215" s="47"/>
      <x:c r="BP215" s="60"/>
      <x:c r="BQ215" s="58">
        <x:f>(($O215*BO215)/100)+(BP215*12)</x:f>
      </x:c>
      <x:c r="BR215" s="47"/>
      <x:c r="BS215" s="60"/>
      <x:c r="BT215" s="58">
        <x:f>(($O215*BR215)/100)+(BS215*12)</x:f>
      </x:c>
      <x:c r="BU215" s="47"/>
      <x:c r="BV215" s="60"/>
      <x:c r="BW215" s="58">
        <x:f>(($O215*BU215)/100)+(BV215*12)</x:f>
      </x:c>
      <x:c r="BX215" s="47"/>
      <x:c r="BY215" s="60"/>
      <x:c r="BZ215" s="58">
        <x:f>(($O215*BX215)/100)+(BY215*12)</x:f>
      </x:c>
      <x:c r="CA215" s="47"/>
      <x:c r="CB215" s="60"/>
      <x:c r="CC215" s="58">
        <x:f>(($O215*CA215)/100)+(CB215*12)</x:f>
      </x:c>
      <x:c r="CD215" s="47"/>
      <x:c r="CE215" s="60"/>
      <x:c r="CF215" s="58">
        <x:f>(($O215*CD215)/100)+(CE215*12)</x:f>
      </x:c>
      <x:c r="CG215" s="47"/>
      <x:c r="CH215" s="60"/>
      <x:c r="CI215" s="58">
        <x:f>(($O215*CG215)/100)+(CH215*12)</x:f>
      </x:c>
      <x:c r="CJ215" s="47"/>
      <x:c r="CK215" s="60"/>
      <x:c r="CL215" s="58">
        <x:f>(($O215*CJ215)/100)+(CK215*12)</x:f>
      </x:c>
      <x:c r="CM215" s="47"/>
      <x:c r="CN215" s="60"/>
      <x:c r="CO215" s="58">
        <x:f>(($O215*CM215)/100)+(CN215*12)</x:f>
      </x:c>
      <x:c r="CP215" s="47"/>
      <x:c r="CQ215" s="60"/>
      <x:c r="CR215" s="58">
        <x:f>(($O215*CP215)/100)+(CQ215*12)</x:f>
      </x:c>
      <x:c r="CS215" s="47"/>
      <x:c r="CT215" s="60"/>
      <x:c r="CU215" s="58">
        <x:f>(($O215*CS215)/100)+(CT215*12)</x:f>
      </x:c>
      <x:c r="CV215" s="47"/>
      <x:c r="CW215" s="60"/>
      <x:c r="CX215" s="58"/>
      <x:c r="CY215" s="47"/>
      <x:c r="CZ215" s="60"/>
      <x:c r="DA215" s="58"/>
      <x:c r="DB215" s="47"/>
      <x:c r="DC215" s="60"/>
      <x:c r="DD215" s="58"/>
      <x:c r="DE215" s="47"/>
      <x:c r="DF215" s="60"/>
      <x:c r="DG215" s="58"/>
      <x:c r="DH215" s="47"/>
      <x:c r="DI215" s="60"/>
      <x:c r="DJ215" s="58"/>
      <x:c r="DK215" s="47"/>
      <x:c r="DL215" s="60"/>
      <x:c r="DM215" s="58"/>
      <x:c r="DN215" s="11"/>
      <x:c r="DO215" s="61"/>
      <x:c r="DP215" s="62"/>
      <x:c r="DQ215" s="11"/>
      <x:c r="DR215" s="61"/>
      <x:c r="DS215" s="62"/>
      <x:c r="DT215" s="11"/>
      <x:c r="DU215" s="61"/>
      <x:c r="DV215" s="62"/>
    </x:row>
    <x:row r="216" spans="1:126" x14ac:dyDescent="0.3">
      <x:c r="A216" s="47"/>
      <x:c r="B216" s="70"/>
      <x:c r="C216" s="70"/>
      <x:c r="D216" s="70"/>
      <x:c r="E216" s="70"/>
      <x:c r="F216" s="70"/>
      <x:c r="G216" s="70"/>
      <x:c r="H216" s="70"/>
      <x:c r="I216" s="70"/>
      <x:c r="J216" s="70"/>
      <x:c r="K216" s="190"/>
      <x:c r="L216" s="191"/>
      <x:c r="M216" s="192">
        <x:f>IF(ISERROR(INDEX('Meter Type Data'!$B$2:$E$1165,SUMPRODUCT(--('Meter Type Data'!$B$2:$B$1165&lt;=Analysis!L216)*('Meter Type Data'!$C$2:$C$1165&gt;=Analysis!L216),ROW('Meter Type Data'!$B$2:$B$1165))-1,4))," ",INDEX('Meter Type Data'!$B$2:$E$1165,SUMPRODUCT(--('Meter Type Data'!$B$2:$B$1165&lt;=Analysis!L216)*('Meter Type Data'!$C$2:$C$1165&gt;=Analysis!L216),ROW('Meter Type Data'!$B$2:$B$1165))-1,4))</x:f>
      </x:c>
      <x:c r="N216" s="192">
        <x:f>IF(ISERROR(INDEX('Meter Type Data'!$B$2:$D$1165,SUMPRODUCT(--('Meter Type Data'!$B$2:$B$1165&lt;=Analysis!L216)*('Meter Type Data'!$C$2:$C$1165&gt;=Analysis!L216),ROW('Meter Type Data'!$B$2:$B$1165))-1,3))," ",INDEX('Meter Type Data'!$B$2:$D$1165,SUMPRODUCT(--('Meter Type Data'!$B$2:$B$1165&lt;=Analysis!L216)*('Meter Type Data'!$C$2:$C$1165&gt;=Analysis!L216),ROW('Meter Type Data'!$B$2:$B$1165))-1,3))</x:f>
      </x:c>
      <x:c r="O216" s="69"/>
      <x:c r="P216" s="47"/>
      <x:c r="Q216" s="60"/>
      <x:c r="R216" s="58">
        <x:f>(($O216*P216)/100)+(Q216*12)</x:f>
      </x:c>
      <x:c r="S216" s="59"/>
      <x:c r="T216" s="59"/>
      <x:c r="U216" s="58">
        <x:f>(($O216*S216)/100)+(T216*12)</x:f>
      </x:c>
      <x:c r="V216" s="47"/>
      <x:c r="W216" s="60"/>
      <x:c r="X216" s="58">
        <x:f>(($O216*V216)/100)+(W216*12)</x:f>
      </x:c>
      <x:c r="Y216" s="47"/>
      <x:c r="Z216" s="60"/>
      <x:c r="AA216" s="58">
        <x:f>(($O216*Y216)/100)+(Z216*12)</x:f>
      </x:c>
      <x:c r="AB216" s="47"/>
      <x:c r="AC216" s="60"/>
      <x:c r="AD216" s="58">
        <x:f>(($O216*AB216)/100)+(AC216*12)</x:f>
      </x:c>
      <x:c r="AE216" s="47"/>
      <x:c r="AF216" s="60"/>
      <x:c r="AG216" s="58">
        <x:f>(($O216*AE216)/100)+(AF216*12)</x:f>
      </x:c>
      <x:c r="AH216" s="47"/>
      <x:c r="AI216" s="60"/>
      <x:c r="AJ216" s="58">
        <x:f>(($O216*AH216)/100)+(AI216*12)</x:f>
      </x:c>
      <x:c r="AK216" s="47"/>
      <x:c r="AL216" s="60"/>
      <x:c r="AM216" s="58">
        <x:f>(($O216*AK216)/100)+(AL216*12)</x:f>
      </x:c>
      <x:c r="AN216" s="47"/>
      <x:c r="AO216" s="60"/>
      <x:c r="AP216" s="58">
        <x:f>(($O216*AN216)/100)+(AO216*12)</x:f>
      </x:c>
      <x:c r="AQ216" s="47"/>
      <x:c r="AR216" s="60"/>
      <x:c r="AS216" s="58">
        <x:f>(($O216*AQ216)/100)+(AR216*12)</x:f>
      </x:c>
      <x:c r="AT216" s="47"/>
      <x:c r="AU216" s="60"/>
      <x:c r="AV216" s="58">
        <x:f>(($O216*AT216)/100)+(AU216*12)</x:f>
      </x:c>
      <x:c r="AW216" s="47"/>
      <x:c r="AX216" s="60"/>
      <x:c r="AY216" s="58">
        <x:f>(($O216*AW216)/100)+(AX216*12)</x:f>
      </x:c>
      <x:c r="AZ216" s="47"/>
      <x:c r="BA216" s="60"/>
      <x:c r="BB216" s="58">
        <x:f>(($O216*AZ216)/100)+(BA216*12)</x:f>
      </x:c>
      <x:c r="BC216" s="47"/>
      <x:c r="BD216" s="60"/>
      <x:c r="BE216" s="58">
        <x:f>(($O216*BC216)/100)+(BD216*12)</x:f>
      </x:c>
      <x:c r="BF216" s="47"/>
      <x:c r="BG216" s="60"/>
      <x:c r="BH216" s="58">
        <x:f>(($O216*BF216)/100)+(BG216*12)</x:f>
      </x:c>
      <x:c r="BI216" s="47"/>
      <x:c r="BJ216" s="60"/>
      <x:c r="BK216" s="58">
        <x:f>(($O216*BI216)/100)+(BJ216*12)</x:f>
      </x:c>
      <x:c r="BL216" s="47"/>
      <x:c r="BM216" s="60"/>
      <x:c r="BN216" s="58">
        <x:f>(($O216*BL216)/100)+(BM216*12)</x:f>
      </x:c>
      <x:c r="BO216" s="47"/>
      <x:c r="BP216" s="60"/>
      <x:c r="BQ216" s="58">
        <x:f>(($O216*BO216)/100)+(BP216*12)</x:f>
      </x:c>
      <x:c r="BR216" s="47"/>
      <x:c r="BS216" s="60"/>
      <x:c r="BT216" s="58">
        <x:f>(($O216*BR216)/100)+(BS216*12)</x:f>
      </x:c>
      <x:c r="BU216" s="47"/>
      <x:c r="BV216" s="60"/>
      <x:c r="BW216" s="58">
        <x:f>(($O216*BU216)/100)+(BV216*12)</x:f>
      </x:c>
      <x:c r="BX216" s="47"/>
      <x:c r="BY216" s="60"/>
      <x:c r="BZ216" s="58">
        <x:f>(($O216*BX216)/100)+(BY216*12)</x:f>
      </x:c>
      <x:c r="CA216" s="47"/>
      <x:c r="CB216" s="60"/>
      <x:c r="CC216" s="58">
        <x:f>(($O216*CA216)/100)+(CB216*12)</x:f>
      </x:c>
      <x:c r="CD216" s="47"/>
      <x:c r="CE216" s="60"/>
      <x:c r="CF216" s="58">
        <x:f>(($O216*CD216)/100)+(CE216*12)</x:f>
      </x:c>
      <x:c r="CG216" s="47"/>
      <x:c r="CH216" s="60"/>
      <x:c r="CI216" s="58">
        <x:f>(($O216*CG216)/100)+(CH216*12)</x:f>
      </x:c>
      <x:c r="CJ216" s="47"/>
      <x:c r="CK216" s="60"/>
      <x:c r="CL216" s="58">
        <x:f>(($O216*CJ216)/100)+(CK216*12)</x:f>
      </x:c>
      <x:c r="CM216" s="47"/>
      <x:c r="CN216" s="60"/>
      <x:c r="CO216" s="58">
        <x:f>(($O216*CM216)/100)+(CN216*12)</x:f>
      </x:c>
      <x:c r="CP216" s="47"/>
      <x:c r="CQ216" s="60"/>
      <x:c r="CR216" s="58">
        <x:f>(($O216*CP216)/100)+(CQ216*12)</x:f>
      </x:c>
      <x:c r="CS216" s="47"/>
      <x:c r="CT216" s="60"/>
      <x:c r="CU216" s="58">
        <x:f>(($O216*CS216)/100)+(CT216*12)</x:f>
      </x:c>
      <x:c r="CV216" s="47"/>
      <x:c r="CW216" s="60"/>
      <x:c r="CX216" s="58"/>
      <x:c r="CY216" s="47"/>
      <x:c r="CZ216" s="60"/>
      <x:c r="DA216" s="58"/>
      <x:c r="DB216" s="47"/>
      <x:c r="DC216" s="60"/>
      <x:c r="DD216" s="58"/>
      <x:c r="DE216" s="47"/>
      <x:c r="DF216" s="60"/>
      <x:c r="DG216" s="58"/>
      <x:c r="DH216" s="47"/>
      <x:c r="DI216" s="60"/>
      <x:c r="DJ216" s="58"/>
      <x:c r="DK216" s="47"/>
      <x:c r="DL216" s="60"/>
      <x:c r="DM216" s="58"/>
      <x:c r="DN216" s="11"/>
      <x:c r="DO216" s="61"/>
      <x:c r="DP216" s="62"/>
      <x:c r="DQ216" s="11"/>
      <x:c r="DR216" s="61"/>
      <x:c r="DS216" s="62"/>
      <x:c r="DT216" s="11"/>
      <x:c r="DU216" s="61"/>
      <x:c r="DV216" s="62"/>
    </x:row>
    <x:row r="217" spans="1:126" x14ac:dyDescent="0.3">
      <x:c r="A217" s="47"/>
      <x:c r="B217" s="70"/>
      <x:c r="C217" s="70"/>
      <x:c r="D217" s="70"/>
      <x:c r="E217" s="70"/>
      <x:c r="F217" s="70"/>
      <x:c r="G217" s="70"/>
      <x:c r="H217" s="70"/>
      <x:c r="I217" s="70"/>
      <x:c r="J217" s="70"/>
      <x:c r="K217" s="190"/>
      <x:c r="L217" s="191"/>
      <x:c r="M217" s="192">
        <x:f>IF(ISERROR(INDEX('Meter Type Data'!$B$2:$E$1165,SUMPRODUCT(--('Meter Type Data'!$B$2:$B$1165&lt;=Analysis!L217)*('Meter Type Data'!$C$2:$C$1165&gt;=Analysis!L217),ROW('Meter Type Data'!$B$2:$B$1165))-1,4))," ",INDEX('Meter Type Data'!$B$2:$E$1165,SUMPRODUCT(--('Meter Type Data'!$B$2:$B$1165&lt;=Analysis!L217)*('Meter Type Data'!$C$2:$C$1165&gt;=Analysis!L217),ROW('Meter Type Data'!$B$2:$B$1165))-1,4))</x:f>
      </x:c>
      <x:c r="N217" s="192">
        <x:f>IF(ISERROR(INDEX('Meter Type Data'!$B$2:$D$1165,SUMPRODUCT(--('Meter Type Data'!$B$2:$B$1165&lt;=Analysis!L217)*('Meter Type Data'!$C$2:$C$1165&gt;=Analysis!L217),ROW('Meter Type Data'!$B$2:$B$1165))-1,3))," ",INDEX('Meter Type Data'!$B$2:$D$1165,SUMPRODUCT(--('Meter Type Data'!$B$2:$B$1165&lt;=Analysis!L217)*('Meter Type Data'!$C$2:$C$1165&gt;=Analysis!L217),ROW('Meter Type Data'!$B$2:$B$1165))-1,3))</x:f>
      </x:c>
      <x:c r="O217" s="69"/>
      <x:c r="P217" s="47"/>
      <x:c r="Q217" s="60"/>
      <x:c r="R217" s="58">
        <x:f>(($O217*P217)/100)+(Q217*12)</x:f>
      </x:c>
      <x:c r="S217" s="59"/>
      <x:c r="T217" s="59"/>
      <x:c r="U217" s="58">
        <x:f>(($O217*S217)/100)+(T217*12)</x:f>
      </x:c>
      <x:c r="V217" s="47"/>
      <x:c r="W217" s="60"/>
      <x:c r="X217" s="58">
        <x:f>(($O217*V217)/100)+(W217*12)</x:f>
      </x:c>
      <x:c r="Y217" s="47"/>
      <x:c r="Z217" s="60"/>
      <x:c r="AA217" s="58">
        <x:f>(($O217*Y217)/100)+(Z217*12)</x:f>
      </x:c>
      <x:c r="AB217" s="47"/>
      <x:c r="AC217" s="60"/>
      <x:c r="AD217" s="58">
        <x:f>(($O217*AB217)/100)+(AC217*12)</x:f>
      </x:c>
      <x:c r="AE217" s="47"/>
      <x:c r="AF217" s="60"/>
      <x:c r="AG217" s="58">
        <x:f>(($O217*AE217)/100)+(AF217*12)</x:f>
      </x:c>
      <x:c r="AH217" s="47"/>
      <x:c r="AI217" s="60"/>
      <x:c r="AJ217" s="58">
        <x:f>(($O217*AH217)/100)+(AI217*12)</x:f>
      </x:c>
      <x:c r="AK217" s="47"/>
      <x:c r="AL217" s="60"/>
      <x:c r="AM217" s="58">
        <x:f>(($O217*AK217)/100)+(AL217*12)</x:f>
      </x:c>
      <x:c r="AN217" s="47"/>
      <x:c r="AO217" s="60"/>
      <x:c r="AP217" s="58">
        <x:f>(($O217*AN217)/100)+(AO217*12)</x:f>
      </x:c>
      <x:c r="AQ217" s="47"/>
      <x:c r="AR217" s="60"/>
      <x:c r="AS217" s="58">
        <x:f>(($O217*AQ217)/100)+(AR217*12)</x:f>
      </x:c>
      <x:c r="AT217" s="47"/>
      <x:c r="AU217" s="60"/>
      <x:c r="AV217" s="58">
        <x:f>(($O217*AT217)/100)+(AU217*12)</x:f>
      </x:c>
      <x:c r="AW217" s="47"/>
      <x:c r="AX217" s="60"/>
      <x:c r="AY217" s="58">
        <x:f>(($O217*AW217)/100)+(AX217*12)</x:f>
      </x:c>
      <x:c r="AZ217" s="47"/>
      <x:c r="BA217" s="60"/>
      <x:c r="BB217" s="58">
        <x:f>(($O217*AZ217)/100)+(BA217*12)</x:f>
      </x:c>
      <x:c r="BC217" s="47"/>
      <x:c r="BD217" s="60"/>
      <x:c r="BE217" s="58">
        <x:f>(($O217*BC217)/100)+(BD217*12)</x:f>
      </x:c>
      <x:c r="BF217" s="47"/>
      <x:c r="BG217" s="60"/>
      <x:c r="BH217" s="58">
        <x:f>(($O217*BF217)/100)+(BG217*12)</x:f>
      </x:c>
      <x:c r="BI217" s="47"/>
      <x:c r="BJ217" s="60"/>
      <x:c r="BK217" s="58">
        <x:f>(($O217*BI217)/100)+(BJ217*12)</x:f>
      </x:c>
      <x:c r="BL217" s="47"/>
      <x:c r="BM217" s="60"/>
      <x:c r="BN217" s="58">
        <x:f>(($O217*BL217)/100)+(BM217*12)</x:f>
      </x:c>
      <x:c r="BO217" s="47"/>
      <x:c r="BP217" s="60"/>
      <x:c r="BQ217" s="58">
        <x:f>(($O217*BO217)/100)+(BP217*12)</x:f>
      </x:c>
      <x:c r="BR217" s="47"/>
      <x:c r="BS217" s="60"/>
      <x:c r="BT217" s="58">
        <x:f>(($O217*BR217)/100)+(BS217*12)</x:f>
      </x:c>
      <x:c r="BU217" s="47"/>
      <x:c r="BV217" s="60"/>
      <x:c r="BW217" s="58">
        <x:f>(($O217*BU217)/100)+(BV217*12)</x:f>
      </x:c>
      <x:c r="BX217" s="47"/>
      <x:c r="BY217" s="60"/>
      <x:c r="BZ217" s="58">
        <x:f>(($O217*BX217)/100)+(BY217*12)</x:f>
      </x:c>
      <x:c r="CA217" s="47"/>
      <x:c r="CB217" s="60"/>
      <x:c r="CC217" s="58">
        <x:f>(($O217*CA217)/100)+(CB217*12)</x:f>
      </x:c>
      <x:c r="CD217" s="47"/>
      <x:c r="CE217" s="60"/>
      <x:c r="CF217" s="58">
        <x:f>(($O217*CD217)/100)+(CE217*12)</x:f>
      </x:c>
      <x:c r="CG217" s="47"/>
      <x:c r="CH217" s="60"/>
      <x:c r="CI217" s="58">
        <x:f>(($O217*CG217)/100)+(CH217*12)</x:f>
      </x:c>
      <x:c r="CJ217" s="47"/>
      <x:c r="CK217" s="60"/>
      <x:c r="CL217" s="58">
        <x:f>(($O217*CJ217)/100)+(CK217*12)</x:f>
      </x:c>
      <x:c r="CM217" s="47"/>
      <x:c r="CN217" s="60"/>
      <x:c r="CO217" s="58">
        <x:f>(($O217*CM217)/100)+(CN217*12)</x:f>
      </x:c>
      <x:c r="CP217" s="47"/>
      <x:c r="CQ217" s="60"/>
      <x:c r="CR217" s="58">
        <x:f>(($O217*CP217)/100)+(CQ217*12)</x:f>
      </x:c>
      <x:c r="CS217" s="47"/>
      <x:c r="CT217" s="60"/>
      <x:c r="CU217" s="58">
        <x:f>(($O217*CS217)/100)+(CT217*12)</x:f>
      </x:c>
      <x:c r="CV217" s="47"/>
      <x:c r="CW217" s="60"/>
      <x:c r="CX217" s="58"/>
      <x:c r="CY217" s="47"/>
      <x:c r="CZ217" s="60"/>
      <x:c r="DA217" s="58"/>
      <x:c r="DB217" s="47"/>
      <x:c r="DC217" s="60"/>
      <x:c r="DD217" s="58"/>
      <x:c r="DE217" s="47"/>
      <x:c r="DF217" s="60"/>
      <x:c r="DG217" s="58"/>
      <x:c r="DH217" s="47"/>
      <x:c r="DI217" s="60"/>
      <x:c r="DJ217" s="58"/>
      <x:c r="DK217" s="47"/>
      <x:c r="DL217" s="60"/>
      <x:c r="DM217" s="58"/>
      <x:c r="DN217" s="11"/>
      <x:c r="DO217" s="61"/>
      <x:c r="DP217" s="62"/>
      <x:c r="DQ217" s="11"/>
      <x:c r="DR217" s="61"/>
      <x:c r="DS217" s="62"/>
      <x:c r="DT217" s="11"/>
      <x:c r="DU217" s="61"/>
      <x:c r="DV217" s="62"/>
    </x:row>
    <x:row r="218" spans="1:126" x14ac:dyDescent="0.3">
      <x:c r="A218" s="47"/>
      <x:c r="B218" s="70"/>
      <x:c r="C218" s="70"/>
      <x:c r="D218" s="70"/>
      <x:c r="E218" s="70"/>
      <x:c r="F218" s="70"/>
      <x:c r="G218" s="70"/>
      <x:c r="H218" s="70"/>
      <x:c r="I218" s="70"/>
      <x:c r="J218" s="70"/>
      <x:c r="K218" s="190"/>
      <x:c r="L218" s="191"/>
      <x:c r="M218" s="192">
        <x:f>IF(ISERROR(INDEX('Meter Type Data'!$B$2:$E$1165,SUMPRODUCT(--('Meter Type Data'!$B$2:$B$1165&lt;=Analysis!L218)*('Meter Type Data'!$C$2:$C$1165&gt;=Analysis!L218),ROW('Meter Type Data'!$B$2:$B$1165))-1,4))," ",INDEX('Meter Type Data'!$B$2:$E$1165,SUMPRODUCT(--('Meter Type Data'!$B$2:$B$1165&lt;=Analysis!L218)*('Meter Type Data'!$C$2:$C$1165&gt;=Analysis!L218),ROW('Meter Type Data'!$B$2:$B$1165))-1,4))</x:f>
      </x:c>
      <x:c r="N218" s="192">
        <x:f>IF(ISERROR(INDEX('Meter Type Data'!$B$2:$D$1165,SUMPRODUCT(--('Meter Type Data'!$B$2:$B$1165&lt;=Analysis!L218)*('Meter Type Data'!$C$2:$C$1165&gt;=Analysis!L218),ROW('Meter Type Data'!$B$2:$B$1165))-1,3))," ",INDEX('Meter Type Data'!$B$2:$D$1165,SUMPRODUCT(--('Meter Type Data'!$B$2:$B$1165&lt;=Analysis!L218)*('Meter Type Data'!$C$2:$C$1165&gt;=Analysis!L218),ROW('Meter Type Data'!$B$2:$B$1165))-1,3))</x:f>
      </x:c>
      <x:c r="O218" s="69"/>
      <x:c r="P218" s="47"/>
      <x:c r="Q218" s="60"/>
      <x:c r="R218" s="58">
        <x:f>(($O218*P218)/100)+(Q218*12)</x:f>
      </x:c>
      <x:c r="S218" s="59"/>
      <x:c r="T218" s="59"/>
      <x:c r="U218" s="58">
        <x:f>(($O218*S218)/100)+(T218*12)</x:f>
      </x:c>
      <x:c r="V218" s="47"/>
      <x:c r="W218" s="60"/>
      <x:c r="X218" s="58">
        <x:f>(($O218*V218)/100)+(W218*12)</x:f>
      </x:c>
      <x:c r="Y218" s="47"/>
      <x:c r="Z218" s="60"/>
      <x:c r="AA218" s="58">
        <x:f>(($O218*Y218)/100)+(Z218*12)</x:f>
      </x:c>
      <x:c r="AB218" s="47"/>
      <x:c r="AC218" s="60"/>
      <x:c r="AD218" s="58">
        <x:f>(($O218*AB218)/100)+(AC218*12)</x:f>
      </x:c>
      <x:c r="AE218" s="47"/>
      <x:c r="AF218" s="60"/>
      <x:c r="AG218" s="58">
        <x:f>(($O218*AE218)/100)+(AF218*12)</x:f>
      </x:c>
      <x:c r="AH218" s="47"/>
      <x:c r="AI218" s="60"/>
      <x:c r="AJ218" s="58">
        <x:f>(($O218*AH218)/100)+(AI218*12)</x:f>
      </x:c>
      <x:c r="AK218" s="47"/>
      <x:c r="AL218" s="60"/>
      <x:c r="AM218" s="58">
        <x:f>(($O218*AK218)/100)+(AL218*12)</x:f>
      </x:c>
      <x:c r="AN218" s="47"/>
      <x:c r="AO218" s="60"/>
      <x:c r="AP218" s="58">
        <x:f>(($O218*AN218)/100)+(AO218*12)</x:f>
      </x:c>
      <x:c r="AQ218" s="47"/>
      <x:c r="AR218" s="60"/>
      <x:c r="AS218" s="58">
        <x:f>(($O218*AQ218)/100)+(AR218*12)</x:f>
      </x:c>
      <x:c r="AT218" s="47"/>
      <x:c r="AU218" s="60"/>
      <x:c r="AV218" s="58">
        <x:f>(($O218*AT218)/100)+(AU218*12)</x:f>
      </x:c>
      <x:c r="AW218" s="47"/>
      <x:c r="AX218" s="60"/>
      <x:c r="AY218" s="58">
        <x:f>(($O218*AW218)/100)+(AX218*12)</x:f>
      </x:c>
      <x:c r="AZ218" s="47"/>
      <x:c r="BA218" s="60"/>
      <x:c r="BB218" s="58">
        <x:f>(($O218*AZ218)/100)+(BA218*12)</x:f>
      </x:c>
      <x:c r="BC218" s="47"/>
      <x:c r="BD218" s="60"/>
      <x:c r="BE218" s="58">
        <x:f>(($O218*BC218)/100)+(BD218*12)</x:f>
      </x:c>
      <x:c r="BF218" s="47"/>
      <x:c r="BG218" s="60"/>
      <x:c r="BH218" s="58">
        <x:f>(($O218*BF218)/100)+(BG218*12)</x:f>
      </x:c>
      <x:c r="BI218" s="47"/>
      <x:c r="BJ218" s="60"/>
      <x:c r="BK218" s="58">
        <x:f>(($O218*BI218)/100)+(BJ218*12)</x:f>
      </x:c>
      <x:c r="BL218" s="47"/>
      <x:c r="BM218" s="60"/>
      <x:c r="BN218" s="58">
        <x:f>(($O218*BL218)/100)+(BM218*12)</x:f>
      </x:c>
      <x:c r="BO218" s="47"/>
      <x:c r="BP218" s="60"/>
      <x:c r="BQ218" s="58">
        <x:f>(($O218*BO218)/100)+(BP218*12)</x:f>
      </x:c>
      <x:c r="BR218" s="47"/>
      <x:c r="BS218" s="60"/>
      <x:c r="BT218" s="58">
        <x:f>(($O218*BR218)/100)+(BS218*12)</x:f>
      </x:c>
      <x:c r="BU218" s="47"/>
      <x:c r="BV218" s="60"/>
      <x:c r="BW218" s="58">
        <x:f>(($O218*BU218)/100)+(BV218*12)</x:f>
      </x:c>
      <x:c r="BX218" s="47"/>
      <x:c r="BY218" s="60"/>
      <x:c r="BZ218" s="58">
        <x:f>(($O218*BX218)/100)+(BY218*12)</x:f>
      </x:c>
      <x:c r="CA218" s="47"/>
      <x:c r="CB218" s="60"/>
      <x:c r="CC218" s="58">
        <x:f>(($O218*CA218)/100)+(CB218*12)</x:f>
      </x:c>
      <x:c r="CD218" s="47"/>
      <x:c r="CE218" s="60"/>
      <x:c r="CF218" s="58">
        <x:f>(($O218*CD218)/100)+(CE218*12)</x:f>
      </x:c>
      <x:c r="CG218" s="47"/>
      <x:c r="CH218" s="60"/>
      <x:c r="CI218" s="58">
        <x:f>(($O218*CG218)/100)+(CH218*12)</x:f>
      </x:c>
      <x:c r="CJ218" s="47"/>
      <x:c r="CK218" s="60"/>
      <x:c r="CL218" s="58">
        <x:f>(($O218*CJ218)/100)+(CK218*12)</x:f>
      </x:c>
      <x:c r="CM218" s="47"/>
      <x:c r="CN218" s="60"/>
      <x:c r="CO218" s="58">
        <x:f>(($O218*CM218)/100)+(CN218*12)</x:f>
      </x:c>
      <x:c r="CP218" s="47"/>
      <x:c r="CQ218" s="60"/>
      <x:c r="CR218" s="58">
        <x:f>(($O218*CP218)/100)+(CQ218*12)</x:f>
      </x:c>
      <x:c r="CS218" s="47"/>
      <x:c r="CT218" s="60"/>
      <x:c r="CU218" s="58">
        <x:f>(($O218*CS218)/100)+(CT218*12)</x:f>
      </x:c>
      <x:c r="CV218" s="47"/>
      <x:c r="CW218" s="60"/>
      <x:c r="CX218" s="58"/>
      <x:c r="CY218" s="47"/>
      <x:c r="CZ218" s="60"/>
      <x:c r="DA218" s="58"/>
      <x:c r="DB218" s="47"/>
      <x:c r="DC218" s="60"/>
      <x:c r="DD218" s="58"/>
      <x:c r="DE218" s="47"/>
      <x:c r="DF218" s="60"/>
      <x:c r="DG218" s="58"/>
      <x:c r="DH218" s="47"/>
      <x:c r="DI218" s="60"/>
      <x:c r="DJ218" s="58"/>
      <x:c r="DK218" s="47"/>
      <x:c r="DL218" s="60"/>
      <x:c r="DM218" s="58"/>
      <x:c r="DN218" s="11"/>
      <x:c r="DO218" s="61"/>
      <x:c r="DP218" s="62"/>
      <x:c r="DQ218" s="11"/>
      <x:c r="DR218" s="61"/>
      <x:c r="DS218" s="62"/>
      <x:c r="DT218" s="11"/>
      <x:c r="DU218" s="61"/>
      <x:c r="DV218" s="62"/>
    </x:row>
    <x:row r="219" spans="1:126" x14ac:dyDescent="0.3">
      <x:c r="A219" s="47"/>
      <x:c r="B219" s="70"/>
      <x:c r="C219" s="70"/>
      <x:c r="D219" s="70"/>
      <x:c r="E219" s="70"/>
      <x:c r="F219" s="70"/>
      <x:c r="G219" s="70"/>
      <x:c r="H219" s="70"/>
      <x:c r="I219" s="70"/>
      <x:c r="J219" s="70"/>
      <x:c r="K219" s="190"/>
      <x:c r="L219" s="191"/>
      <x:c r="M219" s="192">
        <x:f>IF(ISERROR(INDEX('Meter Type Data'!$B$2:$E$1165,SUMPRODUCT(--('Meter Type Data'!$B$2:$B$1165&lt;=Analysis!L219)*('Meter Type Data'!$C$2:$C$1165&gt;=Analysis!L219),ROW('Meter Type Data'!$B$2:$B$1165))-1,4))," ",INDEX('Meter Type Data'!$B$2:$E$1165,SUMPRODUCT(--('Meter Type Data'!$B$2:$B$1165&lt;=Analysis!L219)*('Meter Type Data'!$C$2:$C$1165&gt;=Analysis!L219),ROW('Meter Type Data'!$B$2:$B$1165))-1,4))</x:f>
      </x:c>
      <x:c r="N219" s="192">
        <x:f>IF(ISERROR(INDEX('Meter Type Data'!$B$2:$D$1165,SUMPRODUCT(--('Meter Type Data'!$B$2:$B$1165&lt;=Analysis!L219)*('Meter Type Data'!$C$2:$C$1165&gt;=Analysis!L219),ROW('Meter Type Data'!$B$2:$B$1165))-1,3))," ",INDEX('Meter Type Data'!$B$2:$D$1165,SUMPRODUCT(--('Meter Type Data'!$B$2:$B$1165&lt;=Analysis!L219)*('Meter Type Data'!$C$2:$C$1165&gt;=Analysis!L219),ROW('Meter Type Data'!$B$2:$B$1165))-1,3))</x:f>
      </x:c>
      <x:c r="O219" s="69"/>
      <x:c r="P219" s="47"/>
      <x:c r="Q219" s="60"/>
      <x:c r="R219" s="58">
        <x:f>(($O219*P219)/100)+(Q219*12)</x:f>
      </x:c>
      <x:c r="S219" s="59"/>
      <x:c r="T219" s="59"/>
      <x:c r="U219" s="58">
        <x:f>(($O219*S219)/100)+(T219*12)</x:f>
      </x:c>
      <x:c r="V219" s="47"/>
      <x:c r="W219" s="60"/>
      <x:c r="X219" s="58">
        <x:f>(($O219*V219)/100)+(W219*12)</x:f>
      </x:c>
      <x:c r="Y219" s="47"/>
      <x:c r="Z219" s="60"/>
      <x:c r="AA219" s="58">
        <x:f>(($O219*Y219)/100)+(Z219*12)</x:f>
      </x:c>
      <x:c r="AB219" s="47"/>
      <x:c r="AC219" s="60"/>
      <x:c r="AD219" s="58">
        <x:f>(($O219*AB219)/100)+(AC219*12)</x:f>
      </x:c>
      <x:c r="AE219" s="47"/>
      <x:c r="AF219" s="60"/>
      <x:c r="AG219" s="58">
        <x:f>(($O219*AE219)/100)+(AF219*12)</x:f>
      </x:c>
      <x:c r="AH219" s="47"/>
      <x:c r="AI219" s="60"/>
      <x:c r="AJ219" s="58">
        <x:f>(($O219*AH219)/100)+(AI219*12)</x:f>
      </x:c>
      <x:c r="AK219" s="47"/>
      <x:c r="AL219" s="60"/>
      <x:c r="AM219" s="58">
        <x:f>(($O219*AK219)/100)+(AL219*12)</x:f>
      </x:c>
      <x:c r="AN219" s="47"/>
      <x:c r="AO219" s="60"/>
      <x:c r="AP219" s="58">
        <x:f>(($O219*AN219)/100)+(AO219*12)</x:f>
      </x:c>
      <x:c r="AQ219" s="47"/>
      <x:c r="AR219" s="60"/>
      <x:c r="AS219" s="58">
        <x:f>(($O219*AQ219)/100)+(AR219*12)</x:f>
      </x:c>
      <x:c r="AT219" s="47"/>
      <x:c r="AU219" s="60"/>
      <x:c r="AV219" s="58">
        <x:f>(($O219*AT219)/100)+(AU219*12)</x:f>
      </x:c>
      <x:c r="AW219" s="47"/>
      <x:c r="AX219" s="60"/>
      <x:c r="AY219" s="58">
        <x:f>(($O219*AW219)/100)+(AX219*12)</x:f>
      </x:c>
      <x:c r="AZ219" s="47"/>
      <x:c r="BA219" s="60"/>
      <x:c r="BB219" s="58">
        <x:f>(($O219*AZ219)/100)+(BA219*12)</x:f>
      </x:c>
      <x:c r="BC219" s="47"/>
      <x:c r="BD219" s="60"/>
      <x:c r="BE219" s="58">
        <x:f>(($O219*BC219)/100)+(BD219*12)</x:f>
      </x:c>
      <x:c r="BF219" s="47"/>
      <x:c r="BG219" s="60"/>
      <x:c r="BH219" s="58">
        <x:f>(($O219*BF219)/100)+(BG219*12)</x:f>
      </x:c>
      <x:c r="BI219" s="47"/>
      <x:c r="BJ219" s="60"/>
      <x:c r="BK219" s="58">
        <x:f>(($O219*BI219)/100)+(BJ219*12)</x:f>
      </x:c>
      <x:c r="BL219" s="47"/>
      <x:c r="BM219" s="60"/>
      <x:c r="BN219" s="58">
        <x:f>(($O219*BL219)/100)+(BM219*12)</x:f>
      </x:c>
      <x:c r="BO219" s="47"/>
      <x:c r="BP219" s="60"/>
      <x:c r="BQ219" s="58">
        <x:f>(($O219*BO219)/100)+(BP219*12)</x:f>
      </x:c>
      <x:c r="BR219" s="47"/>
      <x:c r="BS219" s="60"/>
      <x:c r="BT219" s="58">
        <x:f>(($O219*BR219)/100)+(BS219*12)</x:f>
      </x:c>
      <x:c r="BU219" s="47"/>
      <x:c r="BV219" s="60"/>
      <x:c r="BW219" s="58">
        <x:f>(($O219*BU219)/100)+(BV219*12)</x:f>
      </x:c>
      <x:c r="BX219" s="47"/>
      <x:c r="BY219" s="60"/>
      <x:c r="BZ219" s="58">
        <x:f>(($O219*BX219)/100)+(BY219*12)</x:f>
      </x:c>
      <x:c r="CA219" s="47"/>
      <x:c r="CB219" s="60"/>
      <x:c r="CC219" s="58">
        <x:f>(($O219*CA219)/100)+(CB219*12)</x:f>
      </x:c>
      <x:c r="CD219" s="47"/>
      <x:c r="CE219" s="60"/>
      <x:c r="CF219" s="58">
        <x:f>(($O219*CD219)/100)+(CE219*12)</x:f>
      </x:c>
      <x:c r="CG219" s="47"/>
      <x:c r="CH219" s="60"/>
      <x:c r="CI219" s="58">
        <x:f>(($O219*CG219)/100)+(CH219*12)</x:f>
      </x:c>
      <x:c r="CJ219" s="47"/>
      <x:c r="CK219" s="60"/>
      <x:c r="CL219" s="58">
        <x:f>(($O219*CJ219)/100)+(CK219*12)</x:f>
      </x:c>
      <x:c r="CM219" s="47"/>
      <x:c r="CN219" s="60"/>
      <x:c r="CO219" s="58">
        <x:f>(($O219*CM219)/100)+(CN219*12)</x:f>
      </x:c>
      <x:c r="CP219" s="47"/>
      <x:c r="CQ219" s="60"/>
      <x:c r="CR219" s="58">
        <x:f>(($O219*CP219)/100)+(CQ219*12)</x:f>
      </x:c>
      <x:c r="CS219" s="47"/>
      <x:c r="CT219" s="60"/>
      <x:c r="CU219" s="58">
        <x:f>(($O219*CS219)/100)+(CT219*12)</x:f>
      </x:c>
      <x:c r="CV219" s="47"/>
      <x:c r="CW219" s="60"/>
      <x:c r="CX219" s="58"/>
      <x:c r="CY219" s="47"/>
      <x:c r="CZ219" s="60"/>
      <x:c r="DA219" s="58"/>
      <x:c r="DB219" s="47"/>
      <x:c r="DC219" s="60"/>
      <x:c r="DD219" s="58"/>
      <x:c r="DE219" s="47"/>
      <x:c r="DF219" s="60"/>
      <x:c r="DG219" s="58"/>
      <x:c r="DH219" s="47"/>
      <x:c r="DI219" s="60"/>
      <x:c r="DJ219" s="58"/>
      <x:c r="DK219" s="47"/>
      <x:c r="DL219" s="60"/>
      <x:c r="DM219" s="58"/>
      <x:c r="DN219" s="11"/>
      <x:c r="DO219" s="61"/>
      <x:c r="DP219" s="62"/>
      <x:c r="DQ219" s="11"/>
      <x:c r="DR219" s="61"/>
      <x:c r="DS219" s="62"/>
      <x:c r="DT219" s="11"/>
      <x:c r="DU219" s="61"/>
      <x:c r="DV219" s="62"/>
    </x:row>
    <x:row r="220" spans="1:126" x14ac:dyDescent="0.3">
      <x:c r="A220" s="47"/>
      <x:c r="B220" s="70"/>
      <x:c r="C220" s="70"/>
      <x:c r="D220" s="70"/>
      <x:c r="E220" s="70"/>
      <x:c r="F220" s="70"/>
      <x:c r="G220" s="70"/>
      <x:c r="H220" s="70"/>
      <x:c r="I220" s="70"/>
      <x:c r="J220" s="70"/>
      <x:c r="K220" s="190"/>
      <x:c r="L220" s="191"/>
      <x:c r="M220" s="192">
        <x:f>IF(ISERROR(INDEX('Meter Type Data'!$B$2:$E$1165,SUMPRODUCT(--('Meter Type Data'!$B$2:$B$1165&lt;=Analysis!L220)*('Meter Type Data'!$C$2:$C$1165&gt;=Analysis!L220),ROW('Meter Type Data'!$B$2:$B$1165))-1,4))," ",INDEX('Meter Type Data'!$B$2:$E$1165,SUMPRODUCT(--('Meter Type Data'!$B$2:$B$1165&lt;=Analysis!L220)*('Meter Type Data'!$C$2:$C$1165&gt;=Analysis!L220),ROW('Meter Type Data'!$B$2:$B$1165))-1,4))</x:f>
      </x:c>
      <x:c r="N220" s="192">
        <x:f>IF(ISERROR(INDEX('Meter Type Data'!$B$2:$D$1165,SUMPRODUCT(--('Meter Type Data'!$B$2:$B$1165&lt;=Analysis!L220)*('Meter Type Data'!$C$2:$C$1165&gt;=Analysis!L220),ROW('Meter Type Data'!$B$2:$B$1165))-1,3))," ",INDEX('Meter Type Data'!$B$2:$D$1165,SUMPRODUCT(--('Meter Type Data'!$B$2:$B$1165&lt;=Analysis!L220)*('Meter Type Data'!$C$2:$C$1165&gt;=Analysis!L220),ROW('Meter Type Data'!$B$2:$B$1165))-1,3))</x:f>
      </x:c>
      <x:c r="O220" s="69"/>
      <x:c r="P220" s="47"/>
      <x:c r="Q220" s="60"/>
      <x:c r="R220" s="58">
        <x:f>(($O220*P220)/100)+(Q220*12)</x:f>
      </x:c>
      <x:c r="S220" s="59"/>
      <x:c r="T220" s="59"/>
      <x:c r="U220" s="58">
        <x:f>(($O220*S220)/100)+(T220*12)</x:f>
      </x:c>
      <x:c r="V220" s="47"/>
      <x:c r="W220" s="60"/>
      <x:c r="X220" s="58">
        <x:f>(($O220*V220)/100)+(W220*12)</x:f>
      </x:c>
      <x:c r="Y220" s="47"/>
      <x:c r="Z220" s="60"/>
      <x:c r="AA220" s="58">
        <x:f>(($O220*Y220)/100)+(Z220*12)</x:f>
      </x:c>
      <x:c r="AB220" s="47"/>
      <x:c r="AC220" s="60"/>
      <x:c r="AD220" s="58">
        <x:f>(($O220*AB220)/100)+(AC220*12)</x:f>
      </x:c>
      <x:c r="AE220" s="47"/>
      <x:c r="AF220" s="60"/>
      <x:c r="AG220" s="58">
        <x:f>(($O220*AE220)/100)+(AF220*12)</x:f>
      </x:c>
      <x:c r="AH220" s="47"/>
      <x:c r="AI220" s="60"/>
      <x:c r="AJ220" s="58">
        <x:f>(($O220*AH220)/100)+(AI220*12)</x:f>
      </x:c>
      <x:c r="AK220" s="47"/>
      <x:c r="AL220" s="60"/>
      <x:c r="AM220" s="58">
        <x:f>(($O220*AK220)/100)+(AL220*12)</x:f>
      </x:c>
      <x:c r="AN220" s="47"/>
      <x:c r="AO220" s="60"/>
      <x:c r="AP220" s="58">
        <x:f>(($O220*AN220)/100)+(AO220*12)</x:f>
      </x:c>
      <x:c r="AQ220" s="47"/>
      <x:c r="AR220" s="60"/>
      <x:c r="AS220" s="58">
        <x:f>(($O220*AQ220)/100)+(AR220*12)</x:f>
      </x:c>
      <x:c r="AT220" s="47"/>
      <x:c r="AU220" s="60"/>
      <x:c r="AV220" s="58">
        <x:f>(($O220*AT220)/100)+(AU220*12)</x:f>
      </x:c>
      <x:c r="AW220" s="47"/>
      <x:c r="AX220" s="60"/>
      <x:c r="AY220" s="58">
        <x:f>(($O220*AW220)/100)+(AX220*12)</x:f>
      </x:c>
      <x:c r="AZ220" s="47"/>
      <x:c r="BA220" s="60"/>
      <x:c r="BB220" s="58">
        <x:f>(($O220*AZ220)/100)+(BA220*12)</x:f>
      </x:c>
      <x:c r="BC220" s="47"/>
      <x:c r="BD220" s="60"/>
      <x:c r="BE220" s="58">
        <x:f>(($O220*BC220)/100)+(BD220*12)</x:f>
      </x:c>
      <x:c r="BF220" s="47"/>
      <x:c r="BG220" s="60"/>
      <x:c r="BH220" s="58">
        <x:f>(($O220*BF220)/100)+(BG220*12)</x:f>
      </x:c>
      <x:c r="BI220" s="47"/>
      <x:c r="BJ220" s="60"/>
      <x:c r="BK220" s="58">
        <x:f>(($O220*BI220)/100)+(BJ220*12)</x:f>
      </x:c>
      <x:c r="BL220" s="47"/>
      <x:c r="BM220" s="60"/>
      <x:c r="BN220" s="58">
        <x:f>(($O220*BL220)/100)+(BM220*12)</x:f>
      </x:c>
      <x:c r="BO220" s="47"/>
      <x:c r="BP220" s="60"/>
      <x:c r="BQ220" s="58">
        <x:f>(($O220*BO220)/100)+(BP220*12)</x:f>
      </x:c>
      <x:c r="BR220" s="47"/>
      <x:c r="BS220" s="60"/>
      <x:c r="BT220" s="58">
        <x:f>(($O220*BR220)/100)+(BS220*12)</x:f>
      </x:c>
      <x:c r="BU220" s="47"/>
      <x:c r="BV220" s="60"/>
      <x:c r="BW220" s="58">
        <x:f>(($O220*BU220)/100)+(BV220*12)</x:f>
      </x:c>
      <x:c r="BX220" s="47"/>
      <x:c r="BY220" s="60"/>
      <x:c r="BZ220" s="58">
        <x:f>(($O220*BX220)/100)+(BY220*12)</x:f>
      </x:c>
      <x:c r="CA220" s="47"/>
      <x:c r="CB220" s="60"/>
      <x:c r="CC220" s="58">
        <x:f>(($O220*CA220)/100)+(CB220*12)</x:f>
      </x:c>
      <x:c r="CD220" s="47"/>
      <x:c r="CE220" s="60"/>
      <x:c r="CF220" s="58">
        <x:f>(($O220*CD220)/100)+(CE220*12)</x:f>
      </x:c>
      <x:c r="CG220" s="47"/>
      <x:c r="CH220" s="60"/>
      <x:c r="CI220" s="58">
        <x:f>(($O220*CG220)/100)+(CH220*12)</x:f>
      </x:c>
      <x:c r="CJ220" s="47"/>
      <x:c r="CK220" s="60"/>
      <x:c r="CL220" s="58">
        <x:f>(($O220*CJ220)/100)+(CK220*12)</x:f>
      </x:c>
      <x:c r="CM220" s="47"/>
      <x:c r="CN220" s="60"/>
      <x:c r="CO220" s="58">
        <x:f>(($O220*CM220)/100)+(CN220*12)</x:f>
      </x:c>
      <x:c r="CP220" s="47"/>
      <x:c r="CQ220" s="60"/>
      <x:c r="CR220" s="58">
        <x:f>(($O220*CP220)/100)+(CQ220*12)</x:f>
      </x:c>
      <x:c r="CS220" s="47"/>
      <x:c r="CT220" s="60"/>
      <x:c r="CU220" s="58">
        <x:f>(($O220*CS220)/100)+(CT220*12)</x:f>
      </x:c>
      <x:c r="CV220" s="47"/>
      <x:c r="CW220" s="60"/>
      <x:c r="CX220" s="58"/>
      <x:c r="CY220" s="47"/>
      <x:c r="CZ220" s="60"/>
      <x:c r="DA220" s="58"/>
      <x:c r="DB220" s="47"/>
      <x:c r="DC220" s="60"/>
      <x:c r="DD220" s="58"/>
      <x:c r="DE220" s="47"/>
      <x:c r="DF220" s="60"/>
      <x:c r="DG220" s="58"/>
      <x:c r="DH220" s="47"/>
      <x:c r="DI220" s="60"/>
      <x:c r="DJ220" s="58"/>
      <x:c r="DK220" s="47"/>
      <x:c r="DL220" s="60"/>
      <x:c r="DM220" s="58"/>
      <x:c r="DN220" s="11"/>
      <x:c r="DO220" s="61"/>
      <x:c r="DP220" s="62"/>
      <x:c r="DQ220" s="11"/>
      <x:c r="DR220" s="61"/>
      <x:c r="DS220" s="62"/>
      <x:c r="DT220" s="11"/>
      <x:c r="DU220" s="61"/>
      <x:c r="DV220" s="62"/>
    </x:row>
    <x:row r="221" spans="1:126" x14ac:dyDescent="0.3">
      <x:c r="A221" s="47"/>
      <x:c r="B221" s="70"/>
      <x:c r="C221" s="70"/>
      <x:c r="D221" s="70"/>
      <x:c r="E221" s="70"/>
      <x:c r="F221" s="70"/>
      <x:c r="G221" s="70"/>
      <x:c r="H221" s="70"/>
      <x:c r="I221" s="70"/>
      <x:c r="J221" s="70"/>
      <x:c r="K221" s="190"/>
      <x:c r="L221" s="191"/>
      <x:c r="M221" s="192">
        <x:f>IF(ISERROR(INDEX('Meter Type Data'!$B$2:$E$1165,SUMPRODUCT(--('Meter Type Data'!$B$2:$B$1165&lt;=Analysis!L221)*('Meter Type Data'!$C$2:$C$1165&gt;=Analysis!L221),ROW('Meter Type Data'!$B$2:$B$1165))-1,4))," ",INDEX('Meter Type Data'!$B$2:$E$1165,SUMPRODUCT(--('Meter Type Data'!$B$2:$B$1165&lt;=Analysis!L221)*('Meter Type Data'!$C$2:$C$1165&gt;=Analysis!L221),ROW('Meter Type Data'!$B$2:$B$1165))-1,4))</x:f>
      </x:c>
      <x:c r="N221" s="192">
        <x:f>IF(ISERROR(INDEX('Meter Type Data'!$B$2:$D$1165,SUMPRODUCT(--('Meter Type Data'!$B$2:$B$1165&lt;=Analysis!L221)*('Meter Type Data'!$C$2:$C$1165&gt;=Analysis!L221),ROW('Meter Type Data'!$B$2:$B$1165))-1,3))," ",INDEX('Meter Type Data'!$B$2:$D$1165,SUMPRODUCT(--('Meter Type Data'!$B$2:$B$1165&lt;=Analysis!L221)*('Meter Type Data'!$C$2:$C$1165&gt;=Analysis!L221),ROW('Meter Type Data'!$B$2:$B$1165))-1,3))</x:f>
      </x:c>
      <x:c r="O221" s="69"/>
      <x:c r="P221" s="47"/>
      <x:c r="Q221" s="60"/>
      <x:c r="R221" s="58">
        <x:f>(($O221*P221)/100)+(Q221*12)</x:f>
      </x:c>
      <x:c r="S221" s="59"/>
      <x:c r="T221" s="59"/>
      <x:c r="U221" s="58">
        <x:f>(($O221*S221)/100)+(T221*12)</x:f>
      </x:c>
      <x:c r="V221" s="47"/>
      <x:c r="W221" s="60"/>
      <x:c r="X221" s="58">
        <x:f>(($O221*V221)/100)+(W221*12)</x:f>
      </x:c>
      <x:c r="Y221" s="47"/>
      <x:c r="Z221" s="60"/>
      <x:c r="AA221" s="58">
        <x:f>(($O221*Y221)/100)+(Z221*12)</x:f>
      </x:c>
      <x:c r="AB221" s="47"/>
      <x:c r="AC221" s="60"/>
      <x:c r="AD221" s="58">
        <x:f>(($O221*AB221)/100)+(AC221*12)</x:f>
      </x:c>
      <x:c r="AE221" s="47"/>
      <x:c r="AF221" s="60"/>
      <x:c r="AG221" s="58">
        <x:f>(($O221*AE221)/100)+(AF221*12)</x:f>
      </x:c>
      <x:c r="AH221" s="47"/>
      <x:c r="AI221" s="60"/>
      <x:c r="AJ221" s="58">
        <x:f>(($O221*AH221)/100)+(AI221*12)</x:f>
      </x:c>
      <x:c r="AK221" s="47"/>
      <x:c r="AL221" s="60"/>
      <x:c r="AM221" s="58">
        <x:f>(($O221*AK221)/100)+(AL221*12)</x:f>
      </x:c>
      <x:c r="AN221" s="47"/>
      <x:c r="AO221" s="60"/>
      <x:c r="AP221" s="58">
        <x:f>(($O221*AN221)/100)+(AO221*12)</x:f>
      </x:c>
      <x:c r="AQ221" s="47"/>
      <x:c r="AR221" s="60"/>
      <x:c r="AS221" s="58">
        <x:f>(($O221*AQ221)/100)+(AR221*12)</x:f>
      </x:c>
      <x:c r="AT221" s="47"/>
      <x:c r="AU221" s="60"/>
      <x:c r="AV221" s="58">
        <x:f>(($O221*AT221)/100)+(AU221*12)</x:f>
      </x:c>
      <x:c r="AW221" s="47"/>
      <x:c r="AX221" s="60"/>
      <x:c r="AY221" s="58">
        <x:f>(($O221*AW221)/100)+(AX221*12)</x:f>
      </x:c>
      <x:c r="AZ221" s="47"/>
      <x:c r="BA221" s="60"/>
      <x:c r="BB221" s="58">
        <x:f>(($O221*AZ221)/100)+(BA221*12)</x:f>
      </x:c>
      <x:c r="BC221" s="47"/>
      <x:c r="BD221" s="60"/>
      <x:c r="BE221" s="58">
        <x:f>(($O221*BC221)/100)+(BD221*12)</x:f>
      </x:c>
      <x:c r="BF221" s="47"/>
      <x:c r="BG221" s="60"/>
      <x:c r="BH221" s="58">
        <x:f>(($O221*BF221)/100)+(BG221*12)</x:f>
      </x:c>
      <x:c r="BI221" s="47"/>
      <x:c r="BJ221" s="60"/>
      <x:c r="BK221" s="58">
        <x:f>(($O221*BI221)/100)+(BJ221*12)</x:f>
      </x:c>
      <x:c r="BL221" s="47"/>
      <x:c r="BM221" s="60"/>
      <x:c r="BN221" s="58">
        <x:f>(($O221*BL221)/100)+(BM221*12)</x:f>
      </x:c>
      <x:c r="BO221" s="47"/>
      <x:c r="BP221" s="60"/>
      <x:c r="BQ221" s="58">
        <x:f>(($O221*BO221)/100)+(BP221*12)</x:f>
      </x:c>
      <x:c r="BR221" s="47"/>
      <x:c r="BS221" s="60"/>
      <x:c r="BT221" s="58">
        <x:f>(($O221*BR221)/100)+(BS221*12)</x:f>
      </x:c>
      <x:c r="BU221" s="47"/>
      <x:c r="BV221" s="60"/>
      <x:c r="BW221" s="58">
        <x:f>(($O221*BU221)/100)+(BV221*12)</x:f>
      </x:c>
      <x:c r="BX221" s="47"/>
      <x:c r="BY221" s="60"/>
      <x:c r="BZ221" s="58">
        <x:f>(($O221*BX221)/100)+(BY221*12)</x:f>
      </x:c>
      <x:c r="CA221" s="47"/>
      <x:c r="CB221" s="60"/>
      <x:c r="CC221" s="58">
        <x:f>(($O221*CA221)/100)+(CB221*12)</x:f>
      </x:c>
      <x:c r="CD221" s="47"/>
      <x:c r="CE221" s="60"/>
      <x:c r="CF221" s="58">
        <x:f>(($O221*CD221)/100)+(CE221*12)</x:f>
      </x:c>
      <x:c r="CG221" s="47"/>
      <x:c r="CH221" s="60"/>
      <x:c r="CI221" s="58">
        <x:f>(($O221*CG221)/100)+(CH221*12)</x:f>
      </x:c>
      <x:c r="CJ221" s="47"/>
      <x:c r="CK221" s="60"/>
      <x:c r="CL221" s="58">
        <x:f>(($O221*CJ221)/100)+(CK221*12)</x:f>
      </x:c>
      <x:c r="CM221" s="47"/>
      <x:c r="CN221" s="60"/>
      <x:c r="CO221" s="58">
        <x:f>(($O221*CM221)/100)+(CN221*12)</x:f>
      </x:c>
      <x:c r="CP221" s="47"/>
      <x:c r="CQ221" s="60"/>
      <x:c r="CR221" s="58">
        <x:f>(($O221*CP221)/100)+(CQ221*12)</x:f>
      </x:c>
      <x:c r="CS221" s="47"/>
      <x:c r="CT221" s="60"/>
      <x:c r="CU221" s="58">
        <x:f>(($O221*CS221)/100)+(CT221*12)</x:f>
      </x:c>
      <x:c r="CV221" s="47"/>
      <x:c r="CW221" s="60"/>
      <x:c r="CX221" s="58"/>
      <x:c r="CY221" s="47"/>
      <x:c r="CZ221" s="60"/>
      <x:c r="DA221" s="58"/>
      <x:c r="DB221" s="47"/>
      <x:c r="DC221" s="60"/>
      <x:c r="DD221" s="58"/>
      <x:c r="DE221" s="47"/>
      <x:c r="DF221" s="60"/>
      <x:c r="DG221" s="58"/>
      <x:c r="DH221" s="47"/>
      <x:c r="DI221" s="60"/>
      <x:c r="DJ221" s="58"/>
      <x:c r="DK221" s="47"/>
      <x:c r="DL221" s="60"/>
      <x:c r="DM221" s="58"/>
      <x:c r="DN221" s="11"/>
      <x:c r="DO221" s="61"/>
      <x:c r="DP221" s="62"/>
      <x:c r="DQ221" s="11"/>
      <x:c r="DR221" s="61"/>
      <x:c r="DS221" s="62"/>
      <x:c r="DT221" s="11"/>
      <x:c r="DU221" s="61"/>
      <x:c r="DV221" s="62"/>
    </x:row>
    <x:row r="222" spans="1:126" x14ac:dyDescent="0.3">
      <x:c r="A222" s="47"/>
      <x:c r="B222" s="70"/>
      <x:c r="C222" s="70"/>
      <x:c r="D222" s="70"/>
      <x:c r="E222" s="70"/>
      <x:c r="F222" s="70"/>
      <x:c r="G222" s="70"/>
      <x:c r="H222" s="70"/>
      <x:c r="I222" s="70"/>
      <x:c r="J222" s="70"/>
      <x:c r="K222" s="190"/>
      <x:c r="L222" s="191"/>
      <x:c r="M222" s="192">
        <x:f>IF(ISERROR(INDEX('Meter Type Data'!$B$2:$E$1165,SUMPRODUCT(--('Meter Type Data'!$B$2:$B$1165&lt;=Analysis!L222)*('Meter Type Data'!$C$2:$C$1165&gt;=Analysis!L222),ROW('Meter Type Data'!$B$2:$B$1165))-1,4))," ",INDEX('Meter Type Data'!$B$2:$E$1165,SUMPRODUCT(--('Meter Type Data'!$B$2:$B$1165&lt;=Analysis!L222)*('Meter Type Data'!$C$2:$C$1165&gt;=Analysis!L222),ROW('Meter Type Data'!$B$2:$B$1165))-1,4))</x:f>
      </x:c>
      <x:c r="N222" s="192">
        <x:f>IF(ISERROR(INDEX('Meter Type Data'!$B$2:$D$1165,SUMPRODUCT(--('Meter Type Data'!$B$2:$B$1165&lt;=Analysis!L222)*('Meter Type Data'!$C$2:$C$1165&gt;=Analysis!L222),ROW('Meter Type Data'!$B$2:$B$1165))-1,3))," ",INDEX('Meter Type Data'!$B$2:$D$1165,SUMPRODUCT(--('Meter Type Data'!$B$2:$B$1165&lt;=Analysis!L222)*('Meter Type Data'!$C$2:$C$1165&gt;=Analysis!L222),ROW('Meter Type Data'!$B$2:$B$1165))-1,3))</x:f>
      </x:c>
      <x:c r="O222" s="69"/>
      <x:c r="P222" s="47"/>
      <x:c r="Q222" s="60"/>
      <x:c r="R222" s="58">
        <x:f>(($O222*P222)/100)+(Q222*12)</x:f>
      </x:c>
      <x:c r="S222" s="59"/>
      <x:c r="T222" s="59"/>
      <x:c r="U222" s="58">
        <x:f>(($O222*S222)/100)+(T222*12)</x:f>
      </x:c>
      <x:c r="V222" s="47"/>
      <x:c r="W222" s="60"/>
      <x:c r="X222" s="58">
        <x:f>(($O222*V222)/100)+(W222*12)</x:f>
      </x:c>
      <x:c r="Y222" s="47"/>
      <x:c r="Z222" s="60"/>
      <x:c r="AA222" s="58">
        <x:f>(($O222*Y222)/100)+(Z222*12)</x:f>
      </x:c>
      <x:c r="AB222" s="47"/>
      <x:c r="AC222" s="60"/>
      <x:c r="AD222" s="58">
        <x:f>(($O222*AB222)/100)+(AC222*12)</x:f>
      </x:c>
      <x:c r="AE222" s="47"/>
      <x:c r="AF222" s="60"/>
      <x:c r="AG222" s="58">
        <x:f>(($O222*AE222)/100)+(AF222*12)</x:f>
      </x:c>
      <x:c r="AH222" s="47"/>
      <x:c r="AI222" s="60"/>
      <x:c r="AJ222" s="58">
        <x:f>(($O222*AH222)/100)+(AI222*12)</x:f>
      </x:c>
      <x:c r="AK222" s="47"/>
      <x:c r="AL222" s="60"/>
      <x:c r="AM222" s="58">
        <x:f>(($O222*AK222)/100)+(AL222*12)</x:f>
      </x:c>
      <x:c r="AN222" s="47"/>
      <x:c r="AO222" s="60"/>
      <x:c r="AP222" s="58">
        <x:f>(($O222*AN222)/100)+(AO222*12)</x:f>
      </x:c>
      <x:c r="AQ222" s="47"/>
      <x:c r="AR222" s="60"/>
      <x:c r="AS222" s="58">
        <x:f>(($O222*AQ222)/100)+(AR222*12)</x:f>
      </x:c>
      <x:c r="AT222" s="47"/>
      <x:c r="AU222" s="60"/>
      <x:c r="AV222" s="58">
        <x:f>(($O222*AT222)/100)+(AU222*12)</x:f>
      </x:c>
      <x:c r="AW222" s="47"/>
      <x:c r="AX222" s="60"/>
      <x:c r="AY222" s="58">
        <x:f>(($O222*AW222)/100)+(AX222*12)</x:f>
      </x:c>
      <x:c r="AZ222" s="47"/>
      <x:c r="BA222" s="60"/>
      <x:c r="BB222" s="58">
        <x:f>(($O222*AZ222)/100)+(BA222*12)</x:f>
      </x:c>
      <x:c r="BC222" s="47"/>
      <x:c r="BD222" s="60"/>
      <x:c r="BE222" s="58">
        <x:f>(($O222*BC222)/100)+(BD222*12)</x:f>
      </x:c>
      <x:c r="BF222" s="47"/>
      <x:c r="BG222" s="60"/>
      <x:c r="BH222" s="58">
        <x:f>(($O222*BF222)/100)+(BG222*12)</x:f>
      </x:c>
      <x:c r="BI222" s="47"/>
      <x:c r="BJ222" s="60"/>
      <x:c r="BK222" s="58">
        <x:f>(($O222*BI222)/100)+(BJ222*12)</x:f>
      </x:c>
      <x:c r="BL222" s="47"/>
      <x:c r="BM222" s="60"/>
      <x:c r="BN222" s="58">
        <x:f>(($O222*BL222)/100)+(BM222*12)</x:f>
      </x:c>
      <x:c r="BO222" s="47"/>
      <x:c r="BP222" s="60"/>
      <x:c r="BQ222" s="58">
        <x:f>(($O222*BO222)/100)+(BP222*12)</x:f>
      </x:c>
      <x:c r="BR222" s="47"/>
      <x:c r="BS222" s="60"/>
      <x:c r="BT222" s="58">
        <x:f>(($O222*BR222)/100)+(BS222*12)</x:f>
      </x:c>
      <x:c r="BU222" s="47"/>
      <x:c r="BV222" s="60"/>
      <x:c r="BW222" s="58">
        <x:f>(($O222*BU222)/100)+(BV222*12)</x:f>
      </x:c>
      <x:c r="BX222" s="47"/>
      <x:c r="BY222" s="60"/>
      <x:c r="BZ222" s="58">
        <x:f>(($O222*BX222)/100)+(BY222*12)</x:f>
      </x:c>
      <x:c r="CA222" s="47"/>
      <x:c r="CB222" s="60"/>
      <x:c r="CC222" s="58">
        <x:f>(($O222*CA222)/100)+(CB222*12)</x:f>
      </x:c>
      <x:c r="CD222" s="47"/>
      <x:c r="CE222" s="60"/>
      <x:c r="CF222" s="58">
        <x:f>(($O222*CD222)/100)+(CE222*12)</x:f>
      </x:c>
      <x:c r="CG222" s="47"/>
      <x:c r="CH222" s="60"/>
      <x:c r="CI222" s="58">
        <x:f>(($O222*CG222)/100)+(CH222*12)</x:f>
      </x:c>
      <x:c r="CJ222" s="47"/>
      <x:c r="CK222" s="60"/>
      <x:c r="CL222" s="58">
        <x:f>(($O222*CJ222)/100)+(CK222*12)</x:f>
      </x:c>
      <x:c r="CM222" s="47"/>
      <x:c r="CN222" s="60"/>
      <x:c r="CO222" s="58">
        <x:f>(($O222*CM222)/100)+(CN222*12)</x:f>
      </x:c>
      <x:c r="CP222" s="47"/>
      <x:c r="CQ222" s="60"/>
      <x:c r="CR222" s="58">
        <x:f>(($O222*CP222)/100)+(CQ222*12)</x:f>
      </x:c>
      <x:c r="CS222" s="47"/>
      <x:c r="CT222" s="60"/>
      <x:c r="CU222" s="58">
        <x:f>(($O222*CS222)/100)+(CT222*12)</x:f>
      </x:c>
      <x:c r="CV222" s="47"/>
      <x:c r="CW222" s="60"/>
      <x:c r="CX222" s="58"/>
      <x:c r="CY222" s="47"/>
      <x:c r="CZ222" s="60"/>
      <x:c r="DA222" s="58"/>
      <x:c r="DB222" s="47"/>
      <x:c r="DC222" s="60"/>
      <x:c r="DD222" s="58"/>
      <x:c r="DE222" s="47"/>
      <x:c r="DF222" s="60"/>
      <x:c r="DG222" s="58"/>
      <x:c r="DH222" s="47"/>
      <x:c r="DI222" s="60"/>
      <x:c r="DJ222" s="58"/>
      <x:c r="DK222" s="47"/>
      <x:c r="DL222" s="60"/>
      <x:c r="DM222" s="58"/>
      <x:c r="DN222" s="11"/>
      <x:c r="DO222" s="61"/>
      <x:c r="DP222" s="62"/>
      <x:c r="DQ222" s="11"/>
      <x:c r="DR222" s="61"/>
      <x:c r="DS222" s="62"/>
      <x:c r="DT222" s="11"/>
      <x:c r="DU222" s="61"/>
      <x:c r="DV222" s="62"/>
    </x:row>
    <x:row r="223" spans="1:126" x14ac:dyDescent="0.3">
      <x:c r="A223" s="47"/>
      <x:c r="B223" s="70"/>
      <x:c r="C223" s="70"/>
      <x:c r="D223" s="70"/>
      <x:c r="E223" s="70"/>
      <x:c r="F223" s="70"/>
      <x:c r="G223" s="70"/>
      <x:c r="H223" s="70"/>
      <x:c r="I223" s="70"/>
      <x:c r="J223" s="70"/>
      <x:c r="K223" s="190"/>
      <x:c r="L223" s="191"/>
      <x:c r="M223" s="192">
        <x:f>IF(ISERROR(INDEX('Meter Type Data'!$B$2:$E$1165,SUMPRODUCT(--('Meter Type Data'!$B$2:$B$1165&lt;=Analysis!L223)*('Meter Type Data'!$C$2:$C$1165&gt;=Analysis!L223),ROW('Meter Type Data'!$B$2:$B$1165))-1,4))," ",INDEX('Meter Type Data'!$B$2:$E$1165,SUMPRODUCT(--('Meter Type Data'!$B$2:$B$1165&lt;=Analysis!L223)*('Meter Type Data'!$C$2:$C$1165&gt;=Analysis!L223),ROW('Meter Type Data'!$B$2:$B$1165))-1,4))</x:f>
      </x:c>
      <x:c r="N223" s="192">
        <x:f>IF(ISERROR(INDEX('Meter Type Data'!$B$2:$D$1165,SUMPRODUCT(--('Meter Type Data'!$B$2:$B$1165&lt;=Analysis!L223)*('Meter Type Data'!$C$2:$C$1165&gt;=Analysis!L223),ROW('Meter Type Data'!$B$2:$B$1165))-1,3))," ",INDEX('Meter Type Data'!$B$2:$D$1165,SUMPRODUCT(--('Meter Type Data'!$B$2:$B$1165&lt;=Analysis!L223)*('Meter Type Data'!$C$2:$C$1165&gt;=Analysis!L223),ROW('Meter Type Data'!$B$2:$B$1165))-1,3))</x:f>
      </x:c>
      <x:c r="O223" s="69"/>
      <x:c r="P223" s="47"/>
      <x:c r="Q223" s="60"/>
      <x:c r="R223" s="58">
        <x:f>(($O223*P223)/100)+(Q223*12)</x:f>
      </x:c>
      <x:c r="S223" s="59"/>
      <x:c r="T223" s="59"/>
      <x:c r="U223" s="58">
        <x:f>(($O223*S223)/100)+(T223*12)</x:f>
      </x:c>
      <x:c r="V223" s="47"/>
      <x:c r="W223" s="60"/>
      <x:c r="X223" s="58">
        <x:f>(($O223*V223)/100)+(W223*12)</x:f>
      </x:c>
      <x:c r="Y223" s="47"/>
      <x:c r="Z223" s="60"/>
      <x:c r="AA223" s="58">
        <x:f>(($O223*Y223)/100)+(Z223*12)</x:f>
      </x:c>
      <x:c r="AB223" s="47"/>
      <x:c r="AC223" s="60"/>
      <x:c r="AD223" s="58">
        <x:f>(($O223*AB223)/100)+(AC223*12)</x:f>
      </x:c>
      <x:c r="AE223" s="47"/>
      <x:c r="AF223" s="60"/>
      <x:c r="AG223" s="58">
        <x:f>(($O223*AE223)/100)+(AF223*12)</x:f>
      </x:c>
      <x:c r="AH223" s="47"/>
      <x:c r="AI223" s="60"/>
      <x:c r="AJ223" s="58">
        <x:f>(($O223*AH223)/100)+(AI223*12)</x:f>
      </x:c>
      <x:c r="AK223" s="47"/>
      <x:c r="AL223" s="60"/>
      <x:c r="AM223" s="58">
        <x:f>(($O223*AK223)/100)+(AL223*12)</x:f>
      </x:c>
      <x:c r="AN223" s="47"/>
      <x:c r="AO223" s="60"/>
      <x:c r="AP223" s="58">
        <x:f>(($O223*AN223)/100)+(AO223*12)</x:f>
      </x:c>
      <x:c r="AQ223" s="47"/>
      <x:c r="AR223" s="60"/>
      <x:c r="AS223" s="58">
        <x:f>(($O223*AQ223)/100)+(AR223*12)</x:f>
      </x:c>
      <x:c r="AT223" s="47"/>
      <x:c r="AU223" s="60"/>
      <x:c r="AV223" s="58">
        <x:f>(($O223*AT223)/100)+(AU223*12)</x:f>
      </x:c>
      <x:c r="AW223" s="47"/>
      <x:c r="AX223" s="60"/>
      <x:c r="AY223" s="58">
        <x:f>(($O223*AW223)/100)+(AX223*12)</x:f>
      </x:c>
      <x:c r="AZ223" s="47"/>
      <x:c r="BA223" s="60"/>
      <x:c r="BB223" s="58">
        <x:f>(($O223*AZ223)/100)+(BA223*12)</x:f>
      </x:c>
      <x:c r="BC223" s="47"/>
      <x:c r="BD223" s="60"/>
      <x:c r="BE223" s="58">
        <x:f>(($O223*BC223)/100)+(BD223*12)</x:f>
      </x:c>
      <x:c r="BF223" s="47"/>
      <x:c r="BG223" s="60"/>
      <x:c r="BH223" s="58">
        <x:f>(($O223*BF223)/100)+(BG223*12)</x:f>
      </x:c>
      <x:c r="BI223" s="47"/>
      <x:c r="BJ223" s="60"/>
      <x:c r="BK223" s="58">
        <x:f>(($O223*BI223)/100)+(BJ223*12)</x:f>
      </x:c>
      <x:c r="BL223" s="47"/>
      <x:c r="BM223" s="60"/>
      <x:c r="BN223" s="58">
        <x:f>(($O223*BL223)/100)+(BM223*12)</x:f>
      </x:c>
      <x:c r="BO223" s="47"/>
      <x:c r="BP223" s="60"/>
      <x:c r="BQ223" s="58">
        <x:f>(($O223*BO223)/100)+(BP223*12)</x:f>
      </x:c>
      <x:c r="BR223" s="47"/>
      <x:c r="BS223" s="60"/>
      <x:c r="BT223" s="58">
        <x:f>(($O223*BR223)/100)+(BS223*12)</x:f>
      </x:c>
      <x:c r="BU223" s="47"/>
      <x:c r="BV223" s="60"/>
      <x:c r="BW223" s="58">
        <x:f>(($O223*BU223)/100)+(BV223*12)</x:f>
      </x:c>
      <x:c r="BX223" s="47"/>
      <x:c r="BY223" s="60"/>
      <x:c r="BZ223" s="58">
        <x:f>(($O223*BX223)/100)+(BY223*12)</x:f>
      </x:c>
      <x:c r="CA223" s="47"/>
      <x:c r="CB223" s="60"/>
      <x:c r="CC223" s="58">
        <x:f>(($O223*CA223)/100)+(CB223*12)</x:f>
      </x:c>
      <x:c r="CD223" s="47"/>
      <x:c r="CE223" s="60"/>
      <x:c r="CF223" s="58">
        <x:f>(($O223*CD223)/100)+(CE223*12)</x:f>
      </x:c>
      <x:c r="CG223" s="47"/>
      <x:c r="CH223" s="60"/>
      <x:c r="CI223" s="58">
        <x:f>(($O223*CG223)/100)+(CH223*12)</x:f>
      </x:c>
      <x:c r="CJ223" s="47"/>
      <x:c r="CK223" s="60"/>
      <x:c r="CL223" s="58">
        <x:f>(($O223*CJ223)/100)+(CK223*12)</x:f>
      </x:c>
      <x:c r="CM223" s="47"/>
      <x:c r="CN223" s="60"/>
      <x:c r="CO223" s="58">
        <x:f>(($O223*CM223)/100)+(CN223*12)</x:f>
      </x:c>
      <x:c r="CP223" s="47"/>
      <x:c r="CQ223" s="60"/>
      <x:c r="CR223" s="58">
        <x:f>(($O223*CP223)/100)+(CQ223*12)</x:f>
      </x:c>
      <x:c r="CS223" s="47"/>
      <x:c r="CT223" s="60"/>
      <x:c r="CU223" s="58">
        <x:f>(($O223*CS223)/100)+(CT223*12)</x:f>
      </x:c>
      <x:c r="CV223" s="47"/>
      <x:c r="CW223" s="60"/>
      <x:c r="CX223" s="58"/>
      <x:c r="CY223" s="47"/>
      <x:c r="CZ223" s="60"/>
      <x:c r="DA223" s="58"/>
      <x:c r="DB223" s="47"/>
      <x:c r="DC223" s="60"/>
      <x:c r="DD223" s="58"/>
      <x:c r="DE223" s="47"/>
      <x:c r="DF223" s="60"/>
      <x:c r="DG223" s="58"/>
      <x:c r="DH223" s="47"/>
      <x:c r="DI223" s="60"/>
      <x:c r="DJ223" s="58"/>
      <x:c r="DK223" s="47"/>
      <x:c r="DL223" s="60"/>
      <x:c r="DM223" s="58"/>
      <x:c r="DN223" s="11"/>
      <x:c r="DO223" s="61"/>
      <x:c r="DP223" s="62"/>
      <x:c r="DQ223" s="11"/>
      <x:c r="DR223" s="61"/>
      <x:c r="DS223" s="62"/>
      <x:c r="DT223" s="11"/>
      <x:c r="DU223" s="61"/>
      <x:c r="DV223" s="62"/>
    </x:row>
    <x:row r="224" spans="1:126" x14ac:dyDescent="0.3">
      <x:c r="A224" s="47"/>
      <x:c r="B224" s="70"/>
      <x:c r="C224" s="70"/>
      <x:c r="D224" s="70"/>
      <x:c r="E224" s="70"/>
      <x:c r="F224" s="70"/>
      <x:c r="G224" s="70"/>
      <x:c r="H224" s="70"/>
      <x:c r="I224" s="70"/>
      <x:c r="J224" s="70"/>
      <x:c r="K224" s="190"/>
      <x:c r="L224" s="191"/>
      <x:c r="M224" s="192">
        <x:f>IF(ISERROR(INDEX('Meter Type Data'!$B$2:$E$1165,SUMPRODUCT(--('Meter Type Data'!$B$2:$B$1165&lt;=Analysis!L224)*('Meter Type Data'!$C$2:$C$1165&gt;=Analysis!L224),ROW('Meter Type Data'!$B$2:$B$1165))-1,4))," ",INDEX('Meter Type Data'!$B$2:$E$1165,SUMPRODUCT(--('Meter Type Data'!$B$2:$B$1165&lt;=Analysis!L224)*('Meter Type Data'!$C$2:$C$1165&gt;=Analysis!L224),ROW('Meter Type Data'!$B$2:$B$1165))-1,4))</x:f>
      </x:c>
      <x:c r="N224" s="192">
        <x:f>IF(ISERROR(INDEX('Meter Type Data'!$B$2:$D$1165,SUMPRODUCT(--('Meter Type Data'!$B$2:$B$1165&lt;=Analysis!L224)*('Meter Type Data'!$C$2:$C$1165&gt;=Analysis!L224),ROW('Meter Type Data'!$B$2:$B$1165))-1,3))," ",INDEX('Meter Type Data'!$B$2:$D$1165,SUMPRODUCT(--('Meter Type Data'!$B$2:$B$1165&lt;=Analysis!L224)*('Meter Type Data'!$C$2:$C$1165&gt;=Analysis!L224),ROW('Meter Type Data'!$B$2:$B$1165))-1,3))</x:f>
      </x:c>
      <x:c r="O224" s="69"/>
      <x:c r="P224" s="47"/>
      <x:c r="Q224" s="60"/>
      <x:c r="R224" s="58">
        <x:f>(($O224*P224)/100)+(Q224*12)</x:f>
      </x:c>
      <x:c r="S224" s="59"/>
      <x:c r="T224" s="59"/>
      <x:c r="U224" s="58">
        <x:f>(($O224*S224)/100)+(T224*12)</x:f>
      </x:c>
      <x:c r="V224" s="47"/>
      <x:c r="W224" s="60"/>
      <x:c r="X224" s="58">
        <x:f>(($O224*V224)/100)+(W224*12)</x:f>
      </x:c>
      <x:c r="Y224" s="47"/>
      <x:c r="Z224" s="60"/>
      <x:c r="AA224" s="58">
        <x:f>(($O224*Y224)/100)+(Z224*12)</x:f>
      </x:c>
      <x:c r="AB224" s="47"/>
      <x:c r="AC224" s="60"/>
      <x:c r="AD224" s="58">
        <x:f>(($O224*AB224)/100)+(AC224*12)</x:f>
      </x:c>
      <x:c r="AE224" s="47"/>
      <x:c r="AF224" s="60"/>
      <x:c r="AG224" s="58">
        <x:f>(($O224*AE224)/100)+(AF224*12)</x:f>
      </x:c>
      <x:c r="AH224" s="47"/>
      <x:c r="AI224" s="60"/>
      <x:c r="AJ224" s="58">
        <x:f>(($O224*AH224)/100)+(AI224*12)</x:f>
      </x:c>
      <x:c r="AK224" s="47"/>
      <x:c r="AL224" s="60"/>
      <x:c r="AM224" s="58">
        <x:f>(($O224*AK224)/100)+(AL224*12)</x:f>
      </x:c>
      <x:c r="AN224" s="47"/>
      <x:c r="AO224" s="60"/>
      <x:c r="AP224" s="58">
        <x:f>(($O224*AN224)/100)+(AO224*12)</x:f>
      </x:c>
      <x:c r="AQ224" s="47"/>
      <x:c r="AR224" s="60"/>
      <x:c r="AS224" s="58">
        <x:f>(($O224*AQ224)/100)+(AR224*12)</x:f>
      </x:c>
      <x:c r="AT224" s="47"/>
      <x:c r="AU224" s="60"/>
      <x:c r="AV224" s="58">
        <x:f>(($O224*AT224)/100)+(AU224*12)</x:f>
      </x:c>
      <x:c r="AW224" s="47"/>
      <x:c r="AX224" s="60"/>
      <x:c r="AY224" s="58">
        <x:f>(($O224*AW224)/100)+(AX224*12)</x:f>
      </x:c>
      <x:c r="AZ224" s="47"/>
      <x:c r="BA224" s="60"/>
      <x:c r="BB224" s="58">
        <x:f>(($O224*AZ224)/100)+(BA224*12)</x:f>
      </x:c>
      <x:c r="BC224" s="47"/>
      <x:c r="BD224" s="60"/>
      <x:c r="BE224" s="58">
        <x:f>(($O224*BC224)/100)+(BD224*12)</x:f>
      </x:c>
      <x:c r="BF224" s="47"/>
      <x:c r="BG224" s="60"/>
      <x:c r="BH224" s="58">
        <x:f>(($O224*BF224)/100)+(BG224*12)</x:f>
      </x:c>
      <x:c r="BI224" s="47"/>
      <x:c r="BJ224" s="60"/>
      <x:c r="BK224" s="58">
        <x:f>(($O224*BI224)/100)+(BJ224*12)</x:f>
      </x:c>
      <x:c r="BL224" s="47"/>
      <x:c r="BM224" s="60"/>
      <x:c r="BN224" s="58">
        <x:f>(($O224*BL224)/100)+(BM224*12)</x:f>
      </x:c>
      <x:c r="BO224" s="47"/>
      <x:c r="BP224" s="60"/>
      <x:c r="BQ224" s="58">
        <x:f>(($O224*BO224)/100)+(BP224*12)</x:f>
      </x:c>
      <x:c r="BR224" s="47"/>
      <x:c r="BS224" s="60"/>
      <x:c r="BT224" s="58">
        <x:f>(($O224*BR224)/100)+(BS224*12)</x:f>
      </x:c>
      <x:c r="BU224" s="47"/>
      <x:c r="BV224" s="60"/>
      <x:c r="BW224" s="58">
        <x:f>(($O224*BU224)/100)+(BV224*12)</x:f>
      </x:c>
      <x:c r="BX224" s="47"/>
      <x:c r="BY224" s="60"/>
      <x:c r="BZ224" s="58">
        <x:f>(($O224*BX224)/100)+(BY224*12)</x:f>
      </x:c>
      <x:c r="CA224" s="47"/>
      <x:c r="CB224" s="60"/>
      <x:c r="CC224" s="58">
        <x:f>(($O224*CA224)/100)+(CB224*12)</x:f>
      </x:c>
      <x:c r="CD224" s="47"/>
      <x:c r="CE224" s="60"/>
      <x:c r="CF224" s="58">
        <x:f>(($O224*CD224)/100)+(CE224*12)</x:f>
      </x:c>
      <x:c r="CG224" s="47"/>
      <x:c r="CH224" s="60"/>
      <x:c r="CI224" s="58">
        <x:f>(($O224*CG224)/100)+(CH224*12)</x:f>
      </x:c>
      <x:c r="CJ224" s="47"/>
      <x:c r="CK224" s="60"/>
      <x:c r="CL224" s="58">
        <x:f>(($O224*CJ224)/100)+(CK224*12)</x:f>
      </x:c>
      <x:c r="CM224" s="47"/>
      <x:c r="CN224" s="60"/>
      <x:c r="CO224" s="58">
        <x:f>(($O224*CM224)/100)+(CN224*12)</x:f>
      </x:c>
      <x:c r="CP224" s="47"/>
      <x:c r="CQ224" s="60"/>
      <x:c r="CR224" s="58">
        <x:f>(($O224*CP224)/100)+(CQ224*12)</x:f>
      </x:c>
      <x:c r="CS224" s="47"/>
      <x:c r="CT224" s="60"/>
      <x:c r="CU224" s="58">
        <x:f>(($O224*CS224)/100)+(CT224*12)</x:f>
      </x:c>
      <x:c r="CV224" s="47"/>
      <x:c r="CW224" s="60"/>
      <x:c r="CX224" s="58"/>
      <x:c r="CY224" s="47"/>
      <x:c r="CZ224" s="60"/>
      <x:c r="DA224" s="58"/>
      <x:c r="DB224" s="47"/>
      <x:c r="DC224" s="60"/>
      <x:c r="DD224" s="58"/>
      <x:c r="DE224" s="47"/>
      <x:c r="DF224" s="60"/>
      <x:c r="DG224" s="58"/>
      <x:c r="DH224" s="47"/>
      <x:c r="DI224" s="60"/>
      <x:c r="DJ224" s="58"/>
      <x:c r="DK224" s="47"/>
      <x:c r="DL224" s="60"/>
      <x:c r="DM224" s="58"/>
      <x:c r="DN224" s="11"/>
      <x:c r="DO224" s="61"/>
      <x:c r="DP224" s="62"/>
      <x:c r="DQ224" s="11"/>
      <x:c r="DR224" s="61"/>
      <x:c r="DS224" s="62"/>
      <x:c r="DT224" s="11"/>
      <x:c r="DU224" s="61"/>
      <x:c r="DV224" s="62"/>
    </x:row>
    <x:row r="225" spans="1:126" x14ac:dyDescent="0.3">
      <x:c r="A225" s="47"/>
      <x:c r="B225" s="70"/>
      <x:c r="C225" s="70"/>
      <x:c r="D225" s="70"/>
      <x:c r="E225" s="70"/>
      <x:c r="F225" s="70"/>
      <x:c r="G225" s="70"/>
      <x:c r="H225" s="70"/>
      <x:c r="I225" s="70"/>
      <x:c r="J225" s="70"/>
      <x:c r="K225" s="190"/>
      <x:c r="L225" s="191"/>
      <x:c r="M225" s="192">
        <x:f>IF(ISERROR(INDEX('Meter Type Data'!$B$2:$E$1165,SUMPRODUCT(--('Meter Type Data'!$B$2:$B$1165&lt;=Analysis!L225)*('Meter Type Data'!$C$2:$C$1165&gt;=Analysis!L225),ROW('Meter Type Data'!$B$2:$B$1165))-1,4))," ",INDEX('Meter Type Data'!$B$2:$E$1165,SUMPRODUCT(--('Meter Type Data'!$B$2:$B$1165&lt;=Analysis!L225)*('Meter Type Data'!$C$2:$C$1165&gt;=Analysis!L225),ROW('Meter Type Data'!$B$2:$B$1165))-1,4))</x:f>
      </x:c>
      <x:c r="N225" s="192">
        <x:f>IF(ISERROR(INDEX('Meter Type Data'!$B$2:$D$1165,SUMPRODUCT(--('Meter Type Data'!$B$2:$B$1165&lt;=Analysis!L225)*('Meter Type Data'!$C$2:$C$1165&gt;=Analysis!L225),ROW('Meter Type Data'!$B$2:$B$1165))-1,3))," ",INDEX('Meter Type Data'!$B$2:$D$1165,SUMPRODUCT(--('Meter Type Data'!$B$2:$B$1165&lt;=Analysis!L225)*('Meter Type Data'!$C$2:$C$1165&gt;=Analysis!L225),ROW('Meter Type Data'!$B$2:$B$1165))-1,3))</x:f>
      </x:c>
      <x:c r="O225" s="69"/>
      <x:c r="P225" s="47"/>
      <x:c r="Q225" s="60"/>
      <x:c r="R225" s="58">
        <x:f>(($O225*P225)/100)+(Q225*12)</x:f>
      </x:c>
      <x:c r="S225" s="59"/>
      <x:c r="T225" s="59"/>
      <x:c r="U225" s="58">
        <x:f>(($O225*S225)/100)+(T225*12)</x:f>
      </x:c>
      <x:c r="V225" s="47"/>
      <x:c r="W225" s="60"/>
      <x:c r="X225" s="58">
        <x:f>(($O225*V225)/100)+(W225*12)</x:f>
      </x:c>
      <x:c r="Y225" s="47"/>
      <x:c r="Z225" s="60"/>
      <x:c r="AA225" s="58">
        <x:f>(($O225*Y225)/100)+(Z225*12)</x:f>
      </x:c>
      <x:c r="AB225" s="47"/>
      <x:c r="AC225" s="60"/>
      <x:c r="AD225" s="58">
        <x:f>(($O225*AB225)/100)+(AC225*12)</x:f>
      </x:c>
      <x:c r="AE225" s="47"/>
      <x:c r="AF225" s="60"/>
      <x:c r="AG225" s="58">
        <x:f>(($O225*AE225)/100)+(AF225*12)</x:f>
      </x:c>
      <x:c r="AH225" s="47"/>
      <x:c r="AI225" s="60"/>
      <x:c r="AJ225" s="58">
        <x:f>(($O225*AH225)/100)+(AI225*12)</x:f>
      </x:c>
      <x:c r="AK225" s="47"/>
      <x:c r="AL225" s="60"/>
      <x:c r="AM225" s="58">
        <x:f>(($O225*AK225)/100)+(AL225*12)</x:f>
      </x:c>
      <x:c r="AN225" s="47"/>
      <x:c r="AO225" s="60"/>
      <x:c r="AP225" s="58">
        <x:f>(($O225*AN225)/100)+(AO225*12)</x:f>
      </x:c>
      <x:c r="AQ225" s="47"/>
      <x:c r="AR225" s="60"/>
      <x:c r="AS225" s="58">
        <x:f>(($O225*AQ225)/100)+(AR225*12)</x:f>
      </x:c>
      <x:c r="AT225" s="47"/>
      <x:c r="AU225" s="60"/>
      <x:c r="AV225" s="58">
        <x:f>(($O225*AT225)/100)+(AU225*12)</x:f>
      </x:c>
      <x:c r="AW225" s="47"/>
      <x:c r="AX225" s="60"/>
      <x:c r="AY225" s="58">
        <x:f>(($O225*AW225)/100)+(AX225*12)</x:f>
      </x:c>
      <x:c r="AZ225" s="47"/>
      <x:c r="BA225" s="60"/>
      <x:c r="BB225" s="58">
        <x:f>(($O225*AZ225)/100)+(BA225*12)</x:f>
      </x:c>
      <x:c r="BC225" s="47"/>
      <x:c r="BD225" s="60"/>
      <x:c r="BE225" s="58">
        <x:f>(($O225*BC225)/100)+(BD225*12)</x:f>
      </x:c>
      <x:c r="BF225" s="47"/>
      <x:c r="BG225" s="60"/>
      <x:c r="BH225" s="58">
        <x:f>(($O225*BF225)/100)+(BG225*12)</x:f>
      </x:c>
      <x:c r="BI225" s="47"/>
      <x:c r="BJ225" s="60"/>
      <x:c r="BK225" s="58">
        <x:f>(($O225*BI225)/100)+(BJ225*12)</x:f>
      </x:c>
      <x:c r="BL225" s="47"/>
      <x:c r="BM225" s="60"/>
      <x:c r="BN225" s="58">
        <x:f>(($O225*BL225)/100)+(BM225*12)</x:f>
      </x:c>
      <x:c r="BO225" s="47"/>
      <x:c r="BP225" s="60"/>
      <x:c r="BQ225" s="58">
        <x:f>(($O225*BO225)/100)+(BP225*12)</x:f>
      </x:c>
      <x:c r="BR225" s="47"/>
      <x:c r="BS225" s="60"/>
      <x:c r="BT225" s="58">
        <x:f>(($O225*BR225)/100)+(BS225*12)</x:f>
      </x:c>
      <x:c r="BU225" s="47"/>
      <x:c r="BV225" s="60"/>
      <x:c r="BW225" s="58">
        <x:f>(($O225*BU225)/100)+(BV225*12)</x:f>
      </x:c>
      <x:c r="BX225" s="47"/>
      <x:c r="BY225" s="60"/>
      <x:c r="BZ225" s="58">
        <x:f>(($O225*BX225)/100)+(BY225*12)</x:f>
      </x:c>
      <x:c r="CA225" s="47"/>
      <x:c r="CB225" s="60"/>
      <x:c r="CC225" s="58">
        <x:f>(($O225*CA225)/100)+(CB225*12)</x:f>
      </x:c>
      <x:c r="CD225" s="47"/>
      <x:c r="CE225" s="60"/>
      <x:c r="CF225" s="58">
        <x:f>(($O225*CD225)/100)+(CE225*12)</x:f>
      </x:c>
      <x:c r="CG225" s="47"/>
      <x:c r="CH225" s="60"/>
      <x:c r="CI225" s="58">
        <x:f>(($O225*CG225)/100)+(CH225*12)</x:f>
      </x:c>
      <x:c r="CJ225" s="47"/>
      <x:c r="CK225" s="60"/>
      <x:c r="CL225" s="58">
        <x:f>(($O225*CJ225)/100)+(CK225*12)</x:f>
      </x:c>
      <x:c r="CM225" s="47"/>
      <x:c r="CN225" s="60"/>
      <x:c r="CO225" s="58">
        <x:f>(($O225*CM225)/100)+(CN225*12)</x:f>
      </x:c>
      <x:c r="CP225" s="47"/>
      <x:c r="CQ225" s="60"/>
      <x:c r="CR225" s="58">
        <x:f>(($O225*CP225)/100)+(CQ225*12)</x:f>
      </x:c>
      <x:c r="CS225" s="47"/>
      <x:c r="CT225" s="60"/>
      <x:c r="CU225" s="58">
        <x:f>(($O225*CS225)/100)+(CT225*12)</x:f>
      </x:c>
      <x:c r="CV225" s="47"/>
      <x:c r="CW225" s="60"/>
      <x:c r="CX225" s="58"/>
      <x:c r="CY225" s="47"/>
      <x:c r="CZ225" s="60"/>
      <x:c r="DA225" s="58"/>
      <x:c r="DB225" s="47"/>
      <x:c r="DC225" s="60"/>
      <x:c r="DD225" s="58"/>
      <x:c r="DE225" s="47"/>
      <x:c r="DF225" s="60"/>
      <x:c r="DG225" s="58"/>
      <x:c r="DH225" s="47"/>
      <x:c r="DI225" s="60"/>
      <x:c r="DJ225" s="58"/>
      <x:c r="DK225" s="47"/>
      <x:c r="DL225" s="60"/>
      <x:c r="DM225" s="58"/>
      <x:c r="DN225" s="11"/>
      <x:c r="DO225" s="61"/>
      <x:c r="DP225" s="62"/>
      <x:c r="DQ225" s="11"/>
      <x:c r="DR225" s="61"/>
      <x:c r="DS225" s="62"/>
      <x:c r="DT225" s="11"/>
      <x:c r="DU225" s="61"/>
      <x:c r="DV225" s="62"/>
    </x:row>
    <x:row r="226" spans="1:126" x14ac:dyDescent="0.3">
      <x:c r="A226" s="47"/>
      <x:c r="B226" s="70"/>
      <x:c r="C226" s="70"/>
      <x:c r="D226" s="70"/>
      <x:c r="E226" s="70"/>
      <x:c r="F226" s="70"/>
      <x:c r="G226" s="70"/>
      <x:c r="H226" s="70"/>
      <x:c r="I226" s="70"/>
      <x:c r="J226" s="70"/>
      <x:c r="K226" s="190"/>
      <x:c r="L226" s="191"/>
      <x:c r="M226" s="192">
        <x:f>IF(ISERROR(INDEX('Meter Type Data'!$B$2:$E$1165,SUMPRODUCT(--('Meter Type Data'!$B$2:$B$1165&lt;=Analysis!L226)*('Meter Type Data'!$C$2:$C$1165&gt;=Analysis!L226),ROW('Meter Type Data'!$B$2:$B$1165))-1,4))," ",INDEX('Meter Type Data'!$B$2:$E$1165,SUMPRODUCT(--('Meter Type Data'!$B$2:$B$1165&lt;=Analysis!L226)*('Meter Type Data'!$C$2:$C$1165&gt;=Analysis!L226),ROW('Meter Type Data'!$B$2:$B$1165))-1,4))</x:f>
      </x:c>
      <x:c r="N226" s="192">
        <x:f>IF(ISERROR(INDEX('Meter Type Data'!$B$2:$D$1165,SUMPRODUCT(--('Meter Type Data'!$B$2:$B$1165&lt;=Analysis!L226)*('Meter Type Data'!$C$2:$C$1165&gt;=Analysis!L226),ROW('Meter Type Data'!$B$2:$B$1165))-1,3))," ",INDEX('Meter Type Data'!$B$2:$D$1165,SUMPRODUCT(--('Meter Type Data'!$B$2:$B$1165&lt;=Analysis!L226)*('Meter Type Data'!$C$2:$C$1165&gt;=Analysis!L226),ROW('Meter Type Data'!$B$2:$B$1165))-1,3))</x:f>
      </x:c>
      <x:c r="O226" s="69"/>
      <x:c r="P226" s="47"/>
      <x:c r="Q226" s="60"/>
      <x:c r="R226" s="58">
        <x:f>(($O226*P226)/100)+(Q226*12)</x:f>
      </x:c>
      <x:c r="S226" s="59"/>
      <x:c r="T226" s="59"/>
      <x:c r="U226" s="58">
        <x:f>(($O226*S226)/100)+(T226*12)</x:f>
      </x:c>
      <x:c r="V226" s="47"/>
      <x:c r="W226" s="60"/>
      <x:c r="X226" s="58">
        <x:f>(($O226*V226)/100)+(W226*12)</x:f>
      </x:c>
      <x:c r="Y226" s="47"/>
      <x:c r="Z226" s="60"/>
      <x:c r="AA226" s="58">
        <x:f>(($O226*Y226)/100)+(Z226*12)</x:f>
      </x:c>
      <x:c r="AB226" s="47"/>
      <x:c r="AC226" s="60"/>
      <x:c r="AD226" s="58">
        <x:f>(($O226*AB226)/100)+(AC226*12)</x:f>
      </x:c>
      <x:c r="AE226" s="47"/>
      <x:c r="AF226" s="60"/>
      <x:c r="AG226" s="58">
        <x:f>(($O226*AE226)/100)+(AF226*12)</x:f>
      </x:c>
      <x:c r="AH226" s="47"/>
      <x:c r="AI226" s="60"/>
      <x:c r="AJ226" s="58">
        <x:f>(($O226*AH226)/100)+(AI226*12)</x:f>
      </x:c>
      <x:c r="AK226" s="47"/>
      <x:c r="AL226" s="60"/>
      <x:c r="AM226" s="58">
        <x:f>(($O226*AK226)/100)+(AL226*12)</x:f>
      </x:c>
      <x:c r="AN226" s="47"/>
      <x:c r="AO226" s="60"/>
      <x:c r="AP226" s="58">
        <x:f>(($O226*AN226)/100)+(AO226*12)</x:f>
      </x:c>
      <x:c r="AQ226" s="47"/>
      <x:c r="AR226" s="60"/>
      <x:c r="AS226" s="58">
        <x:f>(($O226*AQ226)/100)+(AR226*12)</x:f>
      </x:c>
      <x:c r="AT226" s="47"/>
      <x:c r="AU226" s="60"/>
      <x:c r="AV226" s="58">
        <x:f>(($O226*AT226)/100)+(AU226*12)</x:f>
      </x:c>
      <x:c r="AW226" s="47"/>
      <x:c r="AX226" s="60"/>
      <x:c r="AY226" s="58">
        <x:f>(($O226*AW226)/100)+(AX226*12)</x:f>
      </x:c>
      <x:c r="AZ226" s="47"/>
      <x:c r="BA226" s="60"/>
      <x:c r="BB226" s="58">
        <x:f>(($O226*AZ226)/100)+(BA226*12)</x:f>
      </x:c>
      <x:c r="BC226" s="47"/>
      <x:c r="BD226" s="60"/>
      <x:c r="BE226" s="58">
        <x:f>(($O226*BC226)/100)+(BD226*12)</x:f>
      </x:c>
      <x:c r="BF226" s="47"/>
      <x:c r="BG226" s="60"/>
      <x:c r="BH226" s="58">
        <x:f>(($O226*BF226)/100)+(BG226*12)</x:f>
      </x:c>
      <x:c r="BI226" s="47"/>
      <x:c r="BJ226" s="60"/>
      <x:c r="BK226" s="58">
        <x:f>(($O226*BI226)/100)+(BJ226*12)</x:f>
      </x:c>
      <x:c r="BL226" s="47"/>
      <x:c r="BM226" s="60"/>
      <x:c r="BN226" s="58">
        <x:f>(($O226*BL226)/100)+(BM226*12)</x:f>
      </x:c>
      <x:c r="BO226" s="47"/>
      <x:c r="BP226" s="60"/>
      <x:c r="BQ226" s="58">
        <x:f>(($O226*BO226)/100)+(BP226*12)</x:f>
      </x:c>
      <x:c r="BR226" s="47"/>
      <x:c r="BS226" s="60"/>
      <x:c r="BT226" s="58">
        <x:f>(($O226*BR226)/100)+(BS226*12)</x:f>
      </x:c>
      <x:c r="BU226" s="47"/>
      <x:c r="BV226" s="60"/>
      <x:c r="BW226" s="58">
        <x:f>(($O226*BU226)/100)+(BV226*12)</x:f>
      </x:c>
      <x:c r="BX226" s="47"/>
      <x:c r="BY226" s="60"/>
      <x:c r="BZ226" s="58">
        <x:f>(($O226*BX226)/100)+(BY226*12)</x:f>
      </x:c>
      <x:c r="CA226" s="47"/>
      <x:c r="CB226" s="60"/>
      <x:c r="CC226" s="58">
        <x:f>(($O226*CA226)/100)+(CB226*12)</x:f>
      </x:c>
      <x:c r="CD226" s="47"/>
      <x:c r="CE226" s="60"/>
      <x:c r="CF226" s="58">
        <x:f>(($O226*CD226)/100)+(CE226*12)</x:f>
      </x:c>
      <x:c r="CG226" s="47"/>
      <x:c r="CH226" s="60"/>
      <x:c r="CI226" s="58">
        <x:f>(($O226*CG226)/100)+(CH226*12)</x:f>
      </x:c>
      <x:c r="CJ226" s="47"/>
      <x:c r="CK226" s="60"/>
      <x:c r="CL226" s="58">
        <x:f>(($O226*CJ226)/100)+(CK226*12)</x:f>
      </x:c>
      <x:c r="CM226" s="47"/>
      <x:c r="CN226" s="60"/>
      <x:c r="CO226" s="58">
        <x:f>(($O226*CM226)/100)+(CN226*12)</x:f>
      </x:c>
      <x:c r="CP226" s="47"/>
      <x:c r="CQ226" s="60"/>
      <x:c r="CR226" s="58">
        <x:f>(($O226*CP226)/100)+(CQ226*12)</x:f>
      </x:c>
      <x:c r="CS226" s="47"/>
      <x:c r="CT226" s="60"/>
      <x:c r="CU226" s="58">
        <x:f>(($O226*CS226)/100)+(CT226*12)</x:f>
      </x:c>
      <x:c r="CV226" s="47"/>
      <x:c r="CW226" s="60"/>
      <x:c r="CX226" s="58"/>
      <x:c r="CY226" s="47"/>
      <x:c r="CZ226" s="60"/>
      <x:c r="DA226" s="58"/>
      <x:c r="DB226" s="47"/>
      <x:c r="DC226" s="60"/>
      <x:c r="DD226" s="58"/>
      <x:c r="DE226" s="47"/>
      <x:c r="DF226" s="60"/>
      <x:c r="DG226" s="58"/>
      <x:c r="DH226" s="47"/>
      <x:c r="DI226" s="60"/>
      <x:c r="DJ226" s="58"/>
      <x:c r="DK226" s="47"/>
      <x:c r="DL226" s="60"/>
      <x:c r="DM226" s="58"/>
      <x:c r="DN226" s="11"/>
      <x:c r="DO226" s="61"/>
      <x:c r="DP226" s="62"/>
      <x:c r="DQ226" s="11"/>
      <x:c r="DR226" s="61"/>
      <x:c r="DS226" s="62"/>
      <x:c r="DT226" s="11"/>
      <x:c r="DU226" s="61"/>
      <x:c r="DV226" s="62"/>
    </x:row>
    <x:row r="227" spans="1:126" x14ac:dyDescent="0.3">
      <x:c r="A227" s="47"/>
      <x:c r="B227" s="70"/>
      <x:c r="C227" s="70"/>
      <x:c r="D227" s="70"/>
      <x:c r="E227" s="70"/>
      <x:c r="F227" s="70"/>
      <x:c r="G227" s="70"/>
      <x:c r="H227" s="70"/>
      <x:c r="I227" s="70"/>
      <x:c r="J227" s="70"/>
      <x:c r="K227" s="190"/>
      <x:c r="L227" s="191"/>
      <x:c r="M227" s="192">
        <x:f>IF(ISERROR(INDEX('Meter Type Data'!$B$2:$E$1165,SUMPRODUCT(--('Meter Type Data'!$B$2:$B$1165&lt;=Analysis!L227)*('Meter Type Data'!$C$2:$C$1165&gt;=Analysis!L227),ROW('Meter Type Data'!$B$2:$B$1165))-1,4))," ",INDEX('Meter Type Data'!$B$2:$E$1165,SUMPRODUCT(--('Meter Type Data'!$B$2:$B$1165&lt;=Analysis!L227)*('Meter Type Data'!$C$2:$C$1165&gt;=Analysis!L227),ROW('Meter Type Data'!$B$2:$B$1165))-1,4))</x:f>
      </x:c>
      <x:c r="N227" s="192">
        <x:f>IF(ISERROR(INDEX('Meter Type Data'!$B$2:$D$1165,SUMPRODUCT(--('Meter Type Data'!$B$2:$B$1165&lt;=Analysis!L227)*('Meter Type Data'!$C$2:$C$1165&gt;=Analysis!L227),ROW('Meter Type Data'!$B$2:$B$1165))-1,3))," ",INDEX('Meter Type Data'!$B$2:$D$1165,SUMPRODUCT(--('Meter Type Data'!$B$2:$B$1165&lt;=Analysis!L227)*('Meter Type Data'!$C$2:$C$1165&gt;=Analysis!L227),ROW('Meter Type Data'!$B$2:$B$1165))-1,3))</x:f>
      </x:c>
      <x:c r="O227" s="69"/>
      <x:c r="P227" s="47"/>
      <x:c r="Q227" s="60"/>
      <x:c r="R227" s="58">
        <x:f>(($O227*P227)/100)+(Q227*12)</x:f>
      </x:c>
      <x:c r="S227" s="59"/>
      <x:c r="T227" s="59"/>
      <x:c r="U227" s="58">
        <x:f>(($O227*S227)/100)+(T227*12)</x:f>
      </x:c>
      <x:c r="V227" s="47"/>
      <x:c r="W227" s="60"/>
      <x:c r="X227" s="58">
        <x:f>(($O227*V227)/100)+(W227*12)</x:f>
      </x:c>
      <x:c r="Y227" s="47"/>
      <x:c r="Z227" s="60"/>
      <x:c r="AA227" s="58">
        <x:f>(($O227*Y227)/100)+(Z227*12)</x:f>
      </x:c>
      <x:c r="AB227" s="47"/>
      <x:c r="AC227" s="60"/>
      <x:c r="AD227" s="58">
        <x:f>(($O227*AB227)/100)+(AC227*12)</x:f>
      </x:c>
      <x:c r="AE227" s="47"/>
      <x:c r="AF227" s="60"/>
      <x:c r="AG227" s="58">
        <x:f>(($O227*AE227)/100)+(AF227*12)</x:f>
      </x:c>
      <x:c r="AH227" s="47"/>
      <x:c r="AI227" s="60"/>
      <x:c r="AJ227" s="58">
        <x:f>(($O227*AH227)/100)+(AI227*12)</x:f>
      </x:c>
      <x:c r="AK227" s="47"/>
      <x:c r="AL227" s="60"/>
      <x:c r="AM227" s="58">
        <x:f>(($O227*AK227)/100)+(AL227*12)</x:f>
      </x:c>
      <x:c r="AN227" s="47"/>
      <x:c r="AO227" s="60"/>
      <x:c r="AP227" s="58">
        <x:f>(($O227*AN227)/100)+(AO227*12)</x:f>
      </x:c>
      <x:c r="AQ227" s="47"/>
      <x:c r="AR227" s="60"/>
      <x:c r="AS227" s="58">
        <x:f>(($O227*AQ227)/100)+(AR227*12)</x:f>
      </x:c>
      <x:c r="AT227" s="47"/>
      <x:c r="AU227" s="60"/>
      <x:c r="AV227" s="58">
        <x:f>(($O227*AT227)/100)+(AU227*12)</x:f>
      </x:c>
      <x:c r="AW227" s="47"/>
      <x:c r="AX227" s="60"/>
      <x:c r="AY227" s="58">
        <x:f>(($O227*AW227)/100)+(AX227*12)</x:f>
      </x:c>
      <x:c r="AZ227" s="47"/>
      <x:c r="BA227" s="60"/>
      <x:c r="BB227" s="58">
        <x:f>(($O227*AZ227)/100)+(BA227*12)</x:f>
      </x:c>
      <x:c r="BC227" s="47"/>
      <x:c r="BD227" s="60"/>
      <x:c r="BE227" s="58">
        <x:f>(($O227*BC227)/100)+(BD227*12)</x:f>
      </x:c>
      <x:c r="BF227" s="47"/>
      <x:c r="BG227" s="60"/>
      <x:c r="BH227" s="58">
        <x:f>(($O227*BF227)/100)+(BG227*12)</x:f>
      </x:c>
      <x:c r="BI227" s="47"/>
      <x:c r="BJ227" s="60"/>
      <x:c r="BK227" s="58">
        <x:f>(($O227*BI227)/100)+(BJ227*12)</x:f>
      </x:c>
      <x:c r="BL227" s="47"/>
      <x:c r="BM227" s="60"/>
      <x:c r="BN227" s="58">
        <x:f>(($O227*BL227)/100)+(BM227*12)</x:f>
      </x:c>
      <x:c r="BO227" s="47"/>
      <x:c r="BP227" s="60"/>
      <x:c r="BQ227" s="58">
        <x:f>(($O227*BO227)/100)+(BP227*12)</x:f>
      </x:c>
      <x:c r="BR227" s="47"/>
      <x:c r="BS227" s="60"/>
      <x:c r="BT227" s="58">
        <x:f>(($O227*BR227)/100)+(BS227*12)</x:f>
      </x:c>
      <x:c r="BU227" s="47"/>
      <x:c r="BV227" s="60"/>
      <x:c r="BW227" s="58">
        <x:f>(($O227*BU227)/100)+(BV227*12)</x:f>
      </x:c>
      <x:c r="BX227" s="47"/>
      <x:c r="BY227" s="60"/>
      <x:c r="BZ227" s="58">
        <x:f>(($O227*BX227)/100)+(BY227*12)</x:f>
      </x:c>
      <x:c r="CA227" s="47"/>
      <x:c r="CB227" s="60"/>
      <x:c r="CC227" s="58">
        <x:f>(($O227*CA227)/100)+(CB227*12)</x:f>
      </x:c>
      <x:c r="CD227" s="47"/>
      <x:c r="CE227" s="60"/>
      <x:c r="CF227" s="58">
        <x:f>(($O227*CD227)/100)+(CE227*12)</x:f>
      </x:c>
      <x:c r="CG227" s="47"/>
      <x:c r="CH227" s="60"/>
      <x:c r="CI227" s="58">
        <x:f>(($O227*CG227)/100)+(CH227*12)</x:f>
      </x:c>
      <x:c r="CJ227" s="47"/>
      <x:c r="CK227" s="60"/>
      <x:c r="CL227" s="58">
        <x:f>(($O227*CJ227)/100)+(CK227*12)</x:f>
      </x:c>
      <x:c r="CM227" s="47"/>
      <x:c r="CN227" s="60"/>
      <x:c r="CO227" s="58">
        <x:f>(($O227*CM227)/100)+(CN227*12)</x:f>
      </x:c>
      <x:c r="CP227" s="47"/>
      <x:c r="CQ227" s="60"/>
      <x:c r="CR227" s="58">
        <x:f>(($O227*CP227)/100)+(CQ227*12)</x:f>
      </x:c>
      <x:c r="CS227" s="47"/>
      <x:c r="CT227" s="60"/>
      <x:c r="CU227" s="58">
        <x:f>(($O227*CS227)/100)+(CT227*12)</x:f>
      </x:c>
      <x:c r="CV227" s="47"/>
      <x:c r="CW227" s="60"/>
      <x:c r="CX227" s="58"/>
      <x:c r="CY227" s="47"/>
      <x:c r="CZ227" s="60"/>
      <x:c r="DA227" s="58"/>
      <x:c r="DB227" s="47"/>
      <x:c r="DC227" s="60"/>
      <x:c r="DD227" s="58"/>
      <x:c r="DE227" s="47"/>
      <x:c r="DF227" s="60"/>
      <x:c r="DG227" s="58"/>
      <x:c r="DH227" s="47"/>
      <x:c r="DI227" s="60"/>
      <x:c r="DJ227" s="58"/>
      <x:c r="DK227" s="47"/>
      <x:c r="DL227" s="60"/>
      <x:c r="DM227" s="58"/>
      <x:c r="DN227" s="11"/>
      <x:c r="DO227" s="61"/>
      <x:c r="DP227" s="62"/>
      <x:c r="DQ227" s="11"/>
      <x:c r="DR227" s="61"/>
      <x:c r="DS227" s="62"/>
      <x:c r="DT227" s="11"/>
      <x:c r="DU227" s="61"/>
      <x:c r="DV227" s="62"/>
    </x:row>
    <x:row r="228" spans="1:126" x14ac:dyDescent="0.3">
      <x:c r="A228" s="47"/>
      <x:c r="B228" s="70"/>
      <x:c r="C228" s="70"/>
      <x:c r="D228" s="70"/>
      <x:c r="E228" s="70"/>
      <x:c r="F228" s="70"/>
      <x:c r="G228" s="70"/>
      <x:c r="H228" s="70"/>
      <x:c r="I228" s="70"/>
      <x:c r="J228" s="70"/>
      <x:c r="K228" s="190"/>
      <x:c r="L228" s="191"/>
      <x:c r="M228" s="192">
        <x:f>IF(ISERROR(INDEX('Meter Type Data'!$B$2:$E$1165,SUMPRODUCT(--('Meter Type Data'!$B$2:$B$1165&lt;=Analysis!L228)*('Meter Type Data'!$C$2:$C$1165&gt;=Analysis!L228),ROW('Meter Type Data'!$B$2:$B$1165))-1,4))," ",INDEX('Meter Type Data'!$B$2:$E$1165,SUMPRODUCT(--('Meter Type Data'!$B$2:$B$1165&lt;=Analysis!L228)*('Meter Type Data'!$C$2:$C$1165&gt;=Analysis!L228),ROW('Meter Type Data'!$B$2:$B$1165))-1,4))</x:f>
      </x:c>
      <x:c r="N228" s="192">
        <x:f>IF(ISERROR(INDEX('Meter Type Data'!$B$2:$D$1165,SUMPRODUCT(--('Meter Type Data'!$B$2:$B$1165&lt;=Analysis!L228)*('Meter Type Data'!$C$2:$C$1165&gt;=Analysis!L228),ROW('Meter Type Data'!$B$2:$B$1165))-1,3))," ",INDEX('Meter Type Data'!$B$2:$D$1165,SUMPRODUCT(--('Meter Type Data'!$B$2:$B$1165&lt;=Analysis!L228)*('Meter Type Data'!$C$2:$C$1165&gt;=Analysis!L228),ROW('Meter Type Data'!$B$2:$B$1165))-1,3))</x:f>
      </x:c>
      <x:c r="O228" s="69"/>
      <x:c r="P228" s="47"/>
      <x:c r="Q228" s="60"/>
      <x:c r="R228" s="58">
        <x:f>(($O228*P228)/100)+(Q228*12)</x:f>
      </x:c>
      <x:c r="S228" s="59"/>
      <x:c r="T228" s="59"/>
      <x:c r="U228" s="58">
        <x:f>(($O228*S228)/100)+(T228*12)</x:f>
      </x:c>
      <x:c r="V228" s="47"/>
      <x:c r="W228" s="60"/>
      <x:c r="X228" s="58">
        <x:f>(($O228*V228)/100)+(W228*12)</x:f>
      </x:c>
      <x:c r="Y228" s="47"/>
      <x:c r="Z228" s="60"/>
      <x:c r="AA228" s="58">
        <x:f>(($O228*Y228)/100)+(Z228*12)</x:f>
      </x:c>
      <x:c r="AB228" s="47"/>
      <x:c r="AC228" s="60"/>
      <x:c r="AD228" s="58">
        <x:f>(($O228*AB228)/100)+(AC228*12)</x:f>
      </x:c>
      <x:c r="AE228" s="47"/>
      <x:c r="AF228" s="60"/>
      <x:c r="AG228" s="58">
        <x:f>(($O228*AE228)/100)+(AF228*12)</x:f>
      </x:c>
      <x:c r="AH228" s="47"/>
      <x:c r="AI228" s="60"/>
      <x:c r="AJ228" s="58">
        <x:f>(($O228*AH228)/100)+(AI228*12)</x:f>
      </x:c>
      <x:c r="AK228" s="47"/>
      <x:c r="AL228" s="60"/>
      <x:c r="AM228" s="58">
        <x:f>(($O228*AK228)/100)+(AL228*12)</x:f>
      </x:c>
      <x:c r="AN228" s="47"/>
      <x:c r="AO228" s="60"/>
      <x:c r="AP228" s="58">
        <x:f>(($O228*AN228)/100)+(AO228*12)</x:f>
      </x:c>
      <x:c r="AQ228" s="47"/>
      <x:c r="AR228" s="60"/>
      <x:c r="AS228" s="58">
        <x:f>(($O228*AQ228)/100)+(AR228*12)</x:f>
      </x:c>
      <x:c r="AT228" s="47"/>
      <x:c r="AU228" s="60"/>
      <x:c r="AV228" s="58">
        <x:f>(($O228*AT228)/100)+(AU228*12)</x:f>
      </x:c>
      <x:c r="AW228" s="47"/>
      <x:c r="AX228" s="60"/>
      <x:c r="AY228" s="58">
        <x:f>(($O228*AW228)/100)+(AX228*12)</x:f>
      </x:c>
      <x:c r="AZ228" s="47"/>
      <x:c r="BA228" s="60"/>
      <x:c r="BB228" s="58">
        <x:f>(($O228*AZ228)/100)+(BA228*12)</x:f>
      </x:c>
      <x:c r="BC228" s="47"/>
      <x:c r="BD228" s="60"/>
      <x:c r="BE228" s="58">
        <x:f>(($O228*BC228)/100)+(BD228*12)</x:f>
      </x:c>
      <x:c r="BF228" s="47"/>
      <x:c r="BG228" s="60"/>
      <x:c r="BH228" s="58">
        <x:f>(($O228*BF228)/100)+(BG228*12)</x:f>
      </x:c>
      <x:c r="BI228" s="47"/>
      <x:c r="BJ228" s="60"/>
      <x:c r="BK228" s="58">
        <x:f>(($O228*BI228)/100)+(BJ228*12)</x:f>
      </x:c>
      <x:c r="BL228" s="47"/>
      <x:c r="BM228" s="60"/>
      <x:c r="BN228" s="58">
        <x:f>(($O228*BL228)/100)+(BM228*12)</x:f>
      </x:c>
      <x:c r="BO228" s="47"/>
      <x:c r="BP228" s="60"/>
      <x:c r="BQ228" s="58">
        <x:f>(($O228*BO228)/100)+(BP228*12)</x:f>
      </x:c>
      <x:c r="BR228" s="47"/>
      <x:c r="BS228" s="60"/>
      <x:c r="BT228" s="58">
        <x:f>(($O228*BR228)/100)+(BS228*12)</x:f>
      </x:c>
      <x:c r="BU228" s="47"/>
      <x:c r="BV228" s="60"/>
      <x:c r="BW228" s="58">
        <x:f>(($O228*BU228)/100)+(BV228*12)</x:f>
      </x:c>
      <x:c r="BX228" s="47"/>
      <x:c r="BY228" s="60"/>
      <x:c r="BZ228" s="58">
        <x:f>(($O228*BX228)/100)+(BY228*12)</x:f>
      </x:c>
      <x:c r="CA228" s="47"/>
      <x:c r="CB228" s="60"/>
      <x:c r="CC228" s="58">
        <x:f>(($O228*CA228)/100)+(CB228*12)</x:f>
      </x:c>
      <x:c r="CD228" s="47"/>
      <x:c r="CE228" s="60"/>
      <x:c r="CF228" s="58">
        <x:f>(($O228*CD228)/100)+(CE228*12)</x:f>
      </x:c>
      <x:c r="CG228" s="47"/>
      <x:c r="CH228" s="60"/>
      <x:c r="CI228" s="58">
        <x:f>(($O228*CG228)/100)+(CH228*12)</x:f>
      </x:c>
      <x:c r="CJ228" s="47"/>
      <x:c r="CK228" s="60"/>
      <x:c r="CL228" s="58">
        <x:f>(($O228*CJ228)/100)+(CK228*12)</x:f>
      </x:c>
      <x:c r="CM228" s="47"/>
      <x:c r="CN228" s="60"/>
      <x:c r="CO228" s="58">
        <x:f>(($O228*CM228)/100)+(CN228*12)</x:f>
      </x:c>
      <x:c r="CP228" s="47"/>
      <x:c r="CQ228" s="60"/>
      <x:c r="CR228" s="58">
        <x:f>(($O228*CP228)/100)+(CQ228*12)</x:f>
      </x:c>
      <x:c r="CS228" s="47"/>
      <x:c r="CT228" s="60"/>
      <x:c r="CU228" s="58">
        <x:f>(($O228*CS228)/100)+(CT228*12)</x:f>
      </x:c>
      <x:c r="CV228" s="47"/>
      <x:c r="CW228" s="60"/>
      <x:c r="CX228" s="58"/>
      <x:c r="CY228" s="47"/>
      <x:c r="CZ228" s="60"/>
      <x:c r="DA228" s="58"/>
      <x:c r="DB228" s="47"/>
      <x:c r="DC228" s="60"/>
      <x:c r="DD228" s="58"/>
      <x:c r="DE228" s="47"/>
      <x:c r="DF228" s="60"/>
      <x:c r="DG228" s="58"/>
      <x:c r="DH228" s="47"/>
      <x:c r="DI228" s="60"/>
      <x:c r="DJ228" s="58"/>
      <x:c r="DK228" s="47"/>
      <x:c r="DL228" s="60"/>
      <x:c r="DM228" s="58"/>
      <x:c r="DN228" s="11"/>
      <x:c r="DO228" s="61"/>
      <x:c r="DP228" s="62"/>
      <x:c r="DQ228" s="11"/>
      <x:c r="DR228" s="61"/>
      <x:c r="DS228" s="62"/>
      <x:c r="DT228" s="11"/>
      <x:c r="DU228" s="61"/>
      <x:c r="DV228" s="62"/>
    </x:row>
    <x:row r="229" spans="1:126" x14ac:dyDescent="0.3">
      <x:c r="A229" s="47"/>
      <x:c r="B229" s="70"/>
      <x:c r="C229" s="70"/>
      <x:c r="D229" s="70"/>
      <x:c r="E229" s="70"/>
      <x:c r="F229" s="70"/>
      <x:c r="G229" s="70"/>
      <x:c r="H229" s="70"/>
      <x:c r="I229" s="70"/>
      <x:c r="J229" s="70"/>
      <x:c r="K229" s="190"/>
      <x:c r="L229" s="191"/>
      <x:c r="M229" s="192">
        <x:f>IF(ISERROR(INDEX('Meter Type Data'!$B$2:$E$1165,SUMPRODUCT(--('Meter Type Data'!$B$2:$B$1165&lt;=Analysis!L229)*('Meter Type Data'!$C$2:$C$1165&gt;=Analysis!L229),ROW('Meter Type Data'!$B$2:$B$1165))-1,4))," ",INDEX('Meter Type Data'!$B$2:$E$1165,SUMPRODUCT(--('Meter Type Data'!$B$2:$B$1165&lt;=Analysis!L229)*('Meter Type Data'!$C$2:$C$1165&gt;=Analysis!L229),ROW('Meter Type Data'!$B$2:$B$1165))-1,4))</x:f>
      </x:c>
      <x:c r="N229" s="192">
        <x:f>IF(ISERROR(INDEX('Meter Type Data'!$B$2:$D$1165,SUMPRODUCT(--('Meter Type Data'!$B$2:$B$1165&lt;=Analysis!L229)*('Meter Type Data'!$C$2:$C$1165&gt;=Analysis!L229),ROW('Meter Type Data'!$B$2:$B$1165))-1,3))," ",INDEX('Meter Type Data'!$B$2:$D$1165,SUMPRODUCT(--('Meter Type Data'!$B$2:$B$1165&lt;=Analysis!L229)*('Meter Type Data'!$C$2:$C$1165&gt;=Analysis!L229),ROW('Meter Type Data'!$B$2:$B$1165))-1,3))</x:f>
      </x:c>
      <x:c r="O229" s="69"/>
      <x:c r="P229" s="47"/>
      <x:c r="Q229" s="60"/>
      <x:c r="R229" s="58">
        <x:f>(($O229*P229)/100)+(Q229*12)</x:f>
      </x:c>
      <x:c r="S229" s="59"/>
      <x:c r="T229" s="59"/>
      <x:c r="U229" s="58">
        <x:f>(($O229*S229)/100)+(T229*12)</x:f>
      </x:c>
      <x:c r="V229" s="47"/>
      <x:c r="W229" s="60"/>
      <x:c r="X229" s="58">
        <x:f>(($O229*V229)/100)+(W229*12)</x:f>
      </x:c>
      <x:c r="Y229" s="47"/>
      <x:c r="Z229" s="60"/>
      <x:c r="AA229" s="58">
        <x:f>(($O229*Y229)/100)+(Z229*12)</x:f>
      </x:c>
      <x:c r="AB229" s="47"/>
      <x:c r="AC229" s="60"/>
      <x:c r="AD229" s="58">
        <x:f>(($O229*AB229)/100)+(AC229*12)</x:f>
      </x:c>
      <x:c r="AE229" s="47"/>
      <x:c r="AF229" s="60"/>
      <x:c r="AG229" s="58">
        <x:f>(($O229*AE229)/100)+(AF229*12)</x:f>
      </x:c>
      <x:c r="AH229" s="47"/>
      <x:c r="AI229" s="60"/>
      <x:c r="AJ229" s="58">
        <x:f>(($O229*AH229)/100)+(AI229*12)</x:f>
      </x:c>
      <x:c r="AK229" s="47"/>
      <x:c r="AL229" s="60"/>
      <x:c r="AM229" s="58">
        <x:f>(($O229*AK229)/100)+(AL229*12)</x:f>
      </x:c>
      <x:c r="AN229" s="47"/>
      <x:c r="AO229" s="60"/>
      <x:c r="AP229" s="58">
        <x:f>(($O229*AN229)/100)+(AO229*12)</x:f>
      </x:c>
      <x:c r="AQ229" s="47"/>
      <x:c r="AR229" s="60"/>
      <x:c r="AS229" s="58">
        <x:f>(($O229*AQ229)/100)+(AR229*12)</x:f>
      </x:c>
      <x:c r="AT229" s="47"/>
      <x:c r="AU229" s="60"/>
      <x:c r="AV229" s="58">
        <x:f>(($O229*AT229)/100)+(AU229*12)</x:f>
      </x:c>
      <x:c r="AW229" s="47"/>
      <x:c r="AX229" s="60"/>
      <x:c r="AY229" s="58">
        <x:f>(($O229*AW229)/100)+(AX229*12)</x:f>
      </x:c>
      <x:c r="AZ229" s="47"/>
      <x:c r="BA229" s="60"/>
      <x:c r="BB229" s="58">
        <x:f>(($O229*AZ229)/100)+(BA229*12)</x:f>
      </x:c>
      <x:c r="BC229" s="47"/>
      <x:c r="BD229" s="60"/>
      <x:c r="BE229" s="58">
        <x:f>(($O229*BC229)/100)+(BD229*12)</x:f>
      </x:c>
      <x:c r="BF229" s="47"/>
      <x:c r="BG229" s="60"/>
      <x:c r="BH229" s="58">
        <x:f>(($O229*BF229)/100)+(BG229*12)</x:f>
      </x:c>
      <x:c r="BI229" s="47"/>
      <x:c r="BJ229" s="60"/>
      <x:c r="BK229" s="58">
        <x:f>(($O229*BI229)/100)+(BJ229*12)</x:f>
      </x:c>
      <x:c r="BL229" s="47"/>
      <x:c r="BM229" s="60"/>
      <x:c r="BN229" s="58">
        <x:f>(($O229*BL229)/100)+(BM229*12)</x:f>
      </x:c>
      <x:c r="BO229" s="47"/>
      <x:c r="BP229" s="60"/>
      <x:c r="BQ229" s="58">
        <x:f>(($O229*BO229)/100)+(BP229*12)</x:f>
      </x:c>
      <x:c r="BR229" s="47"/>
      <x:c r="BS229" s="60"/>
      <x:c r="BT229" s="58">
        <x:f>(($O229*BR229)/100)+(BS229*12)</x:f>
      </x:c>
      <x:c r="BU229" s="47"/>
      <x:c r="BV229" s="60"/>
      <x:c r="BW229" s="58">
        <x:f>(($O229*BU229)/100)+(BV229*12)</x:f>
      </x:c>
      <x:c r="BX229" s="47"/>
      <x:c r="BY229" s="60"/>
      <x:c r="BZ229" s="58">
        <x:f>(($O229*BX229)/100)+(BY229*12)</x:f>
      </x:c>
      <x:c r="CA229" s="47"/>
      <x:c r="CB229" s="60"/>
      <x:c r="CC229" s="58">
        <x:f>(($O229*CA229)/100)+(CB229*12)</x:f>
      </x:c>
      <x:c r="CD229" s="47"/>
      <x:c r="CE229" s="60"/>
      <x:c r="CF229" s="58">
        <x:f>(($O229*CD229)/100)+(CE229*12)</x:f>
      </x:c>
      <x:c r="CG229" s="47"/>
      <x:c r="CH229" s="60"/>
      <x:c r="CI229" s="58">
        <x:f>(($O229*CG229)/100)+(CH229*12)</x:f>
      </x:c>
      <x:c r="CJ229" s="47"/>
      <x:c r="CK229" s="60"/>
      <x:c r="CL229" s="58">
        <x:f>(($O229*CJ229)/100)+(CK229*12)</x:f>
      </x:c>
      <x:c r="CM229" s="47"/>
      <x:c r="CN229" s="60"/>
      <x:c r="CO229" s="58">
        <x:f>(($O229*CM229)/100)+(CN229*12)</x:f>
      </x:c>
      <x:c r="CP229" s="47"/>
      <x:c r="CQ229" s="60"/>
      <x:c r="CR229" s="58">
        <x:f>(($O229*CP229)/100)+(CQ229*12)</x:f>
      </x:c>
      <x:c r="CS229" s="47"/>
      <x:c r="CT229" s="60"/>
      <x:c r="CU229" s="58">
        <x:f>(($O229*CS229)/100)+(CT229*12)</x:f>
      </x:c>
      <x:c r="CV229" s="47"/>
      <x:c r="CW229" s="60"/>
      <x:c r="CX229" s="58"/>
      <x:c r="CY229" s="47"/>
      <x:c r="CZ229" s="60"/>
      <x:c r="DA229" s="58"/>
      <x:c r="DB229" s="47"/>
      <x:c r="DC229" s="60"/>
      <x:c r="DD229" s="58"/>
      <x:c r="DE229" s="47"/>
      <x:c r="DF229" s="60"/>
      <x:c r="DG229" s="58"/>
      <x:c r="DH229" s="47"/>
      <x:c r="DI229" s="60"/>
      <x:c r="DJ229" s="58"/>
      <x:c r="DK229" s="47"/>
      <x:c r="DL229" s="60"/>
      <x:c r="DM229" s="58"/>
      <x:c r="DN229" s="11"/>
      <x:c r="DO229" s="61"/>
      <x:c r="DP229" s="62"/>
      <x:c r="DQ229" s="11"/>
      <x:c r="DR229" s="61"/>
      <x:c r="DS229" s="62"/>
      <x:c r="DT229" s="11"/>
      <x:c r="DU229" s="61"/>
      <x:c r="DV229" s="62"/>
    </x:row>
    <x:row r="230" spans="1:126" x14ac:dyDescent="0.3">
      <x:c r="A230" s="47"/>
      <x:c r="B230" s="70"/>
      <x:c r="C230" s="70"/>
      <x:c r="D230" s="70"/>
      <x:c r="E230" s="70"/>
      <x:c r="F230" s="70"/>
      <x:c r="G230" s="70"/>
      <x:c r="H230" s="70"/>
      <x:c r="I230" s="70"/>
      <x:c r="J230" s="70"/>
      <x:c r="K230" s="190"/>
      <x:c r="L230" s="191"/>
      <x:c r="M230" s="192">
        <x:f>IF(ISERROR(INDEX('Meter Type Data'!$B$2:$E$1165,SUMPRODUCT(--('Meter Type Data'!$B$2:$B$1165&lt;=Analysis!L230)*('Meter Type Data'!$C$2:$C$1165&gt;=Analysis!L230),ROW('Meter Type Data'!$B$2:$B$1165))-1,4))," ",INDEX('Meter Type Data'!$B$2:$E$1165,SUMPRODUCT(--('Meter Type Data'!$B$2:$B$1165&lt;=Analysis!L230)*('Meter Type Data'!$C$2:$C$1165&gt;=Analysis!L230),ROW('Meter Type Data'!$B$2:$B$1165))-1,4))</x:f>
      </x:c>
      <x:c r="N230" s="192">
        <x:f>IF(ISERROR(INDEX('Meter Type Data'!$B$2:$D$1165,SUMPRODUCT(--('Meter Type Data'!$B$2:$B$1165&lt;=Analysis!L230)*('Meter Type Data'!$C$2:$C$1165&gt;=Analysis!L230),ROW('Meter Type Data'!$B$2:$B$1165))-1,3))," ",INDEX('Meter Type Data'!$B$2:$D$1165,SUMPRODUCT(--('Meter Type Data'!$B$2:$B$1165&lt;=Analysis!L230)*('Meter Type Data'!$C$2:$C$1165&gt;=Analysis!L230),ROW('Meter Type Data'!$B$2:$B$1165))-1,3))</x:f>
      </x:c>
      <x:c r="O230" s="69"/>
      <x:c r="P230" s="47"/>
      <x:c r="Q230" s="60"/>
      <x:c r="R230" s="58">
        <x:f>(($O230*P230)/100)+(Q230*12)</x:f>
      </x:c>
      <x:c r="S230" s="59"/>
      <x:c r="T230" s="59"/>
      <x:c r="U230" s="58">
        <x:f>(($O230*S230)/100)+(T230*12)</x:f>
      </x:c>
      <x:c r="V230" s="47"/>
      <x:c r="W230" s="60"/>
      <x:c r="X230" s="58">
        <x:f>(($O230*V230)/100)+(W230*12)</x:f>
      </x:c>
      <x:c r="Y230" s="47"/>
      <x:c r="Z230" s="60"/>
      <x:c r="AA230" s="58">
        <x:f>(($O230*Y230)/100)+(Z230*12)</x:f>
      </x:c>
      <x:c r="AB230" s="47"/>
      <x:c r="AC230" s="60"/>
      <x:c r="AD230" s="58">
        <x:f>(($O230*AB230)/100)+(AC230*12)</x:f>
      </x:c>
      <x:c r="AE230" s="47"/>
      <x:c r="AF230" s="60"/>
      <x:c r="AG230" s="58">
        <x:f>(($O230*AE230)/100)+(AF230*12)</x:f>
      </x:c>
      <x:c r="AH230" s="47"/>
      <x:c r="AI230" s="60"/>
      <x:c r="AJ230" s="58">
        <x:f>(($O230*AH230)/100)+(AI230*12)</x:f>
      </x:c>
      <x:c r="AK230" s="47"/>
      <x:c r="AL230" s="60"/>
      <x:c r="AM230" s="58">
        <x:f>(($O230*AK230)/100)+(AL230*12)</x:f>
      </x:c>
      <x:c r="AN230" s="47"/>
      <x:c r="AO230" s="60"/>
      <x:c r="AP230" s="58">
        <x:f>(($O230*AN230)/100)+(AO230*12)</x:f>
      </x:c>
      <x:c r="AQ230" s="47"/>
      <x:c r="AR230" s="60"/>
      <x:c r="AS230" s="58">
        <x:f>(($O230*AQ230)/100)+(AR230*12)</x:f>
      </x:c>
      <x:c r="AT230" s="47"/>
      <x:c r="AU230" s="60"/>
      <x:c r="AV230" s="58">
        <x:f>(($O230*AT230)/100)+(AU230*12)</x:f>
      </x:c>
      <x:c r="AW230" s="47"/>
      <x:c r="AX230" s="60"/>
      <x:c r="AY230" s="58">
        <x:f>(($O230*AW230)/100)+(AX230*12)</x:f>
      </x:c>
      <x:c r="AZ230" s="47"/>
      <x:c r="BA230" s="60"/>
      <x:c r="BB230" s="58">
        <x:f>(($O230*AZ230)/100)+(BA230*12)</x:f>
      </x:c>
      <x:c r="BC230" s="47"/>
      <x:c r="BD230" s="60"/>
      <x:c r="BE230" s="58">
        <x:f>(($O230*BC230)/100)+(BD230*12)</x:f>
      </x:c>
      <x:c r="BF230" s="47"/>
      <x:c r="BG230" s="60"/>
      <x:c r="BH230" s="58">
        <x:f>(($O230*BF230)/100)+(BG230*12)</x:f>
      </x:c>
      <x:c r="BI230" s="47"/>
      <x:c r="BJ230" s="60"/>
      <x:c r="BK230" s="58">
        <x:f>(($O230*BI230)/100)+(BJ230*12)</x:f>
      </x:c>
      <x:c r="BL230" s="47"/>
      <x:c r="BM230" s="60"/>
      <x:c r="BN230" s="58">
        <x:f>(($O230*BL230)/100)+(BM230*12)</x:f>
      </x:c>
      <x:c r="BO230" s="47"/>
      <x:c r="BP230" s="60"/>
      <x:c r="BQ230" s="58">
        <x:f>(($O230*BO230)/100)+(BP230*12)</x:f>
      </x:c>
      <x:c r="BR230" s="47"/>
      <x:c r="BS230" s="60"/>
      <x:c r="BT230" s="58">
        <x:f>(($O230*BR230)/100)+(BS230*12)</x:f>
      </x:c>
      <x:c r="BU230" s="47"/>
      <x:c r="BV230" s="60"/>
      <x:c r="BW230" s="58">
        <x:f>(($O230*BU230)/100)+(BV230*12)</x:f>
      </x:c>
      <x:c r="BX230" s="47"/>
      <x:c r="BY230" s="60"/>
      <x:c r="BZ230" s="58">
        <x:f>(($O230*BX230)/100)+(BY230*12)</x:f>
      </x:c>
      <x:c r="CA230" s="47"/>
      <x:c r="CB230" s="60"/>
      <x:c r="CC230" s="58">
        <x:f>(($O230*CA230)/100)+(CB230*12)</x:f>
      </x:c>
      <x:c r="CD230" s="47"/>
      <x:c r="CE230" s="60"/>
      <x:c r="CF230" s="58">
        <x:f>(($O230*CD230)/100)+(CE230*12)</x:f>
      </x:c>
      <x:c r="CG230" s="47"/>
      <x:c r="CH230" s="60"/>
      <x:c r="CI230" s="58">
        <x:f>(($O230*CG230)/100)+(CH230*12)</x:f>
      </x:c>
      <x:c r="CJ230" s="47"/>
      <x:c r="CK230" s="60"/>
      <x:c r="CL230" s="58">
        <x:f>(($O230*CJ230)/100)+(CK230*12)</x:f>
      </x:c>
      <x:c r="CM230" s="47"/>
      <x:c r="CN230" s="60"/>
      <x:c r="CO230" s="58">
        <x:f>(($O230*CM230)/100)+(CN230*12)</x:f>
      </x:c>
      <x:c r="CP230" s="47"/>
      <x:c r="CQ230" s="60"/>
      <x:c r="CR230" s="58">
        <x:f>(($O230*CP230)/100)+(CQ230*12)</x:f>
      </x:c>
      <x:c r="CS230" s="47"/>
      <x:c r="CT230" s="60"/>
      <x:c r="CU230" s="58">
        <x:f>(($O230*CS230)/100)+(CT230*12)</x:f>
      </x:c>
      <x:c r="CV230" s="47"/>
      <x:c r="CW230" s="60"/>
      <x:c r="CX230" s="58"/>
      <x:c r="CY230" s="47"/>
      <x:c r="CZ230" s="60"/>
      <x:c r="DA230" s="58"/>
      <x:c r="DB230" s="47"/>
      <x:c r="DC230" s="60"/>
      <x:c r="DD230" s="58"/>
      <x:c r="DE230" s="47"/>
      <x:c r="DF230" s="60"/>
      <x:c r="DG230" s="58"/>
      <x:c r="DH230" s="47"/>
      <x:c r="DI230" s="60"/>
      <x:c r="DJ230" s="58"/>
      <x:c r="DK230" s="47"/>
      <x:c r="DL230" s="60"/>
      <x:c r="DM230" s="58"/>
      <x:c r="DN230" s="11"/>
      <x:c r="DO230" s="61"/>
      <x:c r="DP230" s="62"/>
      <x:c r="DQ230" s="11"/>
      <x:c r="DR230" s="61"/>
      <x:c r="DS230" s="62"/>
      <x:c r="DT230" s="11"/>
      <x:c r="DU230" s="61"/>
      <x:c r="DV230" s="62"/>
    </x:row>
    <x:row r="231" spans="1:126" x14ac:dyDescent="0.3">
      <x:c r="A231" s="47"/>
      <x:c r="B231" s="70"/>
      <x:c r="C231" s="70"/>
      <x:c r="D231" s="70"/>
      <x:c r="E231" s="70"/>
      <x:c r="F231" s="70"/>
      <x:c r="G231" s="70"/>
      <x:c r="H231" s="70"/>
      <x:c r="I231" s="70"/>
      <x:c r="J231" s="70"/>
      <x:c r="K231" s="190"/>
      <x:c r="L231" s="191"/>
      <x:c r="M231" s="192">
        <x:f>IF(ISERROR(INDEX('Meter Type Data'!$B$2:$E$1165,SUMPRODUCT(--('Meter Type Data'!$B$2:$B$1165&lt;=Analysis!L231)*('Meter Type Data'!$C$2:$C$1165&gt;=Analysis!L231),ROW('Meter Type Data'!$B$2:$B$1165))-1,4))," ",INDEX('Meter Type Data'!$B$2:$E$1165,SUMPRODUCT(--('Meter Type Data'!$B$2:$B$1165&lt;=Analysis!L231)*('Meter Type Data'!$C$2:$C$1165&gt;=Analysis!L231),ROW('Meter Type Data'!$B$2:$B$1165))-1,4))</x:f>
      </x:c>
      <x:c r="N231" s="192">
        <x:f>IF(ISERROR(INDEX('Meter Type Data'!$B$2:$D$1165,SUMPRODUCT(--('Meter Type Data'!$B$2:$B$1165&lt;=Analysis!L231)*('Meter Type Data'!$C$2:$C$1165&gt;=Analysis!L231),ROW('Meter Type Data'!$B$2:$B$1165))-1,3))," ",INDEX('Meter Type Data'!$B$2:$D$1165,SUMPRODUCT(--('Meter Type Data'!$B$2:$B$1165&lt;=Analysis!L231)*('Meter Type Data'!$C$2:$C$1165&gt;=Analysis!L231),ROW('Meter Type Data'!$B$2:$B$1165))-1,3))</x:f>
      </x:c>
      <x:c r="O231" s="69"/>
      <x:c r="P231" s="47"/>
      <x:c r="Q231" s="60"/>
      <x:c r="R231" s="58">
        <x:f>(($O231*P231)/100)+(Q231*12)</x:f>
      </x:c>
      <x:c r="S231" s="59"/>
      <x:c r="T231" s="59"/>
      <x:c r="U231" s="58">
        <x:f>(($O231*S231)/100)+(T231*12)</x:f>
      </x:c>
      <x:c r="V231" s="47"/>
      <x:c r="W231" s="60"/>
      <x:c r="X231" s="58">
        <x:f>(($O231*V231)/100)+(W231*12)</x:f>
      </x:c>
      <x:c r="Y231" s="47"/>
      <x:c r="Z231" s="60"/>
      <x:c r="AA231" s="58">
        <x:f>(($O231*Y231)/100)+(Z231*12)</x:f>
      </x:c>
      <x:c r="AB231" s="47"/>
      <x:c r="AC231" s="60"/>
      <x:c r="AD231" s="58">
        <x:f>(($O231*AB231)/100)+(AC231*12)</x:f>
      </x:c>
      <x:c r="AE231" s="47"/>
      <x:c r="AF231" s="60"/>
      <x:c r="AG231" s="58">
        <x:f>(($O231*AE231)/100)+(AF231*12)</x:f>
      </x:c>
      <x:c r="AH231" s="47"/>
      <x:c r="AI231" s="60"/>
      <x:c r="AJ231" s="58">
        <x:f>(($O231*AH231)/100)+(AI231*12)</x:f>
      </x:c>
      <x:c r="AK231" s="47"/>
      <x:c r="AL231" s="60"/>
      <x:c r="AM231" s="58">
        <x:f>(($O231*AK231)/100)+(AL231*12)</x:f>
      </x:c>
      <x:c r="AN231" s="47"/>
      <x:c r="AO231" s="60"/>
      <x:c r="AP231" s="58">
        <x:f>(($O231*AN231)/100)+(AO231*12)</x:f>
      </x:c>
      <x:c r="AQ231" s="47"/>
      <x:c r="AR231" s="60"/>
      <x:c r="AS231" s="58">
        <x:f>(($O231*AQ231)/100)+(AR231*12)</x:f>
      </x:c>
      <x:c r="AT231" s="47"/>
      <x:c r="AU231" s="60"/>
      <x:c r="AV231" s="58">
        <x:f>(($O231*AT231)/100)+(AU231*12)</x:f>
      </x:c>
      <x:c r="AW231" s="47"/>
      <x:c r="AX231" s="60"/>
      <x:c r="AY231" s="58">
        <x:f>(($O231*AW231)/100)+(AX231*12)</x:f>
      </x:c>
      <x:c r="AZ231" s="47"/>
      <x:c r="BA231" s="60"/>
      <x:c r="BB231" s="58">
        <x:f>(($O231*AZ231)/100)+(BA231*12)</x:f>
      </x:c>
      <x:c r="BC231" s="47"/>
      <x:c r="BD231" s="60"/>
      <x:c r="BE231" s="58">
        <x:f>(($O231*BC231)/100)+(BD231*12)</x:f>
      </x:c>
      <x:c r="BF231" s="47"/>
      <x:c r="BG231" s="60"/>
      <x:c r="BH231" s="58">
        <x:f>(($O231*BF231)/100)+(BG231*12)</x:f>
      </x:c>
      <x:c r="BI231" s="47"/>
      <x:c r="BJ231" s="60"/>
      <x:c r="BK231" s="58">
        <x:f>(($O231*BI231)/100)+(BJ231*12)</x:f>
      </x:c>
      <x:c r="BL231" s="47"/>
      <x:c r="BM231" s="60"/>
      <x:c r="BN231" s="58">
        <x:f>(($O231*BL231)/100)+(BM231*12)</x:f>
      </x:c>
      <x:c r="BO231" s="47"/>
      <x:c r="BP231" s="60"/>
      <x:c r="BQ231" s="58">
        <x:f>(($O231*BO231)/100)+(BP231*12)</x:f>
      </x:c>
      <x:c r="BR231" s="47"/>
      <x:c r="BS231" s="60"/>
      <x:c r="BT231" s="58">
        <x:f>(($O231*BR231)/100)+(BS231*12)</x:f>
      </x:c>
      <x:c r="BU231" s="47"/>
      <x:c r="BV231" s="60"/>
      <x:c r="BW231" s="58">
        <x:f>(($O231*BU231)/100)+(BV231*12)</x:f>
      </x:c>
      <x:c r="BX231" s="47"/>
      <x:c r="BY231" s="60"/>
      <x:c r="BZ231" s="58">
        <x:f>(($O231*BX231)/100)+(BY231*12)</x:f>
      </x:c>
      <x:c r="CA231" s="47"/>
      <x:c r="CB231" s="60"/>
      <x:c r="CC231" s="58">
        <x:f>(($O231*CA231)/100)+(CB231*12)</x:f>
      </x:c>
      <x:c r="CD231" s="47"/>
      <x:c r="CE231" s="60"/>
      <x:c r="CF231" s="58">
        <x:f>(($O231*CD231)/100)+(CE231*12)</x:f>
      </x:c>
      <x:c r="CG231" s="47"/>
      <x:c r="CH231" s="60"/>
      <x:c r="CI231" s="58">
        <x:f>(($O231*CG231)/100)+(CH231*12)</x:f>
      </x:c>
      <x:c r="CJ231" s="47"/>
      <x:c r="CK231" s="60"/>
      <x:c r="CL231" s="58">
        <x:f>(($O231*CJ231)/100)+(CK231*12)</x:f>
      </x:c>
      <x:c r="CM231" s="47"/>
      <x:c r="CN231" s="60"/>
      <x:c r="CO231" s="58">
        <x:f>(($O231*CM231)/100)+(CN231*12)</x:f>
      </x:c>
      <x:c r="CP231" s="47"/>
      <x:c r="CQ231" s="60"/>
      <x:c r="CR231" s="58">
        <x:f>(($O231*CP231)/100)+(CQ231*12)</x:f>
      </x:c>
      <x:c r="CS231" s="47"/>
      <x:c r="CT231" s="60"/>
      <x:c r="CU231" s="58">
        <x:f>(($O231*CS231)/100)+(CT231*12)</x:f>
      </x:c>
      <x:c r="CV231" s="47"/>
      <x:c r="CW231" s="60"/>
      <x:c r="CX231" s="58"/>
      <x:c r="CY231" s="47"/>
      <x:c r="CZ231" s="60"/>
      <x:c r="DA231" s="58"/>
      <x:c r="DB231" s="47"/>
      <x:c r="DC231" s="60"/>
      <x:c r="DD231" s="58"/>
      <x:c r="DE231" s="47"/>
      <x:c r="DF231" s="60"/>
      <x:c r="DG231" s="58"/>
      <x:c r="DH231" s="47"/>
      <x:c r="DI231" s="60"/>
      <x:c r="DJ231" s="58"/>
      <x:c r="DK231" s="47"/>
      <x:c r="DL231" s="60"/>
      <x:c r="DM231" s="58"/>
      <x:c r="DN231" s="11"/>
      <x:c r="DO231" s="61"/>
      <x:c r="DP231" s="62"/>
      <x:c r="DQ231" s="11"/>
      <x:c r="DR231" s="61"/>
      <x:c r="DS231" s="62"/>
      <x:c r="DT231" s="11"/>
      <x:c r="DU231" s="61"/>
      <x:c r="DV231" s="62"/>
    </x:row>
    <x:row r="232" spans="1:126" x14ac:dyDescent="0.3">
      <x:c r="A232" s="47"/>
      <x:c r="B232" s="70"/>
      <x:c r="C232" s="70"/>
      <x:c r="D232" s="70"/>
      <x:c r="E232" s="70"/>
      <x:c r="F232" s="70"/>
      <x:c r="G232" s="70"/>
      <x:c r="H232" s="70"/>
      <x:c r="I232" s="70"/>
      <x:c r="J232" s="70"/>
      <x:c r="K232" s="190"/>
      <x:c r="L232" s="191"/>
      <x:c r="M232" s="192">
        <x:f>IF(ISERROR(INDEX('Meter Type Data'!$B$2:$E$1165,SUMPRODUCT(--('Meter Type Data'!$B$2:$B$1165&lt;=Analysis!L232)*('Meter Type Data'!$C$2:$C$1165&gt;=Analysis!L232),ROW('Meter Type Data'!$B$2:$B$1165))-1,4))," ",INDEX('Meter Type Data'!$B$2:$E$1165,SUMPRODUCT(--('Meter Type Data'!$B$2:$B$1165&lt;=Analysis!L232)*('Meter Type Data'!$C$2:$C$1165&gt;=Analysis!L232),ROW('Meter Type Data'!$B$2:$B$1165))-1,4))</x:f>
      </x:c>
      <x:c r="N232" s="192">
        <x:f>IF(ISERROR(INDEX('Meter Type Data'!$B$2:$D$1165,SUMPRODUCT(--('Meter Type Data'!$B$2:$B$1165&lt;=Analysis!L232)*('Meter Type Data'!$C$2:$C$1165&gt;=Analysis!L232),ROW('Meter Type Data'!$B$2:$B$1165))-1,3))," ",INDEX('Meter Type Data'!$B$2:$D$1165,SUMPRODUCT(--('Meter Type Data'!$B$2:$B$1165&lt;=Analysis!L232)*('Meter Type Data'!$C$2:$C$1165&gt;=Analysis!L232),ROW('Meter Type Data'!$B$2:$B$1165))-1,3))</x:f>
      </x:c>
      <x:c r="O232" s="69"/>
      <x:c r="P232" s="47"/>
      <x:c r="Q232" s="60"/>
      <x:c r="R232" s="58">
        <x:f>(($O232*P232)/100)+(Q232*12)</x:f>
      </x:c>
      <x:c r="S232" s="59"/>
      <x:c r="T232" s="59"/>
      <x:c r="U232" s="58">
        <x:f>(($O232*S232)/100)+(T232*12)</x:f>
      </x:c>
      <x:c r="V232" s="47"/>
      <x:c r="W232" s="60"/>
      <x:c r="X232" s="58">
        <x:f>(($O232*V232)/100)+(W232*12)</x:f>
      </x:c>
      <x:c r="Y232" s="47"/>
      <x:c r="Z232" s="60"/>
      <x:c r="AA232" s="58">
        <x:f>(($O232*Y232)/100)+(Z232*12)</x:f>
      </x:c>
      <x:c r="AB232" s="47"/>
      <x:c r="AC232" s="60"/>
      <x:c r="AD232" s="58">
        <x:f>(($O232*AB232)/100)+(AC232*12)</x:f>
      </x:c>
      <x:c r="AE232" s="47"/>
      <x:c r="AF232" s="60"/>
      <x:c r="AG232" s="58">
        <x:f>(($O232*AE232)/100)+(AF232*12)</x:f>
      </x:c>
      <x:c r="AH232" s="47"/>
      <x:c r="AI232" s="60"/>
      <x:c r="AJ232" s="58">
        <x:f>(($O232*AH232)/100)+(AI232*12)</x:f>
      </x:c>
      <x:c r="AK232" s="47"/>
      <x:c r="AL232" s="60"/>
      <x:c r="AM232" s="58">
        <x:f>(($O232*AK232)/100)+(AL232*12)</x:f>
      </x:c>
      <x:c r="AN232" s="47"/>
      <x:c r="AO232" s="60"/>
      <x:c r="AP232" s="58">
        <x:f>(($O232*AN232)/100)+(AO232*12)</x:f>
      </x:c>
      <x:c r="AQ232" s="47"/>
      <x:c r="AR232" s="60"/>
      <x:c r="AS232" s="58">
        <x:f>(($O232*AQ232)/100)+(AR232*12)</x:f>
      </x:c>
      <x:c r="AT232" s="47"/>
      <x:c r="AU232" s="60"/>
      <x:c r="AV232" s="58">
        <x:f>(($O232*AT232)/100)+(AU232*12)</x:f>
      </x:c>
      <x:c r="AW232" s="47"/>
      <x:c r="AX232" s="60"/>
      <x:c r="AY232" s="58">
        <x:f>(($O232*AW232)/100)+(AX232*12)</x:f>
      </x:c>
      <x:c r="AZ232" s="47"/>
      <x:c r="BA232" s="60"/>
      <x:c r="BB232" s="58">
        <x:f>(($O232*AZ232)/100)+(BA232*12)</x:f>
      </x:c>
      <x:c r="BC232" s="47"/>
      <x:c r="BD232" s="60"/>
      <x:c r="BE232" s="58">
        <x:f>(($O232*BC232)/100)+(BD232*12)</x:f>
      </x:c>
      <x:c r="BF232" s="47"/>
      <x:c r="BG232" s="60"/>
      <x:c r="BH232" s="58">
        <x:f>(($O232*BF232)/100)+(BG232*12)</x:f>
      </x:c>
      <x:c r="BI232" s="47"/>
      <x:c r="BJ232" s="60"/>
      <x:c r="BK232" s="58">
        <x:f>(($O232*BI232)/100)+(BJ232*12)</x:f>
      </x:c>
      <x:c r="BL232" s="47"/>
      <x:c r="BM232" s="60"/>
      <x:c r="BN232" s="58">
        <x:f>(($O232*BL232)/100)+(BM232*12)</x:f>
      </x:c>
      <x:c r="BO232" s="47"/>
      <x:c r="BP232" s="60"/>
      <x:c r="BQ232" s="58">
        <x:f>(($O232*BO232)/100)+(BP232*12)</x:f>
      </x:c>
      <x:c r="BR232" s="47"/>
      <x:c r="BS232" s="60"/>
      <x:c r="BT232" s="58">
        <x:f>(($O232*BR232)/100)+(BS232*12)</x:f>
      </x:c>
      <x:c r="BU232" s="47"/>
      <x:c r="BV232" s="60"/>
      <x:c r="BW232" s="58">
        <x:f>(($O232*BU232)/100)+(BV232*12)</x:f>
      </x:c>
      <x:c r="BX232" s="47"/>
      <x:c r="BY232" s="60"/>
      <x:c r="BZ232" s="58">
        <x:f>(($O232*BX232)/100)+(BY232*12)</x:f>
      </x:c>
      <x:c r="CA232" s="47"/>
      <x:c r="CB232" s="60"/>
      <x:c r="CC232" s="58">
        <x:f>(($O232*CA232)/100)+(CB232*12)</x:f>
      </x:c>
      <x:c r="CD232" s="47"/>
      <x:c r="CE232" s="60"/>
      <x:c r="CF232" s="58">
        <x:f>(($O232*CD232)/100)+(CE232*12)</x:f>
      </x:c>
      <x:c r="CG232" s="47"/>
      <x:c r="CH232" s="60"/>
      <x:c r="CI232" s="58">
        <x:f>(($O232*CG232)/100)+(CH232*12)</x:f>
      </x:c>
      <x:c r="CJ232" s="47"/>
      <x:c r="CK232" s="60"/>
      <x:c r="CL232" s="58">
        <x:f>(($O232*CJ232)/100)+(CK232*12)</x:f>
      </x:c>
      <x:c r="CM232" s="47"/>
      <x:c r="CN232" s="60"/>
      <x:c r="CO232" s="58">
        <x:f>(($O232*CM232)/100)+(CN232*12)</x:f>
      </x:c>
      <x:c r="CP232" s="47"/>
      <x:c r="CQ232" s="60"/>
      <x:c r="CR232" s="58">
        <x:f>(($O232*CP232)/100)+(CQ232*12)</x:f>
      </x:c>
      <x:c r="CS232" s="47"/>
      <x:c r="CT232" s="60"/>
      <x:c r="CU232" s="58">
        <x:f>(($O232*CS232)/100)+(CT232*12)</x:f>
      </x:c>
      <x:c r="CV232" s="47"/>
      <x:c r="CW232" s="60"/>
      <x:c r="CX232" s="58"/>
      <x:c r="CY232" s="47"/>
      <x:c r="CZ232" s="60"/>
      <x:c r="DA232" s="58"/>
      <x:c r="DB232" s="47"/>
      <x:c r="DC232" s="60"/>
      <x:c r="DD232" s="58"/>
      <x:c r="DE232" s="47"/>
      <x:c r="DF232" s="60"/>
      <x:c r="DG232" s="58"/>
      <x:c r="DH232" s="47"/>
      <x:c r="DI232" s="60"/>
      <x:c r="DJ232" s="58"/>
      <x:c r="DK232" s="47"/>
      <x:c r="DL232" s="60"/>
      <x:c r="DM232" s="58"/>
      <x:c r="DN232" s="11"/>
      <x:c r="DO232" s="61"/>
      <x:c r="DP232" s="62"/>
      <x:c r="DQ232" s="11"/>
      <x:c r="DR232" s="61"/>
      <x:c r="DS232" s="62"/>
      <x:c r="DT232" s="11"/>
      <x:c r="DU232" s="61"/>
      <x:c r="DV232" s="62"/>
    </x:row>
    <x:row r="233" spans="1:126" x14ac:dyDescent="0.3">
      <x:c r="A233" s="47"/>
      <x:c r="B233" s="70"/>
      <x:c r="C233" s="70"/>
      <x:c r="D233" s="70"/>
      <x:c r="E233" s="70"/>
      <x:c r="F233" s="70"/>
      <x:c r="G233" s="70"/>
      <x:c r="H233" s="70"/>
      <x:c r="I233" s="70"/>
      <x:c r="J233" s="70"/>
      <x:c r="K233" s="190"/>
      <x:c r="L233" s="191"/>
      <x:c r="M233" s="192">
        <x:f>IF(ISERROR(INDEX('Meter Type Data'!$B$2:$E$1165,SUMPRODUCT(--('Meter Type Data'!$B$2:$B$1165&lt;=Analysis!L233)*('Meter Type Data'!$C$2:$C$1165&gt;=Analysis!L233),ROW('Meter Type Data'!$B$2:$B$1165))-1,4))," ",INDEX('Meter Type Data'!$B$2:$E$1165,SUMPRODUCT(--('Meter Type Data'!$B$2:$B$1165&lt;=Analysis!L233)*('Meter Type Data'!$C$2:$C$1165&gt;=Analysis!L233),ROW('Meter Type Data'!$B$2:$B$1165))-1,4))</x:f>
      </x:c>
      <x:c r="N233" s="192">
        <x:f>IF(ISERROR(INDEX('Meter Type Data'!$B$2:$D$1165,SUMPRODUCT(--('Meter Type Data'!$B$2:$B$1165&lt;=Analysis!L233)*('Meter Type Data'!$C$2:$C$1165&gt;=Analysis!L233),ROW('Meter Type Data'!$B$2:$B$1165))-1,3))," ",INDEX('Meter Type Data'!$B$2:$D$1165,SUMPRODUCT(--('Meter Type Data'!$B$2:$B$1165&lt;=Analysis!L233)*('Meter Type Data'!$C$2:$C$1165&gt;=Analysis!L233),ROW('Meter Type Data'!$B$2:$B$1165))-1,3))</x:f>
      </x:c>
      <x:c r="O233" s="69"/>
      <x:c r="P233" s="47"/>
      <x:c r="Q233" s="60"/>
      <x:c r="R233" s="58">
        <x:f>(($O233*P233)/100)+(Q233*12)</x:f>
      </x:c>
      <x:c r="S233" s="59"/>
      <x:c r="T233" s="59"/>
      <x:c r="U233" s="58">
        <x:f>(($O233*S233)/100)+(T233*12)</x:f>
      </x:c>
      <x:c r="V233" s="47"/>
      <x:c r="W233" s="60"/>
      <x:c r="X233" s="58">
        <x:f>(($O233*V233)/100)+(W233*12)</x:f>
      </x:c>
      <x:c r="Y233" s="47"/>
      <x:c r="Z233" s="60"/>
      <x:c r="AA233" s="58">
        <x:f>(($O233*Y233)/100)+(Z233*12)</x:f>
      </x:c>
      <x:c r="AB233" s="47"/>
      <x:c r="AC233" s="60"/>
      <x:c r="AD233" s="58">
        <x:f>(($O233*AB233)/100)+(AC233*12)</x:f>
      </x:c>
      <x:c r="AE233" s="47"/>
      <x:c r="AF233" s="60"/>
      <x:c r="AG233" s="58">
        <x:f>(($O233*AE233)/100)+(AF233*12)</x:f>
      </x:c>
      <x:c r="AH233" s="47"/>
      <x:c r="AI233" s="60"/>
      <x:c r="AJ233" s="58">
        <x:f>(($O233*AH233)/100)+(AI233*12)</x:f>
      </x:c>
      <x:c r="AK233" s="47"/>
      <x:c r="AL233" s="60"/>
      <x:c r="AM233" s="58">
        <x:f>(($O233*AK233)/100)+(AL233*12)</x:f>
      </x:c>
      <x:c r="AN233" s="47"/>
      <x:c r="AO233" s="60"/>
      <x:c r="AP233" s="58">
        <x:f>(($O233*AN233)/100)+(AO233*12)</x:f>
      </x:c>
      <x:c r="AQ233" s="47"/>
      <x:c r="AR233" s="60"/>
      <x:c r="AS233" s="58">
        <x:f>(($O233*AQ233)/100)+(AR233*12)</x:f>
      </x:c>
      <x:c r="AT233" s="47"/>
      <x:c r="AU233" s="60"/>
      <x:c r="AV233" s="58">
        <x:f>(($O233*AT233)/100)+(AU233*12)</x:f>
      </x:c>
      <x:c r="AW233" s="47"/>
      <x:c r="AX233" s="60"/>
      <x:c r="AY233" s="58">
        <x:f>(($O233*AW233)/100)+(AX233*12)</x:f>
      </x:c>
      <x:c r="AZ233" s="47"/>
      <x:c r="BA233" s="60"/>
      <x:c r="BB233" s="58">
        <x:f>(($O233*AZ233)/100)+(BA233*12)</x:f>
      </x:c>
      <x:c r="BC233" s="47"/>
      <x:c r="BD233" s="60"/>
      <x:c r="BE233" s="58">
        <x:f>(($O233*BC233)/100)+(BD233*12)</x:f>
      </x:c>
      <x:c r="BF233" s="47"/>
      <x:c r="BG233" s="60"/>
      <x:c r="BH233" s="58">
        <x:f>(($O233*BF233)/100)+(BG233*12)</x:f>
      </x:c>
      <x:c r="BI233" s="47"/>
      <x:c r="BJ233" s="60"/>
      <x:c r="BK233" s="58">
        <x:f>(($O233*BI233)/100)+(BJ233*12)</x:f>
      </x:c>
      <x:c r="BL233" s="47"/>
      <x:c r="BM233" s="60"/>
      <x:c r="BN233" s="58">
        <x:f>(($O233*BL233)/100)+(BM233*12)</x:f>
      </x:c>
      <x:c r="BO233" s="47"/>
      <x:c r="BP233" s="60"/>
      <x:c r="BQ233" s="58">
        <x:f>(($O233*BO233)/100)+(BP233*12)</x:f>
      </x:c>
      <x:c r="BR233" s="47"/>
      <x:c r="BS233" s="60"/>
      <x:c r="BT233" s="58">
        <x:f>(($O233*BR233)/100)+(BS233*12)</x:f>
      </x:c>
      <x:c r="BU233" s="47"/>
      <x:c r="BV233" s="60"/>
      <x:c r="BW233" s="58">
        <x:f>(($O233*BU233)/100)+(BV233*12)</x:f>
      </x:c>
      <x:c r="BX233" s="47"/>
      <x:c r="BY233" s="60"/>
      <x:c r="BZ233" s="58">
        <x:f>(($O233*BX233)/100)+(BY233*12)</x:f>
      </x:c>
      <x:c r="CA233" s="47"/>
      <x:c r="CB233" s="60"/>
      <x:c r="CC233" s="58">
        <x:f>(($O233*CA233)/100)+(CB233*12)</x:f>
      </x:c>
      <x:c r="CD233" s="47"/>
      <x:c r="CE233" s="60"/>
      <x:c r="CF233" s="58">
        <x:f>(($O233*CD233)/100)+(CE233*12)</x:f>
      </x:c>
      <x:c r="CG233" s="47"/>
      <x:c r="CH233" s="60"/>
      <x:c r="CI233" s="58">
        <x:f>(($O233*CG233)/100)+(CH233*12)</x:f>
      </x:c>
      <x:c r="CJ233" s="47"/>
      <x:c r="CK233" s="60"/>
      <x:c r="CL233" s="58">
        <x:f>(($O233*CJ233)/100)+(CK233*12)</x:f>
      </x:c>
      <x:c r="CM233" s="47"/>
      <x:c r="CN233" s="60"/>
      <x:c r="CO233" s="58">
        <x:f>(($O233*CM233)/100)+(CN233*12)</x:f>
      </x:c>
      <x:c r="CP233" s="47"/>
      <x:c r="CQ233" s="60"/>
      <x:c r="CR233" s="58">
        <x:f>(($O233*CP233)/100)+(CQ233*12)</x:f>
      </x:c>
      <x:c r="CS233" s="47"/>
      <x:c r="CT233" s="60"/>
      <x:c r="CU233" s="58">
        <x:f>(($O233*CS233)/100)+(CT233*12)</x:f>
      </x:c>
      <x:c r="CV233" s="47"/>
      <x:c r="CW233" s="60"/>
      <x:c r="CX233" s="58"/>
      <x:c r="CY233" s="47"/>
      <x:c r="CZ233" s="60"/>
      <x:c r="DA233" s="58"/>
      <x:c r="DB233" s="47"/>
      <x:c r="DC233" s="60"/>
      <x:c r="DD233" s="58"/>
      <x:c r="DE233" s="47"/>
      <x:c r="DF233" s="60"/>
      <x:c r="DG233" s="58"/>
      <x:c r="DH233" s="47"/>
      <x:c r="DI233" s="60"/>
      <x:c r="DJ233" s="58"/>
      <x:c r="DK233" s="47"/>
      <x:c r="DL233" s="60"/>
      <x:c r="DM233" s="58"/>
      <x:c r="DN233" s="11"/>
      <x:c r="DO233" s="61"/>
      <x:c r="DP233" s="62"/>
      <x:c r="DQ233" s="11"/>
      <x:c r="DR233" s="61"/>
      <x:c r="DS233" s="62"/>
      <x:c r="DT233" s="11"/>
      <x:c r="DU233" s="61"/>
      <x:c r="DV233" s="62"/>
    </x:row>
    <x:row r="234" spans="1:126" x14ac:dyDescent="0.3">
      <x:c r="A234" s="47"/>
      <x:c r="B234" s="70"/>
      <x:c r="C234" s="70"/>
      <x:c r="D234" s="70"/>
      <x:c r="E234" s="70"/>
      <x:c r="F234" s="70"/>
      <x:c r="G234" s="70"/>
      <x:c r="H234" s="70"/>
      <x:c r="I234" s="70"/>
      <x:c r="J234" s="70"/>
      <x:c r="K234" s="190"/>
      <x:c r="L234" s="191"/>
      <x:c r="M234" s="192">
        <x:f>IF(ISERROR(INDEX('Meter Type Data'!$B$2:$E$1165,SUMPRODUCT(--('Meter Type Data'!$B$2:$B$1165&lt;=Analysis!L234)*('Meter Type Data'!$C$2:$C$1165&gt;=Analysis!L234),ROW('Meter Type Data'!$B$2:$B$1165))-1,4))," ",INDEX('Meter Type Data'!$B$2:$E$1165,SUMPRODUCT(--('Meter Type Data'!$B$2:$B$1165&lt;=Analysis!L234)*('Meter Type Data'!$C$2:$C$1165&gt;=Analysis!L234),ROW('Meter Type Data'!$B$2:$B$1165))-1,4))</x:f>
      </x:c>
      <x:c r="N234" s="192">
        <x:f>IF(ISERROR(INDEX('Meter Type Data'!$B$2:$D$1165,SUMPRODUCT(--('Meter Type Data'!$B$2:$B$1165&lt;=Analysis!L234)*('Meter Type Data'!$C$2:$C$1165&gt;=Analysis!L234),ROW('Meter Type Data'!$B$2:$B$1165))-1,3))," ",INDEX('Meter Type Data'!$B$2:$D$1165,SUMPRODUCT(--('Meter Type Data'!$B$2:$B$1165&lt;=Analysis!L234)*('Meter Type Data'!$C$2:$C$1165&gt;=Analysis!L234),ROW('Meter Type Data'!$B$2:$B$1165))-1,3))</x:f>
      </x:c>
      <x:c r="O234" s="69"/>
      <x:c r="P234" s="47"/>
      <x:c r="Q234" s="60"/>
      <x:c r="R234" s="58">
        <x:f>(($O234*P234)/100)+(Q234*12)</x:f>
      </x:c>
      <x:c r="S234" s="59"/>
      <x:c r="T234" s="59"/>
      <x:c r="U234" s="58">
        <x:f>(($O234*S234)/100)+(T234*12)</x:f>
      </x:c>
      <x:c r="V234" s="47"/>
      <x:c r="W234" s="60"/>
      <x:c r="X234" s="58">
        <x:f>(($O234*V234)/100)+(W234*12)</x:f>
      </x:c>
      <x:c r="Y234" s="47"/>
      <x:c r="Z234" s="60"/>
      <x:c r="AA234" s="58">
        <x:f>(($O234*Y234)/100)+(Z234*12)</x:f>
      </x:c>
      <x:c r="AB234" s="47"/>
      <x:c r="AC234" s="60"/>
      <x:c r="AD234" s="58">
        <x:f>(($O234*AB234)/100)+(AC234*12)</x:f>
      </x:c>
      <x:c r="AE234" s="47"/>
      <x:c r="AF234" s="60"/>
      <x:c r="AG234" s="58">
        <x:f>(($O234*AE234)/100)+(AF234*12)</x:f>
      </x:c>
      <x:c r="AH234" s="47"/>
      <x:c r="AI234" s="60"/>
      <x:c r="AJ234" s="58">
        <x:f>(($O234*AH234)/100)+(AI234*12)</x:f>
      </x:c>
      <x:c r="AK234" s="47"/>
      <x:c r="AL234" s="60"/>
      <x:c r="AM234" s="58">
        <x:f>(($O234*AK234)/100)+(AL234*12)</x:f>
      </x:c>
      <x:c r="AN234" s="47"/>
      <x:c r="AO234" s="60"/>
      <x:c r="AP234" s="58">
        <x:f>(($O234*AN234)/100)+(AO234*12)</x:f>
      </x:c>
      <x:c r="AQ234" s="47"/>
      <x:c r="AR234" s="60"/>
      <x:c r="AS234" s="58">
        <x:f>(($O234*AQ234)/100)+(AR234*12)</x:f>
      </x:c>
      <x:c r="AT234" s="47"/>
      <x:c r="AU234" s="60"/>
      <x:c r="AV234" s="58">
        <x:f>(($O234*AT234)/100)+(AU234*12)</x:f>
      </x:c>
      <x:c r="AW234" s="47"/>
      <x:c r="AX234" s="60"/>
      <x:c r="AY234" s="58">
        <x:f>(($O234*AW234)/100)+(AX234*12)</x:f>
      </x:c>
      <x:c r="AZ234" s="47"/>
      <x:c r="BA234" s="60"/>
      <x:c r="BB234" s="58">
        <x:f>(($O234*AZ234)/100)+(BA234*12)</x:f>
      </x:c>
      <x:c r="BC234" s="47"/>
      <x:c r="BD234" s="60"/>
      <x:c r="BE234" s="58">
        <x:f>(($O234*BC234)/100)+(BD234*12)</x:f>
      </x:c>
      <x:c r="BF234" s="47"/>
      <x:c r="BG234" s="60"/>
      <x:c r="BH234" s="58">
        <x:f>(($O234*BF234)/100)+(BG234*12)</x:f>
      </x:c>
      <x:c r="BI234" s="47"/>
      <x:c r="BJ234" s="60"/>
      <x:c r="BK234" s="58">
        <x:f>(($O234*BI234)/100)+(BJ234*12)</x:f>
      </x:c>
      <x:c r="BL234" s="47"/>
      <x:c r="BM234" s="60"/>
      <x:c r="BN234" s="58">
        <x:f>(($O234*BL234)/100)+(BM234*12)</x:f>
      </x:c>
      <x:c r="BO234" s="47"/>
      <x:c r="BP234" s="60"/>
      <x:c r="BQ234" s="58">
        <x:f>(($O234*BO234)/100)+(BP234*12)</x:f>
      </x:c>
      <x:c r="BR234" s="47"/>
      <x:c r="BS234" s="60"/>
      <x:c r="BT234" s="58">
        <x:f>(($O234*BR234)/100)+(BS234*12)</x:f>
      </x:c>
      <x:c r="BU234" s="47"/>
      <x:c r="BV234" s="60"/>
      <x:c r="BW234" s="58">
        <x:f>(($O234*BU234)/100)+(BV234*12)</x:f>
      </x:c>
      <x:c r="BX234" s="47"/>
      <x:c r="BY234" s="60"/>
      <x:c r="BZ234" s="58">
        <x:f>(($O234*BX234)/100)+(BY234*12)</x:f>
      </x:c>
      <x:c r="CA234" s="47"/>
      <x:c r="CB234" s="60"/>
      <x:c r="CC234" s="58">
        <x:f>(($O234*CA234)/100)+(CB234*12)</x:f>
      </x:c>
      <x:c r="CD234" s="47"/>
      <x:c r="CE234" s="60"/>
      <x:c r="CF234" s="58">
        <x:f>(($O234*CD234)/100)+(CE234*12)</x:f>
      </x:c>
      <x:c r="CG234" s="47"/>
      <x:c r="CH234" s="60"/>
      <x:c r="CI234" s="58">
        <x:f>(($O234*CG234)/100)+(CH234*12)</x:f>
      </x:c>
      <x:c r="CJ234" s="47"/>
      <x:c r="CK234" s="60"/>
      <x:c r="CL234" s="58">
        <x:f>(($O234*CJ234)/100)+(CK234*12)</x:f>
      </x:c>
      <x:c r="CM234" s="47"/>
      <x:c r="CN234" s="60"/>
      <x:c r="CO234" s="58">
        <x:f>(($O234*CM234)/100)+(CN234*12)</x:f>
      </x:c>
      <x:c r="CP234" s="47"/>
      <x:c r="CQ234" s="60"/>
      <x:c r="CR234" s="58">
        <x:f>(($O234*CP234)/100)+(CQ234*12)</x:f>
      </x:c>
      <x:c r="CS234" s="47"/>
      <x:c r="CT234" s="60"/>
      <x:c r="CU234" s="58">
        <x:f>(($O234*CS234)/100)+(CT234*12)</x:f>
      </x:c>
      <x:c r="CV234" s="47"/>
      <x:c r="CW234" s="60"/>
      <x:c r="CX234" s="58"/>
      <x:c r="CY234" s="47"/>
      <x:c r="CZ234" s="60"/>
      <x:c r="DA234" s="58"/>
      <x:c r="DB234" s="47"/>
      <x:c r="DC234" s="60"/>
      <x:c r="DD234" s="58"/>
      <x:c r="DE234" s="47"/>
      <x:c r="DF234" s="60"/>
      <x:c r="DG234" s="58"/>
      <x:c r="DH234" s="47"/>
      <x:c r="DI234" s="60"/>
      <x:c r="DJ234" s="58"/>
      <x:c r="DK234" s="47"/>
      <x:c r="DL234" s="60"/>
      <x:c r="DM234" s="58"/>
      <x:c r="DN234" s="11"/>
      <x:c r="DO234" s="61"/>
      <x:c r="DP234" s="62"/>
      <x:c r="DQ234" s="11"/>
      <x:c r="DR234" s="61"/>
      <x:c r="DS234" s="62"/>
      <x:c r="DT234" s="11"/>
      <x:c r="DU234" s="61"/>
      <x:c r="DV234" s="62"/>
    </x:row>
    <x:row r="235" spans="1:126" x14ac:dyDescent="0.3">
      <x:c r="A235" s="47"/>
      <x:c r="B235" s="70"/>
      <x:c r="C235" s="70"/>
      <x:c r="D235" s="70"/>
      <x:c r="E235" s="70"/>
      <x:c r="F235" s="70"/>
      <x:c r="G235" s="70"/>
      <x:c r="H235" s="70"/>
      <x:c r="I235" s="70"/>
      <x:c r="J235" s="70"/>
      <x:c r="K235" s="190"/>
      <x:c r="L235" s="191"/>
      <x:c r="M235" s="192">
        <x:f>IF(ISERROR(INDEX('Meter Type Data'!$B$2:$E$1165,SUMPRODUCT(--('Meter Type Data'!$B$2:$B$1165&lt;=Analysis!L235)*('Meter Type Data'!$C$2:$C$1165&gt;=Analysis!L235),ROW('Meter Type Data'!$B$2:$B$1165))-1,4))," ",INDEX('Meter Type Data'!$B$2:$E$1165,SUMPRODUCT(--('Meter Type Data'!$B$2:$B$1165&lt;=Analysis!L235)*('Meter Type Data'!$C$2:$C$1165&gt;=Analysis!L235),ROW('Meter Type Data'!$B$2:$B$1165))-1,4))</x:f>
      </x:c>
      <x:c r="N235" s="192">
        <x:f>IF(ISERROR(INDEX('Meter Type Data'!$B$2:$D$1165,SUMPRODUCT(--('Meter Type Data'!$B$2:$B$1165&lt;=Analysis!L235)*('Meter Type Data'!$C$2:$C$1165&gt;=Analysis!L235),ROW('Meter Type Data'!$B$2:$B$1165))-1,3))," ",INDEX('Meter Type Data'!$B$2:$D$1165,SUMPRODUCT(--('Meter Type Data'!$B$2:$B$1165&lt;=Analysis!L235)*('Meter Type Data'!$C$2:$C$1165&gt;=Analysis!L235),ROW('Meter Type Data'!$B$2:$B$1165))-1,3))</x:f>
      </x:c>
      <x:c r="O235" s="69"/>
      <x:c r="P235" s="47"/>
      <x:c r="Q235" s="60"/>
      <x:c r="R235" s="58">
        <x:f>(($O235*P235)/100)+(Q235*12)</x:f>
      </x:c>
      <x:c r="S235" s="59"/>
      <x:c r="T235" s="59"/>
      <x:c r="U235" s="58">
        <x:f>(($O235*S235)/100)+(T235*12)</x:f>
      </x:c>
      <x:c r="V235" s="47"/>
      <x:c r="W235" s="60"/>
      <x:c r="X235" s="58">
        <x:f>(($O235*V235)/100)+(W235*12)</x:f>
      </x:c>
      <x:c r="Y235" s="47"/>
      <x:c r="Z235" s="60"/>
      <x:c r="AA235" s="58">
        <x:f>(($O235*Y235)/100)+(Z235*12)</x:f>
      </x:c>
      <x:c r="AB235" s="47"/>
      <x:c r="AC235" s="60"/>
      <x:c r="AD235" s="58">
        <x:f>(($O235*AB235)/100)+(AC235*12)</x:f>
      </x:c>
      <x:c r="AE235" s="47"/>
      <x:c r="AF235" s="60"/>
      <x:c r="AG235" s="58">
        <x:f>(($O235*AE235)/100)+(AF235*12)</x:f>
      </x:c>
      <x:c r="AH235" s="47"/>
      <x:c r="AI235" s="60"/>
      <x:c r="AJ235" s="58">
        <x:f>(($O235*AH235)/100)+(AI235*12)</x:f>
      </x:c>
      <x:c r="AK235" s="47"/>
      <x:c r="AL235" s="60"/>
      <x:c r="AM235" s="58">
        <x:f>(($O235*AK235)/100)+(AL235*12)</x:f>
      </x:c>
      <x:c r="AN235" s="47"/>
      <x:c r="AO235" s="60"/>
      <x:c r="AP235" s="58">
        <x:f>(($O235*AN235)/100)+(AO235*12)</x:f>
      </x:c>
      <x:c r="AQ235" s="47"/>
      <x:c r="AR235" s="60"/>
      <x:c r="AS235" s="58">
        <x:f>(($O235*AQ235)/100)+(AR235*12)</x:f>
      </x:c>
      <x:c r="AT235" s="47"/>
      <x:c r="AU235" s="60"/>
      <x:c r="AV235" s="58">
        <x:f>(($O235*AT235)/100)+(AU235*12)</x:f>
      </x:c>
      <x:c r="AW235" s="47"/>
      <x:c r="AX235" s="60"/>
      <x:c r="AY235" s="58">
        <x:f>(($O235*AW235)/100)+(AX235*12)</x:f>
      </x:c>
      <x:c r="AZ235" s="47"/>
      <x:c r="BA235" s="60"/>
      <x:c r="BB235" s="58">
        <x:f>(($O235*AZ235)/100)+(BA235*12)</x:f>
      </x:c>
      <x:c r="BC235" s="47"/>
      <x:c r="BD235" s="60"/>
      <x:c r="BE235" s="58">
        <x:f>(($O235*BC235)/100)+(BD235*12)</x:f>
      </x:c>
      <x:c r="BF235" s="47"/>
      <x:c r="BG235" s="60"/>
      <x:c r="BH235" s="58">
        <x:f>(($O235*BF235)/100)+(BG235*12)</x:f>
      </x:c>
      <x:c r="BI235" s="47"/>
      <x:c r="BJ235" s="60"/>
      <x:c r="BK235" s="58">
        <x:f>(($O235*BI235)/100)+(BJ235*12)</x:f>
      </x:c>
      <x:c r="BL235" s="47"/>
      <x:c r="BM235" s="60"/>
      <x:c r="BN235" s="58">
        <x:f>(($O235*BL235)/100)+(BM235*12)</x:f>
      </x:c>
      <x:c r="BO235" s="47"/>
      <x:c r="BP235" s="60"/>
      <x:c r="BQ235" s="58">
        <x:f>(($O235*BO235)/100)+(BP235*12)</x:f>
      </x:c>
      <x:c r="BR235" s="47"/>
      <x:c r="BS235" s="60"/>
      <x:c r="BT235" s="58">
        <x:f>(($O235*BR235)/100)+(BS235*12)</x:f>
      </x:c>
      <x:c r="BU235" s="47"/>
      <x:c r="BV235" s="60"/>
      <x:c r="BW235" s="58">
        <x:f>(($O235*BU235)/100)+(BV235*12)</x:f>
      </x:c>
      <x:c r="BX235" s="47"/>
      <x:c r="BY235" s="60"/>
      <x:c r="BZ235" s="58">
        <x:f>(($O235*BX235)/100)+(BY235*12)</x:f>
      </x:c>
      <x:c r="CA235" s="47"/>
      <x:c r="CB235" s="60"/>
      <x:c r="CC235" s="58">
        <x:f>(($O235*CA235)/100)+(CB235*12)</x:f>
      </x:c>
      <x:c r="CD235" s="47"/>
      <x:c r="CE235" s="60"/>
      <x:c r="CF235" s="58">
        <x:f>(($O235*CD235)/100)+(CE235*12)</x:f>
      </x:c>
      <x:c r="CG235" s="47"/>
      <x:c r="CH235" s="60"/>
      <x:c r="CI235" s="58">
        <x:f>(($O235*CG235)/100)+(CH235*12)</x:f>
      </x:c>
      <x:c r="CJ235" s="47"/>
      <x:c r="CK235" s="60"/>
      <x:c r="CL235" s="58">
        <x:f>(($O235*CJ235)/100)+(CK235*12)</x:f>
      </x:c>
      <x:c r="CM235" s="47"/>
      <x:c r="CN235" s="60"/>
      <x:c r="CO235" s="58">
        <x:f>(($O235*CM235)/100)+(CN235*12)</x:f>
      </x:c>
      <x:c r="CP235" s="47"/>
      <x:c r="CQ235" s="60"/>
      <x:c r="CR235" s="58">
        <x:f>(($O235*CP235)/100)+(CQ235*12)</x:f>
      </x:c>
      <x:c r="CS235" s="47"/>
      <x:c r="CT235" s="60"/>
      <x:c r="CU235" s="58">
        <x:f>(($O235*CS235)/100)+(CT235*12)</x:f>
      </x:c>
      <x:c r="CV235" s="47"/>
      <x:c r="CW235" s="60"/>
      <x:c r="CX235" s="58"/>
      <x:c r="CY235" s="47"/>
      <x:c r="CZ235" s="60"/>
      <x:c r="DA235" s="58"/>
      <x:c r="DB235" s="47"/>
      <x:c r="DC235" s="60"/>
      <x:c r="DD235" s="58"/>
      <x:c r="DE235" s="47"/>
      <x:c r="DF235" s="60"/>
      <x:c r="DG235" s="58"/>
      <x:c r="DH235" s="47"/>
      <x:c r="DI235" s="60"/>
      <x:c r="DJ235" s="58"/>
      <x:c r="DK235" s="47"/>
      <x:c r="DL235" s="60"/>
      <x:c r="DM235" s="58"/>
      <x:c r="DN235" s="11"/>
      <x:c r="DO235" s="61"/>
      <x:c r="DP235" s="62"/>
      <x:c r="DQ235" s="11"/>
      <x:c r="DR235" s="61"/>
      <x:c r="DS235" s="62"/>
      <x:c r="DT235" s="11"/>
      <x:c r="DU235" s="61"/>
      <x:c r="DV235" s="62"/>
    </x:row>
    <x:row r="236" spans="1:126" x14ac:dyDescent="0.3">
      <x:c r="A236" s="47"/>
      <x:c r="B236" s="70"/>
      <x:c r="C236" s="70"/>
      <x:c r="D236" s="70"/>
      <x:c r="E236" s="70"/>
      <x:c r="F236" s="70"/>
      <x:c r="G236" s="70"/>
      <x:c r="H236" s="70"/>
      <x:c r="I236" s="70"/>
      <x:c r="J236" s="70"/>
      <x:c r="K236" s="190"/>
      <x:c r="L236" s="191"/>
      <x:c r="M236" s="192">
        <x:f>IF(ISERROR(INDEX('Meter Type Data'!$B$2:$E$1165,SUMPRODUCT(--('Meter Type Data'!$B$2:$B$1165&lt;=Analysis!L236)*('Meter Type Data'!$C$2:$C$1165&gt;=Analysis!L236),ROW('Meter Type Data'!$B$2:$B$1165))-1,4))," ",INDEX('Meter Type Data'!$B$2:$E$1165,SUMPRODUCT(--('Meter Type Data'!$B$2:$B$1165&lt;=Analysis!L236)*('Meter Type Data'!$C$2:$C$1165&gt;=Analysis!L236),ROW('Meter Type Data'!$B$2:$B$1165))-1,4))</x:f>
      </x:c>
      <x:c r="N236" s="192">
        <x:f>IF(ISERROR(INDEX('Meter Type Data'!$B$2:$D$1165,SUMPRODUCT(--('Meter Type Data'!$B$2:$B$1165&lt;=Analysis!L236)*('Meter Type Data'!$C$2:$C$1165&gt;=Analysis!L236),ROW('Meter Type Data'!$B$2:$B$1165))-1,3))," ",INDEX('Meter Type Data'!$B$2:$D$1165,SUMPRODUCT(--('Meter Type Data'!$B$2:$B$1165&lt;=Analysis!L236)*('Meter Type Data'!$C$2:$C$1165&gt;=Analysis!L236),ROW('Meter Type Data'!$B$2:$B$1165))-1,3))</x:f>
      </x:c>
      <x:c r="O236" s="69"/>
      <x:c r="P236" s="47"/>
      <x:c r="Q236" s="60"/>
      <x:c r="R236" s="58">
        <x:f>(($O236*P236)/100)+(Q236*12)</x:f>
      </x:c>
      <x:c r="S236" s="59"/>
      <x:c r="T236" s="59"/>
      <x:c r="U236" s="58">
        <x:f>(($O236*S236)/100)+(T236*12)</x:f>
      </x:c>
      <x:c r="V236" s="47"/>
      <x:c r="W236" s="60"/>
      <x:c r="X236" s="58">
        <x:f>(($O236*V236)/100)+(W236*12)</x:f>
      </x:c>
      <x:c r="Y236" s="47"/>
      <x:c r="Z236" s="60"/>
      <x:c r="AA236" s="58">
        <x:f>(($O236*Y236)/100)+(Z236*12)</x:f>
      </x:c>
      <x:c r="AB236" s="47"/>
      <x:c r="AC236" s="60"/>
      <x:c r="AD236" s="58">
        <x:f>(($O236*AB236)/100)+(AC236*12)</x:f>
      </x:c>
      <x:c r="AE236" s="47"/>
      <x:c r="AF236" s="60"/>
      <x:c r="AG236" s="58">
        <x:f>(($O236*AE236)/100)+(AF236*12)</x:f>
      </x:c>
      <x:c r="AH236" s="47"/>
      <x:c r="AI236" s="60"/>
      <x:c r="AJ236" s="58">
        <x:f>(($O236*AH236)/100)+(AI236*12)</x:f>
      </x:c>
      <x:c r="AK236" s="47"/>
      <x:c r="AL236" s="60"/>
      <x:c r="AM236" s="58">
        <x:f>(($O236*AK236)/100)+(AL236*12)</x:f>
      </x:c>
      <x:c r="AN236" s="47"/>
      <x:c r="AO236" s="60"/>
      <x:c r="AP236" s="58">
        <x:f>(($O236*AN236)/100)+(AO236*12)</x:f>
      </x:c>
      <x:c r="AQ236" s="47"/>
      <x:c r="AR236" s="60"/>
      <x:c r="AS236" s="58">
        <x:f>(($O236*AQ236)/100)+(AR236*12)</x:f>
      </x:c>
      <x:c r="AT236" s="47"/>
      <x:c r="AU236" s="60"/>
      <x:c r="AV236" s="58">
        <x:f>(($O236*AT236)/100)+(AU236*12)</x:f>
      </x:c>
      <x:c r="AW236" s="47"/>
      <x:c r="AX236" s="60"/>
      <x:c r="AY236" s="58">
        <x:f>(($O236*AW236)/100)+(AX236*12)</x:f>
      </x:c>
      <x:c r="AZ236" s="47"/>
      <x:c r="BA236" s="60"/>
      <x:c r="BB236" s="58">
        <x:f>(($O236*AZ236)/100)+(BA236*12)</x:f>
      </x:c>
      <x:c r="BC236" s="47"/>
      <x:c r="BD236" s="60"/>
      <x:c r="BE236" s="58">
        <x:f>(($O236*BC236)/100)+(BD236*12)</x:f>
      </x:c>
      <x:c r="BF236" s="47"/>
      <x:c r="BG236" s="60"/>
      <x:c r="BH236" s="58">
        <x:f>(($O236*BF236)/100)+(BG236*12)</x:f>
      </x:c>
      <x:c r="BI236" s="47"/>
      <x:c r="BJ236" s="60"/>
      <x:c r="BK236" s="58">
        <x:f>(($O236*BI236)/100)+(BJ236*12)</x:f>
      </x:c>
      <x:c r="BL236" s="47"/>
      <x:c r="BM236" s="60"/>
      <x:c r="BN236" s="58">
        <x:f>(($O236*BL236)/100)+(BM236*12)</x:f>
      </x:c>
      <x:c r="BO236" s="47"/>
      <x:c r="BP236" s="60"/>
      <x:c r="BQ236" s="58">
        <x:f>(($O236*BO236)/100)+(BP236*12)</x:f>
      </x:c>
      <x:c r="BR236" s="47"/>
      <x:c r="BS236" s="60"/>
      <x:c r="BT236" s="58">
        <x:f>(($O236*BR236)/100)+(BS236*12)</x:f>
      </x:c>
      <x:c r="BU236" s="47"/>
      <x:c r="BV236" s="60"/>
      <x:c r="BW236" s="58">
        <x:f>(($O236*BU236)/100)+(BV236*12)</x:f>
      </x:c>
      <x:c r="BX236" s="47"/>
      <x:c r="BY236" s="60"/>
      <x:c r="BZ236" s="58">
        <x:f>(($O236*BX236)/100)+(BY236*12)</x:f>
      </x:c>
      <x:c r="CA236" s="47"/>
      <x:c r="CB236" s="60"/>
      <x:c r="CC236" s="58">
        <x:f>(($O236*CA236)/100)+(CB236*12)</x:f>
      </x:c>
      <x:c r="CD236" s="47"/>
      <x:c r="CE236" s="60"/>
      <x:c r="CF236" s="58">
        <x:f>(($O236*CD236)/100)+(CE236*12)</x:f>
      </x:c>
      <x:c r="CG236" s="47"/>
      <x:c r="CH236" s="60"/>
      <x:c r="CI236" s="58">
        <x:f>(($O236*CG236)/100)+(CH236*12)</x:f>
      </x:c>
      <x:c r="CJ236" s="47"/>
      <x:c r="CK236" s="60"/>
      <x:c r="CL236" s="58">
        <x:f>(($O236*CJ236)/100)+(CK236*12)</x:f>
      </x:c>
      <x:c r="CM236" s="47"/>
      <x:c r="CN236" s="60"/>
      <x:c r="CO236" s="58">
        <x:f>(($O236*CM236)/100)+(CN236*12)</x:f>
      </x:c>
      <x:c r="CP236" s="47"/>
      <x:c r="CQ236" s="60"/>
      <x:c r="CR236" s="58">
        <x:f>(($O236*CP236)/100)+(CQ236*12)</x:f>
      </x:c>
      <x:c r="CS236" s="47"/>
      <x:c r="CT236" s="60"/>
      <x:c r="CU236" s="58">
        <x:f>(($O236*CS236)/100)+(CT236*12)</x:f>
      </x:c>
      <x:c r="CV236" s="47"/>
      <x:c r="CW236" s="60"/>
      <x:c r="CX236" s="58"/>
      <x:c r="CY236" s="47"/>
      <x:c r="CZ236" s="60"/>
      <x:c r="DA236" s="58"/>
      <x:c r="DB236" s="47"/>
      <x:c r="DC236" s="60"/>
      <x:c r="DD236" s="58"/>
      <x:c r="DE236" s="47"/>
      <x:c r="DF236" s="60"/>
      <x:c r="DG236" s="58"/>
      <x:c r="DH236" s="47"/>
      <x:c r="DI236" s="60"/>
      <x:c r="DJ236" s="58"/>
      <x:c r="DK236" s="47"/>
      <x:c r="DL236" s="60"/>
      <x:c r="DM236" s="58"/>
      <x:c r="DN236" s="11"/>
      <x:c r="DO236" s="61"/>
      <x:c r="DP236" s="62"/>
      <x:c r="DQ236" s="11"/>
      <x:c r="DR236" s="61"/>
      <x:c r="DS236" s="62"/>
      <x:c r="DT236" s="11"/>
      <x:c r="DU236" s="61"/>
      <x:c r="DV236" s="62"/>
    </x:row>
    <x:row r="237" spans="1:126" x14ac:dyDescent="0.3">
      <x:c r="A237" s="47"/>
      <x:c r="B237" s="70"/>
      <x:c r="C237" s="70"/>
      <x:c r="D237" s="70"/>
      <x:c r="E237" s="70"/>
      <x:c r="F237" s="70"/>
      <x:c r="G237" s="70"/>
      <x:c r="H237" s="70"/>
      <x:c r="I237" s="70"/>
      <x:c r="J237" s="70"/>
      <x:c r="K237" s="190"/>
      <x:c r="L237" s="191"/>
      <x:c r="M237" s="192">
        <x:f>IF(ISERROR(INDEX('Meter Type Data'!$B$2:$E$1165,SUMPRODUCT(--('Meter Type Data'!$B$2:$B$1165&lt;=Analysis!L237)*('Meter Type Data'!$C$2:$C$1165&gt;=Analysis!L237),ROW('Meter Type Data'!$B$2:$B$1165))-1,4))," ",INDEX('Meter Type Data'!$B$2:$E$1165,SUMPRODUCT(--('Meter Type Data'!$B$2:$B$1165&lt;=Analysis!L237)*('Meter Type Data'!$C$2:$C$1165&gt;=Analysis!L237),ROW('Meter Type Data'!$B$2:$B$1165))-1,4))</x:f>
      </x:c>
      <x:c r="N237" s="192">
        <x:f>IF(ISERROR(INDEX('Meter Type Data'!$B$2:$D$1165,SUMPRODUCT(--('Meter Type Data'!$B$2:$B$1165&lt;=Analysis!L237)*('Meter Type Data'!$C$2:$C$1165&gt;=Analysis!L237),ROW('Meter Type Data'!$B$2:$B$1165))-1,3))," ",INDEX('Meter Type Data'!$B$2:$D$1165,SUMPRODUCT(--('Meter Type Data'!$B$2:$B$1165&lt;=Analysis!L237)*('Meter Type Data'!$C$2:$C$1165&gt;=Analysis!L237),ROW('Meter Type Data'!$B$2:$B$1165))-1,3))</x:f>
      </x:c>
      <x:c r="O237" s="69"/>
      <x:c r="P237" s="47"/>
      <x:c r="Q237" s="60"/>
      <x:c r="R237" s="58">
        <x:f>(($O237*P237)/100)+(Q237*12)</x:f>
      </x:c>
      <x:c r="S237" s="59"/>
      <x:c r="T237" s="59"/>
      <x:c r="U237" s="58">
        <x:f>(($O237*S237)/100)+(T237*12)</x:f>
      </x:c>
      <x:c r="V237" s="47"/>
      <x:c r="W237" s="60"/>
      <x:c r="X237" s="58">
        <x:f>(($O237*V237)/100)+(W237*12)</x:f>
      </x:c>
      <x:c r="Y237" s="47"/>
      <x:c r="Z237" s="60"/>
      <x:c r="AA237" s="58">
        <x:f>(($O237*Y237)/100)+(Z237*12)</x:f>
      </x:c>
      <x:c r="AB237" s="47"/>
      <x:c r="AC237" s="60"/>
      <x:c r="AD237" s="58">
        <x:f>(($O237*AB237)/100)+(AC237*12)</x:f>
      </x:c>
      <x:c r="AE237" s="47"/>
      <x:c r="AF237" s="60"/>
      <x:c r="AG237" s="58">
        <x:f>(($O237*AE237)/100)+(AF237*12)</x:f>
      </x:c>
      <x:c r="AH237" s="47"/>
      <x:c r="AI237" s="60"/>
      <x:c r="AJ237" s="58">
        <x:f>(($O237*AH237)/100)+(AI237*12)</x:f>
      </x:c>
      <x:c r="AK237" s="47"/>
      <x:c r="AL237" s="60"/>
      <x:c r="AM237" s="58">
        <x:f>(($O237*AK237)/100)+(AL237*12)</x:f>
      </x:c>
      <x:c r="AN237" s="47"/>
      <x:c r="AO237" s="60"/>
      <x:c r="AP237" s="58">
        <x:f>(($O237*AN237)/100)+(AO237*12)</x:f>
      </x:c>
      <x:c r="AQ237" s="47"/>
      <x:c r="AR237" s="60"/>
      <x:c r="AS237" s="58">
        <x:f>(($O237*AQ237)/100)+(AR237*12)</x:f>
      </x:c>
      <x:c r="AT237" s="47"/>
      <x:c r="AU237" s="60"/>
      <x:c r="AV237" s="58">
        <x:f>(($O237*AT237)/100)+(AU237*12)</x:f>
      </x:c>
      <x:c r="AW237" s="47"/>
      <x:c r="AX237" s="60"/>
      <x:c r="AY237" s="58">
        <x:f>(($O237*AW237)/100)+(AX237*12)</x:f>
      </x:c>
      <x:c r="AZ237" s="47"/>
      <x:c r="BA237" s="60"/>
      <x:c r="BB237" s="58">
        <x:f>(($O237*AZ237)/100)+(BA237*12)</x:f>
      </x:c>
      <x:c r="BC237" s="47"/>
      <x:c r="BD237" s="60"/>
      <x:c r="BE237" s="58">
        <x:f>(($O237*BC237)/100)+(BD237*12)</x:f>
      </x:c>
      <x:c r="BF237" s="47"/>
      <x:c r="BG237" s="60"/>
      <x:c r="BH237" s="58">
        <x:f>(($O237*BF237)/100)+(BG237*12)</x:f>
      </x:c>
      <x:c r="BI237" s="47"/>
      <x:c r="BJ237" s="60"/>
      <x:c r="BK237" s="58">
        <x:f>(($O237*BI237)/100)+(BJ237*12)</x:f>
      </x:c>
      <x:c r="BL237" s="47"/>
      <x:c r="BM237" s="60"/>
      <x:c r="BN237" s="58">
        <x:f>(($O237*BL237)/100)+(BM237*12)</x:f>
      </x:c>
      <x:c r="BO237" s="47"/>
      <x:c r="BP237" s="60"/>
      <x:c r="BQ237" s="58">
        <x:f>(($O237*BO237)/100)+(BP237*12)</x:f>
      </x:c>
      <x:c r="BR237" s="47"/>
      <x:c r="BS237" s="60"/>
      <x:c r="BT237" s="58">
        <x:f>(($O237*BR237)/100)+(BS237*12)</x:f>
      </x:c>
      <x:c r="BU237" s="47"/>
      <x:c r="BV237" s="60"/>
      <x:c r="BW237" s="58">
        <x:f>(($O237*BU237)/100)+(BV237*12)</x:f>
      </x:c>
      <x:c r="BX237" s="47"/>
      <x:c r="BY237" s="60"/>
      <x:c r="BZ237" s="58">
        <x:f>(($O237*BX237)/100)+(BY237*12)</x:f>
      </x:c>
      <x:c r="CA237" s="47"/>
      <x:c r="CB237" s="60"/>
      <x:c r="CC237" s="58">
        <x:f>(($O237*CA237)/100)+(CB237*12)</x:f>
      </x:c>
      <x:c r="CD237" s="47"/>
      <x:c r="CE237" s="60"/>
      <x:c r="CF237" s="58">
        <x:f>(($O237*CD237)/100)+(CE237*12)</x:f>
      </x:c>
      <x:c r="CG237" s="47"/>
      <x:c r="CH237" s="60"/>
      <x:c r="CI237" s="58">
        <x:f>(($O237*CG237)/100)+(CH237*12)</x:f>
      </x:c>
      <x:c r="CJ237" s="47"/>
      <x:c r="CK237" s="60"/>
      <x:c r="CL237" s="58">
        <x:f>(($O237*CJ237)/100)+(CK237*12)</x:f>
      </x:c>
      <x:c r="CM237" s="47"/>
      <x:c r="CN237" s="60"/>
      <x:c r="CO237" s="58">
        <x:f>(($O237*CM237)/100)+(CN237*12)</x:f>
      </x:c>
      <x:c r="CP237" s="47"/>
      <x:c r="CQ237" s="60"/>
      <x:c r="CR237" s="58">
        <x:f>(($O237*CP237)/100)+(CQ237*12)</x:f>
      </x:c>
      <x:c r="CS237" s="47"/>
      <x:c r="CT237" s="60"/>
      <x:c r="CU237" s="58">
        <x:f>(($O237*CS237)/100)+(CT237*12)</x:f>
      </x:c>
      <x:c r="CV237" s="47"/>
      <x:c r="CW237" s="60"/>
      <x:c r="CX237" s="58"/>
      <x:c r="CY237" s="47"/>
      <x:c r="CZ237" s="60"/>
      <x:c r="DA237" s="58"/>
      <x:c r="DB237" s="47"/>
      <x:c r="DC237" s="60"/>
      <x:c r="DD237" s="58"/>
      <x:c r="DE237" s="47"/>
      <x:c r="DF237" s="60"/>
      <x:c r="DG237" s="58"/>
      <x:c r="DH237" s="47"/>
      <x:c r="DI237" s="60"/>
      <x:c r="DJ237" s="58"/>
      <x:c r="DK237" s="47"/>
      <x:c r="DL237" s="60"/>
      <x:c r="DM237" s="58"/>
      <x:c r="DN237" s="11"/>
      <x:c r="DO237" s="61"/>
      <x:c r="DP237" s="62"/>
      <x:c r="DQ237" s="11"/>
      <x:c r="DR237" s="61"/>
      <x:c r="DS237" s="62"/>
      <x:c r="DT237" s="11"/>
      <x:c r="DU237" s="61"/>
      <x:c r="DV237" s="62"/>
    </x:row>
    <x:row r="238" spans="1:126" x14ac:dyDescent="0.3">
      <x:c r="A238" s="47"/>
      <x:c r="B238" s="70"/>
      <x:c r="C238" s="70"/>
      <x:c r="D238" s="70"/>
      <x:c r="E238" s="70"/>
      <x:c r="F238" s="70"/>
      <x:c r="G238" s="70"/>
      <x:c r="H238" s="70"/>
      <x:c r="I238" s="70"/>
      <x:c r="J238" s="70"/>
      <x:c r="K238" s="190"/>
      <x:c r="L238" s="191"/>
      <x:c r="M238" s="192">
        <x:f>IF(ISERROR(INDEX('Meter Type Data'!$B$2:$E$1165,SUMPRODUCT(--('Meter Type Data'!$B$2:$B$1165&lt;=Analysis!L238)*('Meter Type Data'!$C$2:$C$1165&gt;=Analysis!L238),ROW('Meter Type Data'!$B$2:$B$1165))-1,4))," ",INDEX('Meter Type Data'!$B$2:$E$1165,SUMPRODUCT(--('Meter Type Data'!$B$2:$B$1165&lt;=Analysis!L238)*('Meter Type Data'!$C$2:$C$1165&gt;=Analysis!L238),ROW('Meter Type Data'!$B$2:$B$1165))-1,4))</x:f>
      </x:c>
      <x:c r="N238" s="192">
        <x:f>IF(ISERROR(INDEX('Meter Type Data'!$B$2:$D$1165,SUMPRODUCT(--('Meter Type Data'!$B$2:$B$1165&lt;=Analysis!L238)*('Meter Type Data'!$C$2:$C$1165&gt;=Analysis!L238),ROW('Meter Type Data'!$B$2:$B$1165))-1,3))," ",INDEX('Meter Type Data'!$B$2:$D$1165,SUMPRODUCT(--('Meter Type Data'!$B$2:$B$1165&lt;=Analysis!L238)*('Meter Type Data'!$C$2:$C$1165&gt;=Analysis!L238),ROW('Meter Type Data'!$B$2:$B$1165))-1,3))</x:f>
      </x:c>
      <x:c r="O238" s="69"/>
      <x:c r="P238" s="47"/>
      <x:c r="Q238" s="60"/>
      <x:c r="R238" s="58">
        <x:f>(($O238*P238)/100)+(Q238*12)</x:f>
      </x:c>
      <x:c r="S238" s="59"/>
      <x:c r="T238" s="59"/>
      <x:c r="U238" s="58">
        <x:f>(($O238*S238)/100)+(T238*12)</x:f>
      </x:c>
      <x:c r="V238" s="47"/>
      <x:c r="W238" s="60"/>
      <x:c r="X238" s="58">
        <x:f>(($O238*V238)/100)+(W238*12)</x:f>
      </x:c>
      <x:c r="Y238" s="47"/>
      <x:c r="Z238" s="60"/>
      <x:c r="AA238" s="58">
        <x:f>(($O238*Y238)/100)+(Z238*12)</x:f>
      </x:c>
      <x:c r="AB238" s="47"/>
      <x:c r="AC238" s="60"/>
      <x:c r="AD238" s="58">
        <x:f>(($O238*AB238)/100)+(AC238*12)</x:f>
      </x:c>
      <x:c r="AE238" s="47"/>
      <x:c r="AF238" s="60"/>
      <x:c r="AG238" s="58">
        <x:f>(($O238*AE238)/100)+(AF238*12)</x:f>
      </x:c>
      <x:c r="AH238" s="47"/>
      <x:c r="AI238" s="60"/>
      <x:c r="AJ238" s="58">
        <x:f>(($O238*AH238)/100)+(AI238*12)</x:f>
      </x:c>
      <x:c r="AK238" s="47"/>
      <x:c r="AL238" s="60"/>
      <x:c r="AM238" s="58">
        <x:f>(($O238*AK238)/100)+(AL238*12)</x:f>
      </x:c>
      <x:c r="AN238" s="47"/>
      <x:c r="AO238" s="60"/>
      <x:c r="AP238" s="58">
        <x:f>(($O238*AN238)/100)+(AO238*12)</x:f>
      </x:c>
      <x:c r="AQ238" s="47"/>
      <x:c r="AR238" s="60"/>
      <x:c r="AS238" s="58">
        <x:f>(($O238*AQ238)/100)+(AR238*12)</x:f>
      </x:c>
      <x:c r="AT238" s="47"/>
      <x:c r="AU238" s="60"/>
      <x:c r="AV238" s="58">
        <x:f>(($O238*AT238)/100)+(AU238*12)</x:f>
      </x:c>
      <x:c r="AW238" s="47"/>
      <x:c r="AX238" s="60"/>
      <x:c r="AY238" s="58">
        <x:f>(($O238*AW238)/100)+(AX238*12)</x:f>
      </x:c>
      <x:c r="AZ238" s="47"/>
      <x:c r="BA238" s="60"/>
      <x:c r="BB238" s="58">
        <x:f>(($O238*AZ238)/100)+(BA238*12)</x:f>
      </x:c>
      <x:c r="BC238" s="47"/>
      <x:c r="BD238" s="60"/>
      <x:c r="BE238" s="58">
        <x:f>(($O238*BC238)/100)+(BD238*12)</x:f>
      </x:c>
      <x:c r="BF238" s="47"/>
      <x:c r="BG238" s="60"/>
      <x:c r="BH238" s="58">
        <x:f>(($O238*BF238)/100)+(BG238*12)</x:f>
      </x:c>
      <x:c r="BI238" s="47"/>
      <x:c r="BJ238" s="60"/>
      <x:c r="BK238" s="58">
        <x:f>(($O238*BI238)/100)+(BJ238*12)</x:f>
      </x:c>
      <x:c r="BL238" s="47"/>
      <x:c r="BM238" s="60"/>
      <x:c r="BN238" s="58">
        <x:f>(($O238*BL238)/100)+(BM238*12)</x:f>
      </x:c>
      <x:c r="BO238" s="47"/>
      <x:c r="BP238" s="60"/>
      <x:c r="BQ238" s="58">
        <x:f>(($O238*BO238)/100)+(BP238*12)</x:f>
      </x:c>
      <x:c r="BR238" s="47"/>
      <x:c r="BS238" s="60"/>
      <x:c r="BT238" s="58">
        <x:f>(($O238*BR238)/100)+(BS238*12)</x:f>
      </x:c>
      <x:c r="BU238" s="47"/>
      <x:c r="BV238" s="60"/>
      <x:c r="BW238" s="58">
        <x:f>(($O238*BU238)/100)+(BV238*12)</x:f>
      </x:c>
      <x:c r="BX238" s="47"/>
      <x:c r="BY238" s="60"/>
      <x:c r="BZ238" s="58">
        <x:f>(($O238*BX238)/100)+(BY238*12)</x:f>
      </x:c>
      <x:c r="CA238" s="47"/>
      <x:c r="CB238" s="60"/>
      <x:c r="CC238" s="58">
        <x:f>(($O238*CA238)/100)+(CB238*12)</x:f>
      </x:c>
      <x:c r="CD238" s="47"/>
      <x:c r="CE238" s="60"/>
      <x:c r="CF238" s="58">
        <x:f>(($O238*CD238)/100)+(CE238*12)</x:f>
      </x:c>
      <x:c r="CG238" s="47"/>
      <x:c r="CH238" s="60"/>
      <x:c r="CI238" s="58">
        <x:f>(($O238*CG238)/100)+(CH238*12)</x:f>
      </x:c>
      <x:c r="CJ238" s="47"/>
      <x:c r="CK238" s="60"/>
      <x:c r="CL238" s="58">
        <x:f>(($O238*CJ238)/100)+(CK238*12)</x:f>
      </x:c>
      <x:c r="CM238" s="47"/>
      <x:c r="CN238" s="60"/>
      <x:c r="CO238" s="58">
        <x:f>(($O238*CM238)/100)+(CN238*12)</x:f>
      </x:c>
      <x:c r="CP238" s="47"/>
      <x:c r="CQ238" s="60"/>
      <x:c r="CR238" s="58">
        <x:f>(($O238*CP238)/100)+(CQ238*12)</x:f>
      </x:c>
      <x:c r="CS238" s="47"/>
      <x:c r="CT238" s="60"/>
      <x:c r="CU238" s="58">
        <x:f>(($O238*CS238)/100)+(CT238*12)</x:f>
      </x:c>
      <x:c r="CV238" s="47"/>
      <x:c r="CW238" s="60"/>
      <x:c r="CX238" s="58"/>
      <x:c r="CY238" s="47"/>
      <x:c r="CZ238" s="60"/>
      <x:c r="DA238" s="58"/>
      <x:c r="DB238" s="47"/>
      <x:c r="DC238" s="60"/>
      <x:c r="DD238" s="58"/>
      <x:c r="DE238" s="47"/>
      <x:c r="DF238" s="60"/>
      <x:c r="DG238" s="58"/>
      <x:c r="DH238" s="47"/>
      <x:c r="DI238" s="60"/>
      <x:c r="DJ238" s="58"/>
      <x:c r="DK238" s="47"/>
      <x:c r="DL238" s="60"/>
      <x:c r="DM238" s="58"/>
      <x:c r="DN238" s="11"/>
      <x:c r="DO238" s="61"/>
      <x:c r="DP238" s="62"/>
      <x:c r="DQ238" s="11"/>
      <x:c r="DR238" s="61"/>
      <x:c r="DS238" s="62"/>
      <x:c r="DT238" s="11"/>
      <x:c r="DU238" s="61"/>
      <x:c r="DV238" s="62"/>
    </x:row>
    <x:row r="239" spans="1:126" x14ac:dyDescent="0.3">
      <x:c r="A239" s="47"/>
      <x:c r="B239" s="70"/>
      <x:c r="C239" s="70"/>
      <x:c r="D239" s="70"/>
      <x:c r="E239" s="70"/>
      <x:c r="F239" s="70"/>
      <x:c r="G239" s="70"/>
      <x:c r="H239" s="70"/>
      <x:c r="I239" s="70"/>
      <x:c r="J239" s="70"/>
      <x:c r="K239" s="190"/>
      <x:c r="L239" s="191"/>
      <x:c r="M239" s="192">
        <x:f>IF(ISERROR(INDEX('Meter Type Data'!$B$2:$E$1165,SUMPRODUCT(--('Meter Type Data'!$B$2:$B$1165&lt;=Analysis!L239)*('Meter Type Data'!$C$2:$C$1165&gt;=Analysis!L239),ROW('Meter Type Data'!$B$2:$B$1165))-1,4))," ",INDEX('Meter Type Data'!$B$2:$E$1165,SUMPRODUCT(--('Meter Type Data'!$B$2:$B$1165&lt;=Analysis!L239)*('Meter Type Data'!$C$2:$C$1165&gt;=Analysis!L239),ROW('Meter Type Data'!$B$2:$B$1165))-1,4))</x:f>
      </x:c>
      <x:c r="N239" s="192">
        <x:f>IF(ISERROR(INDEX('Meter Type Data'!$B$2:$D$1165,SUMPRODUCT(--('Meter Type Data'!$B$2:$B$1165&lt;=Analysis!L239)*('Meter Type Data'!$C$2:$C$1165&gt;=Analysis!L239),ROW('Meter Type Data'!$B$2:$B$1165))-1,3))," ",INDEX('Meter Type Data'!$B$2:$D$1165,SUMPRODUCT(--('Meter Type Data'!$B$2:$B$1165&lt;=Analysis!L239)*('Meter Type Data'!$C$2:$C$1165&gt;=Analysis!L239),ROW('Meter Type Data'!$B$2:$B$1165))-1,3))</x:f>
      </x:c>
      <x:c r="O239" s="69"/>
      <x:c r="P239" s="47"/>
      <x:c r="Q239" s="60"/>
      <x:c r="R239" s="58">
        <x:f>(($O239*P239)/100)+(Q239*12)</x:f>
      </x:c>
      <x:c r="S239" s="59"/>
      <x:c r="T239" s="59"/>
      <x:c r="U239" s="58">
        <x:f>(($O239*S239)/100)+(T239*12)</x:f>
      </x:c>
      <x:c r="V239" s="47"/>
      <x:c r="W239" s="60"/>
      <x:c r="X239" s="58">
        <x:f>(($O239*V239)/100)+(W239*12)</x:f>
      </x:c>
      <x:c r="Y239" s="47"/>
      <x:c r="Z239" s="60"/>
      <x:c r="AA239" s="58">
        <x:f>(($O239*Y239)/100)+(Z239*12)</x:f>
      </x:c>
      <x:c r="AB239" s="47"/>
      <x:c r="AC239" s="60"/>
      <x:c r="AD239" s="58">
        <x:f>(($O239*AB239)/100)+(AC239*12)</x:f>
      </x:c>
      <x:c r="AE239" s="47"/>
      <x:c r="AF239" s="60"/>
      <x:c r="AG239" s="58">
        <x:f>(($O239*AE239)/100)+(AF239*12)</x:f>
      </x:c>
      <x:c r="AH239" s="47"/>
      <x:c r="AI239" s="60"/>
      <x:c r="AJ239" s="58">
        <x:f>(($O239*AH239)/100)+(AI239*12)</x:f>
      </x:c>
      <x:c r="AK239" s="47"/>
      <x:c r="AL239" s="60"/>
      <x:c r="AM239" s="58">
        <x:f>(($O239*AK239)/100)+(AL239*12)</x:f>
      </x:c>
      <x:c r="AN239" s="47"/>
      <x:c r="AO239" s="60"/>
      <x:c r="AP239" s="58">
        <x:f>(($O239*AN239)/100)+(AO239*12)</x:f>
      </x:c>
      <x:c r="AQ239" s="47"/>
      <x:c r="AR239" s="60"/>
      <x:c r="AS239" s="58">
        <x:f>(($O239*AQ239)/100)+(AR239*12)</x:f>
      </x:c>
      <x:c r="AT239" s="47"/>
      <x:c r="AU239" s="60"/>
      <x:c r="AV239" s="58">
        <x:f>(($O239*AT239)/100)+(AU239*12)</x:f>
      </x:c>
      <x:c r="AW239" s="47"/>
      <x:c r="AX239" s="60"/>
      <x:c r="AY239" s="58">
        <x:f>(($O239*AW239)/100)+(AX239*12)</x:f>
      </x:c>
      <x:c r="AZ239" s="47"/>
      <x:c r="BA239" s="60"/>
      <x:c r="BB239" s="58">
        <x:f>(($O239*AZ239)/100)+(BA239*12)</x:f>
      </x:c>
      <x:c r="BC239" s="47"/>
      <x:c r="BD239" s="60"/>
      <x:c r="BE239" s="58">
        <x:f>(($O239*BC239)/100)+(BD239*12)</x:f>
      </x:c>
      <x:c r="BF239" s="47"/>
      <x:c r="BG239" s="60"/>
      <x:c r="BH239" s="58">
        <x:f>(($O239*BF239)/100)+(BG239*12)</x:f>
      </x:c>
      <x:c r="BI239" s="47"/>
      <x:c r="BJ239" s="60"/>
      <x:c r="BK239" s="58">
        <x:f>(($O239*BI239)/100)+(BJ239*12)</x:f>
      </x:c>
      <x:c r="BL239" s="47"/>
      <x:c r="BM239" s="60"/>
      <x:c r="BN239" s="58">
        <x:f>(($O239*BL239)/100)+(BM239*12)</x:f>
      </x:c>
      <x:c r="BO239" s="47"/>
      <x:c r="BP239" s="60"/>
      <x:c r="BQ239" s="58">
        <x:f>(($O239*BO239)/100)+(BP239*12)</x:f>
      </x:c>
      <x:c r="BR239" s="47"/>
      <x:c r="BS239" s="60"/>
      <x:c r="BT239" s="58">
        <x:f>(($O239*BR239)/100)+(BS239*12)</x:f>
      </x:c>
      <x:c r="BU239" s="47"/>
      <x:c r="BV239" s="60"/>
      <x:c r="BW239" s="58">
        <x:f>(($O239*BU239)/100)+(BV239*12)</x:f>
      </x:c>
      <x:c r="BX239" s="47"/>
      <x:c r="BY239" s="60"/>
      <x:c r="BZ239" s="58">
        <x:f>(($O239*BX239)/100)+(BY239*12)</x:f>
      </x:c>
      <x:c r="CA239" s="47"/>
      <x:c r="CB239" s="60"/>
      <x:c r="CC239" s="58">
        <x:f>(($O239*CA239)/100)+(CB239*12)</x:f>
      </x:c>
      <x:c r="CD239" s="47"/>
      <x:c r="CE239" s="60"/>
      <x:c r="CF239" s="58">
        <x:f>(($O239*CD239)/100)+(CE239*12)</x:f>
      </x:c>
      <x:c r="CG239" s="47"/>
      <x:c r="CH239" s="60"/>
      <x:c r="CI239" s="58">
        <x:f>(($O239*CG239)/100)+(CH239*12)</x:f>
      </x:c>
      <x:c r="CJ239" s="47"/>
      <x:c r="CK239" s="60"/>
      <x:c r="CL239" s="58">
        <x:f>(($O239*CJ239)/100)+(CK239*12)</x:f>
      </x:c>
      <x:c r="CM239" s="47"/>
      <x:c r="CN239" s="60"/>
      <x:c r="CO239" s="58">
        <x:f>(($O239*CM239)/100)+(CN239*12)</x:f>
      </x:c>
      <x:c r="CP239" s="47"/>
      <x:c r="CQ239" s="60"/>
      <x:c r="CR239" s="58">
        <x:f>(($O239*CP239)/100)+(CQ239*12)</x:f>
      </x:c>
      <x:c r="CS239" s="47"/>
      <x:c r="CT239" s="60"/>
      <x:c r="CU239" s="58">
        <x:f>(($O239*CS239)/100)+(CT239*12)</x:f>
      </x:c>
      <x:c r="CV239" s="47"/>
      <x:c r="CW239" s="60"/>
      <x:c r="CX239" s="58"/>
      <x:c r="CY239" s="47"/>
      <x:c r="CZ239" s="60"/>
      <x:c r="DA239" s="58"/>
      <x:c r="DB239" s="47"/>
      <x:c r="DC239" s="60"/>
      <x:c r="DD239" s="58"/>
      <x:c r="DE239" s="47"/>
      <x:c r="DF239" s="60"/>
      <x:c r="DG239" s="58"/>
      <x:c r="DH239" s="47"/>
      <x:c r="DI239" s="60"/>
      <x:c r="DJ239" s="58"/>
      <x:c r="DK239" s="47"/>
      <x:c r="DL239" s="60"/>
      <x:c r="DM239" s="58"/>
      <x:c r="DN239" s="11"/>
      <x:c r="DO239" s="61"/>
      <x:c r="DP239" s="62"/>
      <x:c r="DQ239" s="11"/>
      <x:c r="DR239" s="61"/>
      <x:c r="DS239" s="62"/>
      <x:c r="DT239" s="11"/>
      <x:c r="DU239" s="61"/>
      <x:c r="DV239" s="62"/>
    </x:row>
    <x:row r="240" spans="1:126" x14ac:dyDescent="0.3">
      <x:c r="A240" s="47"/>
      <x:c r="B240" s="70"/>
      <x:c r="C240" s="70"/>
      <x:c r="D240" s="70"/>
      <x:c r="E240" s="70"/>
      <x:c r="F240" s="70"/>
      <x:c r="G240" s="70"/>
      <x:c r="H240" s="70"/>
      <x:c r="I240" s="70"/>
      <x:c r="J240" s="70"/>
      <x:c r="K240" s="190"/>
      <x:c r="L240" s="191"/>
      <x:c r="M240" s="192">
        <x:f>IF(ISERROR(INDEX('Meter Type Data'!$B$2:$E$1165,SUMPRODUCT(--('Meter Type Data'!$B$2:$B$1165&lt;=Analysis!L240)*('Meter Type Data'!$C$2:$C$1165&gt;=Analysis!L240),ROW('Meter Type Data'!$B$2:$B$1165))-1,4))," ",INDEX('Meter Type Data'!$B$2:$E$1165,SUMPRODUCT(--('Meter Type Data'!$B$2:$B$1165&lt;=Analysis!L240)*('Meter Type Data'!$C$2:$C$1165&gt;=Analysis!L240),ROW('Meter Type Data'!$B$2:$B$1165))-1,4))</x:f>
      </x:c>
      <x:c r="N240" s="192">
        <x:f>IF(ISERROR(INDEX('Meter Type Data'!$B$2:$D$1165,SUMPRODUCT(--('Meter Type Data'!$B$2:$B$1165&lt;=Analysis!L240)*('Meter Type Data'!$C$2:$C$1165&gt;=Analysis!L240),ROW('Meter Type Data'!$B$2:$B$1165))-1,3))," ",INDEX('Meter Type Data'!$B$2:$D$1165,SUMPRODUCT(--('Meter Type Data'!$B$2:$B$1165&lt;=Analysis!L240)*('Meter Type Data'!$C$2:$C$1165&gt;=Analysis!L240),ROW('Meter Type Data'!$B$2:$B$1165))-1,3))</x:f>
      </x:c>
      <x:c r="O240" s="69"/>
      <x:c r="P240" s="47"/>
      <x:c r="Q240" s="60"/>
      <x:c r="R240" s="58">
        <x:f>(($O240*P240)/100)+(Q240*12)</x:f>
      </x:c>
      <x:c r="S240" s="59"/>
      <x:c r="T240" s="59"/>
      <x:c r="U240" s="58">
        <x:f>(($O240*S240)/100)+(T240*12)</x:f>
      </x:c>
      <x:c r="V240" s="47"/>
      <x:c r="W240" s="60"/>
      <x:c r="X240" s="58">
        <x:f>(($O240*V240)/100)+(W240*12)</x:f>
      </x:c>
      <x:c r="Y240" s="47"/>
      <x:c r="Z240" s="60"/>
      <x:c r="AA240" s="58">
        <x:f>(($O240*Y240)/100)+(Z240*12)</x:f>
      </x:c>
      <x:c r="AB240" s="47"/>
      <x:c r="AC240" s="60"/>
      <x:c r="AD240" s="58">
        <x:f>(($O240*AB240)/100)+(AC240*12)</x:f>
      </x:c>
      <x:c r="AE240" s="47"/>
      <x:c r="AF240" s="60"/>
      <x:c r="AG240" s="58">
        <x:f>(($O240*AE240)/100)+(AF240*12)</x:f>
      </x:c>
      <x:c r="AH240" s="47"/>
      <x:c r="AI240" s="60"/>
      <x:c r="AJ240" s="58">
        <x:f>(($O240*AH240)/100)+(AI240*12)</x:f>
      </x:c>
      <x:c r="AK240" s="47"/>
      <x:c r="AL240" s="60"/>
      <x:c r="AM240" s="58">
        <x:f>(($O240*AK240)/100)+(AL240*12)</x:f>
      </x:c>
      <x:c r="AN240" s="47"/>
      <x:c r="AO240" s="60"/>
      <x:c r="AP240" s="58">
        <x:f>(($O240*AN240)/100)+(AO240*12)</x:f>
      </x:c>
      <x:c r="AQ240" s="47"/>
      <x:c r="AR240" s="60"/>
      <x:c r="AS240" s="58">
        <x:f>(($O240*AQ240)/100)+(AR240*12)</x:f>
      </x:c>
      <x:c r="AT240" s="47"/>
      <x:c r="AU240" s="60"/>
      <x:c r="AV240" s="58">
        <x:f>(($O240*AT240)/100)+(AU240*12)</x:f>
      </x:c>
      <x:c r="AW240" s="47"/>
      <x:c r="AX240" s="60"/>
      <x:c r="AY240" s="58">
        <x:f>(($O240*AW240)/100)+(AX240*12)</x:f>
      </x:c>
      <x:c r="AZ240" s="47"/>
      <x:c r="BA240" s="60"/>
      <x:c r="BB240" s="58">
        <x:f>(($O240*AZ240)/100)+(BA240*12)</x:f>
      </x:c>
      <x:c r="BC240" s="47"/>
      <x:c r="BD240" s="60"/>
      <x:c r="BE240" s="58">
        <x:f>(($O240*BC240)/100)+(BD240*12)</x:f>
      </x:c>
      <x:c r="BF240" s="47"/>
      <x:c r="BG240" s="60"/>
      <x:c r="BH240" s="58">
        <x:f>(($O240*BF240)/100)+(BG240*12)</x:f>
      </x:c>
      <x:c r="BI240" s="47"/>
      <x:c r="BJ240" s="60"/>
      <x:c r="BK240" s="58">
        <x:f>(($O240*BI240)/100)+(BJ240*12)</x:f>
      </x:c>
      <x:c r="BL240" s="47"/>
      <x:c r="BM240" s="60"/>
      <x:c r="BN240" s="58">
        <x:f>(($O240*BL240)/100)+(BM240*12)</x:f>
      </x:c>
      <x:c r="BO240" s="47"/>
      <x:c r="BP240" s="60"/>
      <x:c r="BQ240" s="58">
        <x:f>(($O240*BO240)/100)+(BP240*12)</x:f>
      </x:c>
      <x:c r="BR240" s="47"/>
      <x:c r="BS240" s="60"/>
      <x:c r="BT240" s="58">
        <x:f>(($O240*BR240)/100)+(BS240*12)</x:f>
      </x:c>
      <x:c r="BU240" s="47"/>
      <x:c r="BV240" s="60"/>
      <x:c r="BW240" s="58">
        <x:f>(($O240*BU240)/100)+(BV240*12)</x:f>
      </x:c>
      <x:c r="BX240" s="47"/>
      <x:c r="BY240" s="60"/>
      <x:c r="BZ240" s="58">
        <x:f>(($O240*BX240)/100)+(BY240*12)</x:f>
      </x:c>
      <x:c r="CA240" s="47"/>
      <x:c r="CB240" s="60"/>
      <x:c r="CC240" s="58">
        <x:f>(($O240*CA240)/100)+(CB240*12)</x:f>
      </x:c>
      <x:c r="CD240" s="47"/>
      <x:c r="CE240" s="60"/>
      <x:c r="CF240" s="58">
        <x:f>(($O240*CD240)/100)+(CE240*12)</x:f>
      </x:c>
      <x:c r="CG240" s="47"/>
      <x:c r="CH240" s="60"/>
      <x:c r="CI240" s="58">
        <x:f>(($O240*CG240)/100)+(CH240*12)</x:f>
      </x:c>
      <x:c r="CJ240" s="47"/>
      <x:c r="CK240" s="60"/>
      <x:c r="CL240" s="58">
        <x:f>(($O240*CJ240)/100)+(CK240*12)</x:f>
      </x:c>
      <x:c r="CM240" s="47"/>
      <x:c r="CN240" s="60"/>
      <x:c r="CO240" s="58">
        <x:f>(($O240*CM240)/100)+(CN240*12)</x:f>
      </x:c>
      <x:c r="CP240" s="47"/>
      <x:c r="CQ240" s="60"/>
      <x:c r="CR240" s="58">
        <x:f>(($O240*CP240)/100)+(CQ240*12)</x:f>
      </x:c>
      <x:c r="CS240" s="47"/>
      <x:c r="CT240" s="60"/>
      <x:c r="CU240" s="58">
        <x:f>(($O240*CS240)/100)+(CT240*12)</x:f>
      </x:c>
      <x:c r="CV240" s="47"/>
      <x:c r="CW240" s="60"/>
      <x:c r="CX240" s="58"/>
      <x:c r="CY240" s="47"/>
      <x:c r="CZ240" s="60"/>
      <x:c r="DA240" s="58"/>
      <x:c r="DB240" s="47"/>
      <x:c r="DC240" s="60"/>
      <x:c r="DD240" s="58"/>
      <x:c r="DE240" s="47"/>
      <x:c r="DF240" s="60"/>
      <x:c r="DG240" s="58"/>
      <x:c r="DH240" s="47"/>
      <x:c r="DI240" s="60"/>
      <x:c r="DJ240" s="58"/>
      <x:c r="DK240" s="47"/>
      <x:c r="DL240" s="60"/>
      <x:c r="DM240" s="58"/>
      <x:c r="DN240" s="11"/>
      <x:c r="DO240" s="61"/>
      <x:c r="DP240" s="62"/>
      <x:c r="DQ240" s="11"/>
      <x:c r="DR240" s="61"/>
      <x:c r="DS240" s="62"/>
      <x:c r="DT240" s="11"/>
      <x:c r="DU240" s="61"/>
      <x:c r="DV240" s="62"/>
    </x:row>
    <x:row r="241" spans="1:126" x14ac:dyDescent="0.3">
      <x:c r="A241" s="47"/>
      <x:c r="B241" s="70"/>
      <x:c r="C241" s="70"/>
      <x:c r="D241" s="70"/>
      <x:c r="E241" s="70"/>
      <x:c r="F241" s="70"/>
      <x:c r="G241" s="70"/>
      <x:c r="H241" s="70"/>
      <x:c r="I241" s="70"/>
      <x:c r="J241" s="70"/>
      <x:c r="K241" s="190"/>
      <x:c r="L241" s="191"/>
      <x:c r="M241" s="192">
        <x:f>IF(ISERROR(INDEX('Meter Type Data'!$B$2:$E$1165,SUMPRODUCT(--('Meter Type Data'!$B$2:$B$1165&lt;=Analysis!L241)*('Meter Type Data'!$C$2:$C$1165&gt;=Analysis!L241),ROW('Meter Type Data'!$B$2:$B$1165))-1,4))," ",INDEX('Meter Type Data'!$B$2:$E$1165,SUMPRODUCT(--('Meter Type Data'!$B$2:$B$1165&lt;=Analysis!L241)*('Meter Type Data'!$C$2:$C$1165&gt;=Analysis!L241),ROW('Meter Type Data'!$B$2:$B$1165))-1,4))</x:f>
      </x:c>
      <x:c r="N241" s="192">
        <x:f>IF(ISERROR(INDEX('Meter Type Data'!$B$2:$D$1165,SUMPRODUCT(--('Meter Type Data'!$B$2:$B$1165&lt;=Analysis!L241)*('Meter Type Data'!$C$2:$C$1165&gt;=Analysis!L241),ROW('Meter Type Data'!$B$2:$B$1165))-1,3))," ",INDEX('Meter Type Data'!$B$2:$D$1165,SUMPRODUCT(--('Meter Type Data'!$B$2:$B$1165&lt;=Analysis!L241)*('Meter Type Data'!$C$2:$C$1165&gt;=Analysis!L241),ROW('Meter Type Data'!$B$2:$B$1165))-1,3))</x:f>
      </x:c>
      <x:c r="O241" s="69"/>
      <x:c r="P241" s="47"/>
      <x:c r="Q241" s="60"/>
      <x:c r="R241" s="58">
        <x:f>(($O241*P241)/100)+(Q241*12)</x:f>
      </x:c>
      <x:c r="S241" s="59"/>
      <x:c r="T241" s="59"/>
      <x:c r="U241" s="58">
        <x:f>(($O241*S241)/100)+(T241*12)</x:f>
      </x:c>
      <x:c r="V241" s="47"/>
      <x:c r="W241" s="60"/>
      <x:c r="X241" s="58">
        <x:f>(($O241*V241)/100)+(W241*12)</x:f>
      </x:c>
      <x:c r="Y241" s="47"/>
      <x:c r="Z241" s="60"/>
      <x:c r="AA241" s="58">
        <x:f>(($O241*Y241)/100)+(Z241*12)</x:f>
      </x:c>
      <x:c r="AB241" s="47"/>
      <x:c r="AC241" s="60"/>
      <x:c r="AD241" s="58">
        <x:f>(($O241*AB241)/100)+(AC241*12)</x:f>
      </x:c>
      <x:c r="AE241" s="47"/>
      <x:c r="AF241" s="60"/>
      <x:c r="AG241" s="58">
        <x:f>(($O241*AE241)/100)+(AF241*12)</x:f>
      </x:c>
      <x:c r="AH241" s="47"/>
      <x:c r="AI241" s="60"/>
      <x:c r="AJ241" s="58">
        <x:f>(($O241*AH241)/100)+(AI241*12)</x:f>
      </x:c>
      <x:c r="AK241" s="47"/>
      <x:c r="AL241" s="60"/>
      <x:c r="AM241" s="58">
        <x:f>(($O241*AK241)/100)+(AL241*12)</x:f>
      </x:c>
      <x:c r="AN241" s="47"/>
      <x:c r="AO241" s="60"/>
      <x:c r="AP241" s="58">
        <x:f>(($O241*AN241)/100)+(AO241*12)</x:f>
      </x:c>
      <x:c r="AQ241" s="47"/>
      <x:c r="AR241" s="60"/>
      <x:c r="AS241" s="58">
        <x:f>(($O241*AQ241)/100)+(AR241*12)</x:f>
      </x:c>
      <x:c r="AT241" s="47"/>
      <x:c r="AU241" s="60"/>
      <x:c r="AV241" s="58">
        <x:f>(($O241*AT241)/100)+(AU241*12)</x:f>
      </x:c>
      <x:c r="AW241" s="47"/>
      <x:c r="AX241" s="60"/>
      <x:c r="AY241" s="58">
        <x:f>(($O241*AW241)/100)+(AX241*12)</x:f>
      </x:c>
      <x:c r="AZ241" s="47"/>
      <x:c r="BA241" s="60"/>
      <x:c r="BB241" s="58">
        <x:f>(($O241*AZ241)/100)+(BA241*12)</x:f>
      </x:c>
      <x:c r="BC241" s="47"/>
      <x:c r="BD241" s="60"/>
      <x:c r="BE241" s="58">
        <x:f>(($O241*BC241)/100)+(BD241*12)</x:f>
      </x:c>
      <x:c r="BF241" s="47"/>
      <x:c r="BG241" s="60"/>
      <x:c r="BH241" s="58">
        <x:f>(($O241*BF241)/100)+(BG241*12)</x:f>
      </x:c>
      <x:c r="BI241" s="47"/>
      <x:c r="BJ241" s="60"/>
      <x:c r="BK241" s="58">
        <x:f>(($O241*BI241)/100)+(BJ241*12)</x:f>
      </x:c>
      <x:c r="BL241" s="47"/>
      <x:c r="BM241" s="60"/>
      <x:c r="BN241" s="58">
        <x:f>(($O241*BL241)/100)+(BM241*12)</x:f>
      </x:c>
      <x:c r="BO241" s="47"/>
      <x:c r="BP241" s="60"/>
      <x:c r="BQ241" s="58">
        <x:f>(($O241*BO241)/100)+(BP241*12)</x:f>
      </x:c>
      <x:c r="BR241" s="47"/>
      <x:c r="BS241" s="60"/>
      <x:c r="BT241" s="58">
        <x:f>(($O241*BR241)/100)+(BS241*12)</x:f>
      </x:c>
      <x:c r="BU241" s="47"/>
      <x:c r="BV241" s="60"/>
      <x:c r="BW241" s="58">
        <x:f>(($O241*BU241)/100)+(BV241*12)</x:f>
      </x:c>
      <x:c r="BX241" s="47"/>
      <x:c r="BY241" s="60"/>
      <x:c r="BZ241" s="58">
        <x:f>(($O241*BX241)/100)+(BY241*12)</x:f>
      </x:c>
      <x:c r="CA241" s="47"/>
      <x:c r="CB241" s="60"/>
      <x:c r="CC241" s="58">
        <x:f>(($O241*CA241)/100)+(CB241*12)</x:f>
      </x:c>
      <x:c r="CD241" s="47"/>
      <x:c r="CE241" s="60"/>
      <x:c r="CF241" s="58">
        <x:f>(($O241*CD241)/100)+(CE241*12)</x:f>
      </x:c>
      <x:c r="CG241" s="47"/>
      <x:c r="CH241" s="60"/>
      <x:c r="CI241" s="58">
        <x:f>(($O241*CG241)/100)+(CH241*12)</x:f>
      </x:c>
      <x:c r="CJ241" s="47"/>
      <x:c r="CK241" s="60"/>
      <x:c r="CL241" s="58">
        <x:f>(($O241*CJ241)/100)+(CK241*12)</x:f>
      </x:c>
      <x:c r="CM241" s="47"/>
      <x:c r="CN241" s="60"/>
      <x:c r="CO241" s="58">
        <x:f>(($O241*CM241)/100)+(CN241*12)</x:f>
      </x:c>
      <x:c r="CP241" s="47"/>
      <x:c r="CQ241" s="60"/>
      <x:c r="CR241" s="58">
        <x:f>(($O241*CP241)/100)+(CQ241*12)</x:f>
      </x:c>
      <x:c r="CS241" s="47"/>
      <x:c r="CT241" s="60"/>
      <x:c r="CU241" s="58">
        <x:f>(($O241*CS241)/100)+(CT241*12)</x:f>
      </x:c>
      <x:c r="CV241" s="47"/>
      <x:c r="CW241" s="60"/>
      <x:c r="CX241" s="58"/>
      <x:c r="CY241" s="47"/>
      <x:c r="CZ241" s="60"/>
      <x:c r="DA241" s="58"/>
      <x:c r="DB241" s="47"/>
      <x:c r="DC241" s="60"/>
      <x:c r="DD241" s="58"/>
      <x:c r="DE241" s="47"/>
      <x:c r="DF241" s="60"/>
      <x:c r="DG241" s="58"/>
      <x:c r="DH241" s="47"/>
      <x:c r="DI241" s="60"/>
      <x:c r="DJ241" s="58"/>
      <x:c r="DK241" s="47"/>
      <x:c r="DL241" s="60"/>
      <x:c r="DM241" s="58"/>
      <x:c r="DN241" s="11"/>
      <x:c r="DO241" s="61"/>
      <x:c r="DP241" s="62"/>
      <x:c r="DQ241" s="11"/>
      <x:c r="DR241" s="61"/>
      <x:c r="DS241" s="62"/>
      <x:c r="DT241" s="11"/>
      <x:c r="DU241" s="61"/>
      <x:c r="DV241" s="62"/>
    </x:row>
    <x:row r="242" spans="1:126" x14ac:dyDescent="0.3">
      <x:c r="A242" s="47"/>
      <x:c r="B242" s="70"/>
      <x:c r="C242" s="70"/>
      <x:c r="D242" s="70"/>
      <x:c r="E242" s="70"/>
      <x:c r="F242" s="70"/>
      <x:c r="G242" s="70"/>
      <x:c r="H242" s="70"/>
      <x:c r="I242" s="70"/>
      <x:c r="J242" s="70"/>
      <x:c r="K242" s="190"/>
      <x:c r="L242" s="191"/>
      <x:c r="M242" s="192">
        <x:f>IF(ISERROR(INDEX('Meter Type Data'!$B$2:$E$1165,SUMPRODUCT(--('Meter Type Data'!$B$2:$B$1165&lt;=Analysis!L242)*('Meter Type Data'!$C$2:$C$1165&gt;=Analysis!L242),ROW('Meter Type Data'!$B$2:$B$1165))-1,4))," ",INDEX('Meter Type Data'!$B$2:$E$1165,SUMPRODUCT(--('Meter Type Data'!$B$2:$B$1165&lt;=Analysis!L242)*('Meter Type Data'!$C$2:$C$1165&gt;=Analysis!L242),ROW('Meter Type Data'!$B$2:$B$1165))-1,4))</x:f>
      </x:c>
      <x:c r="N242" s="192">
        <x:f>IF(ISERROR(INDEX('Meter Type Data'!$B$2:$D$1165,SUMPRODUCT(--('Meter Type Data'!$B$2:$B$1165&lt;=Analysis!L242)*('Meter Type Data'!$C$2:$C$1165&gt;=Analysis!L242),ROW('Meter Type Data'!$B$2:$B$1165))-1,3))," ",INDEX('Meter Type Data'!$B$2:$D$1165,SUMPRODUCT(--('Meter Type Data'!$B$2:$B$1165&lt;=Analysis!L242)*('Meter Type Data'!$C$2:$C$1165&gt;=Analysis!L242),ROW('Meter Type Data'!$B$2:$B$1165))-1,3))</x:f>
      </x:c>
      <x:c r="O242" s="69"/>
      <x:c r="P242" s="47"/>
      <x:c r="Q242" s="60"/>
      <x:c r="R242" s="58">
        <x:f>(($O242*P242)/100)+(Q242*12)</x:f>
      </x:c>
      <x:c r="S242" s="59"/>
      <x:c r="T242" s="59"/>
      <x:c r="U242" s="58">
        <x:f>(($O242*S242)/100)+(T242*12)</x:f>
      </x:c>
      <x:c r="V242" s="47"/>
      <x:c r="W242" s="60"/>
      <x:c r="X242" s="58">
        <x:f>(($O242*V242)/100)+(W242*12)</x:f>
      </x:c>
      <x:c r="Y242" s="47"/>
      <x:c r="Z242" s="60"/>
      <x:c r="AA242" s="58">
        <x:f>(($O242*Y242)/100)+(Z242*12)</x:f>
      </x:c>
      <x:c r="AB242" s="47"/>
      <x:c r="AC242" s="60"/>
      <x:c r="AD242" s="58">
        <x:f>(($O242*AB242)/100)+(AC242*12)</x:f>
      </x:c>
      <x:c r="AE242" s="47"/>
      <x:c r="AF242" s="60"/>
      <x:c r="AG242" s="58">
        <x:f>(($O242*AE242)/100)+(AF242*12)</x:f>
      </x:c>
      <x:c r="AH242" s="47"/>
      <x:c r="AI242" s="60"/>
      <x:c r="AJ242" s="58">
        <x:f>(($O242*AH242)/100)+(AI242*12)</x:f>
      </x:c>
      <x:c r="AK242" s="47"/>
      <x:c r="AL242" s="60"/>
      <x:c r="AM242" s="58">
        <x:f>(($O242*AK242)/100)+(AL242*12)</x:f>
      </x:c>
      <x:c r="AN242" s="47"/>
      <x:c r="AO242" s="60"/>
      <x:c r="AP242" s="58">
        <x:f>(($O242*AN242)/100)+(AO242*12)</x:f>
      </x:c>
      <x:c r="AQ242" s="47"/>
      <x:c r="AR242" s="60"/>
      <x:c r="AS242" s="58">
        <x:f>(($O242*AQ242)/100)+(AR242*12)</x:f>
      </x:c>
      <x:c r="AT242" s="47"/>
      <x:c r="AU242" s="60"/>
      <x:c r="AV242" s="58">
        <x:f>(($O242*AT242)/100)+(AU242*12)</x:f>
      </x:c>
      <x:c r="AW242" s="47"/>
      <x:c r="AX242" s="60"/>
      <x:c r="AY242" s="58">
        <x:f>(($O242*AW242)/100)+(AX242*12)</x:f>
      </x:c>
      <x:c r="AZ242" s="47"/>
      <x:c r="BA242" s="60"/>
      <x:c r="BB242" s="58">
        <x:f>(($O242*AZ242)/100)+(BA242*12)</x:f>
      </x:c>
      <x:c r="BC242" s="47"/>
      <x:c r="BD242" s="60"/>
      <x:c r="BE242" s="58">
        <x:f>(($O242*BC242)/100)+(BD242*12)</x:f>
      </x:c>
      <x:c r="BF242" s="47"/>
      <x:c r="BG242" s="60"/>
      <x:c r="BH242" s="58">
        <x:f>(($O242*BF242)/100)+(BG242*12)</x:f>
      </x:c>
      <x:c r="BI242" s="47"/>
      <x:c r="BJ242" s="60"/>
      <x:c r="BK242" s="58">
        <x:f>(($O242*BI242)/100)+(BJ242*12)</x:f>
      </x:c>
      <x:c r="BL242" s="47"/>
      <x:c r="BM242" s="60"/>
      <x:c r="BN242" s="58">
        <x:f>(($O242*BL242)/100)+(BM242*12)</x:f>
      </x:c>
      <x:c r="BO242" s="47"/>
      <x:c r="BP242" s="60"/>
      <x:c r="BQ242" s="58">
        <x:f>(($O242*BO242)/100)+(BP242*12)</x:f>
      </x:c>
      <x:c r="BR242" s="47"/>
      <x:c r="BS242" s="60"/>
      <x:c r="BT242" s="58">
        <x:f>(($O242*BR242)/100)+(BS242*12)</x:f>
      </x:c>
      <x:c r="BU242" s="47"/>
      <x:c r="BV242" s="60"/>
      <x:c r="BW242" s="58">
        <x:f>(($O242*BU242)/100)+(BV242*12)</x:f>
      </x:c>
      <x:c r="BX242" s="47"/>
      <x:c r="BY242" s="60"/>
      <x:c r="BZ242" s="58">
        <x:f>(($O242*BX242)/100)+(BY242*12)</x:f>
      </x:c>
      <x:c r="CA242" s="47"/>
      <x:c r="CB242" s="60"/>
      <x:c r="CC242" s="58">
        <x:f>(($O242*CA242)/100)+(CB242*12)</x:f>
      </x:c>
      <x:c r="CD242" s="47"/>
      <x:c r="CE242" s="60"/>
      <x:c r="CF242" s="58">
        <x:f>(($O242*CD242)/100)+(CE242*12)</x:f>
      </x:c>
      <x:c r="CG242" s="47"/>
      <x:c r="CH242" s="60"/>
      <x:c r="CI242" s="58">
        <x:f>(($O242*CG242)/100)+(CH242*12)</x:f>
      </x:c>
      <x:c r="CJ242" s="47"/>
      <x:c r="CK242" s="60"/>
      <x:c r="CL242" s="58">
        <x:f>(($O242*CJ242)/100)+(CK242*12)</x:f>
      </x:c>
      <x:c r="CM242" s="47"/>
      <x:c r="CN242" s="60"/>
      <x:c r="CO242" s="58">
        <x:f>(($O242*CM242)/100)+(CN242*12)</x:f>
      </x:c>
      <x:c r="CP242" s="47"/>
      <x:c r="CQ242" s="60"/>
      <x:c r="CR242" s="58">
        <x:f>(($O242*CP242)/100)+(CQ242*12)</x:f>
      </x:c>
      <x:c r="CS242" s="47"/>
      <x:c r="CT242" s="60"/>
      <x:c r="CU242" s="58">
        <x:f>(($O242*CS242)/100)+(CT242*12)</x:f>
      </x:c>
      <x:c r="CV242" s="47"/>
      <x:c r="CW242" s="60"/>
      <x:c r="CX242" s="58"/>
      <x:c r="CY242" s="47"/>
      <x:c r="CZ242" s="60"/>
      <x:c r="DA242" s="58"/>
      <x:c r="DB242" s="47"/>
      <x:c r="DC242" s="60"/>
      <x:c r="DD242" s="58"/>
      <x:c r="DE242" s="47"/>
      <x:c r="DF242" s="60"/>
      <x:c r="DG242" s="58"/>
      <x:c r="DH242" s="47"/>
      <x:c r="DI242" s="60"/>
      <x:c r="DJ242" s="58"/>
      <x:c r="DK242" s="47"/>
      <x:c r="DL242" s="60"/>
      <x:c r="DM242" s="58"/>
      <x:c r="DN242" s="11"/>
      <x:c r="DO242" s="61"/>
      <x:c r="DP242" s="62"/>
      <x:c r="DQ242" s="11"/>
      <x:c r="DR242" s="61"/>
      <x:c r="DS242" s="62"/>
      <x:c r="DT242" s="11"/>
      <x:c r="DU242" s="61"/>
      <x:c r="DV242" s="62"/>
    </x:row>
    <x:row r="243" spans="1:126" x14ac:dyDescent="0.3">
      <x:c r="A243" s="47"/>
      <x:c r="B243" s="70"/>
      <x:c r="C243" s="70"/>
      <x:c r="D243" s="70"/>
      <x:c r="E243" s="70"/>
      <x:c r="F243" s="70"/>
      <x:c r="G243" s="70"/>
      <x:c r="H243" s="70"/>
      <x:c r="I243" s="70"/>
      <x:c r="J243" s="70"/>
      <x:c r="K243" s="190"/>
      <x:c r="L243" s="191"/>
      <x:c r="M243" s="192">
        <x:f>IF(ISERROR(INDEX('Meter Type Data'!$B$2:$E$1165,SUMPRODUCT(--('Meter Type Data'!$B$2:$B$1165&lt;=Analysis!L243)*('Meter Type Data'!$C$2:$C$1165&gt;=Analysis!L243),ROW('Meter Type Data'!$B$2:$B$1165))-1,4))," ",INDEX('Meter Type Data'!$B$2:$E$1165,SUMPRODUCT(--('Meter Type Data'!$B$2:$B$1165&lt;=Analysis!L243)*('Meter Type Data'!$C$2:$C$1165&gt;=Analysis!L243),ROW('Meter Type Data'!$B$2:$B$1165))-1,4))</x:f>
      </x:c>
      <x:c r="N243" s="192">
        <x:f>IF(ISERROR(INDEX('Meter Type Data'!$B$2:$D$1165,SUMPRODUCT(--('Meter Type Data'!$B$2:$B$1165&lt;=Analysis!L243)*('Meter Type Data'!$C$2:$C$1165&gt;=Analysis!L243),ROW('Meter Type Data'!$B$2:$B$1165))-1,3))," ",INDEX('Meter Type Data'!$B$2:$D$1165,SUMPRODUCT(--('Meter Type Data'!$B$2:$B$1165&lt;=Analysis!L243)*('Meter Type Data'!$C$2:$C$1165&gt;=Analysis!L243),ROW('Meter Type Data'!$B$2:$B$1165))-1,3))</x:f>
      </x:c>
      <x:c r="O243" s="69"/>
      <x:c r="P243" s="47"/>
      <x:c r="Q243" s="60"/>
      <x:c r="R243" s="58">
        <x:f>(($O243*P243)/100)+(Q243*12)</x:f>
      </x:c>
      <x:c r="S243" s="59"/>
      <x:c r="T243" s="59"/>
      <x:c r="U243" s="58">
        <x:f>(($O243*S243)/100)+(T243*12)</x:f>
      </x:c>
      <x:c r="V243" s="47"/>
      <x:c r="W243" s="60"/>
      <x:c r="X243" s="58">
        <x:f>(($O243*V243)/100)+(W243*12)</x:f>
      </x:c>
      <x:c r="Y243" s="47"/>
      <x:c r="Z243" s="60"/>
      <x:c r="AA243" s="58">
        <x:f>(($O243*Y243)/100)+(Z243*12)</x:f>
      </x:c>
      <x:c r="AB243" s="47"/>
      <x:c r="AC243" s="60"/>
      <x:c r="AD243" s="58">
        <x:f>(($O243*AB243)/100)+(AC243*12)</x:f>
      </x:c>
      <x:c r="AE243" s="47"/>
      <x:c r="AF243" s="60"/>
      <x:c r="AG243" s="58">
        <x:f>(($O243*AE243)/100)+(AF243*12)</x:f>
      </x:c>
      <x:c r="AH243" s="47"/>
      <x:c r="AI243" s="60"/>
      <x:c r="AJ243" s="58">
        <x:f>(($O243*AH243)/100)+(AI243*12)</x:f>
      </x:c>
      <x:c r="AK243" s="47"/>
      <x:c r="AL243" s="60"/>
      <x:c r="AM243" s="58">
        <x:f>(($O243*AK243)/100)+(AL243*12)</x:f>
      </x:c>
      <x:c r="AN243" s="47"/>
      <x:c r="AO243" s="60"/>
      <x:c r="AP243" s="58">
        <x:f>(($O243*AN243)/100)+(AO243*12)</x:f>
      </x:c>
      <x:c r="AQ243" s="47"/>
      <x:c r="AR243" s="60"/>
      <x:c r="AS243" s="58">
        <x:f>(($O243*AQ243)/100)+(AR243*12)</x:f>
      </x:c>
      <x:c r="AT243" s="47"/>
      <x:c r="AU243" s="60"/>
      <x:c r="AV243" s="58">
        <x:f>(($O243*AT243)/100)+(AU243*12)</x:f>
      </x:c>
      <x:c r="AW243" s="47"/>
      <x:c r="AX243" s="60"/>
      <x:c r="AY243" s="58">
        <x:f>(($O243*AW243)/100)+(AX243*12)</x:f>
      </x:c>
      <x:c r="AZ243" s="47"/>
      <x:c r="BA243" s="60"/>
      <x:c r="BB243" s="58">
        <x:f>(($O243*AZ243)/100)+(BA243*12)</x:f>
      </x:c>
      <x:c r="BC243" s="47"/>
      <x:c r="BD243" s="60"/>
      <x:c r="BE243" s="58">
        <x:f>(($O243*BC243)/100)+(BD243*12)</x:f>
      </x:c>
      <x:c r="BF243" s="47"/>
      <x:c r="BG243" s="60"/>
      <x:c r="BH243" s="58">
        <x:f>(($O243*BF243)/100)+(BG243*12)</x:f>
      </x:c>
      <x:c r="BI243" s="47"/>
      <x:c r="BJ243" s="60"/>
      <x:c r="BK243" s="58">
        <x:f>(($O243*BI243)/100)+(BJ243*12)</x:f>
      </x:c>
      <x:c r="BL243" s="47"/>
      <x:c r="BM243" s="60"/>
      <x:c r="BN243" s="58">
        <x:f>(($O243*BL243)/100)+(BM243*12)</x:f>
      </x:c>
      <x:c r="BO243" s="47"/>
      <x:c r="BP243" s="60"/>
      <x:c r="BQ243" s="58">
        <x:f>(($O243*BO243)/100)+(BP243*12)</x:f>
      </x:c>
      <x:c r="BR243" s="47"/>
      <x:c r="BS243" s="60"/>
      <x:c r="BT243" s="58">
        <x:f>(($O243*BR243)/100)+(BS243*12)</x:f>
      </x:c>
      <x:c r="BU243" s="47"/>
      <x:c r="BV243" s="60"/>
      <x:c r="BW243" s="58">
        <x:f>(($O243*BU243)/100)+(BV243*12)</x:f>
      </x:c>
      <x:c r="BX243" s="47"/>
      <x:c r="BY243" s="60"/>
      <x:c r="BZ243" s="58">
        <x:f>(($O243*BX243)/100)+(BY243*12)</x:f>
      </x:c>
      <x:c r="CA243" s="47"/>
      <x:c r="CB243" s="60"/>
      <x:c r="CC243" s="58">
        <x:f>(($O243*CA243)/100)+(CB243*12)</x:f>
      </x:c>
      <x:c r="CD243" s="47"/>
      <x:c r="CE243" s="60"/>
      <x:c r="CF243" s="58">
        <x:f>(($O243*CD243)/100)+(CE243*12)</x:f>
      </x:c>
      <x:c r="CG243" s="47"/>
      <x:c r="CH243" s="60"/>
      <x:c r="CI243" s="58">
        <x:f>(($O243*CG243)/100)+(CH243*12)</x:f>
      </x:c>
      <x:c r="CJ243" s="47"/>
      <x:c r="CK243" s="60"/>
      <x:c r="CL243" s="58">
        <x:f>(($O243*CJ243)/100)+(CK243*12)</x:f>
      </x:c>
      <x:c r="CM243" s="47"/>
      <x:c r="CN243" s="60"/>
      <x:c r="CO243" s="58">
        <x:f>(($O243*CM243)/100)+(CN243*12)</x:f>
      </x:c>
      <x:c r="CP243" s="47"/>
      <x:c r="CQ243" s="60"/>
      <x:c r="CR243" s="58">
        <x:f>(($O243*CP243)/100)+(CQ243*12)</x:f>
      </x:c>
      <x:c r="CS243" s="47"/>
      <x:c r="CT243" s="60"/>
      <x:c r="CU243" s="58">
        <x:f>(($O243*CS243)/100)+(CT243*12)</x:f>
      </x:c>
      <x:c r="CV243" s="47"/>
      <x:c r="CW243" s="60"/>
      <x:c r="CX243" s="58"/>
      <x:c r="CY243" s="47"/>
      <x:c r="CZ243" s="60"/>
      <x:c r="DA243" s="58"/>
      <x:c r="DB243" s="47"/>
      <x:c r="DC243" s="60"/>
      <x:c r="DD243" s="58"/>
      <x:c r="DE243" s="47"/>
      <x:c r="DF243" s="60"/>
      <x:c r="DG243" s="58"/>
      <x:c r="DH243" s="47"/>
      <x:c r="DI243" s="60"/>
      <x:c r="DJ243" s="58"/>
      <x:c r="DK243" s="47"/>
      <x:c r="DL243" s="60"/>
      <x:c r="DM243" s="58"/>
      <x:c r="DN243" s="11"/>
      <x:c r="DO243" s="61"/>
      <x:c r="DP243" s="62"/>
      <x:c r="DQ243" s="11"/>
      <x:c r="DR243" s="61"/>
      <x:c r="DS243" s="62"/>
      <x:c r="DT243" s="11"/>
      <x:c r="DU243" s="61"/>
      <x:c r="DV243" s="62"/>
    </x:row>
    <x:row r="244" spans="1:126" x14ac:dyDescent="0.3">
      <x:c r="A244" s="47"/>
      <x:c r="B244" s="70"/>
      <x:c r="C244" s="70"/>
      <x:c r="D244" s="70"/>
      <x:c r="E244" s="70"/>
      <x:c r="F244" s="70"/>
      <x:c r="G244" s="70"/>
      <x:c r="H244" s="70"/>
      <x:c r="I244" s="70"/>
      <x:c r="J244" s="70"/>
      <x:c r="K244" s="190"/>
      <x:c r="L244" s="191"/>
      <x:c r="M244" s="192">
        <x:f>IF(ISERROR(INDEX('Meter Type Data'!$B$2:$E$1165,SUMPRODUCT(--('Meter Type Data'!$B$2:$B$1165&lt;=Analysis!L244)*('Meter Type Data'!$C$2:$C$1165&gt;=Analysis!L244),ROW('Meter Type Data'!$B$2:$B$1165))-1,4))," ",INDEX('Meter Type Data'!$B$2:$E$1165,SUMPRODUCT(--('Meter Type Data'!$B$2:$B$1165&lt;=Analysis!L244)*('Meter Type Data'!$C$2:$C$1165&gt;=Analysis!L244),ROW('Meter Type Data'!$B$2:$B$1165))-1,4))</x:f>
      </x:c>
      <x:c r="N244" s="192">
        <x:f>IF(ISERROR(INDEX('Meter Type Data'!$B$2:$D$1165,SUMPRODUCT(--('Meter Type Data'!$B$2:$B$1165&lt;=Analysis!L244)*('Meter Type Data'!$C$2:$C$1165&gt;=Analysis!L244),ROW('Meter Type Data'!$B$2:$B$1165))-1,3))," ",INDEX('Meter Type Data'!$B$2:$D$1165,SUMPRODUCT(--('Meter Type Data'!$B$2:$B$1165&lt;=Analysis!L244)*('Meter Type Data'!$C$2:$C$1165&gt;=Analysis!L244),ROW('Meter Type Data'!$B$2:$B$1165))-1,3))</x:f>
      </x:c>
      <x:c r="O244" s="69"/>
      <x:c r="P244" s="47"/>
      <x:c r="Q244" s="60"/>
      <x:c r="R244" s="58">
        <x:f>(($O244*P244)/100)+(Q244*12)</x:f>
      </x:c>
      <x:c r="S244" s="59"/>
      <x:c r="T244" s="59"/>
      <x:c r="U244" s="58">
        <x:f>(($O244*S244)/100)+(T244*12)</x:f>
      </x:c>
      <x:c r="V244" s="47"/>
      <x:c r="W244" s="60"/>
      <x:c r="X244" s="58">
        <x:f>(($O244*V244)/100)+(W244*12)</x:f>
      </x:c>
      <x:c r="Y244" s="47"/>
      <x:c r="Z244" s="60"/>
      <x:c r="AA244" s="58">
        <x:f>(($O244*Y244)/100)+(Z244*12)</x:f>
      </x:c>
      <x:c r="AB244" s="47"/>
      <x:c r="AC244" s="60"/>
      <x:c r="AD244" s="58">
        <x:f>(($O244*AB244)/100)+(AC244*12)</x:f>
      </x:c>
      <x:c r="AE244" s="47"/>
      <x:c r="AF244" s="60"/>
      <x:c r="AG244" s="58">
        <x:f>(($O244*AE244)/100)+(AF244*12)</x:f>
      </x:c>
      <x:c r="AH244" s="47"/>
      <x:c r="AI244" s="60"/>
      <x:c r="AJ244" s="58">
        <x:f>(($O244*AH244)/100)+(AI244*12)</x:f>
      </x:c>
      <x:c r="AK244" s="47"/>
      <x:c r="AL244" s="60"/>
      <x:c r="AM244" s="58">
        <x:f>(($O244*AK244)/100)+(AL244*12)</x:f>
      </x:c>
      <x:c r="AN244" s="47"/>
      <x:c r="AO244" s="60"/>
      <x:c r="AP244" s="58">
        <x:f>(($O244*AN244)/100)+(AO244*12)</x:f>
      </x:c>
      <x:c r="AQ244" s="47"/>
      <x:c r="AR244" s="60"/>
      <x:c r="AS244" s="58">
        <x:f>(($O244*AQ244)/100)+(AR244*12)</x:f>
      </x:c>
      <x:c r="AT244" s="47"/>
      <x:c r="AU244" s="60"/>
      <x:c r="AV244" s="58">
        <x:f>(($O244*AT244)/100)+(AU244*12)</x:f>
      </x:c>
      <x:c r="AW244" s="47"/>
      <x:c r="AX244" s="60"/>
      <x:c r="AY244" s="58">
        <x:f>(($O244*AW244)/100)+(AX244*12)</x:f>
      </x:c>
      <x:c r="AZ244" s="47"/>
      <x:c r="BA244" s="60"/>
      <x:c r="BB244" s="58">
        <x:f>(($O244*AZ244)/100)+(BA244*12)</x:f>
      </x:c>
      <x:c r="BC244" s="47"/>
      <x:c r="BD244" s="60"/>
      <x:c r="BE244" s="58">
        <x:f>(($O244*BC244)/100)+(BD244*12)</x:f>
      </x:c>
      <x:c r="BF244" s="47"/>
      <x:c r="BG244" s="60"/>
      <x:c r="BH244" s="58">
        <x:f>(($O244*BF244)/100)+(BG244*12)</x:f>
      </x:c>
      <x:c r="BI244" s="47"/>
      <x:c r="BJ244" s="60"/>
      <x:c r="BK244" s="58">
        <x:f>(($O244*BI244)/100)+(BJ244*12)</x:f>
      </x:c>
      <x:c r="BL244" s="47"/>
      <x:c r="BM244" s="60"/>
      <x:c r="BN244" s="58">
        <x:f>(($O244*BL244)/100)+(BM244*12)</x:f>
      </x:c>
      <x:c r="BO244" s="47"/>
      <x:c r="BP244" s="60"/>
      <x:c r="BQ244" s="58">
        <x:f>(($O244*BO244)/100)+(BP244*12)</x:f>
      </x:c>
      <x:c r="BR244" s="47"/>
      <x:c r="BS244" s="60"/>
      <x:c r="BT244" s="58">
        <x:f>(($O244*BR244)/100)+(BS244*12)</x:f>
      </x:c>
      <x:c r="BU244" s="47"/>
      <x:c r="BV244" s="60"/>
      <x:c r="BW244" s="58">
        <x:f>(($O244*BU244)/100)+(BV244*12)</x:f>
      </x:c>
      <x:c r="BX244" s="47"/>
      <x:c r="BY244" s="60"/>
      <x:c r="BZ244" s="58">
        <x:f>(($O244*BX244)/100)+(BY244*12)</x:f>
      </x:c>
      <x:c r="CA244" s="47"/>
      <x:c r="CB244" s="60"/>
      <x:c r="CC244" s="58">
        <x:f>(($O244*CA244)/100)+(CB244*12)</x:f>
      </x:c>
      <x:c r="CD244" s="47"/>
      <x:c r="CE244" s="60"/>
      <x:c r="CF244" s="58">
        <x:f>(($O244*CD244)/100)+(CE244*12)</x:f>
      </x:c>
      <x:c r="CG244" s="47"/>
      <x:c r="CH244" s="60"/>
      <x:c r="CI244" s="58">
        <x:f>(($O244*CG244)/100)+(CH244*12)</x:f>
      </x:c>
      <x:c r="CJ244" s="47"/>
      <x:c r="CK244" s="60"/>
      <x:c r="CL244" s="58">
        <x:f>(($O244*CJ244)/100)+(CK244*12)</x:f>
      </x:c>
      <x:c r="CM244" s="47"/>
      <x:c r="CN244" s="60"/>
      <x:c r="CO244" s="58">
        <x:f>(($O244*CM244)/100)+(CN244*12)</x:f>
      </x:c>
      <x:c r="CP244" s="47"/>
      <x:c r="CQ244" s="60"/>
      <x:c r="CR244" s="58">
        <x:f>(($O244*CP244)/100)+(CQ244*12)</x:f>
      </x:c>
      <x:c r="CS244" s="47"/>
      <x:c r="CT244" s="60"/>
      <x:c r="CU244" s="58">
        <x:f>(($O244*CS244)/100)+(CT244*12)</x:f>
      </x:c>
      <x:c r="CV244" s="47"/>
      <x:c r="CW244" s="60"/>
      <x:c r="CX244" s="58"/>
      <x:c r="CY244" s="47"/>
      <x:c r="CZ244" s="60"/>
      <x:c r="DA244" s="58"/>
      <x:c r="DB244" s="47"/>
      <x:c r="DC244" s="60"/>
      <x:c r="DD244" s="58"/>
      <x:c r="DE244" s="47"/>
      <x:c r="DF244" s="60"/>
      <x:c r="DG244" s="58"/>
      <x:c r="DH244" s="47"/>
      <x:c r="DI244" s="60"/>
      <x:c r="DJ244" s="58"/>
      <x:c r="DK244" s="47"/>
      <x:c r="DL244" s="60"/>
      <x:c r="DM244" s="58"/>
      <x:c r="DN244" s="11"/>
      <x:c r="DO244" s="61"/>
      <x:c r="DP244" s="62"/>
      <x:c r="DQ244" s="11"/>
      <x:c r="DR244" s="61"/>
      <x:c r="DS244" s="62"/>
      <x:c r="DT244" s="11"/>
      <x:c r="DU244" s="61"/>
      <x:c r="DV244" s="62"/>
    </x:row>
    <x:row r="245" spans="1:126" x14ac:dyDescent="0.3">
      <x:c r="A245" s="47"/>
      <x:c r="B245" s="70"/>
      <x:c r="C245" s="70"/>
      <x:c r="D245" s="70"/>
      <x:c r="E245" s="70"/>
      <x:c r="F245" s="70"/>
      <x:c r="G245" s="70"/>
      <x:c r="H245" s="70"/>
      <x:c r="I245" s="70"/>
      <x:c r="J245" s="70"/>
      <x:c r="K245" s="190"/>
      <x:c r="L245" s="191"/>
      <x:c r="M245" s="192">
        <x:f>IF(ISERROR(INDEX('Meter Type Data'!$B$2:$E$1165,SUMPRODUCT(--('Meter Type Data'!$B$2:$B$1165&lt;=Analysis!L245)*('Meter Type Data'!$C$2:$C$1165&gt;=Analysis!L245),ROW('Meter Type Data'!$B$2:$B$1165))-1,4))," ",INDEX('Meter Type Data'!$B$2:$E$1165,SUMPRODUCT(--('Meter Type Data'!$B$2:$B$1165&lt;=Analysis!L245)*('Meter Type Data'!$C$2:$C$1165&gt;=Analysis!L245),ROW('Meter Type Data'!$B$2:$B$1165))-1,4))</x:f>
      </x:c>
      <x:c r="N245" s="192">
        <x:f>IF(ISERROR(INDEX('Meter Type Data'!$B$2:$D$1165,SUMPRODUCT(--('Meter Type Data'!$B$2:$B$1165&lt;=Analysis!L245)*('Meter Type Data'!$C$2:$C$1165&gt;=Analysis!L245),ROW('Meter Type Data'!$B$2:$B$1165))-1,3))," ",INDEX('Meter Type Data'!$B$2:$D$1165,SUMPRODUCT(--('Meter Type Data'!$B$2:$B$1165&lt;=Analysis!L245)*('Meter Type Data'!$C$2:$C$1165&gt;=Analysis!L245),ROW('Meter Type Data'!$B$2:$B$1165))-1,3))</x:f>
      </x:c>
      <x:c r="O245" s="69"/>
      <x:c r="P245" s="47"/>
      <x:c r="Q245" s="60"/>
      <x:c r="R245" s="58">
        <x:f>(($O245*P245)/100)+(Q245*12)</x:f>
      </x:c>
      <x:c r="S245" s="59"/>
      <x:c r="T245" s="59"/>
      <x:c r="U245" s="58">
        <x:f>(($O245*S245)/100)+(T245*12)</x:f>
      </x:c>
      <x:c r="V245" s="47"/>
      <x:c r="W245" s="60"/>
      <x:c r="X245" s="58">
        <x:f>(($O245*V245)/100)+(W245*12)</x:f>
      </x:c>
      <x:c r="Y245" s="47"/>
      <x:c r="Z245" s="60"/>
      <x:c r="AA245" s="58">
        <x:f>(($O245*Y245)/100)+(Z245*12)</x:f>
      </x:c>
      <x:c r="AB245" s="47"/>
      <x:c r="AC245" s="60"/>
      <x:c r="AD245" s="58">
        <x:f>(($O245*AB245)/100)+(AC245*12)</x:f>
      </x:c>
      <x:c r="AE245" s="47"/>
      <x:c r="AF245" s="60"/>
      <x:c r="AG245" s="58">
        <x:f>(($O245*AE245)/100)+(AF245*12)</x:f>
      </x:c>
      <x:c r="AH245" s="47"/>
      <x:c r="AI245" s="60"/>
      <x:c r="AJ245" s="58">
        <x:f>(($O245*AH245)/100)+(AI245*12)</x:f>
      </x:c>
      <x:c r="AK245" s="47"/>
      <x:c r="AL245" s="60"/>
      <x:c r="AM245" s="58">
        <x:f>(($O245*AK245)/100)+(AL245*12)</x:f>
      </x:c>
      <x:c r="AN245" s="47"/>
      <x:c r="AO245" s="60"/>
      <x:c r="AP245" s="58">
        <x:f>(($O245*AN245)/100)+(AO245*12)</x:f>
      </x:c>
      <x:c r="AQ245" s="47"/>
      <x:c r="AR245" s="60"/>
      <x:c r="AS245" s="58">
        <x:f>(($O245*AQ245)/100)+(AR245*12)</x:f>
      </x:c>
      <x:c r="AT245" s="47"/>
      <x:c r="AU245" s="60"/>
      <x:c r="AV245" s="58">
        <x:f>(($O245*AT245)/100)+(AU245*12)</x:f>
      </x:c>
      <x:c r="AW245" s="47"/>
      <x:c r="AX245" s="60"/>
      <x:c r="AY245" s="58">
        <x:f>(($O245*AW245)/100)+(AX245*12)</x:f>
      </x:c>
      <x:c r="AZ245" s="47"/>
      <x:c r="BA245" s="60"/>
      <x:c r="BB245" s="58">
        <x:f>(($O245*AZ245)/100)+(BA245*12)</x:f>
      </x:c>
      <x:c r="BC245" s="47"/>
      <x:c r="BD245" s="60"/>
      <x:c r="BE245" s="58">
        <x:f>(($O245*BC245)/100)+(BD245*12)</x:f>
      </x:c>
      <x:c r="BF245" s="47"/>
      <x:c r="BG245" s="60"/>
      <x:c r="BH245" s="58">
        <x:f>(($O245*BF245)/100)+(BG245*12)</x:f>
      </x:c>
      <x:c r="BI245" s="47"/>
      <x:c r="BJ245" s="60"/>
      <x:c r="BK245" s="58">
        <x:f>(($O245*BI245)/100)+(BJ245*12)</x:f>
      </x:c>
      <x:c r="BL245" s="47"/>
      <x:c r="BM245" s="60"/>
      <x:c r="BN245" s="58">
        <x:f>(($O245*BL245)/100)+(BM245*12)</x:f>
      </x:c>
      <x:c r="BO245" s="47"/>
      <x:c r="BP245" s="60"/>
      <x:c r="BQ245" s="58">
        <x:f>(($O245*BO245)/100)+(BP245*12)</x:f>
      </x:c>
      <x:c r="BR245" s="47"/>
      <x:c r="BS245" s="60"/>
      <x:c r="BT245" s="58">
        <x:f>(($O245*BR245)/100)+(BS245*12)</x:f>
      </x:c>
      <x:c r="BU245" s="47"/>
      <x:c r="BV245" s="60"/>
      <x:c r="BW245" s="58">
        <x:f>(($O245*BU245)/100)+(BV245*12)</x:f>
      </x:c>
      <x:c r="BX245" s="47"/>
      <x:c r="BY245" s="60"/>
      <x:c r="BZ245" s="58">
        <x:f>(($O245*BX245)/100)+(BY245*12)</x:f>
      </x:c>
      <x:c r="CA245" s="47"/>
      <x:c r="CB245" s="60"/>
      <x:c r="CC245" s="58">
        <x:f>(($O245*CA245)/100)+(CB245*12)</x:f>
      </x:c>
      <x:c r="CD245" s="47"/>
      <x:c r="CE245" s="60"/>
      <x:c r="CF245" s="58">
        <x:f>(($O245*CD245)/100)+(CE245*12)</x:f>
      </x:c>
      <x:c r="CG245" s="47"/>
      <x:c r="CH245" s="60"/>
      <x:c r="CI245" s="58">
        <x:f>(($O245*CG245)/100)+(CH245*12)</x:f>
      </x:c>
      <x:c r="CJ245" s="47"/>
      <x:c r="CK245" s="60"/>
      <x:c r="CL245" s="58">
        <x:f>(($O245*CJ245)/100)+(CK245*12)</x:f>
      </x:c>
      <x:c r="CM245" s="47"/>
      <x:c r="CN245" s="60"/>
      <x:c r="CO245" s="58">
        <x:f>(($O245*CM245)/100)+(CN245*12)</x:f>
      </x:c>
      <x:c r="CP245" s="47"/>
      <x:c r="CQ245" s="60"/>
      <x:c r="CR245" s="58">
        <x:f>(($O245*CP245)/100)+(CQ245*12)</x:f>
      </x:c>
      <x:c r="CS245" s="47"/>
      <x:c r="CT245" s="60"/>
      <x:c r="CU245" s="58">
        <x:f>(($O245*CS245)/100)+(CT245*12)</x:f>
      </x:c>
      <x:c r="CV245" s="47"/>
      <x:c r="CW245" s="60"/>
      <x:c r="CX245" s="58"/>
      <x:c r="CY245" s="47"/>
      <x:c r="CZ245" s="60"/>
      <x:c r="DA245" s="58"/>
      <x:c r="DB245" s="47"/>
      <x:c r="DC245" s="60"/>
      <x:c r="DD245" s="58"/>
      <x:c r="DE245" s="47"/>
      <x:c r="DF245" s="60"/>
      <x:c r="DG245" s="58"/>
      <x:c r="DH245" s="47"/>
      <x:c r="DI245" s="60"/>
      <x:c r="DJ245" s="58"/>
      <x:c r="DK245" s="47"/>
      <x:c r="DL245" s="60"/>
      <x:c r="DM245" s="58"/>
      <x:c r="DN245" s="11"/>
      <x:c r="DO245" s="61"/>
      <x:c r="DP245" s="62"/>
      <x:c r="DQ245" s="11"/>
      <x:c r="DR245" s="61"/>
      <x:c r="DS245" s="62"/>
      <x:c r="DT245" s="11"/>
      <x:c r="DU245" s="61"/>
      <x:c r="DV245" s="62"/>
    </x:row>
    <x:row r="246" spans="1:126" x14ac:dyDescent="0.3">
      <x:c r="A246" s="47"/>
      <x:c r="B246" s="70"/>
      <x:c r="C246" s="70"/>
      <x:c r="D246" s="70"/>
      <x:c r="E246" s="70"/>
      <x:c r="F246" s="70"/>
      <x:c r="G246" s="70"/>
      <x:c r="H246" s="70"/>
      <x:c r="I246" s="70"/>
      <x:c r="J246" s="70"/>
      <x:c r="K246" s="190"/>
      <x:c r="L246" s="191"/>
      <x:c r="M246" s="192">
        <x:f>IF(ISERROR(INDEX('Meter Type Data'!$B$2:$E$1165,SUMPRODUCT(--('Meter Type Data'!$B$2:$B$1165&lt;=Analysis!L246)*('Meter Type Data'!$C$2:$C$1165&gt;=Analysis!L246),ROW('Meter Type Data'!$B$2:$B$1165))-1,4))," ",INDEX('Meter Type Data'!$B$2:$E$1165,SUMPRODUCT(--('Meter Type Data'!$B$2:$B$1165&lt;=Analysis!L246)*('Meter Type Data'!$C$2:$C$1165&gt;=Analysis!L246),ROW('Meter Type Data'!$B$2:$B$1165))-1,4))</x:f>
      </x:c>
      <x:c r="N246" s="192">
        <x:f>IF(ISERROR(INDEX('Meter Type Data'!$B$2:$D$1165,SUMPRODUCT(--('Meter Type Data'!$B$2:$B$1165&lt;=Analysis!L246)*('Meter Type Data'!$C$2:$C$1165&gt;=Analysis!L246),ROW('Meter Type Data'!$B$2:$B$1165))-1,3))," ",INDEX('Meter Type Data'!$B$2:$D$1165,SUMPRODUCT(--('Meter Type Data'!$B$2:$B$1165&lt;=Analysis!L246)*('Meter Type Data'!$C$2:$C$1165&gt;=Analysis!L246),ROW('Meter Type Data'!$B$2:$B$1165))-1,3))</x:f>
      </x:c>
      <x:c r="O246" s="69"/>
      <x:c r="P246" s="47"/>
      <x:c r="Q246" s="60"/>
      <x:c r="R246" s="58">
        <x:f>(($O246*P246)/100)+(Q246*12)</x:f>
      </x:c>
      <x:c r="S246" s="59"/>
      <x:c r="T246" s="59"/>
      <x:c r="U246" s="58">
        <x:f>(($O246*S246)/100)+(T246*12)</x:f>
      </x:c>
      <x:c r="V246" s="47"/>
      <x:c r="W246" s="60"/>
      <x:c r="X246" s="58">
        <x:f>(($O246*V246)/100)+(W246*12)</x:f>
      </x:c>
      <x:c r="Y246" s="47"/>
      <x:c r="Z246" s="60"/>
      <x:c r="AA246" s="58">
        <x:f>(($O246*Y246)/100)+(Z246*12)</x:f>
      </x:c>
      <x:c r="AB246" s="47"/>
      <x:c r="AC246" s="60"/>
      <x:c r="AD246" s="58">
        <x:f>(($O246*AB246)/100)+(AC246*12)</x:f>
      </x:c>
      <x:c r="AE246" s="47"/>
      <x:c r="AF246" s="60"/>
      <x:c r="AG246" s="58">
        <x:f>(($O246*AE246)/100)+(AF246*12)</x:f>
      </x:c>
      <x:c r="AH246" s="47"/>
      <x:c r="AI246" s="60"/>
      <x:c r="AJ246" s="58">
        <x:f>(($O246*AH246)/100)+(AI246*12)</x:f>
      </x:c>
      <x:c r="AK246" s="47"/>
      <x:c r="AL246" s="60"/>
      <x:c r="AM246" s="58">
        <x:f>(($O246*AK246)/100)+(AL246*12)</x:f>
      </x:c>
      <x:c r="AN246" s="47"/>
      <x:c r="AO246" s="60"/>
      <x:c r="AP246" s="58">
        <x:f>(($O246*AN246)/100)+(AO246*12)</x:f>
      </x:c>
      <x:c r="AQ246" s="47"/>
      <x:c r="AR246" s="60"/>
      <x:c r="AS246" s="58">
        <x:f>(($O246*AQ246)/100)+(AR246*12)</x:f>
      </x:c>
      <x:c r="AT246" s="47"/>
      <x:c r="AU246" s="60"/>
      <x:c r="AV246" s="58">
        <x:f>(($O246*AT246)/100)+(AU246*12)</x:f>
      </x:c>
      <x:c r="AW246" s="47"/>
      <x:c r="AX246" s="60"/>
      <x:c r="AY246" s="58">
        <x:f>(($O246*AW246)/100)+(AX246*12)</x:f>
      </x:c>
      <x:c r="AZ246" s="47"/>
      <x:c r="BA246" s="60"/>
      <x:c r="BB246" s="58">
        <x:f>(($O246*AZ246)/100)+(BA246*12)</x:f>
      </x:c>
      <x:c r="BC246" s="47"/>
      <x:c r="BD246" s="60"/>
      <x:c r="BE246" s="58">
        <x:f>(($O246*BC246)/100)+(BD246*12)</x:f>
      </x:c>
      <x:c r="BF246" s="47"/>
      <x:c r="BG246" s="60"/>
      <x:c r="BH246" s="58">
        <x:f>(($O246*BF246)/100)+(BG246*12)</x:f>
      </x:c>
      <x:c r="BI246" s="47"/>
      <x:c r="BJ246" s="60"/>
      <x:c r="BK246" s="58">
        <x:f>(($O246*BI246)/100)+(BJ246*12)</x:f>
      </x:c>
      <x:c r="BL246" s="47"/>
      <x:c r="BM246" s="60"/>
      <x:c r="BN246" s="58">
        <x:f>(($O246*BL246)/100)+(BM246*12)</x:f>
      </x:c>
      <x:c r="BO246" s="47"/>
      <x:c r="BP246" s="60"/>
      <x:c r="BQ246" s="58">
        <x:f>(($O246*BO246)/100)+(BP246*12)</x:f>
      </x:c>
      <x:c r="BR246" s="47"/>
      <x:c r="BS246" s="60"/>
      <x:c r="BT246" s="58">
        <x:f>(($O246*BR246)/100)+(BS246*12)</x:f>
      </x:c>
      <x:c r="BU246" s="47"/>
      <x:c r="BV246" s="60"/>
      <x:c r="BW246" s="58">
        <x:f>(($O246*BU246)/100)+(BV246*12)</x:f>
      </x:c>
      <x:c r="BX246" s="47"/>
      <x:c r="BY246" s="60"/>
      <x:c r="BZ246" s="58">
        <x:f>(($O246*BX246)/100)+(BY246*12)</x:f>
      </x:c>
      <x:c r="CA246" s="47"/>
      <x:c r="CB246" s="60"/>
      <x:c r="CC246" s="58">
        <x:f>(($O246*CA246)/100)+(CB246*12)</x:f>
      </x:c>
      <x:c r="CD246" s="47"/>
      <x:c r="CE246" s="60"/>
      <x:c r="CF246" s="58">
        <x:f>(($O246*CD246)/100)+(CE246*12)</x:f>
      </x:c>
      <x:c r="CG246" s="47"/>
      <x:c r="CH246" s="60"/>
      <x:c r="CI246" s="58">
        <x:f>(($O246*CG246)/100)+(CH246*12)</x:f>
      </x:c>
      <x:c r="CJ246" s="47"/>
      <x:c r="CK246" s="60"/>
      <x:c r="CL246" s="58">
        <x:f>(($O246*CJ246)/100)+(CK246*12)</x:f>
      </x:c>
      <x:c r="CM246" s="47"/>
      <x:c r="CN246" s="60"/>
      <x:c r="CO246" s="58">
        <x:f>(($O246*CM246)/100)+(CN246*12)</x:f>
      </x:c>
      <x:c r="CP246" s="47"/>
      <x:c r="CQ246" s="60"/>
      <x:c r="CR246" s="58">
        <x:f>(($O246*CP246)/100)+(CQ246*12)</x:f>
      </x:c>
      <x:c r="CS246" s="47"/>
      <x:c r="CT246" s="60"/>
      <x:c r="CU246" s="58">
        <x:f>(($O246*CS246)/100)+(CT246*12)</x:f>
      </x:c>
      <x:c r="CV246" s="47"/>
      <x:c r="CW246" s="60"/>
      <x:c r="CX246" s="58"/>
      <x:c r="CY246" s="47"/>
      <x:c r="CZ246" s="60"/>
      <x:c r="DA246" s="58"/>
      <x:c r="DB246" s="47"/>
      <x:c r="DC246" s="60"/>
      <x:c r="DD246" s="58"/>
      <x:c r="DE246" s="47"/>
      <x:c r="DF246" s="60"/>
      <x:c r="DG246" s="58"/>
      <x:c r="DH246" s="47"/>
      <x:c r="DI246" s="60"/>
      <x:c r="DJ246" s="58"/>
      <x:c r="DK246" s="47"/>
      <x:c r="DL246" s="60"/>
      <x:c r="DM246" s="58"/>
      <x:c r="DN246" s="11"/>
      <x:c r="DO246" s="61"/>
      <x:c r="DP246" s="62"/>
      <x:c r="DQ246" s="11"/>
      <x:c r="DR246" s="61"/>
      <x:c r="DS246" s="62"/>
      <x:c r="DT246" s="11"/>
      <x:c r="DU246" s="61"/>
      <x:c r="DV246" s="62"/>
    </x:row>
    <x:row r="247" spans="1:126" x14ac:dyDescent="0.3">
      <x:c r="A247" s="47"/>
      <x:c r="B247" s="70"/>
      <x:c r="C247" s="70"/>
      <x:c r="D247" s="70"/>
      <x:c r="E247" s="70"/>
      <x:c r="F247" s="70"/>
      <x:c r="G247" s="70"/>
      <x:c r="H247" s="70"/>
      <x:c r="I247" s="70"/>
      <x:c r="J247" s="70"/>
      <x:c r="K247" s="190"/>
      <x:c r="L247" s="191"/>
      <x:c r="M247" s="192">
        <x:f>IF(ISERROR(INDEX('Meter Type Data'!$B$2:$E$1165,SUMPRODUCT(--('Meter Type Data'!$B$2:$B$1165&lt;=Analysis!L247)*('Meter Type Data'!$C$2:$C$1165&gt;=Analysis!L247),ROW('Meter Type Data'!$B$2:$B$1165))-1,4))," ",INDEX('Meter Type Data'!$B$2:$E$1165,SUMPRODUCT(--('Meter Type Data'!$B$2:$B$1165&lt;=Analysis!L247)*('Meter Type Data'!$C$2:$C$1165&gt;=Analysis!L247),ROW('Meter Type Data'!$B$2:$B$1165))-1,4))</x:f>
      </x:c>
      <x:c r="N247" s="192">
        <x:f>IF(ISERROR(INDEX('Meter Type Data'!$B$2:$D$1165,SUMPRODUCT(--('Meter Type Data'!$B$2:$B$1165&lt;=Analysis!L247)*('Meter Type Data'!$C$2:$C$1165&gt;=Analysis!L247),ROW('Meter Type Data'!$B$2:$B$1165))-1,3))," ",INDEX('Meter Type Data'!$B$2:$D$1165,SUMPRODUCT(--('Meter Type Data'!$B$2:$B$1165&lt;=Analysis!L247)*('Meter Type Data'!$C$2:$C$1165&gt;=Analysis!L247),ROW('Meter Type Data'!$B$2:$B$1165))-1,3))</x:f>
      </x:c>
      <x:c r="O247" s="69"/>
      <x:c r="P247" s="47"/>
      <x:c r="Q247" s="60"/>
      <x:c r="R247" s="58">
        <x:f>(($O247*P247)/100)+(Q247*12)</x:f>
      </x:c>
      <x:c r="S247" s="59"/>
      <x:c r="T247" s="59"/>
      <x:c r="U247" s="58">
        <x:f>(($O247*S247)/100)+(T247*12)</x:f>
      </x:c>
      <x:c r="V247" s="47"/>
      <x:c r="W247" s="60"/>
      <x:c r="X247" s="58">
        <x:f>(($O247*V247)/100)+(W247*12)</x:f>
      </x:c>
      <x:c r="Y247" s="47"/>
      <x:c r="Z247" s="60"/>
      <x:c r="AA247" s="58">
        <x:f>(($O247*Y247)/100)+(Z247*12)</x:f>
      </x:c>
      <x:c r="AB247" s="47"/>
      <x:c r="AC247" s="60"/>
      <x:c r="AD247" s="58">
        <x:f>(($O247*AB247)/100)+(AC247*12)</x:f>
      </x:c>
      <x:c r="AE247" s="47"/>
      <x:c r="AF247" s="60"/>
      <x:c r="AG247" s="58">
        <x:f>(($O247*AE247)/100)+(AF247*12)</x:f>
      </x:c>
      <x:c r="AH247" s="47"/>
      <x:c r="AI247" s="60"/>
      <x:c r="AJ247" s="58">
        <x:f>(($O247*AH247)/100)+(AI247*12)</x:f>
      </x:c>
      <x:c r="AK247" s="47"/>
      <x:c r="AL247" s="60"/>
      <x:c r="AM247" s="58">
        <x:f>(($O247*AK247)/100)+(AL247*12)</x:f>
      </x:c>
      <x:c r="AN247" s="47"/>
      <x:c r="AO247" s="60"/>
      <x:c r="AP247" s="58">
        <x:f>(($O247*AN247)/100)+(AO247*12)</x:f>
      </x:c>
      <x:c r="AQ247" s="47"/>
      <x:c r="AR247" s="60"/>
      <x:c r="AS247" s="58">
        <x:f>(($O247*AQ247)/100)+(AR247*12)</x:f>
      </x:c>
      <x:c r="AT247" s="47"/>
      <x:c r="AU247" s="60"/>
      <x:c r="AV247" s="58">
        <x:f>(($O247*AT247)/100)+(AU247*12)</x:f>
      </x:c>
      <x:c r="AW247" s="47"/>
      <x:c r="AX247" s="60"/>
      <x:c r="AY247" s="58">
        <x:f>(($O247*AW247)/100)+(AX247*12)</x:f>
      </x:c>
      <x:c r="AZ247" s="47"/>
      <x:c r="BA247" s="60"/>
      <x:c r="BB247" s="58">
        <x:f>(($O247*AZ247)/100)+(BA247*12)</x:f>
      </x:c>
      <x:c r="BC247" s="47"/>
      <x:c r="BD247" s="60"/>
      <x:c r="BE247" s="58">
        <x:f>(($O247*BC247)/100)+(BD247*12)</x:f>
      </x:c>
      <x:c r="BF247" s="47"/>
      <x:c r="BG247" s="60"/>
      <x:c r="BH247" s="58">
        <x:f>(($O247*BF247)/100)+(BG247*12)</x:f>
      </x:c>
      <x:c r="BI247" s="47"/>
      <x:c r="BJ247" s="60"/>
      <x:c r="BK247" s="58">
        <x:f>(($O247*BI247)/100)+(BJ247*12)</x:f>
      </x:c>
      <x:c r="BL247" s="47"/>
      <x:c r="BM247" s="60"/>
      <x:c r="BN247" s="58">
        <x:f>(($O247*BL247)/100)+(BM247*12)</x:f>
      </x:c>
      <x:c r="BO247" s="47"/>
      <x:c r="BP247" s="60"/>
      <x:c r="BQ247" s="58">
        <x:f>(($O247*BO247)/100)+(BP247*12)</x:f>
      </x:c>
      <x:c r="BR247" s="47"/>
      <x:c r="BS247" s="60"/>
      <x:c r="BT247" s="58">
        <x:f>(($O247*BR247)/100)+(BS247*12)</x:f>
      </x:c>
      <x:c r="BU247" s="47"/>
      <x:c r="BV247" s="60"/>
      <x:c r="BW247" s="58">
        <x:f>(($O247*BU247)/100)+(BV247*12)</x:f>
      </x:c>
      <x:c r="BX247" s="47"/>
      <x:c r="BY247" s="60"/>
      <x:c r="BZ247" s="58">
        <x:f>(($O247*BX247)/100)+(BY247*12)</x:f>
      </x:c>
      <x:c r="CA247" s="47"/>
      <x:c r="CB247" s="60"/>
      <x:c r="CC247" s="58">
        <x:f>(($O247*CA247)/100)+(CB247*12)</x:f>
      </x:c>
      <x:c r="CD247" s="47"/>
      <x:c r="CE247" s="60"/>
      <x:c r="CF247" s="58">
        <x:f>(($O247*CD247)/100)+(CE247*12)</x:f>
      </x:c>
      <x:c r="CG247" s="47"/>
      <x:c r="CH247" s="60"/>
      <x:c r="CI247" s="58">
        <x:f>(($O247*CG247)/100)+(CH247*12)</x:f>
      </x:c>
      <x:c r="CJ247" s="47"/>
      <x:c r="CK247" s="60"/>
      <x:c r="CL247" s="58">
        <x:f>(($O247*CJ247)/100)+(CK247*12)</x:f>
      </x:c>
      <x:c r="CM247" s="47"/>
      <x:c r="CN247" s="60"/>
      <x:c r="CO247" s="58">
        <x:f>(($O247*CM247)/100)+(CN247*12)</x:f>
      </x:c>
      <x:c r="CP247" s="47"/>
      <x:c r="CQ247" s="60"/>
      <x:c r="CR247" s="58">
        <x:f>(($O247*CP247)/100)+(CQ247*12)</x:f>
      </x:c>
      <x:c r="CS247" s="47"/>
      <x:c r="CT247" s="60"/>
      <x:c r="CU247" s="58">
        <x:f>(($O247*CS247)/100)+(CT247*12)</x:f>
      </x:c>
      <x:c r="CV247" s="47"/>
      <x:c r="CW247" s="60"/>
      <x:c r="CX247" s="58"/>
      <x:c r="CY247" s="47"/>
      <x:c r="CZ247" s="60"/>
      <x:c r="DA247" s="58"/>
      <x:c r="DB247" s="47"/>
      <x:c r="DC247" s="60"/>
      <x:c r="DD247" s="58"/>
      <x:c r="DE247" s="47"/>
      <x:c r="DF247" s="60"/>
      <x:c r="DG247" s="58"/>
      <x:c r="DH247" s="47"/>
      <x:c r="DI247" s="60"/>
      <x:c r="DJ247" s="58"/>
      <x:c r="DK247" s="47"/>
      <x:c r="DL247" s="60"/>
      <x:c r="DM247" s="58"/>
      <x:c r="DN247" s="11"/>
      <x:c r="DO247" s="61"/>
      <x:c r="DP247" s="62"/>
      <x:c r="DQ247" s="11"/>
      <x:c r="DR247" s="61"/>
      <x:c r="DS247" s="62"/>
      <x:c r="DT247" s="11"/>
      <x:c r="DU247" s="61"/>
      <x:c r="DV247" s="62"/>
    </x:row>
    <x:row r="248" spans="1:126" x14ac:dyDescent="0.3">
      <x:c r="A248" s="47"/>
      <x:c r="B248" s="70"/>
      <x:c r="C248" s="70"/>
      <x:c r="D248" s="70"/>
      <x:c r="E248" s="70"/>
      <x:c r="F248" s="70"/>
      <x:c r="G248" s="70"/>
      <x:c r="H248" s="70"/>
      <x:c r="I248" s="70"/>
      <x:c r="J248" s="70"/>
      <x:c r="K248" s="190"/>
      <x:c r="L248" s="191"/>
      <x:c r="M248" s="192">
        <x:f>IF(ISERROR(INDEX('Meter Type Data'!$B$2:$E$1165,SUMPRODUCT(--('Meter Type Data'!$B$2:$B$1165&lt;=Analysis!L248)*('Meter Type Data'!$C$2:$C$1165&gt;=Analysis!L248),ROW('Meter Type Data'!$B$2:$B$1165))-1,4))," ",INDEX('Meter Type Data'!$B$2:$E$1165,SUMPRODUCT(--('Meter Type Data'!$B$2:$B$1165&lt;=Analysis!L248)*('Meter Type Data'!$C$2:$C$1165&gt;=Analysis!L248),ROW('Meter Type Data'!$B$2:$B$1165))-1,4))</x:f>
      </x:c>
      <x:c r="N248" s="192">
        <x:f>IF(ISERROR(INDEX('Meter Type Data'!$B$2:$D$1165,SUMPRODUCT(--('Meter Type Data'!$B$2:$B$1165&lt;=Analysis!L248)*('Meter Type Data'!$C$2:$C$1165&gt;=Analysis!L248),ROW('Meter Type Data'!$B$2:$B$1165))-1,3))," ",INDEX('Meter Type Data'!$B$2:$D$1165,SUMPRODUCT(--('Meter Type Data'!$B$2:$B$1165&lt;=Analysis!L248)*('Meter Type Data'!$C$2:$C$1165&gt;=Analysis!L248),ROW('Meter Type Data'!$B$2:$B$1165))-1,3))</x:f>
      </x:c>
      <x:c r="O248" s="69"/>
      <x:c r="P248" s="47"/>
      <x:c r="Q248" s="60"/>
      <x:c r="R248" s="58">
        <x:f>(($O248*P248)/100)+(Q248*12)</x:f>
      </x:c>
      <x:c r="S248" s="59"/>
      <x:c r="T248" s="59"/>
      <x:c r="U248" s="58">
        <x:f>(($O248*S248)/100)+(T248*12)</x:f>
      </x:c>
      <x:c r="V248" s="47"/>
      <x:c r="W248" s="60"/>
      <x:c r="X248" s="58">
        <x:f>(($O248*V248)/100)+(W248*12)</x:f>
      </x:c>
      <x:c r="Y248" s="47"/>
      <x:c r="Z248" s="60"/>
      <x:c r="AA248" s="58">
        <x:f>(($O248*Y248)/100)+(Z248*12)</x:f>
      </x:c>
      <x:c r="AB248" s="47"/>
      <x:c r="AC248" s="60"/>
      <x:c r="AD248" s="58">
        <x:f>(($O248*AB248)/100)+(AC248*12)</x:f>
      </x:c>
      <x:c r="AE248" s="47"/>
      <x:c r="AF248" s="60"/>
      <x:c r="AG248" s="58">
        <x:f>(($O248*AE248)/100)+(AF248*12)</x:f>
      </x:c>
      <x:c r="AH248" s="47"/>
      <x:c r="AI248" s="60"/>
      <x:c r="AJ248" s="58">
        <x:f>(($O248*AH248)/100)+(AI248*12)</x:f>
      </x:c>
      <x:c r="AK248" s="47"/>
      <x:c r="AL248" s="60"/>
      <x:c r="AM248" s="58">
        <x:f>(($O248*AK248)/100)+(AL248*12)</x:f>
      </x:c>
      <x:c r="AN248" s="47"/>
      <x:c r="AO248" s="60"/>
      <x:c r="AP248" s="58">
        <x:f>(($O248*AN248)/100)+(AO248*12)</x:f>
      </x:c>
      <x:c r="AQ248" s="47"/>
      <x:c r="AR248" s="60"/>
      <x:c r="AS248" s="58">
        <x:f>(($O248*AQ248)/100)+(AR248*12)</x:f>
      </x:c>
      <x:c r="AT248" s="47"/>
      <x:c r="AU248" s="60"/>
      <x:c r="AV248" s="58">
        <x:f>(($O248*AT248)/100)+(AU248*12)</x:f>
      </x:c>
      <x:c r="AW248" s="47"/>
      <x:c r="AX248" s="60"/>
      <x:c r="AY248" s="58">
        <x:f>(($O248*AW248)/100)+(AX248*12)</x:f>
      </x:c>
      <x:c r="AZ248" s="47"/>
      <x:c r="BA248" s="60"/>
      <x:c r="BB248" s="58">
        <x:f>(($O248*AZ248)/100)+(BA248*12)</x:f>
      </x:c>
      <x:c r="BC248" s="47"/>
      <x:c r="BD248" s="60"/>
      <x:c r="BE248" s="58">
        <x:f>(($O248*BC248)/100)+(BD248*12)</x:f>
      </x:c>
      <x:c r="BF248" s="47"/>
      <x:c r="BG248" s="60"/>
      <x:c r="BH248" s="58">
        <x:f>(($O248*BF248)/100)+(BG248*12)</x:f>
      </x:c>
      <x:c r="BI248" s="47"/>
      <x:c r="BJ248" s="60"/>
      <x:c r="BK248" s="58">
        <x:f>(($O248*BI248)/100)+(BJ248*12)</x:f>
      </x:c>
      <x:c r="BL248" s="47"/>
      <x:c r="BM248" s="60"/>
      <x:c r="BN248" s="58">
        <x:f>(($O248*BL248)/100)+(BM248*12)</x:f>
      </x:c>
      <x:c r="BO248" s="47"/>
      <x:c r="BP248" s="60"/>
      <x:c r="BQ248" s="58">
        <x:f>(($O248*BO248)/100)+(BP248*12)</x:f>
      </x:c>
      <x:c r="BR248" s="47"/>
      <x:c r="BS248" s="60"/>
      <x:c r="BT248" s="58">
        <x:f>(($O248*BR248)/100)+(BS248*12)</x:f>
      </x:c>
      <x:c r="BU248" s="47"/>
      <x:c r="BV248" s="60"/>
      <x:c r="BW248" s="58">
        <x:f>(($O248*BU248)/100)+(BV248*12)</x:f>
      </x:c>
      <x:c r="BX248" s="47"/>
      <x:c r="BY248" s="60"/>
      <x:c r="BZ248" s="58">
        <x:f>(($O248*BX248)/100)+(BY248*12)</x:f>
      </x:c>
      <x:c r="CA248" s="47"/>
      <x:c r="CB248" s="60"/>
      <x:c r="CC248" s="58">
        <x:f>(($O248*CA248)/100)+(CB248*12)</x:f>
      </x:c>
      <x:c r="CD248" s="47"/>
      <x:c r="CE248" s="60"/>
      <x:c r="CF248" s="58">
        <x:f>(($O248*CD248)/100)+(CE248*12)</x:f>
      </x:c>
      <x:c r="CG248" s="47"/>
      <x:c r="CH248" s="60"/>
      <x:c r="CI248" s="58">
        <x:f>(($O248*CG248)/100)+(CH248*12)</x:f>
      </x:c>
      <x:c r="CJ248" s="47"/>
      <x:c r="CK248" s="60"/>
      <x:c r="CL248" s="58">
        <x:f>(($O248*CJ248)/100)+(CK248*12)</x:f>
      </x:c>
      <x:c r="CM248" s="47"/>
      <x:c r="CN248" s="60"/>
      <x:c r="CO248" s="58">
        <x:f>(($O248*CM248)/100)+(CN248*12)</x:f>
      </x:c>
      <x:c r="CP248" s="47"/>
      <x:c r="CQ248" s="60"/>
      <x:c r="CR248" s="58">
        <x:f>(($O248*CP248)/100)+(CQ248*12)</x:f>
      </x:c>
      <x:c r="CS248" s="47"/>
      <x:c r="CT248" s="60"/>
      <x:c r="CU248" s="58">
        <x:f>(($O248*CS248)/100)+(CT248*12)</x:f>
      </x:c>
      <x:c r="CV248" s="47"/>
      <x:c r="CW248" s="60"/>
      <x:c r="CX248" s="58"/>
      <x:c r="CY248" s="47"/>
      <x:c r="CZ248" s="60"/>
      <x:c r="DA248" s="58"/>
      <x:c r="DB248" s="47"/>
      <x:c r="DC248" s="60"/>
      <x:c r="DD248" s="58"/>
      <x:c r="DE248" s="47"/>
      <x:c r="DF248" s="60"/>
      <x:c r="DG248" s="58"/>
      <x:c r="DH248" s="47"/>
      <x:c r="DI248" s="60"/>
      <x:c r="DJ248" s="58"/>
      <x:c r="DK248" s="47"/>
      <x:c r="DL248" s="60"/>
      <x:c r="DM248" s="58"/>
      <x:c r="DN248" s="11"/>
      <x:c r="DO248" s="61"/>
      <x:c r="DP248" s="62"/>
      <x:c r="DQ248" s="11"/>
      <x:c r="DR248" s="61"/>
      <x:c r="DS248" s="62"/>
      <x:c r="DT248" s="11"/>
      <x:c r="DU248" s="61"/>
      <x:c r="DV248" s="62"/>
    </x:row>
    <x:row r="249" spans="1:126" x14ac:dyDescent="0.3">
      <x:c r="A249" s="47"/>
      <x:c r="B249" s="70"/>
      <x:c r="C249" s="70"/>
      <x:c r="D249" s="70"/>
      <x:c r="E249" s="70"/>
      <x:c r="F249" s="70"/>
      <x:c r="G249" s="70"/>
      <x:c r="H249" s="70"/>
      <x:c r="I249" s="70"/>
      <x:c r="J249" s="70"/>
      <x:c r="K249" s="190"/>
      <x:c r="L249" s="191"/>
      <x:c r="M249" s="192">
        <x:f>IF(ISERROR(INDEX('Meter Type Data'!$B$2:$E$1165,SUMPRODUCT(--('Meter Type Data'!$B$2:$B$1165&lt;=Analysis!L249)*('Meter Type Data'!$C$2:$C$1165&gt;=Analysis!L249),ROW('Meter Type Data'!$B$2:$B$1165))-1,4))," ",INDEX('Meter Type Data'!$B$2:$E$1165,SUMPRODUCT(--('Meter Type Data'!$B$2:$B$1165&lt;=Analysis!L249)*('Meter Type Data'!$C$2:$C$1165&gt;=Analysis!L249),ROW('Meter Type Data'!$B$2:$B$1165))-1,4))</x:f>
      </x:c>
      <x:c r="N249" s="192">
        <x:f>IF(ISERROR(INDEX('Meter Type Data'!$B$2:$D$1165,SUMPRODUCT(--('Meter Type Data'!$B$2:$B$1165&lt;=Analysis!L249)*('Meter Type Data'!$C$2:$C$1165&gt;=Analysis!L249),ROW('Meter Type Data'!$B$2:$B$1165))-1,3))," ",INDEX('Meter Type Data'!$B$2:$D$1165,SUMPRODUCT(--('Meter Type Data'!$B$2:$B$1165&lt;=Analysis!L249)*('Meter Type Data'!$C$2:$C$1165&gt;=Analysis!L249),ROW('Meter Type Data'!$B$2:$B$1165))-1,3))</x:f>
      </x:c>
      <x:c r="O249" s="69"/>
      <x:c r="P249" s="47"/>
      <x:c r="Q249" s="60"/>
      <x:c r="R249" s="58">
        <x:f>(($O249*P249)/100)+(Q249*12)</x:f>
      </x:c>
      <x:c r="S249" s="59"/>
      <x:c r="T249" s="59"/>
      <x:c r="U249" s="58">
        <x:f>(($O249*S249)/100)+(T249*12)</x:f>
      </x:c>
      <x:c r="V249" s="47"/>
      <x:c r="W249" s="60"/>
      <x:c r="X249" s="58">
        <x:f>(($O249*V249)/100)+(W249*12)</x:f>
      </x:c>
      <x:c r="Y249" s="47"/>
      <x:c r="Z249" s="60"/>
      <x:c r="AA249" s="58">
        <x:f>(($O249*Y249)/100)+(Z249*12)</x:f>
      </x:c>
      <x:c r="AB249" s="47"/>
      <x:c r="AC249" s="60"/>
      <x:c r="AD249" s="58">
        <x:f>(($O249*AB249)/100)+(AC249*12)</x:f>
      </x:c>
      <x:c r="AE249" s="47"/>
      <x:c r="AF249" s="60"/>
      <x:c r="AG249" s="58">
        <x:f>(($O249*AE249)/100)+(AF249*12)</x:f>
      </x:c>
      <x:c r="AH249" s="47"/>
      <x:c r="AI249" s="60"/>
      <x:c r="AJ249" s="58">
        <x:f>(($O249*AH249)/100)+(AI249*12)</x:f>
      </x:c>
      <x:c r="AK249" s="47"/>
      <x:c r="AL249" s="60"/>
      <x:c r="AM249" s="58">
        <x:f>(($O249*AK249)/100)+(AL249*12)</x:f>
      </x:c>
      <x:c r="AN249" s="47"/>
      <x:c r="AO249" s="60"/>
      <x:c r="AP249" s="58">
        <x:f>(($O249*AN249)/100)+(AO249*12)</x:f>
      </x:c>
      <x:c r="AQ249" s="47"/>
      <x:c r="AR249" s="60"/>
      <x:c r="AS249" s="58">
        <x:f>(($O249*AQ249)/100)+(AR249*12)</x:f>
      </x:c>
      <x:c r="AT249" s="47"/>
      <x:c r="AU249" s="60"/>
      <x:c r="AV249" s="58">
        <x:f>(($O249*AT249)/100)+(AU249*12)</x:f>
      </x:c>
      <x:c r="AW249" s="47"/>
      <x:c r="AX249" s="60"/>
      <x:c r="AY249" s="58">
        <x:f>(($O249*AW249)/100)+(AX249*12)</x:f>
      </x:c>
      <x:c r="AZ249" s="47"/>
      <x:c r="BA249" s="60"/>
      <x:c r="BB249" s="58">
        <x:f>(($O249*AZ249)/100)+(BA249*12)</x:f>
      </x:c>
      <x:c r="BC249" s="47"/>
      <x:c r="BD249" s="60"/>
      <x:c r="BE249" s="58">
        <x:f>(($O249*BC249)/100)+(BD249*12)</x:f>
      </x:c>
      <x:c r="BF249" s="47"/>
      <x:c r="BG249" s="60"/>
      <x:c r="BH249" s="58">
        <x:f>(($O249*BF249)/100)+(BG249*12)</x:f>
      </x:c>
      <x:c r="BI249" s="47"/>
      <x:c r="BJ249" s="60"/>
      <x:c r="BK249" s="58">
        <x:f>(($O249*BI249)/100)+(BJ249*12)</x:f>
      </x:c>
      <x:c r="BL249" s="47"/>
      <x:c r="BM249" s="60"/>
      <x:c r="BN249" s="58">
        <x:f>(($O249*BL249)/100)+(BM249*12)</x:f>
      </x:c>
      <x:c r="BO249" s="47"/>
      <x:c r="BP249" s="60"/>
      <x:c r="BQ249" s="58">
        <x:f>(($O249*BO249)/100)+(BP249*12)</x:f>
      </x:c>
      <x:c r="BR249" s="47"/>
      <x:c r="BS249" s="60"/>
      <x:c r="BT249" s="58">
        <x:f>(($O249*BR249)/100)+(BS249*12)</x:f>
      </x:c>
      <x:c r="BU249" s="47"/>
      <x:c r="BV249" s="60"/>
      <x:c r="BW249" s="58">
        <x:f>(($O249*BU249)/100)+(BV249*12)</x:f>
      </x:c>
      <x:c r="BX249" s="47"/>
      <x:c r="BY249" s="60"/>
      <x:c r="BZ249" s="58">
        <x:f>(($O249*BX249)/100)+(BY249*12)</x:f>
      </x:c>
      <x:c r="CA249" s="47"/>
      <x:c r="CB249" s="60"/>
      <x:c r="CC249" s="58">
        <x:f>(($O249*CA249)/100)+(CB249*12)</x:f>
      </x:c>
      <x:c r="CD249" s="47"/>
      <x:c r="CE249" s="60"/>
      <x:c r="CF249" s="58">
        <x:f>(($O249*CD249)/100)+(CE249*12)</x:f>
      </x:c>
      <x:c r="CG249" s="47"/>
      <x:c r="CH249" s="60"/>
      <x:c r="CI249" s="58">
        <x:f>(($O249*CG249)/100)+(CH249*12)</x:f>
      </x:c>
      <x:c r="CJ249" s="47"/>
      <x:c r="CK249" s="60"/>
      <x:c r="CL249" s="58">
        <x:f>(($O249*CJ249)/100)+(CK249*12)</x:f>
      </x:c>
      <x:c r="CM249" s="47"/>
      <x:c r="CN249" s="60"/>
      <x:c r="CO249" s="58">
        <x:f>(($O249*CM249)/100)+(CN249*12)</x:f>
      </x:c>
      <x:c r="CP249" s="47"/>
      <x:c r="CQ249" s="60"/>
      <x:c r="CR249" s="58">
        <x:f>(($O249*CP249)/100)+(CQ249*12)</x:f>
      </x:c>
      <x:c r="CS249" s="47"/>
      <x:c r="CT249" s="60"/>
      <x:c r="CU249" s="58">
        <x:f>(($O249*CS249)/100)+(CT249*12)</x:f>
      </x:c>
      <x:c r="CV249" s="47"/>
      <x:c r="CW249" s="60"/>
      <x:c r="CX249" s="58"/>
      <x:c r="CY249" s="47"/>
      <x:c r="CZ249" s="60"/>
      <x:c r="DA249" s="58"/>
      <x:c r="DB249" s="47"/>
      <x:c r="DC249" s="60"/>
      <x:c r="DD249" s="58"/>
      <x:c r="DE249" s="47"/>
      <x:c r="DF249" s="60"/>
      <x:c r="DG249" s="58"/>
      <x:c r="DH249" s="47"/>
      <x:c r="DI249" s="60"/>
      <x:c r="DJ249" s="58"/>
      <x:c r="DK249" s="47"/>
      <x:c r="DL249" s="60"/>
      <x:c r="DM249" s="58"/>
      <x:c r="DN249" s="11"/>
      <x:c r="DO249" s="61"/>
      <x:c r="DP249" s="62"/>
      <x:c r="DQ249" s="11"/>
      <x:c r="DR249" s="61"/>
      <x:c r="DS249" s="62"/>
      <x:c r="DT249" s="11"/>
      <x:c r="DU249" s="61"/>
      <x:c r="DV249" s="62"/>
    </x:row>
    <x:row r="250" spans="1:126" x14ac:dyDescent="0.3">
      <x:c r="A250" s="47"/>
      <x:c r="B250" s="70"/>
      <x:c r="C250" s="70"/>
      <x:c r="D250" s="70"/>
      <x:c r="E250" s="70"/>
      <x:c r="F250" s="70"/>
      <x:c r="G250" s="70"/>
      <x:c r="H250" s="70"/>
      <x:c r="I250" s="70"/>
      <x:c r="J250" s="70"/>
      <x:c r="K250" s="190"/>
      <x:c r="L250" s="191"/>
      <x:c r="M250" s="192">
        <x:f>IF(ISERROR(INDEX('Meter Type Data'!$B$2:$E$1165,SUMPRODUCT(--('Meter Type Data'!$B$2:$B$1165&lt;=Analysis!L250)*('Meter Type Data'!$C$2:$C$1165&gt;=Analysis!L250),ROW('Meter Type Data'!$B$2:$B$1165))-1,4))," ",INDEX('Meter Type Data'!$B$2:$E$1165,SUMPRODUCT(--('Meter Type Data'!$B$2:$B$1165&lt;=Analysis!L250)*('Meter Type Data'!$C$2:$C$1165&gt;=Analysis!L250),ROW('Meter Type Data'!$B$2:$B$1165))-1,4))</x:f>
      </x:c>
      <x:c r="N250" s="192">
        <x:f>IF(ISERROR(INDEX('Meter Type Data'!$B$2:$D$1165,SUMPRODUCT(--('Meter Type Data'!$B$2:$B$1165&lt;=Analysis!L250)*('Meter Type Data'!$C$2:$C$1165&gt;=Analysis!L250),ROW('Meter Type Data'!$B$2:$B$1165))-1,3))," ",INDEX('Meter Type Data'!$B$2:$D$1165,SUMPRODUCT(--('Meter Type Data'!$B$2:$B$1165&lt;=Analysis!L250)*('Meter Type Data'!$C$2:$C$1165&gt;=Analysis!L250),ROW('Meter Type Data'!$B$2:$B$1165))-1,3))</x:f>
      </x:c>
      <x:c r="O250" s="69"/>
      <x:c r="P250" s="47"/>
      <x:c r="Q250" s="60"/>
      <x:c r="R250" s="58">
        <x:f>(($O250*P250)/100)+(Q250*12)</x:f>
      </x:c>
      <x:c r="S250" s="59"/>
      <x:c r="T250" s="59"/>
      <x:c r="U250" s="58">
        <x:f>(($O250*S250)/100)+(T250*12)</x:f>
      </x:c>
      <x:c r="V250" s="47"/>
      <x:c r="W250" s="60"/>
      <x:c r="X250" s="58">
        <x:f>(($O250*V250)/100)+(W250*12)</x:f>
      </x:c>
      <x:c r="Y250" s="47"/>
      <x:c r="Z250" s="60"/>
      <x:c r="AA250" s="58">
        <x:f>(($O250*Y250)/100)+(Z250*12)</x:f>
      </x:c>
      <x:c r="AB250" s="47"/>
      <x:c r="AC250" s="60"/>
      <x:c r="AD250" s="58">
        <x:f>(($O250*AB250)/100)+(AC250*12)</x:f>
      </x:c>
      <x:c r="AE250" s="47"/>
      <x:c r="AF250" s="60"/>
      <x:c r="AG250" s="58">
        <x:f>(($O250*AE250)/100)+(AF250*12)</x:f>
      </x:c>
      <x:c r="AH250" s="47"/>
      <x:c r="AI250" s="60"/>
      <x:c r="AJ250" s="58">
        <x:f>(($O250*AH250)/100)+(AI250*12)</x:f>
      </x:c>
      <x:c r="AK250" s="47"/>
      <x:c r="AL250" s="60"/>
      <x:c r="AM250" s="58">
        <x:f>(($O250*AK250)/100)+(AL250*12)</x:f>
      </x:c>
      <x:c r="AN250" s="47"/>
      <x:c r="AO250" s="60"/>
      <x:c r="AP250" s="58">
        <x:f>(($O250*AN250)/100)+(AO250*12)</x:f>
      </x:c>
      <x:c r="AQ250" s="47"/>
      <x:c r="AR250" s="60"/>
      <x:c r="AS250" s="58">
        <x:f>(($O250*AQ250)/100)+(AR250*12)</x:f>
      </x:c>
      <x:c r="AT250" s="47"/>
      <x:c r="AU250" s="60"/>
      <x:c r="AV250" s="58">
        <x:f>(($O250*AT250)/100)+(AU250*12)</x:f>
      </x:c>
      <x:c r="AW250" s="47"/>
      <x:c r="AX250" s="60"/>
      <x:c r="AY250" s="58">
        <x:f>(($O250*AW250)/100)+(AX250*12)</x:f>
      </x:c>
      <x:c r="AZ250" s="47"/>
      <x:c r="BA250" s="60"/>
      <x:c r="BB250" s="58">
        <x:f>(($O250*AZ250)/100)+(BA250*12)</x:f>
      </x:c>
      <x:c r="BC250" s="47"/>
      <x:c r="BD250" s="60"/>
      <x:c r="BE250" s="58">
        <x:f>(($O250*BC250)/100)+(BD250*12)</x:f>
      </x:c>
      <x:c r="BF250" s="47"/>
      <x:c r="BG250" s="60"/>
      <x:c r="BH250" s="58">
        <x:f>(($O250*BF250)/100)+(BG250*12)</x:f>
      </x:c>
      <x:c r="BI250" s="47"/>
      <x:c r="BJ250" s="60"/>
      <x:c r="BK250" s="58">
        <x:f>(($O250*BI250)/100)+(BJ250*12)</x:f>
      </x:c>
      <x:c r="BL250" s="47"/>
      <x:c r="BM250" s="60"/>
      <x:c r="BN250" s="58">
        <x:f>(($O250*BL250)/100)+(BM250*12)</x:f>
      </x:c>
      <x:c r="BO250" s="47"/>
      <x:c r="BP250" s="60"/>
      <x:c r="BQ250" s="58">
        <x:f>(($O250*BO250)/100)+(BP250*12)</x:f>
      </x:c>
      <x:c r="BR250" s="47"/>
      <x:c r="BS250" s="60"/>
      <x:c r="BT250" s="58">
        <x:f>(($O250*BR250)/100)+(BS250*12)</x:f>
      </x:c>
      <x:c r="BU250" s="47"/>
      <x:c r="BV250" s="60"/>
      <x:c r="BW250" s="58">
        <x:f>(($O250*BU250)/100)+(BV250*12)</x:f>
      </x:c>
      <x:c r="BX250" s="47"/>
      <x:c r="BY250" s="60"/>
      <x:c r="BZ250" s="58">
        <x:f>(($O250*BX250)/100)+(BY250*12)</x:f>
      </x:c>
      <x:c r="CA250" s="47"/>
      <x:c r="CB250" s="60"/>
      <x:c r="CC250" s="58">
        <x:f>(($O250*CA250)/100)+(CB250*12)</x:f>
      </x:c>
      <x:c r="CD250" s="47"/>
      <x:c r="CE250" s="60"/>
      <x:c r="CF250" s="58">
        <x:f>(($O250*CD250)/100)+(CE250*12)</x:f>
      </x:c>
      <x:c r="CG250" s="47"/>
      <x:c r="CH250" s="60"/>
      <x:c r="CI250" s="58">
        <x:f>(($O250*CG250)/100)+(CH250*12)</x:f>
      </x:c>
      <x:c r="CJ250" s="47"/>
      <x:c r="CK250" s="60"/>
      <x:c r="CL250" s="58">
        <x:f>(($O250*CJ250)/100)+(CK250*12)</x:f>
      </x:c>
      <x:c r="CM250" s="47"/>
      <x:c r="CN250" s="60"/>
      <x:c r="CO250" s="58">
        <x:f>(($O250*CM250)/100)+(CN250*12)</x:f>
      </x:c>
      <x:c r="CP250" s="47"/>
      <x:c r="CQ250" s="60"/>
      <x:c r="CR250" s="58">
        <x:f>(($O250*CP250)/100)+(CQ250*12)</x:f>
      </x:c>
      <x:c r="CS250" s="47"/>
      <x:c r="CT250" s="60"/>
      <x:c r="CU250" s="58">
        <x:f>(($O250*CS250)/100)+(CT250*12)</x:f>
      </x:c>
      <x:c r="CV250" s="47"/>
      <x:c r="CW250" s="60"/>
      <x:c r="CX250" s="58"/>
      <x:c r="CY250" s="47"/>
      <x:c r="CZ250" s="60"/>
      <x:c r="DA250" s="58"/>
      <x:c r="DB250" s="47"/>
      <x:c r="DC250" s="60"/>
      <x:c r="DD250" s="58"/>
      <x:c r="DE250" s="47"/>
      <x:c r="DF250" s="60"/>
      <x:c r="DG250" s="58"/>
      <x:c r="DH250" s="47"/>
      <x:c r="DI250" s="60"/>
      <x:c r="DJ250" s="58"/>
      <x:c r="DK250" s="47"/>
      <x:c r="DL250" s="60"/>
      <x:c r="DM250" s="58"/>
      <x:c r="DN250" s="11"/>
      <x:c r="DO250" s="61"/>
      <x:c r="DP250" s="62"/>
      <x:c r="DQ250" s="11"/>
      <x:c r="DR250" s="61"/>
      <x:c r="DS250" s="62"/>
      <x:c r="DT250" s="11"/>
      <x:c r="DU250" s="61"/>
      <x:c r="DV250" s="62"/>
    </x:row>
    <x:row r="251" spans="1:126" x14ac:dyDescent="0.3">
      <x:c r="A251" s="47"/>
      <x:c r="B251" s="70"/>
      <x:c r="C251" s="70"/>
      <x:c r="D251" s="70"/>
      <x:c r="E251" s="70"/>
      <x:c r="F251" s="70"/>
      <x:c r="G251" s="70"/>
      <x:c r="H251" s="70"/>
      <x:c r="I251" s="70"/>
      <x:c r="J251" s="70"/>
      <x:c r="K251" s="190"/>
      <x:c r="L251" s="191"/>
      <x:c r="M251" s="192">
        <x:f>IF(ISERROR(INDEX('Meter Type Data'!$B$2:$E$1165,SUMPRODUCT(--('Meter Type Data'!$B$2:$B$1165&lt;=Analysis!L251)*('Meter Type Data'!$C$2:$C$1165&gt;=Analysis!L251),ROW('Meter Type Data'!$B$2:$B$1165))-1,4))," ",INDEX('Meter Type Data'!$B$2:$E$1165,SUMPRODUCT(--('Meter Type Data'!$B$2:$B$1165&lt;=Analysis!L251)*('Meter Type Data'!$C$2:$C$1165&gt;=Analysis!L251),ROW('Meter Type Data'!$B$2:$B$1165))-1,4))</x:f>
      </x:c>
      <x:c r="N251" s="192">
        <x:f>IF(ISERROR(INDEX('Meter Type Data'!$B$2:$D$1165,SUMPRODUCT(--('Meter Type Data'!$B$2:$B$1165&lt;=Analysis!L251)*('Meter Type Data'!$C$2:$C$1165&gt;=Analysis!L251),ROW('Meter Type Data'!$B$2:$B$1165))-1,3))," ",INDEX('Meter Type Data'!$B$2:$D$1165,SUMPRODUCT(--('Meter Type Data'!$B$2:$B$1165&lt;=Analysis!L251)*('Meter Type Data'!$C$2:$C$1165&gt;=Analysis!L251),ROW('Meter Type Data'!$B$2:$B$1165))-1,3))</x:f>
      </x:c>
      <x:c r="O251" s="69"/>
      <x:c r="P251" s="47"/>
      <x:c r="Q251" s="60"/>
      <x:c r="R251" s="58">
        <x:f>(($O251*P251)/100)+(Q251*12)</x:f>
      </x:c>
      <x:c r="S251" s="59"/>
      <x:c r="T251" s="59"/>
      <x:c r="U251" s="58">
        <x:f>(($O251*S251)/100)+(T251*12)</x:f>
      </x:c>
      <x:c r="V251" s="47"/>
      <x:c r="W251" s="60"/>
      <x:c r="X251" s="58">
        <x:f>(($O251*V251)/100)+(W251*12)</x:f>
      </x:c>
      <x:c r="Y251" s="47"/>
      <x:c r="Z251" s="60"/>
      <x:c r="AA251" s="58">
        <x:f>(($O251*Y251)/100)+(Z251*12)</x:f>
      </x:c>
      <x:c r="AB251" s="47"/>
      <x:c r="AC251" s="60"/>
      <x:c r="AD251" s="58">
        <x:f>(($O251*AB251)/100)+(AC251*12)</x:f>
      </x:c>
      <x:c r="AE251" s="47"/>
      <x:c r="AF251" s="60"/>
      <x:c r="AG251" s="58">
        <x:f>(($O251*AE251)/100)+(AF251*12)</x:f>
      </x:c>
      <x:c r="AH251" s="47"/>
      <x:c r="AI251" s="60"/>
      <x:c r="AJ251" s="58">
        <x:f>(($O251*AH251)/100)+(AI251*12)</x:f>
      </x:c>
      <x:c r="AK251" s="47"/>
      <x:c r="AL251" s="60"/>
      <x:c r="AM251" s="58">
        <x:f>(($O251*AK251)/100)+(AL251*12)</x:f>
      </x:c>
      <x:c r="AN251" s="47"/>
      <x:c r="AO251" s="60"/>
      <x:c r="AP251" s="58">
        <x:f>(($O251*AN251)/100)+(AO251*12)</x:f>
      </x:c>
      <x:c r="AQ251" s="47"/>
      <x:c r="AR251" s="60"/>
      <x:c r="AS251" s="58">
        <x:f>(($O251*AQ251)/100)+(AR251*12)</x:f>
      </x:c>
      <x:c r="AT251" s="47"/>
      <x:c r="AU251" s="60"/>
      <x:c r="AV251" s="58">
        <x:f>(($O251*AT251)/100)+(AU251*12)</x:f>
      </x:c>
      <x:c r="AW251" s="47"/>
      <x:c r="AX251" s="60"/>
      <x:c r="AY251" s="58">
        <x:f>(($O251*AW251)/100)+(AX251*12)</x:f>
      </x:c>
      <x:c r="AZ251" s="47"/>
      <x:c r="BA251" s="60"/>
      <x:c r="BB251" s="58">
        <x:f>(($O251*AZ251)/100)+(BA251*12)</x:f>
      </x:c>
      <x:c r="BC251" s="47"/>
      <x:c r="BD251" s="60"/>
      <x:c r="BE251" s="58">
        <x:f>(($O251*BC251)/100)+(BD251*12)</x:f>
      </x:c>
      <x:c r="BF251" s="47"/>
      <x:c r="BG251" s="60"/>
      <x:c r="BH251" s="58">
        <x:f>(($O251*BF251)/100)+(BG251*12)</x:f>
      </x:c>
      <x:c r="BI251" s="47"/>
      <x:c r="BJ251" s="60"/>
      <x:c r="BK251" s="58">
        <x:f>(($O251*BI251)/100)+(BJ251*12)</x:f>
      </x:c>
      <x:c r="BL251" s="47"/>
      <x:c r="BM251" s="60"/>
      <x:c r="BN251" s="58">
        <x:f>(($O251*BL251)/100)+(BM251*12)</x:f>
      </x:c>
      <x:c r="BO251" s="47"/>
      <x:c r="BP251" s="60"/>
      <x:c r="BQ251" s="58">
        <x:f>(($O251*BO251)/100)+(BP251*12)</x:f>
      </x:c>
      <x:c r="BR251" s="47"/>
      <x:c r="BS251" s="60"/>
      <x:c r="BT251" s="58">
        <x:f>(($O251*BR251)/100)+(BS251*12)</x:f>
      </x:c>
      <x:c r="BU251" s="47"/>
      <x:c r="BV251" s="60"/>
      <x:c r="BW251" s="58">
        <x:f>(($O251*BU251)/100)+(BV251*12)</x:f>
      </x:c>
      <x:c r="BX251" s="47"/>
      <x:c r="BY251" s="60"/>
      <x:c r="BZ251" s="58">
        <x:f>(($O251*BX251)/100)+(BY251*12)</x:f>
      </x:c>
      <x:c r="CA251" s="47"/>
      <x:c r="CB251" s="60"/>
      <x:c r="CC251" s="58">
        <x:f>(($O251*CA251)/100)+(CB251*12)</x:f>
      </x:c>
      <x:c r="CD251" s="47"/>
      <x:c r="CE251" s="60"/>
      <x:c r="CF251" s="58">
        <x:f>(($O251*CD251)/100)+(CE251*12)</x:f>
      </x:c>
      <x:c r="CG251" s="47"/>
      <x:c r="CH251" s="60"/>
      <x:c r="CI251" s="58">
        <x:f>(($O251*CG251)/100)+(CH251*12)</x:f>
      </x:c>
      <x:c r="CJ251" s="47"/>
      <x:c r="CK251" s="60"/>
      <x:c r="CL251" s="58">
        <x:f>(($O251*CJ251)/100)+(CK251*12)</x:f>
      </x:c>
      <x:c r="CM251" s="47"/>
      <x:c r="CN251" s="60"/>
      <x:c r="CO251" s="58">
        <x:f>(($O251*CM251)/100)+(CN251*12)</x:f>
      </x:c>
      <x:c r="CP251" s="47"/>
      <x:c r="CQ251" s="60"/>
      <x:c r="CR251" s="58">
        <x:f>(($O251*CP251)/100)+(CQ251*12)</x:f>
      </x:c>
      <x:c r="CS251" s="47"/>
      <x:c r="CT251" s="60"/>
      <x:c r="CU251" s="58">
        <x:f>(($O251*CS251)/100)+(CT251*12)</x:f>
      </x:c>
      <x:c r="CV251" s="47"/>
      <x:c r="CW251" s="60"/>
      <x:c r="CX251" s="58"/>
      <x:c r="CY251" s="47"/>
      <x:c r="CZ251" s="60"/>
      <x:c r="DA251" s="58"/>
      <x:c r="DB251" s="47"/>
      <x:c r="DC251" s="60"/>
      <x:c r="DD251" s="58"/>
      <x:c r="DE251" s="47"/>
      <x:c r="DF251" s="60"/>
      <x:c r="DG251" s="58"/>
      <x:c r="DH251" s="47"/>
      <x:c r="DI251" s="60"/>
      <x:c r="DJ251" s="58"/>
      <x:c r="DK251" s="47"/>
      <x:c r="DL251" s="60"/>
      <x:c r="DM251" s="58"/>
      <x:c r="DN251" s="11"/>
      <x:c r="DO251" s="61"/>
      <x:c r="DP251" s="62"/>
      <x:c r="DQ251" s="11"/>
      <x:c r="DR251" s="61"/>
      <x:c r="DS251" s="62"/>
      <x:c r="DT251" s="11"/>
      <x:c r="DU251" s="61"/>
      <x:c r="DV251" s="62"/>
    </x:row>
    <x:row r="252" spans="1:126" x14ac:dyDescent="0.3">
      <x:c r="A252" s="47"/>
      <x:c r="B252" s="70"/>
      <x:c r="C252" s="70"/>
      <x:c r="D252" s="70"/>
      <x:c r="E252" s="70"/>
      <x:c r="F252" s="70"/>
      <x:c r="G252" s="70"/>
      <x:c r="H252" s="70"/>
      <x:c r="I252" s="70"/>
      <x:c r="J252" s="70"/>
      <x:c r="K252" s="190"/>
      <x:c r="L252" s="191"/>
      <x:c r="M252" s="192">
        <x:f>IF(ISERROR(INDEX('Meter Type Data'!$B$2:$E$1165,SUMPRODUCT(--('Meter Type Data'!$B$2:$B$1165&lt;=Analysis!L252)*('Meter Type Data'!$C$2:$C$1165&gt;=Analysis!L252),ROW('Meter Type Data'!$B$2:$B$1165))-1,4))," ",INDEX('Meter Type Data'!$B$2:$E$1165,SUMPRODUCT(--('Meter Type Data'!$B$2:$B$1165&lt;=Analysis!L252)*('Meter Type Data'!$C$2:$C$1165&gt;=Analysis!L252),ROW('Meter Type Data'!$B$2:$B$1165))-1,4))</x:f>
      </x:c>
      <x:c r="N252" s="192">
        <x:f>IF(ISERROR(INDEX('Meter Type Data'!$B$2:$D$1165,SUMPRODUCT(--('Meter Type Data'!$B$2:$B$1165&lt;=Analysis!L252)*('Meter Type Data'!$C$2:$C$1165&gt;=Analysis!L252),ROW('Meter Type Data'!$B$2:$B$1165))-1,3))," ",INDEX('Meter Type Data'!$B$2:$D$1165,SUMPRODUCT(--('Meter Type Data'!$B$2:$B$1165&lt;=Analysis!L252)*('Meter Type Data'!$C$2:$C$1165&gt;=Analysis!L252),ROW('Meter Type Data'!$B$2:$B$1165))-1,3))</x:f>
      </x:c>
      <x:c r="O252" s="69"/>
      <x:c r="P252" s="47"/>
      <x:c r="Q252" s="60"/>
      <x:c r="R252" s="58">
        <x:f>(($O252*P252)/100)+(Q252*12)</x:f>
      </x:c>
      <x:c r="S252" s="59"/>
      <x:c r="T252" s="59"/>
      <x:c r="U252" s="58">
        <x:f>(($O252*S252)/100)+(T252*12)</x:f>
      </x:c>
      <x:c r="V252" s="47"/>
      <x:c r="W252" s="60"/>
      <x:c r="X252" s="58">
        <x:f>(($O252*V252)/100)+(W252*12)</x:f>
      </x:c>
      <x:c r="Y252" s="47"/>
      <x:c r="Z252" s="60"/>
      <x:c r="AA252" s="58">
        <x:f>(($O252*Y252)/100)+(Z252*12)</x:f>
      </x:c>
      <x:c r="AB252" s="47"/>
      <x:c r="AC252" s="60"/>
      <x:c r="AD252" s="58">
        <x:f>(($O252*AB252)/100)+(AC252*12)</x:f>
      </x:c>
      <x:c r="AE252" s="47"/>
      <x:c r="AF252" s="60"/>
      <x:c r="AG252" s="58">
        <x:f>(($O252*AE252)/100)+(AF252*12)</x:f>
      </x:c>
      <x:c r="AH252" s="47"/>
      <x:c r="AI252" s="60"/>
      <x:c r="AJ252" s="58">
        <x:f>(($O252*AH252)/100)+(AI252*12)</x:f>
      </x:c>
      <x:c r="AK252" s="47"/>
      <x:c r="AL252" s="60"/>
      <x:c r="AM252" s="58">
        <x:f>(($O252*AK252)/100)+(AL252*12)</x:f>
      </x:c>
      <x:c r="AN252" s="47"/>
      <x:c r="AO252" s="60"/>
      <x:c r="AP252" s="58">
        <x:f>(($O252*AN252)/100)+(AO252*12)</x:f>
      </x:c>
      <x:c r="AQ252" s="47"/>
      <x:c r="AR252" s="60"/>
      <x:c r="AS252" s="58">
        <x:f>(($O252*AQ252)/100)+(AR252*12)</x:f>
      </x:c>
      <x:c r="AT252" s="47"/>
      <x:c r="AU252" s="60"/>
      <x:c r="AV252" s="58">
        <x:f>(($O252*AT252)/100)+(AU252*12)</x:f>
      </x:c>
      <x:c r="AW252" s="47"/>
      <x:c r="AX252" s="60"/>
      <x:c r="AY252" s="58">
        <x:f>(($O252*AW252)/100)+(AX252*12)</x:f>
      </x:c>
      <x:c r="AZ252" s="47"/>
      <x:c r="BA252" s="60"/>
      <x:c r="BB252" s="58">
        <x:f>(($O252*AZ252)/100)+(BA252*12)</x:f>
      </x:c>
      <x:c r="BC252" s="47"/>
      <x:c r="BD252" s="60"/>
      <x:c r="BE252" s="58">
        <x:f>(($O252*BC252)/100)+(BD252*12)</x:f>
      </x:c>
      <x:c r="BF252" s="47"/>
      <x:c r="BG252" s="60"/>
      <x:c r="BH252" s="58">
        <x:f>(($O252*BF252)/100)+(BG252*12)</x:f>
      </x:c>
      <x:c r="BI252" s="47"/>
      <x:c r="BJ252" s="60"/>
      <x:c r="BK252" s="58">
        <x:f>(($O252*BI252)/100)+(BJ252*12)</x:f>
      </x:c>
      <x:c r="BL252" s="47"/>
      <x:c r="BM252" s="60"/>
      <x:c r="BN252" s="58">
        <x:f>(($O252*BL252)/100)+(BM252*12)</x:f>
      </x:c>
      <x:c r="BO252" s="47"/>
      <x:c r="BP252" s="60"/>
      <x:c r="BQ252" s="58">
        <x:f>(($O252*BO252)/100)+(BP252*12)</x:f>
      </x:c>
      <x:c r="BR252" s="47"/>
      <x:c r="BS252" s="60"/>
      <x:c r="BT252" s="58">
        <x:f>(($O252*BR252)/100)+(BS252*12)</x:f>
      </x:c>
      <x:c r="BU252" s="47"/>
      <x:c r="BV252" s="60"/>
      <x:c r="BW252" s="58">
        <x:f>(($O252*BU252)/100)+(BV252*12)</x:f>
      </x:c>
      <x:c r="BX252" s="47"/>
      <x:c r="BY252" s="60"/>
      <x:c r="BZ252" s="58">
        <x:f>(($O252*BX252)/100)+(BY252*12)</x:f>
      </x:c>
      <x:c r="CA252" s="47"/>
      <x:c r="CB252" s="60"/>
      <x:c r="CC252" s="58">
        <x:f>(($O252*CA252)/100)+(CB252*12)</x:f>
      </x:c>
      <x:c r="CD252" s="47"/>
      <x:c r="CE252" s="60"/>
      <x:c r="CF252" s="58">
        <x:f>(($O252*CD252)/100)+(CE252*12)</x:f>
      </x:c>
      <x:c r="CG252" s="47"/>
      <x:c r="CH252" s="60"/>
      <x:c r="CI252" s="58">
        <x:f>(($O252*CG252)/100)+(CH252*12)</x:f>
      </x:c>
      <x:c r="CJ252" s="47"/>
      <x:c r="CK252" s="60"/>
      <x:c r="CL252" s="58">
        <x:f>(($O252*CJ252)/100)+(CK252*12)</x:f>
      </x:c>
      <x:c r="CM252" s="47"/>
      <x:c r="CN252" s="60"/>
      <x:c r="CO252" s="58">
        <x:f>(($O252*CM252)/100)+(CN252*12)</x:f>
      </x:c>
      <x:c r="CP252" s="47"/>
      <x:c r="CQ252" s="60"/>
      <x:c r="CR252" s="58">
        <x:f>(($O252*CP252)/100)+(CQ252*12)</x:f>
      </x:c>
      <x:c r="CS252" s="47"/>
      <x:c r="CT252" s="60"/>
      <x:c r="CU252" s="58">
        <x:f>(($O252*CS252)/100)+(CT252*12)</x:f>
      </x:c>
      <x:c r="CV252" s="47"/>
      <x:c r="CW252" s="60"/>
      <x:c r="CX252" s="58"/>
      <x:c r="CY252" s="47"/>
      <x:c r="CZ252" s="60"/>
      <x:c r="DA252" s="58"/>
      <x:c r="DB252" s="47"/>
      <x:c r="DC252" s="60"/>
      <x:c r="DD252" s="58"/>
      <x:c r="DE252" s="47"/>
      <x:c r="DF252" s="60"/>
      <x:c r="DG252" s="58"/>
      <x:c r="DH252" s="47"/>
      <x:c r="DI252" s="60"/>
      <x:c r="DJ252" s="58"/>
      <x:c r="DK252" s="47"/>
      <x:c r="DL252" s="60"/>
      <x:c r="DM252" s="58"/>
      <x:c r="DN252" s="11"/>
      <x:c r="DO252" s="61"/>
      <x:c r="DP252" s="62"/>
      <x:c r="DQ252" s="11"/>
      <x:c r="DR252" s="61"/>
      <x:c r="DS252" s="62"/>
      <x:c r="DT252" s="11"/>
      <x:c r="DU252" s="61"/>
      <x:c r="DV252" s="62"/>
    </x:row>
    <x:row r="253" spans="1:126" x14ac:dyDescent="0.3">
      <x:c r="A253" s="47"/>
      <x:c r="B253" s="70"/>
      <x:c r="C253" s="70"/>
      <x:c r="D253" s="70"/>
      <x:c r="E253" s="70"/>
      <x:c r="F253" s="70"/>
      <x:c r="G253" s="70"/>
      <x:c r="H253" s="70"/>
      <x:c r="I253" s="70"/>
      <x:c r="J253" s="70"/>
      <x:c r="K253" s="190"/>
      <x:c r="L253" s="191"/>
      <x:c r="M253" s="192">
        <x:f>IF(ISERROR(INDEX('Meter Type Data'!$B$2:$E$1165,SUMPRODUCT(--('Meter Type Data'!$B$2:$B$1165&lt;=Analysis!L253)*('Meter Type Data'!$C$2:$C$1165&gt;=Analysis!L253),ROW('Meter Type Data'!$B$2:$B$1165))-1,4))," ",INDEX('Meter Type Data'!$B$2:$E$1165,SUMPRODUCT(--('Meter Type Data'!$B$2:$B$1165&lt;=Analysis!L253)*('Meter Type Data'!$C$2:$C$1165&gt;=Analysis!L253),ROW('Meter Type Data'!$B$2:$B$1165))-1,4))</x:f>
      </x:c>
      <x:c r="N253" s="192">
        <x:f>IF(ISERROR(INDEX('Meter Type Data'!$B$2:$D$1165,SUMPRODUCT(--('Meter Type Data'!$B$2:$B$1165&lt;=Analysis!L253)*('Meter Type Data'!$C$2:$C$1165&gt;=Analysis!L253),ROW('Meter Type Data'!$B$2:$B$1165))-1,3))," ",INDEX('Meter Type Data'!$B$2:$D$1165,SUMPRODUCT(--('Meter Type Data'!$B$2:$B$1165&lt;=Analysis!L253)*('Meter Type Data'!$C$2:$C$1165&gt;=Analysis!L253),ROW('Meter Type Data'!$B$2:$B$1165))-1,3))</x:f>
      </x:c>
      <x:c r="O253" s="69"/>
      <x:c r="P253" s="47"/>
      <x:c r="Q253" s="60"/>
      <x:c r="R253" s="58">
        <x:f>(($O253*P253)/100)+(Q253*12)</x:f>
      </x:c>
      <x:c r="S253" s="59"/>
      <x:c r="T253" s="59"/>
      <x:c r="U253" s="58">
        <x:f>(($O253*S253)/100)+(T253*12)</x:f>
      </x:c>
      <x:c r="V253" s="47"/>
      <x:c r="W253" s="60"/>
      <x:c r="X253" s="58">
        <x:f>(($O253*V253)/100)+(W253*12)</x:f>
      </x:c>
      <x:c r="Y253" s="47"/>
      <x:c r="Z253" s="60"/>
      <x:c r="AA253" s="58">
        <x:f>(($O253*Y253)/100)+(Z253*12)</x:f>
      </x:c>
      <x:c r="AB253" s="47"/>
      <x:c r="AC253" s="60"/>
      <x:c r="AD253" s="58">
        <x:f>(($O253*AB253)/100)+(AC253*12)</x:f>
      </x:c>
      <x:c r="AE253" s="47"/>
      <x:c r="AF253" s="60"/>
      <x:c r="AG253" s="58">
        <x:f>(($O253*AE253)/100)+(AF253*12)</x:f>
      </x:c>
      <x:c r="AH253" s="47"/>
      <x:c r="AI253" s="60"/>
      <x:c r="AJ253" s="58">
        <x:f>(($O253*AH253)/100)+(AI253*12)</x:f>
      </x:c>
      <x:c r="AK253" s="47"/>
      <x:c r="AL253" s="60"/>
      <x:c r="AM253" s="58">
        <x:f>(($O253*AK253)/100)+(AL253*12)</x:f>
      </x:c>
      <x:c r="AN253" s="47"/>
      <x:c r="AO253" s="60"/>
      <x:c r="AP253" s="58">
        <x:f>(($O253*AN253)/100)+(AO253*12)</x:f>
      </x:c>
      <x:c r="AQ253" s="47"/>
      <x:c r="AR253" s="60"/>
      <x:c r="AS253" s="58">
        <x:f>(($O253*AQ253)/100)+(AR253*12)</x:f>
      </x:c>
      <x:c r="AT253" s="47"/>
      <x:c r="AU253" s="60"/>
      <x:c r="AV253" s="58">
        <x:f>(($O253*AT253)/100)+(AU253*12)</x:f>
      </x:c>
      <x:c r="AW253" s="47"/>
      <x:c r="AX253" s="60"/>
      <x:c r="AY253" s="58">
        <x:f>(($O253*AW253)/100)+(AX253*12)</x:f>
      </x:c>
      <x:c r="AZ253" s="47"/>
      <x:c r="BA253" s="60"/>
      <x:c r="BB253" s="58">
        <x:f>(($O253*AZ253)/100)+(BA253*12)</x:f>
      </x:c>
      <x:c r="BC253" s="47"/>
      <x:c r="BD253" s="60"/>
      <x:c r="BE253" s="58">
        <x:f>(($O253*BC253)/100)+(BD253*12)</x:f>
      </x:c>
      <x:c r="BF253" s="47"/>
      <x:c r="BG253" s="60"/>
      <x:c r="BH253" s="58">
        <x:f>(($O253*BF253)/100)+(BG253*12)</x:f>
      </x:c>
      <x:c r="BI253" s="47"/>
      <x:c r="BJ253" s="60"/>
      <x:c r="BK253" s="58">
        <x:f>(($O253*BI253)/100)+(BJ253*12)</x:f>
      </x:c>
      <x:c r="BL253" s="47"/>
      <x:c r="BM253" s="60"/>
      <x:c r="BN253" s="58">
        <x:f>(($O253*BL253)/100)+(BM253*12)</x:f>
      </x:c>
      <x:c r="BO253" s="47"/>
      <x:c r="BP253" s="60"/>
      <x:c r="BQ253" s="58">
        <x:f>(($O253*BO253)/100)+(BP253*12)</x:f>
      </x:c>
      <x:c r="BR253" s="47"/>
      <x:c r="BS253" s="60"/>
      <x:c r="BT253" s="58">
        <x:f>(($O253*BR253)/100)+(BS253*12)</x:f>
      </x:c>
      <x:c r="BU253" s="47"/>
      <x:c r="BV253" s="60"/>
      <x:c r="BW253" s="58">
        <x:f>(($O253*BU253)/100)+(BV253*12)</x:f>
      </x:c>
      <x:c r="BX253" s="47"/>
      <x:c r="BY253" s="60"/>
      <x:c r="BZ253" s="58">
        <x:f>(($O253*BX253)/100)+(BY253*12)</x:f>
      </x:c>
      <x:c r="CA253" s="47"/>
      <x:c r="CB253" s="60"/>
      <x:c r="CC253" s="58">
        <x:f>(($O253*CA253)/100)+(CB253*12)</x:f>
      </x:c>
      <x:c r="CD253" s="47"/>
      <x:c r="CE253" s="60"/>
      <x:c r="CF253" s="58">
        <x:f>(($O253*CD253)/100)+(CE253*12)</x:f>
      </x:c>
      <x:c r="CG253" s="47"/>
      <x:c r="CH253" s="60"/>
      <x:c r="CI253" s="58">
        <x:f>(($O253*CG253)/100)+(CH253*12)</x:f>
      </x:c>
      <x:c r="CJ253" s="47"/>
      <x:c r="CK253" s="60"/>
      <x:c r="CL253" s="58">
        <x:f>(($O253*CJ253)/100)+(CK253*12)</x:f>
      </x:c>
      <x:c r="CM253" s="47"/>
      <x:c r="CN253" s="60"/>
      <x:c r="CO253" s="58">
        <x:f>(($O253*CM253)/100)+(CN253*12)</x:f>
      </x:c>
      <x:c r="CP253" s="47"/>
      <x:c r="CQ253" s="60"/>
      <x:c r="CR253" s="58">
        <x:f>(($O253*CP253)/100)+(CQ253*12)</x:f>
      </x:c>
      <x:c r="CS253" s="47"/>
      <x:c r="CT253" s="60"/>
      <x:c r="CU253" s="58">
        <x:f>(($O253*CS253)/100)+(CT253*12)</x:f>
      </x:c>
      <x:c r="CV253" s="47"/>
      <x:c r="CW253" s="60"/>
      <x:c r="CX253" s="58"/>
      <x:c r="CY253" s="47"/>
      <x:c r="CZ253" s="60"/>
      <x:c r="DA253" s="58"/>
      <x:c r="DB253" s="47"/>
      <x:c r="DC253" s="60"/>
      <x:c r="DD253" s="58"/>
      <x:c r="DE253" s="47"/>
      <x:c r="DF253" s="60"/>
      <x:c r="DG253" s="58"/>
      <x:c r="DH253" s="47"/>
      <x:c r="DI253" s="60"/>
      <x:c r="DJ253" s="58"/>
      <x:c r="DK253" s="47"/>
      <x:c r="DL253" s="60"/>
      <x:c r="DM253" s="58"/>
      <x:c r="DN253" s="11"/>
      <x:c r="DO253" s="61"/>
      <x:c r="DP253" s="62"/>
      <x:c r="DQ253" s="11"/>
      <x:c r="DR253" s="61"/>
      <x:c r="DS253" s="62"/>
      <x:c r="DT253" s="11"/>
      <x:c r="DU253" s="61"/>
      <x:c r="DV253" s="62"/>
    </x:row>
    <x:row r="254" spans="1:126" x14ac:dyDescent="0.3">
      <x:c r="A254" s="47"/>
      <x:c r="B254" s="70"/>
      <x:c r="C254" s="70"/>
      <x:c r="D254" s="70"/>
      <x:c r="E254" s="70"/>
      <x:c r="F254" s="70"/>
      <x:c r="G254" s="70"/>
      <x:c r="H254" s="70"/>
      <x:c r="I254" s="70"/>
      <x:c r="J254" s="70"/>
      <x:c r="K254" s="190"/>
      <x:c r="L254" s="191"/>
      <x:c r="M254" s="192">
        <x:f>IF(ISERROR(INDEX('Meter Type Data'!$B$2:$E$1165,SUMPRODUCT(--('Meter Type Data'!$B$2:$B$1165&lt;=Analysis!L254)*('Meter Type Data'!$C$2:$C$1165&gt;=Analysis!L254),ROW('Meter Type Data'!$B$2:$B$1165))-1,4))," ",INDEX('Meter Type Data'!$B$2:$E$1165,SUMPRODUCT(--('Meter Type Data'!$B$2:$B$1165&lt;=Analysis!L254)*('Meter Type Data'!$C$2:$C$1165&gt;=Analysis!L254),ROW('Meter Type Data'!$B$2:$B$1165))-1,4))</x:f>
      </x:c>
      <x:c r="N254" s="192">
        <x:f>IF(ISERROR(INDEX('Meter Type Data'!$B$2:$D$1165,SUMPRODUCT(--('Meter Type Data'!$B$2:$B$1165&lt;=Analysis!L254)*('Meter Type Data'!$C$2:$C$1165&gt;=Analysis!L254),ROW('Meter Type Data'!$B$2:$B$1165))-1,3))," ",INDEX('Meter Type Data'!$B$2:$D$1165,SUMPRODUCT(--('Meter Type Data'!$B$2:$B$1165&lt;=Analysis!L254)*('Meter Type Data'!$C$2:$C$1165&gt;=Analysis!L254),ROW('Meter Type Data'!$B$2:$B$1165))-1,3))</x:f>
      </x:c>
      <x:c r="O254" s="69"/>
      <x:c r="P254" s="47"/>
      <x:c r="Q254" s="60"/>
      <x:c r="R254" s="58">
        <x:f>(($O254*P254)/100)+(Q254*12)</x:f>
      </x:c>
      <x:c r="S254" s="59"/>
      <x:c r="T254" s="59"/>
      <x:c r="U254" s="58">
        <x:f>(($O254*S254)/100)+(T254*12)</x:f>
      </x:c>
      <x:c r="V254" s="47"/>
      <x:c r="W254" s="60"/>
      <x:c r="X254" s="58">
        <x:f>(($O254*V254)/100)+(W254*12)</x:f>
      </x:c>
      <x:c r="Y254" s="47"/>
      <x:c r="Z254" s="60"/>
      <x:c r="AA254" s="58">
        <x:f>(($O254*Y254)/100)+(Z254*12)</x:f>
      </x:c>
      <x:c r="AB254" s="47"/>
      <x:c r="AC254" s="60"/>
      <x:c r="AD254" s="58">
        <x:f>(($O254*AB254)/100)+(AC254*12)</x:f>
      </x:c>
      <x:c r="AE254" s="47"/>
      <x:c r="AF254" s="60"/>
      <x:c r="AG254" s="58">
        <x:f>(($O254*AE254)/100)+(AF254*12)</x:f>
      </x:c>
      <x:c r="AH254" s="47"/>
      <x:c r="AI254" s="60"/>
      <x:c r="AJ254" s="58">
        <x:f>(($O254*AH254)/100)+(AI254*12)</x:f>
      </x:c>
      <x:c r="AK254" s="47"/>
      <x:c r="AL254" s="60"/>
      <x:c r="AM254" s="58">
        <x:f>(($O254*AK254)/100)+(AL254*12)</x:f>
      </x:c>
      <x:c r="AN254" s="47"/>
      <x:c r="AO254" s="60"/>
      <x:c r="AP254" s="58">
        <x:f>(($O254*AN254)/100)+(AO254*12)</x:f>
      </x:c>
      <x:c r="AQ254" s="47"/>
      <x:c r="AR254" s="60"/>
      <x:c r="AS254" s="58">
        <x:f>(($O254*AQ254)/100)+(AR254*12)</x:f>
      </x:c>
      <x:c r="AT254" s="47"/>
      <x:c r="AU254" s="60"/>
      <x:c r="AV254" s="58">
        <x:f>(($O254*AT254)/100)+(AU254*12)</x:f>
      </x:c>
      <x:c r="AW254" s="47"/>
      <x:c r="AX254" s="60"/>
      <x:c r="AY254" s="58">
        <x:f>(($O254*AW254)/100)+(AX254*12)</x:f>
      </x:c>
      <x:c r="AZ254" s="47"/>
      <x:c r="BA254" s="60"/>
      <x:c r="BB254" s="58">
        <x:f>(($O254*AZ254)/100)+(BA254*12)</x:f>
      </x:c>
      <x:c r="BC254" s="47"/>
      <x:c r="BD254" s="60"/>
      <x:c r="BE254" s="58">
        <x:f>(($O254*BC254)/100)+(BD254*12)</x:f>
      </x:c>
      <x:c r="BF254" s="47"/>
      <x:c r="BG254" s="60"/>
      <x:c r="BH254" s="58">
        <x:f>(($O254*BF254)/100)+(BG254*12)</x:f>
      </x:c>
      <x:c r="BI254" s="47"/>
      <x:c r="BJ254" s="60"/>
      <x:c r="BK254" s="58">
        <x:f>(($O254*BI254)/100)+(BJ254*12)</x:f>
      </x:c>
      <x:c r="BL254" s="47"/>
      <x:c r="BM254" s="60"/>
      <x:c r="BN254" s="58">
        <x:f>(($O254*BL254)/100)+(BM254*12)</x:f>
      </x:c>
      <x:c r="BO254" s="47"/>
      <x:c r="BP254" s="60"/>
      <x:c r="BQ254" s="58">
        <x:f>(($O254*BO254)/100)+(BP254*12)</x:f>
      </x:c>
      <x:c r="BR254" s="47"/>
      <x:c r="BS254" s="60"/>
      <x:c r="BT254" s="58">
        <x:f>(($O254*BR254)/100)+(BS254*12)</x:f>
      </x:c>
      <x:c r="BU254" s="47"/>
      <x:c r="BV254" s="60"/>
      <x:c r="BW254" s="58">
        <x:f>(($O254*BU254)/100)+(BV254*12)</x:f>
      </x:c>
      <x:c r="BX254" s="47"/>
      <x:c r="BY254" s="60"/>
      <x:c r="BZ254" s="58">
        <x:f>(($O254*BX254)/100)+(BY254*12)</x:f>
      </x:c>
      <x:c r="CA254" s="47"/>
      <x:c r="CB254" s="60"/>
      <x:c r="CC254" s="58">
        <x:f>(($O254*CA254)/100)+(CB254*12)</x:f>
      </x:c>
      <x:c r="CD254" s="47"/>
      <x:c r="CE254" s="60"/>
      <x:c r="CF254" s="58">
        <x:f>(($O254*CD254)/100)+(CE254*12)</x:f>
      </x:c>
      <x:c r="CG254" s="47"/>
      <x:c r="CH254" s="60"/>
      <x:c r="CI254" s="58">
        <x:f>(($O254*CG254)/100)+(CH254*12)</x:f>
      </x:c>
      <x:c r="CJ254" s="47"/>
      <x:c r="CK254" s="60"/>
      <x:c r="CL254" s="58">
        <x:f>(($O254*CJ254)/100)+(CK254*12)</x:f>
      </x:c>
      <x:c r="CM254" s="47"/>
      <x:c r="CN254" s="60"/>
      <x:c r="CO254" s="58">
        <x:f>(($O254*CM254)/100)+(CN254*12)</x:f>
      </x:c>
      <x:c r="CP254" s="47"/>
      <x:c r="CQ254" s="60"/>
      <x:c r="CR254" s="58">
        <x:f>(($O254*CP254)/100)+(CQ254*12)</x:f>
      </x:c>
      <x:c r="CS254" s="47"/>
      <x:c r="CT254" s="60"/>
      <x:c r="CU254" s="58">
        <x:f>(($O254*CS254)/100)+(CT254*12)</x:f>
      </x:c>
      <x:c r="CV254" s="47"/>
      <x:c r="CW254" s="60"/>
      <x:c r="CX254" s="58"/>
      <x:c r="CY254" s="47"/>
      <x:c r="CZ254" s="60"/>
      <x:c r="DA254" s="58"/>
      <x:c r="DB254" s="47"/>
      <x:c r="DC254" s="60"/>
      <x:c r="DD254" s="58"/>
      <x:c r="DE254" s="47"/>
      <x:c r="DF254" s="60"/>
      <x:c r="DG254" s="58"/>
      <x:c r="DH254" s="47"/>
      <x:c r="DI254" s="60"/>
      <x:c r="DJ254" s="58"/>
      <x:c r="DK254" s="47"/>
      <x:c r="DL254" s="60"/>
      <x:c r="DM254" s="58"/>
      <x:c r="DN254" s="11"/>
      <x:c r="DO254" s="61"/>
      <x:c r="DP254" s="62"/>
      <x:c r="DQ254" s="11"/>
      <x:c r="DR254" s="61"/>
      <x:c r="DS254" s="62"/>
      <x:c r="DT254" s="11"/>
      <x:c r="DU254" s="61"/>
      <x:c r="DV254" s="62"/>
    </x:row>
    <x:row r="255" spans="1:126" x14ac:dyDescent="0.3">
      <x:c r="A255" s="47"/>
      <x:c r="B255" s="70"/>
      <x:c r="C255" s="70"/>
      <x:c r="D255" s="70"/>
      <x:c r="E255" s="70"/>
      <x:c r="F255" s="70"/>
      <x:c r="G255" s="70"/>
      <x:c r="H255" s="70"/>
      <x:c r="I255" s="70"/>
      <x:c r="J255" s="70"/>
      <x:c r="K255" s="190"/>
      <x:c r="L255" s="191"/>
      <x:c r="M255" s="192">
        <x:f>IF(ISERROR(INDEX('Meter Type Data'!$B$2:$E$1165,SUMPRODUCT(--('Meter Type Data'!$B$2:$B$1165&lt;=Analysis!L255)*('Meter Type Data'!$C$2:$C$1165&gt;=Analysis!L255),ROW('Meter Type Data'!$B$2:$B$1165))-1,4))," ",INDEX('Meter Type Data'!$B$2:$E$1165,SUMPRODUCT(--('Meter Type Data'!$B$2:$B$1165&lt;=Analysis!L255)*('Meter Type Data'!$C$2:$C$1165&gt;=Analysis!L255),ROW('Meter Type Data'!$B$2:$B$1165))-1,4))</x:f>
      </x:c>
      <x:c r="N255" s="192">
        <x:f>IF(ISERROR(INDEX('Meter Type Data'!$B$2:$D$1165,SUMPRODUCT(--('Meter Type Data'!$B$2:$B$1165&lt;=Analysis!L255)*('Meter Type Data'!$C$2:$C$1165&gt;=Analysis!L255),ROW('Meter Type Data'!$B$2:$B$1165))-1,3))," ",INDEX('Meter Type Data'!$B$2:$D$1165,SUMPRODUCT(--('Meter Type Data'!$B$2:$B$1165&lt;=Analysis!L255)*('Meter Type Data'!$C$2:$C$1165&gt;=Analysis!L255),ROW('Meter Type Data'!$B$2:$B$1165))-1,3))</x:f>
      </x:c>
      <x:c r="O255" s="69"/>
      <x:c r="P255" s="47"/>
      <x:c r="Q255" s="60"/>
      <x:c r="R255" s="58">
        <x:f>(($O255*P255)/100)+(Q255*12)</x:f>
      </x:c>
      <x:c r="S255" s="59"/>
      <x:c r="T255" s="59"/>
      <x:c r="U255" s="58">
        <x:f>(($O255*S255)/100)+(T255*12)</x:f>
      </x:c>
      <x:c r="V255" s="47"/>
      <x:c r="W255" s="60"/>
      <x:c r="X255" s="58">
        <x:f>(($O255*V255)/100)+(W255*12)</x:f>
      </x:c>
      <x:c r="Y255" s="47"/>
      <x:c r="Z255" s="60"/>
      <x:c r="AA255" s="58">
        <x:f>(($O255*Y255)/100)+(Z255*12)</x:f>
      </x:c>
      <x:c r="AB255" s="47"/>
      <x:c r="AC255" s="60"/>
      <x:c r="AD255" s="58">
        <x:f>(($O255*AB255)/100)+(AC255*12)</x:f>
      </x:c>
      <x:c r="AE255" s="47"/>
      <x:c r="AF255" s="60"/>
      <x:c r="AG255" s="58">
        <x:f>(($O255*AE255)/100)+(AF255*12)</x:f>
      </x:c>
      <x:c r="AH255" s="47"/>
      <x:c r="AI255" s="60"/>
      <x:c r="AJ255" s="58">
        <x:f>(($O255*AH255)/100)+(AI255*12)</x:f>
      </x:c>
      <x:c r="AK255" s="47"/>
      <x:c r="AL255" s="60"/>
      <x:c r="AM255" s="58">
        <x:f>(($O255*AK255)/100)+(AL255*12)</x:f>
      </x:c>
      <x:c r="AN255" s="47"/>
      <x:c r="AO255" s="60"/>
      <x:c r="AP255" s="58">
        <x:f>(($O255*AN255)/100)+(AO255*12)</x:f>
      </x:c>
      <x:c r="AQ255" s="47"/>
      <x:c r="AR255" s="60"/>
      <x:c r="AS255" s="58">
        <x:f>(($O255*AQ255)/100)+(AR255*12)</x:f>
      </x:c>
      <x:c r="AT255" s="47"/>
      <x:c r="AU255" s="60"/>
      <x:c r="AV255" s="58">
        <x:f>(($O255*AT255)/100)+(AU255*12)</x:f>
      </x:c>
      <x:c r="AW255" s="47"/>
      <x:c r="AX255" s="60"/>
      <x:c r="AY255" s="58">
        <x:f>(($O255*AW255)/100)+(AX255*12)</x:f>
      </x:c>
      <x:c r="AZ255" s="47"/>
      <x:c r="BA255" s="60"/>
      <x:c r="BB255" s="58">
        <x:f>(($O255*AZ255)/100)+(BA255*12)</x:f>
      </x:c>
      <x:c r="BC255" s="47"/>
      <x:c r="BD255" s="60"/>
      <x:c r="BE255" s="58">
        <x:f>(($O255*BC255)/100)+(BD255*12)</x:f>
      </x:c>
      <x:c r="BF255" s="47"/>
      <x:c r="BG255" s="60"/>
      <x:c r="BH255" s="58">
        <x:f>(($O255*BF255)/100)+(BG255*12)</x:f>
      </x:c>
      <x:c r="BI255" s="47"/>
      <x:c r="BJ255" s="60"/>
      <x:c r="BK255" s="58">
        <x:f>(($O255*BI255)/100)+(BJ255*12)</x:f>
      </x:c>
      <x:c r="BL255" s="47"/>
      <x:c r="BM255" s="60"/>
      <x:c r="BN255" s="58">
        <x:f>(($O255*BL255)/100)+(BM255*12)</x:f>
      </x:c>
      <x:c r="BO255" s="47"/>
      <x:c r="BP255" s="60"/>
      <x:c r="BQ255" s="58">
        <x:f>(($O255*BO255)/100)+(BP255*12)</x:f>
      </x:c>
      <x:c r="BR255" s="47"/>
      <x:c r="BS255" s="60"/>
      <x:c r="BT255" s="58">
        <x:f>(($O255*BR255)/100)+(BS255*12)</x:f>
      </x:c>
      <x:c r="BU255" s="47"/>
      <x:c r="BV255" s="60"/>
      <x:c r="BW255" s="58">
        <x:f>(($O255*BU255)/100)+(BV255*12)</x:f>
      </x:c>
      <x:c r="BX255" s="47"/>
      <x:c r="BY255" s="60"/>
      <x:c r="BZ255" s="58">
        <x:f>(($O255*BX255)/100)+(BY255*12)</x:f>
      </x:c>
      <x:c r="CA255" s="47"/>
      <x:c r="CB255" s="60"/>
      <x:c r="CC255" s="58">
        <x:f>(($O255*CA255)/100)+(CB255*12)</x:f>
      </x:c>
      <x:c r="CD255" s="47"/>
      <x:c r="CE255" s="60"/>
      <x:c r="CF255" s="58">
        <x:f>(($O255*CD255)/100)+(CE255*12)</x:f>
      </x:c>
      <x:c r="CG255" s="47"/>
      <x:c r="CH255" s="60"/>
      <x:c r="CI255" s="58">
        <x:f>(($O255*CG255)/100)+(CH255*12)</x:f>
      </x:c>
      <x:c r="CJ255" s="47"/>
      <x:c r="CK255" s="60"/>
      <x:c r="CL255" s="58">
        <x:f>(($O255*CJ255)/100)+(CK255*12)</x:f>
      </x:c>
      <x:c r="CM255" s="47"/>
      <x:c r="CN255" s="60"/>
      <x:c r="CO255" s="58">
        <x:f>(($O255*CM255)/100)+(CN255*12)</x:f>
      </x:c>
      <x:c r="CP255" s="47"/>
      <x:c r="CQ255" s="60"/>
      <x:c r="CR255" s="58">
        <x:f>(($O255*CP255)/100)+(CQ255*12)</x:f>
      </x:c>
      <x:c r="CS255" s="47"/>
      <x:c r="CT255" s="60"/>
      <x:c r="CU255" s="58">
        <x:f>(($O255*CS255)/100)+(CT255*12)</x:f>
      </x:c>
      <x:c r="CV255" s="47"/>
      <x:c r="CW255" s="60"/>
      <x:c r="CX255" s="58"/>
      <x:c r="CY255" s="47"/>
      <x:c r="CZ255" s="60"/>
      <x:c r="DA255" s="58"/>
      <x:c r="DB255" s="47"/>
      <x:c r="DC255" s="60"/>
      <x:c r="DD255" s="58"/>
      <x:c r="DE255" s="47"/>
      <x:c r="DF255" s="60"/>
      <x:c r="DG255" s="58"/>
      <x:c r="DH255" s="47"/>
      <x:c r="DI255" s="60"/>
      <x:c r="DJ255" s="58"/>
      <x:c r="DK255" s="47"/>
      <x:c r="DL255" s="60"/>
      <x:c r="DM255" s="58"/>
      <x:c r="DN255" s="11"/>
      <x:c r="DO255" s="61"/>
      <x:c r="DP255" s="62"/>
      <x:c r="DQ255" s="11"/>
      <x:c r="DR255" s="61"/>
      <x:c r="DS255" s="62"/>
      <x:c r="DT255" s="11"/>
      <x:c r="DU255" s="61"/>
      <x:c r="DV255" s="62"/>
    </x:row>
    <x:row r="256" spans="1:126" x14ac:dyDescent="0.3">
      <x:c r="A256" s="47"/>
      <x:c r="B256" s="70"/>
      <x:c r="C256" s="70"/>
      <x:c r="D256" s="70"/>
      <x:c r="E256" s="70"/>
      <x:c r="F256" s="70"/>
      <x:c r="G256" s="70"/>
      <x:c r="H256" s="70"/>
      <x:c r="I256" s="70"/>
      <x:c r="J256" s="70"/>
      <x:c r="K256" s="190"/>
      <x:c r="L256" s="191"/>
      <x:c r="M256" s="192">
        <x:f>IF(ISERROR(INDEX('Meter Type Data'!$B$2:$E$1165,SUMPRODUCT(--('Meter Type Data'!$B$2:$B$1165&lt;=Analysis!L256)*('Meter Type Data'!$C$2:$C$1165&gt;=Analysis!L256),ROW('Meter Type Data'!$B$2:$B$1165))-1,4))," ",INDEX('Meter Type Data'!$B$2:$E$1165,SUMPRODUCT(--('Meter Type Data'!$B$2:$B$1165&lt;=Analysis!L256)*('Meter Type Data'!$C$2:$C$1165&gt;=Analysis!L256),ROW('Meter Type Data'!$B$2:$B$1165))-1,4))</x:f>
      </x:c>
      <x:c r="N256" s="192">
        <x:f>IF(ISERROR(INDEX('Meter Type Data'!$B$2:$D$1165,SUMPRODUCT(--('Meter Type Data'!$B$2:$B$1165&lt;=Analysis!L256)*('Meter Type Data'!$C$2:$C$1165&gt;=Analysis!L256),ROW('Meter Type Data'!$B$2:$B$1165))-1,3))," ",INDEX('Meter Type Data'!$B$2:$D$1165,SUMPRODUCT(--('Meter Type Data'!$B$2:$B$1165&lt;=Analysis!L256)*('Meter Type Data'!$C$2:$C$1165&gt;=Analysis!L256),ROW('Meter Type Data'!$B$2:$B$1165))-1,3))</x:f>
      </x:c>
      <x:c r="O256" s="69"/>
      <x:c r="P256" s="47"/>
      <x:c r="Q256" s="60"/>
      <x:c r="R256" s="58">
        <x:f>(($O256*P256)/100)+(Q256*12)</x:f>
      </x:c>
      <x:c r="S256" s="59"/>
      <x:c r="T256" s="59"/>
      <x:c r="U256" s="58">
        <x:f>(($O256*S256)/100)+(T256*12)</x:f>
      </x:c>
      <x:c r="V256" s="47"/>
      <x:c r="W256" s="60"/>
      <x:c r="X256" s="58">
        <x:f>(($O256*V256)/100)+(W256*12)</x:f>
      </x:c>
      <x:c r="Y256" s="47"/>
      <x:c r="Z256" s="60"/>
      <x:c r="AA256" s="58">
        <x:f>(($O256*Y256)/100)+(Z256*12)</x:f>
      </x:c>
      <x:c r="AB256" s="47"/>
      <x:c r="AC256" s="60"/>
      <x:c r="AD256" s="58">
        <x:f>(($O256*AB256)/100)+(AC256*12)</x:f>
      </x:c>
      <x:c r="AE256" s="47"/>
      <x:c r="AF256" s="60"/>
      <x:c r="AG256" s="58">
        <x:f>(($O256*AE256)/100)+(AF256*12)</x:f>
      </x:c>
      <x:c r="AH256" s="47"/>
      <x:c r="AI256" s="60"/>
      <x:c r="AJ256" s="58">
        <x:f>(($O256*AH256)/100)+(AI256*12)</x:f>
      </x:c>
      <x:c r="AK256" s="47"/>
      <x:c r="AL256" s="60"/>
      <x:c r="AM256" s="58">
        <x:f>(($O256*AK256)/100)+(AL256*12)</x:f>
      </x:c>
      <x:c r="AN256" s="47"/>
      <x:c r="AO256" s="60"/>
      <x:c r="AP256" s="58">
        <x:f>(($O256*AN256)/100)+(AO256*12)</x:f>
      </x:c>
      <x:c r="AQ256" s="47"/>
      <x:c r="AR256" s="60"/>
      <x:c r="AS256" s="58">
        <x:f>(($O256*AQ256)/100)+(AR256*12)</x:f>
      </x:c>
      <x:c r="AT256" s="47"/>
      <x:c r="AU256" s="60"/>
      <x:c r="AV256" s="58">
        <x:f>(($O256*AT256)/100)+(AU256*12)</x:f>
      </x:c>
      <x:c r="AW256" s="47"/>
      <x:c r="AX256" s="60"/>
      <x:c r="AY256" s="58">
        <x:f>(($O256*AW256)/100)+(AX256*12)</x:f>
      </x:c>
      <x:c r="AZ256" s="47"/>
      <x:c r="BA256" s="60"/>
      <x:c r="BB256" s="58">
        <x:f>(($O256*AZ256)/100)+(BA256*12)</x:f>
      </x:c>
      <x:c r="BC256" s="47"/>
      <x:c r="BD256" s="60"/>
      <x:c r="BE256" s="58">
        <x:f>(($O256*BC256)/100)+(BD256*12)</x:f>
      </x:c>
      <x:c r="BF256" s="47"/>
      <x:c r="BG256" s="60"/>
      <x:c r="BH256" s="58">
        <x:f>(($O256*BF256)/100)+(BG256*12)</x:f>
      </x:c>
      <x:c r="BI256" s="47"/>
      <x:c r="BJ256" s="60"/>
      <x:c r="BK256" s="58">
        <x:f>(($O256*BI256)/100)+(BJ256*12)</x:f>
      </x:c>
      <x:c r="BL256" s="47"/>
      <x:c r="BM256" s="60"/>
      <x:c r="BN256" s="58">
        <x:f>(($O256*BL256)/100)+(BM256*12)</x:f>
      </x:c>
      <x:c r="BO256" s="47"/>
      <x:c r="BP256" s="60"/>
      <x:c r="BQ256" s="58">
        <x:f>(($O256*BO256)/100)+(BP256*12)</x:f>
      </x:c>
      <x:c r="BR256" s="47"/>
      <x:c r="BS256" s="60"/>
      <x:c r="BT256" s="58">
        <x:f>(($O256*BR256)/100)+(BS256*12)</x:f>
      </x:c>
      <x:c r="BU256" s="47"/>
      <x:c r="BV256" s="60"/>
      <x:c r="BW256" s="58">
        <x:f>(($O256*BU256)/100)+(BV256*12)</x:f>
      </x:c>
      <x:c r="BX256" s="47"/>
      <x:c r="BY256" s="60"/>
      <x:c r="BZ256" s="58">
        <x:f>(($O256*BX256)/100)+(BY256*12)</x:f>
      </x:c>
      <x:c r="CA256" s="47"/>
      <x:c r="CB256" s="60"/>
      <x:c r="CC256" s="58">
        <x:f>(($O256*CA256)/100)+(CB256*12)</x:f>
      </x:c>
      <x:c r="CD256" s="47"/>
      <x:c r="CE256" s="60"/>
      <x:c r="CF256" s="58">
        <x:f>(($O256*CD256)/100)+(CE256*12)</x:f>
      </x:c>
      <x:c r="CG256" s="47"/>
      <x:c r="CH256" s="60"/>
      <x:c r="CI256" s="58">
        <x:f>(($O256*CG256)/100)+(CH256*12)</x:f>
      </x:c>
      <x:c r="CJ256" s="47"/>
      <x:c r="CK256" s="60"/>
      <x:c r="CL256" s="58">
        <x:f>(($O256*CJ256)/100)+(CK256*12)</x:f>
      </x:c>
      <x:c r="CM256" s="47"/>
      <x:c r="CN256" s="60"/>
      <x:c r="CO256" s="58">
        <x:f>(($O256*CM256)/100)+(CN256*12)</x:f>
      </x:c>
      <x:c r="CP256" s="47"/>
      <x:c r="CQ256" s="60"/>
      <x:c r="CR256" s="58">
        <x:f>(($O256*CP256)/100)+(CQ256*12)</x:f>
      </x:c>
      <x:c r="CS256" s="47"/>
      <x:c r="CT256" s="60"/>
      <x:c r="CU256" s="58">
        <x:f>(($O256*CS256)/100)+(CT256*12)</x:f>
      </x:c>
      <x:c r="CV256" s="47"/>
      <x:c r="CW256" s="60"/>
      <x:c r="CX256" s="58"/>
      <x:c r="CY256" s="47"/>
      <x:c r="CZ256" s="60"/>
      <x:c r="DA256" s="58"/>
      <x:c r="DB256" s="47"/>
      <x:c r="DC256" s="60"/>
      <x:c r="DD256" s="58"/>
      <x:c r="DE256" s="47"/>
      <x:c r="DF256" s="60"/>
      <x:c r="DG256" s="58"/>
      <x:c r="DH256" s="47"/>
      <x:c r="DI256" s="60"/>
      <x:c r="DJ256" s="58"/>
      <x:c r="DK256" s="47"/>
      <x:c r="DL256" s="60"/>
      <x:c r="DM256" s="58"/>
      <x:c r="DN256" s="11"/>
      <x:c r="DO256" s="61"/>
      <x:c r="DP256" s="62"/>
      <x:c r="DQ256" s="11"/>
      <x:c r="DR256" s="61"/>
      <x:c r="DS256" s="62"/>
      <x:c r="DT256" s="11"/>
      <x:c r="DU256" s="61"/>
      <x:c r="DV256" s="62"/>
    </x:row>
    <x:row r="257" spans="1:126" x14ac:dyDescent="0.3">
      <x:c r="A257" s="47"/>
      <x:c r="B257" s="70"/>
      <x:c r="C257" s="70"/>
      <x:c r="D257" s="70"/>
      <x:c r="E257" s="70"/>
      <x:c r="F257" s="70"/>
      <x:c r="G257" s="70"/>
      <x:c r="H257" s="70"/>
      <x:c r="I257" s="70"/>
      <x:c r="J257" s="70"/>
      <x:c r="K257" s="190"/>
      <x:c r="L257" s="191"/>
      <x:c r="M257" s="192">
        <x:f>IF(ISERROR(INDEX('Meter Type Data'!$B$2:$E$1165,SUMPRODUCT(--('Meter Type Data'!$B$2:$B$1165&lt;=Analysis!L257)*('Meter Type Data'!$C$2:$C$1165&gt;=Analysis!L257),ROW('Meter Type Data'!$B$2:$B$1165))-1,4))," ",INDEX('Meter Type Data'!$B$2:$E$1165,SUMPRODUCT(--('Meter Type Data'!$B$2:$B$1165&lt;=Analysis!L257)*('Meter Type Data'!$C$2:$C$1165&gt;=Analysis!L257),ROW('Meter Type Data'!$B$2:$B$1165))-1,4))</x:f>
      </x:c>
      <x:c r="N257" s="192">
        <x:f>IF(ISERROR(INDEX('Meter Type Data'!$B$2:$D$1165,SUMPRODUCT(--('Meter Type Data'!$B$2:$B$1165&lt;=Analysis!L257)*('Meter Type Data'!$C$2:$C$1165&gt;=Analysis!L257),ROW('Meter Type Data'!$B$2:$B$1165))-1,3))," ",INDEX('Meter Type Data'!$B$2:$D$1165,SUMPRODUCT(--('Meter Type Data'!$B$2:$B$1165&lt;=Analysis!L257)*('Meter Type Data'!$C$2:$C$1165&gt;=Analysis!L257),ROW('Meter Type Data'!$B$2:$B$1165))-1,3))</x:f>
      </x:c>
      <x:c r="O257" s="69"/>
      <x:c r="P257" s="47"/>
      <x:c r="Q257" s="60"/>
      <x:c r="R257" s="58">
        <x:f>(($O257*P257)/100)+(Q257*12)</x:f>
      </x:c>
      <x:c r="S257" s="59"/>
      <x:c r="T257" s="59"/>
      <x:c r="U257" s="58">
        <x:f>(($O257*S257)/100)+(T257*12)</x:f>
      </x:c>
      <x:c r="V257" s="47"/>
      <x:c r="W257" s="60"/>
      <x:c r="X257" s="58">
        <x:f>(($O257*V257)/100)+(W257*12)</x:f>
      </x:c>
      <x:c r="Y257" s="47"/>
      <x:c r="Z257" s="60"/>
      <x:c r="AA257" s="58">
        <x:f>(($O257*Y257)/100)+(Z257*12)</x:f>
      </x:c>
      <x:c r="AB257" s="47"/>
      <x:c r="AC257" s="60"/>
      <x:c r="AD257" s="58">
        <x:f>(($O257*AB257)/100)+(AC257*12)</x:f>
      </x:c>
      <x:c r="AE257" s="47"/>
      <x:c r="AF257" s="60"/>
      <x:c r="AG257" s="58">
        <x:f>(($O257*AE257)/100)+(AF257*12)</x:f>
      </x:c>
      <x:c r="AH257" s="47"/>
      <x:c r="AI257" s="60"/>
      <x:c r="AJ257" s="58">
        <x:f>(($O257*AH257)/100)+(AI257*12)</x:f>
      </x:c>
      <x:c r="AK257" s="47"/>
      <x:c r="AL257" s="60"/>
      <x:c r="AM257" s="58">
        <x:f>(($O257*AK257)/100)+(AL257*12)</x:f>
      </x:c>
      <x:c r="AN257" s="47"/>
      <x:c r="AO257" s="60"/>
      <x:c r="AP257" s="58">
        <x:f>(($O257*AN257)/100)+(AO257*12)</x:f>
      </x:c>
      <x:c r="AQ257" s="47"/>
      <x:c r="AR257" s="60"/>
      <x:c r="AS257" s="58">
        <x:f>(($O257*AQ257)/100)+(AR257*12)</x:f>
      </x:c>
      <x:c r="AT257" s="47"/>
      <x:c r="AU257" s="60"/>
      <x:c r="AV257" s="58">
        <x:f>(($O257*AT257)/100)+(AU257*12)</x:f>
      </x:c>
      <x:c r="AW257" s="47"/>
      <x:c r="AX257" s="60"/>
      <x:c r="AY257" s="58">
        <x:f>(($O257*AW257)/100)+(AX257*12)</x:f>
      </x:c>
      <x:c r="AZ257" s="47"/>
      <x:c r="BA257" s="60"/>
      <x:c r="BB257" s="58">
        <x:f>(($O257*AZ257)/100)+(BA257*12)</x:f>
      </x:c>
      <x:c r="BC257" s="47"/>
      <x:c r="BD257" s="60"/>
      <x:c r="BE257" s="58">
        <x:f>(($O257*BC257)/100)+(BD257*12)</x:f>
      </x:c>
      <x:c r="BF257" s="47"/>
      <x:c r="BG257" s="60"/>
      <x:c r="BH257" s="58">
        <x:f>(($O257*BF257)/100)+(BG257*12)</x:f>
      </x:c>
      <x:c r="BI257" s="47"/>
      <x:c r="BJ257" s="60"/>
      <x:c r="BK257" s="58">
        <x:f>(($O257*BI257)/100)+(BJ257*12)</x:f>
      </x:c>
      <x:c r="BL257" s="47"/>
      <x:c r="BM257" s="60"/>
      <x:c r="BN257" s="58">
        <x:f>(($O257*BL257)/100)+(BM257*12)</x:f>
      </x:c>
      <x:c r="BO257" s="47"/>
      <x:c r="BP257" s="60"/>
      <x:c r="BQ257" s="58">
        <x:f>(($O257*BO257)/100)+(BP257*12)</x:f>
      </x:c>
      <x:c r="BR257" s="47"/>
      <x:c r="BS257" s="60"/>
      <x:c r="BT257" s="58">
        <x:f>(($O257*BR257)/100)+(BS257*12)</x:f>
      </x:c>
      <x:c r="BU257" s="47"/>
      <x:c r="BV257" s="60"/>
      <x:c r="BW257" s="58">
        <x:f>(($O257*BU257)/100)+(BV257*12)</x:f>
      </x:c>
      <x:c r="BX257" s="47"/>
      <x:c r="BY257" s="60"/>
      <x:c r="BZ257" s="58">
        <x:f>(($O257*BX257)/100)+(BY257*12)</x:f>
      </x:c>
      <x:c r="CA257" s="47"/>
      <x:c r="CB257" s="60"/>
      <x:c r="CC257" s="58">
        <x:f>(($O257*CA257)/100)+(CB257*12)</x:f>
      </x:c>
      <x:c r="CD257" s="47"/>
      <x:c r="CE257" s="60"/>
      <x:c r="CF257" s="58">
        <x:f>(($O257*CD257)/100)+(CE257*12)</x:f>
      </x:c>
      <x:c r="CG257" s="47"/>
      <x:c r="CH257" s="60"/>
      <x:c r="CI257" s="58">
        <x:f>(($O257*CG257)/100)+(CH257*12)</x:f>
      </x:c>
      <x:c r="CJ257" s="47"/>
      <x:c r="CK257" s="60"/>
      <x:c r="CL257" s="58">
        <x:f>(($O257*CJ257)/100)+(CK257*12)</x:f>
      </x:c>
      <x:c r="CM257" s="47"/>
      <x:c r="CN257" s="60"/>
      <x:c r="CO257" s="58">
        <x:f>(($O257*CM257)/100)+(CN257*12)</x:f>
      </x:c>
      <x:c r="CP257" s="47"/>
      <x:c r="CQ257" s="60"/>
      <x:c r="CR257" s="58">
        <x:f>(($O257*CP257)/100)+(CQ257*12)</x:f>
      </x:c>
      <x:c r="CS257" s="47"/>
      <x:c r="CT257" s="60"/>
      <x:c r="CU257" s="58">
        <x:f>(($O257*CS257)/100)+(CT257*12)</x:f>
      </x:c>
      <x:c r="CV257" s="47"/>
      <x:c r="CW257" s="60"/>
      <x:c r="CX257" s="58"/>
      <x:c r="CY257" s="47"/>
      <x:c r="CZ257" s="60"/>
      <x:c r="DA257" s="58"/>
      <x:c r="DB257" s="47"/>
      <x:c r="DC257" s="60"/>
      <x:c r="DD257" s="58"/>
      <x:c r="DE257" s="47"/>
      <x:c r="DF257" s="60"/>
      <x:c r="DG257" s="58"/>
      <x:c r="DH257" s="47"/>
      <x:c r="DI257" s="60"/>
      <x:c r="DJ257" s="58"/>
      <x:c r="DK257" s="47"/>
      <x:c r="DL257" s="60"/>
      <x:c r="DM257" s="58"/>
      <x:c r="DN257" s="11"/>
      <x:c r="DO257" s="61"/>
      <x:c r="DP257" s="62"/>
      <x:c r="DQ257" s="11"/>
      <x:c r="DR257" s="61"/>
      <x:c r="DS257" s="62"/>
      <x:c r="DT257" s="11"/>
      <x:c r="DU257" s="61"/>
      <x:c r="DV257" s="62"/>
    </x:row>
    <x:row r="258" spans="1:126" x14ac:dyDescent="0.3">
      <x:c r="A258" s="47"/>
      <x:c r="B258" s="70"/>
      <x:c r="C258" s="70"/>
      <x:c r="D258" s="70"/>
      <x:c r="E258" s="70"/>
      <x:c r="F258" s="70"/>
      <x:c r="G258" s="70"/>
      <x:c r="H258" s="70"/>
      <x:c r="I258" s="70"/>
      <x:c r="J258" s="70"/>
      <x:c r="K258" s="190"/>
      <x:c r="L258" s="191"/>
      <x:c r="M258" s="192">
        <x:f>IF(ISERROR(INDEX('Meter Type Data'!$B$2:$E$1165,SUMPRODUCT(--('Meter Type Data'!$B$2:$B$1165&lt;=Analysis!L258)*('Meter Type Data'!$C$2:$C$1165&gt;=Analysis!L258),ROW('Meter Type Data'!$B$2:$B$1165))-1,4))," ",INDEX('Meter Type Data'!$B$2:$E$1165,SUMPRODUCT(--('Meter Type Data'!$B$2:$B$1165&lt;=Analysis!L258)*('Meter Type Data'!$C$2:$C$1165&gt;=Analysis!L258),ROW('Meter Type Data'!$B$2:$B$1165))-1,4))</x:f>
      </x:c>
      <x:c r="N258" s="192">
        <x:f>IF(ISERROR(INDEX('Meter Type Data'!$B$2:$D$1165,SUMPRODUCT(--('Meter Type Data'!$B$2:$B$1165&lt;=Analysis!L258)*('Meter Type Data'!$C$2:$C$1165&gt;=Analysis!L258),ROW('Meter Type Data'!$B$2:$B$1165))-1,3))," ",INDEX('Meter Type Data'!$B$2:$D$1165,SUMPRODUCT(--('Meter Type Data'!$B$2:$B$1165&lt;=Analysis!L258)*('Meter Type Data'!$C$2:$C$1165&gt;=Analysis!L258),ROW('Meter Type Data'!$B$2:$B$1165))-1,3))</x:f>
      </x:c>
      <x:c r="O258" s="69"/>
      <x:c r="P258" s="47"/>
      <x:c r="Q258" s="60"/>
      <x:c r="R258" s="58">
        <x:f>(($O258*P258)/100)+(Q258*12)</x:f>
      </x:c>
      <x:c r="S258" s="59"/>
      <x:c r="T258" s="59"/>
      <x:c r="U258" s="58">
        <x:f>(($O258*S258)/100)+(T258*12)</x:f>
      </x:c>
      <x:c r="V258" s="47"/>
      <x:c r="W258" s="60"/>
      <x:c r="X258" s="58">
        <x:f>(($O258*V258)/100)+(W258*12)</x:f>
      </x:c>
      <x:c r="Y258" s="47"/>
      <x:c r="Z258" s="60"/>
      <x:c r="AA258" s="58">
        <x:f>(($O258*Y258)/100)+(Z258*12)</x:f>
      </x:c>
      <x:c r="AB258" s="47"/>
      <x:c r="AC258" s="60"/>
      <x:c r="AD258" s="58">
        <x:f>(($O258*AB258)/100)+(AC258*12)</x:f>
      </x:c>
      <x:c r="AE258" s="47"/>
      <x:c r="AF258" s="60"/>
      <x:c r="AG258" s="58">
        <x:f>(($O258*AE258)/100)+(AF258*12)</x:f>
      </x:c>
      <x:c r="AH258" s="47"/>
      <x:c r="AI258" s="60"/>
      <x:c r="AJ258" s="58">
        <x:f>(($O258*AH258)/100)+(AI258*12)</x:f>
      </x:c>
      <x:c r="AK258" s="47"/>
      <x:c r="AL258" s="60"/>
      <x:c r="AM258" s="58">
        <x:f>(($O258*AK258)/100)+(AL258*12)</x:f>
      </x:c>
      <x:c r="AN258" s="47"/>
      <x:c r="AO258" s="60"/>
      <x:c r="AP258" s="58">
        <x:f>(($O258*AN258)/100)+(AO258*12)</x:f>
      </x:c>
      <x:c r="AQ258" s="47"/>
      <x:c r="AR258" s="60"/>
      <x:c r="AS258" s="58">
        <x:f>(($O258*AQ258)/100)+(AR258*12)</x:f>
      </x:c>
      <x:c r="AT258" s="47"/>
      <x:c r="AU258" s="60"/>
      <x:c r="AV258" s="58">
        <x:f>(($O258*AT258)/100)+(AU258*12)</x:f>
      </x:c>
      <x:c r="AW258" s="47"/>
      <x:c r="AX258" s="60"/>
      <x:c r="AY258" s="58">
        <x:f>(($O258*AW258)/100)+(AX258*12)</x:f>
      </x:c>
      <x:c r="AZ258" s="47"/>
      <x:c r="BA258" s="60"/>
      <x:c r="BB258" s="58">
        <x:f>(($O258*AZ258)/100)+(BA258*12)</x:f>
      </x:c>
      <x:c r="BC258" s="47"/>
      <x:c r="BD258" s="60"/>
      <x:c r="BE258" s="58">
        <x:f>(($O258*BC258)/100)+(BD258*12)</x:f>
      </x:c>
      <x:c r="BF258" s="47"/>
      <x:c r="BG258" s="60"/>
      <x:c r="BH258" s="58">
        <x:f>(($O258*BF258)/100)+(BG258*12)</x:f>
      </x:c>
      <x:c r="BI258" s="47"/>
      <x:c r="BJ258" s="60"/>
      <x:c r="BK258" s="58">
        <x:f>(($O258*BI258)/100)+(BJ258*12)</x:f>
      </x:c>
      <x:c r="BL258" s="47"/>
      <x:c r="BM258" s="60"/>
      <x:c r="BN258" s="58">
        <x:f>(($O258*BL258)/100)+(BM258*12)</x:f>
      </x:c>
      <x:c r="BO258" s="47"/>
      <x:c r="BP258" s="60"/>
      <x:c r="BQ258" s="58">
        <x:f>(($O258*BO258)/100)+(BP258*12)</x:f>
      </x:c>
      <x:c r="BR258" s="47"/>
      <x:c r="BS258" s="60"/>
      <x:c r="BT258" s="58">
        <x:f>(($O258*BR258)/100)+(BS258*12)</x:f>
      </x:c>
      <x:c r="BU258" s="47"/>
      <x:c r="BV258" s="60"/>
      <x:c r="BW258" s="58">
        <x:f>(($O258*BU258)/100)+(BV258*12)</x:f>
      </x:c>
      <x:c r="BX258" s="47"/>
      <x:c r="BY258" s="60"/>
      <x:c r="BZ258" s="58">
        <x:f>(($O258*BX258)/100)+(BY258*12)</x:f>
      </x:c>
      <x:c r="CA258" s="47"/>
      <x:c r="CB258" s="60"/>
      <x:c r="CC258" s="58">
        <x:f>(($O258*CA258)/100)+(CB258*12)</x:f>
      </x:c>
      <x:c r="CD258" s="47"/>
      <x:c r="CE258" s="60"/>
      <x:c r="CF258" s="58">
        <x:f>(($O258*CD258)/100)+(CE258*12)</x:f>
      </x:c>
      <x:c r="CG258" s="47"/>
      <x:c r="CH258" s="60"/>
      <x:c r="CI258" s="58">
        <x:f>(($O258*CG258)/100)+(CH258*12)</x:f>
      </x:c>
      <x:c r="CJ258" s="47"/>
      <x:c r="CK258" s="60"/>
      <x:c r="CL258" s="58">
        <x:f>(($O258*CJ258)/100)+(CK258*12)</x:f>
      </x:c>
      <x:c r="CM258" s="47"/>
      <x:c r="CN258" s="60"/>
      <x:c r="CO258" s="58">
        <x:f>(($O258*CM258)/100)+(CN258*12)</x:f>
      </x:c>
      <x:c r="CP258" s="47"/>
      <x:c r="CQ258" s="60"/>
      <x:c r="CR258" s="58">
        <x:f>(($O258*CP258)/100)+(CQ258*12)</x:f>
      </x:c>
      <x:c r="CS258" s="47"/>
      <x:c r="CT258" s="60"/>
      <x:c r="CU258" s="58">
        <x:f>(($O258*CS258)/100)+(CT258*12)</x:f>
      </x:c>
      <x:c r="CV258" s="47"/>
      <x:c r="CW258" s="60"/>
      <x:c r="CX258" s="58"/>
      <x:c r="CY258" s="47"/>
      <x:c r="CZ258" s="60"/>
      <x:c r="DA258" s="58"/>
      <x:c r="DB258" s="47"/>
      <x:c r="DC258" s="60"/>
      <x:c r="DD258" s="58"/>
      <x:c r="DE258" s="47"/>
      <x:c r="DF258" s="60"/>
      <x:c r="DG258" s="58"/>
      <x:c r="DH258" s="47"/>
      <x:c r="DI258" s="60"/>
      <x:c r="DJ258" s="58"/>
      <x:c r="DK258" s="47"/>
      <x:c r="DL258" s="60"/>
      <x:c r="DM258" s="58"/>
      <x:c r="DN258" s="11"/>
      <x:c r="DO258" s="61"/>
      <x:c r="DP258" s="62"/>
      <x:c r="DQ258" s="11"/>
      <x:c r="DR258" s="61"/>
      <x:c r="DS258" s="62"/>
      <x:c r="DT258" s="11"/>
      <x:c r="DU258" s="61"/>
      <x:c r="DV258" s="62"/>
    </x:row>
    <x:row r="259" spans="1:126" x14ac:dyDescent="0.3">
      <x:c r="A259" s="47"/>
      <x:c r="B259" s="70"/>
      <x:c r="C259" s="70"/>
      <x:c r="D259" s="70"/>
      <x:c r="E259" s="70"/>
      <x:c r="F259" s="70"/>
      <x:c r="G259" s="70"/>
      <x:c r="H259" s="70"/>
      <x:c r="I259" s="70"/>
      <x:c r="J259" s="70"/>
      <x:c r="K259" s="190"/>
      <x:c r="L259" s="191"/>
      <x:c r="M259" s="192">
        <x:f>IF(ISERROR(INDEX('Meter Type Data'!$B$2:$E$1165,SUMPRODUCT(--('Meter Type Data'!$B$2:$B$1165&lt;=Analysis!L259)*('Meter Type Data'!$C$2:$C$1165&gt;=Analysis!L259),ROW('Meter Type Data'!$B$2:$B$1165))-1,4))," ",INDEX('Meter Type Data'!$B$2:$E$1165,SUMPRODUCT(--('Meter Type Data'!$B$2:$B$1165&lt;=Analysis!L259)*('Meter Type Data'!$C$2:$C$1165&gt;=Analysis!L259),ROW('Meter Type Data'!$B$2:$B$1165))-1,4))</x:f>
      </x:c>
      <x:c r="N259" s="192">
        <x:f>IF(ISERROR(INDEX('Meter Type Data'!$B$2:$D$1165,SUMPRODUCT(--('Meter Type Data'!$B$2:$B$1165&lt;=Analysis!L259)*('Meter Type Data'!$C$2:$C$1165&gt;=Analysis!L259),ROW('Meter Type Data'!$B$2:$B$1165))-1,3))," ",INDEX('Meter Type Data'!$B$2:$D$1165,SUMPRODUCT(--('Meter Type Data'!$B$2:$B$1165&lt;=Analysis!L259)*('Meter Type Data'!$C$2:$C$1165&gt;=Analysis!L259),ROW('Meter Type Data'!$B$2:$B$1165))-1,3))</x:f>
      </x:c>
      <x:c r="O259" s="69"/>
      <x:c r="P259" s="47"/>
      <x:c r="Q259" s="60"/>
      <x:c r="R259" s="58">
        <x:f>(($O259*P259)/100)+(Q259*12)</x:f>
      </x:c>
      <x:c r="S259" s="59"/>
      <x:c r="T259" s="59"/>
      <x:c r="U259" s="58">
        <x:f>(($O259*S259)/100)+(T259*12)</x:f>
      </x:c>
      <x:c r="V259" s="47"/>
      <x:c r="W259" s="60"/>
      <x:c r="X259" s="58">
        <x:f>(($O259*V259)/100)+(W259*12)</x:f>
      </x:c>
      <x:c r="Y259" s="47"/>
      <x:c r="Z259" s="60"/>
      <x:c r="AA259" s="58">
        <x:f>(($O259*Y259)/100)+(Z259*12)</x:f>
      </x:c>
      <x:c r="AB259" s="47"/>
      <x:c r="AC259" s="60"/>
      <x:c r="AD259" s="58">
        <x:f>(($O259*AB259)/100)+(AC259*12)</x:f>
      </x:c>
      <x:c r="AE259" s="47"/>
      <x:c r="AF259" s="60"/>
      <x:c r="AG259" s="58">
        <x:f>(($O259*AE259)/100)+(AF259*12)</x:f>
      </x:c>
      <x:c r="AH259" s="47"/>
      <x:c r="AI259" s="60"/>
      <x:c r="AJ259" s="58">
        <x:f>(($O259*AH259)/100)+(AI259*12)</x:f>
      </x:c>
      <x:c r="AK259" s="47"/>
      <x:c r="AL259" s="60"/>
      <x:c r="AM259" s="58">
        <x:f>(($O259*AK259)/100)+(AL259*12)</x:f>
      </x:c>
      <x:c r="AN259" s="47"/>
      <x:c r="AO259" s="60"/>
      <x:c r="AP259" s="58">
        <x:f>(($O259*AN259)/100)+(AO259*12)</x:f>
      </x:c>
      <x:c r="AQ259" s="47"/>
      <x:c r="AR259" s="60"/>
      <x:c r="AS259" s="58">
        <x:f>(($O259*AQ259)/100)+(AR259*12)</x:f>
      </x:c>
      <x:c r="AT259" s="47"/>
      <x:c r="AU259" s="60"/>
      <x:c r="AV259" s="58">
        <x:f>(($O259*AT259)/100)+(AU259*12)</x:f>
      </x:c>
      <x:c r="AW259" s="47"/>
      <x:c r="AX259" s="60"/>
      <x:c r="AY259" s="58">
        <x:f>(($O259*AW259)/100)+(AX259*12)</x:f>
      </x:c>
      <x:c r="AZ259" s="47"/>
      <x:c r="BA259" s="60"/>
      <x:c r="BB259" s="58">
        <x:f>(($O259*AZ259)/100)+(BA259*12)</x:f>
      </x:c>
      <x:c r="BC259" s="47"/>
      <x:c r="BD259" s="60"/>
      <x:c r="BE259" s="58">
        <x:f>(($O259*BC259)/100)+(BD259*12)</x:f>
      </x:c>
      <x:c r="BF259" s="47"/>
      <x:c r="BG259" s="60"/>
      <x:c r="BH259" s="58">
        <x:f>(($O259*BF259)/100)+(BG259*12)</x:f>
      </x:c>
      <x:c r="BI259" s="47"/>
      <x:c r="BJ259" s="60"/>
      <x:c r="BK259" s="58">
        <x:f>(($O259*BI259)/100)+(BJ259*12)</x:f>
      </x:c>
      <x:c r="BL259" s="47"/>
      <x:c r="BM259" s="60"/>
      <x:c r="BN259" s="58">
        <x:f>(($O259*BL259)/100)+(BM259*12)</x:f>
      </x:c>
      <x:c r="BO259" s="47"/>
      <x:c r="BP259" s="60"/>
      <x:c r="BQ259" s="58">
        <x:f>(($O259*BO259)/100)+(BP259*12)</x:f>
      </x:c>
      <x:c r="BR259" s="47"/>
      <x:c r="BS259" s="60"/>
      <x:c r="BT259" s="58">
        <x:f>(($O259*BR259)/100)+(BS259*12)</x:f>
      </x:c>
      <x:c r="BU259" s="47"/>
      <x:c r="BV259" s="60"/>
      <x:c r="BW259" s="58">
        <x:f>(($O259*BU259)/100)+(BV259*12)</x:f>
      </x:c>
      <x:c r="BX259" s="47"/>
      <x:c r="BY259" s="60"/>
      <x:c r="BZ259" s="58">
        <x:f>(($O259*BX259)/100)+(BY259*12)</x:f>
      </x:c>
      <x:c r="CA259" s="47"/>
      <x:c r="CB259" s="60"/>
      <x:c r="CC259" s="58">
        <x:f>(($O259*CA259)/100)+(CB259*12)</x:f>
      </x:c>
      <x:c r="CD259" s="47"/>
      <x:c r="CE259" s="60"/>
      <x:c r="CF259" s="58">
        <x:f>(($O259*CD259)/100)+(CE259*12)</x:f>
      </x:c>
      <x:c r="CG259" s="47"/>
      <x:c r="CH259" s="60"/>
      <x:c r="CI259" s="58">
        <x:f>(($O259*CG259)/100)+(CH259*12)</x:f>
      </x:c>
      <x:c r="CJ259" s="47"/>
      <x:c r="CK259" s="60"/>
      <x:c r="CL259" s="58">
        <x:f>(($O259*CJ259)/100)+(CK259*12)</x:f>
      </x:c>
      <x:c r="CM259" s="47"/>
      <x:c r="CN259" s="60"/>
      <x:c r="CO259" s="58">
        <x:f>(($O259*CM259)/100)+(CN259*12)</x:f>
      </x:c>
      <x:c r="CP259" s="47"/>
      <x:c r="CQ259" s="60"/>
      <x:c r="CR259" s="58">
        <x:f>(($O259*CP259)/100)+(CQ259*12)</x:f>
      </x:c>
      <x:c r="CS259" s="47"/>
      <x:c r="CT259" s="60"/>
      <x:c r="CU259" s="58">
        <x:f>(($O259*CS259)/100)+(CT259*12)</x:f>
      </x:c>
      <x:c r="CV259" s="47"/>
      <x:c r="CW259" s="60"/>
      <x:c r="CX259" s="58"/>
      <x:c r="CY259" s="47"/>
      <x:c r="CZ259" s="60"/>
      <x:c r="DA259" s="58"/>
      <x:c r="DB259" s="47"/>
      <x:c r="DC259" s="60"/>
      <x:c r="DD259" s="58"/>
      <x:c r="DE259" s="47"/>
      <x:c r="DF259" s="60"/>
      <x:c r="DG259" s="58"/>
      <x:c r="DH259" s="47"/>
      <x:c r="DI259" s="60"/>
      <x:c r="DJ259" s="58"/>
      <x:c r="DK259" s="47"/>
      <x:c r="DL259" s="60"/>
      <x:c r="DM259" s="58"/>
      <x:c r="DN259" s="11"/>
      <x:c r="DO259" s="61"/>
      <x:c r="DP259" s="62"/>
      <x:c r="DQ259" s="11"/>
      <x:c r="DR259" s="61"/>
      <x:c r="DS259" s="62"/>
      <x:c r="DT259" s="11"/>
      <x:c r="DU259" s="61"/>
      <x:c r="DV259" s="62"/>
    </x:row>
    <x:row r="260" spans="1:126" x14ac:dyDescent="0.3">
      <x:c r="A260" s="47"/>
      <x:c r="B260" s="70"/>
      <x:c r="C260" s="70"/>
      <x:c r="D260" s="70"/>
      <x:c r="E260" s="70"/>
      <x:c r="F260" s="70"/>
      <x:c r="G260" s="70"/>
      <x:c r="H260" s="70"/>
      <x:c r="I260" s="70"/>
      <x:c r="J260" s="70"/>
      <x:c r="K260" s="190"/>
      <x:c r="L260" s="191"/>
      <x:c r="M260" s="192">
        <x:f>IF(ISERROR(INDEX('Meter Type Data'!$B$2:$E$1165,SUMPRODUCT(--('Meter Type Data'!$B$2:$B$1165&lt;=Analysis!L260)*('Meter Type Data'!$C$2:$C$1165&gt;=Analysis!L260),ROW('Meter Type Data'!$B$2:$B$1165))-1,4))," ",INDEX('Meter Type Data'!$B$2:$E$1165,SUMPRODUCT(--('Meter Type Data'!$B$2:$B$1165&lt;=Analysis!L260)*('Meter Type Data'!$C$2:$C$1165&gt;=Analysis!L260),ROW('Meter Type Data'!$B$2:$B$1165))-1,4))</x:f>
      </x:c>
      <x:c r="N260" s="192">
        <x:f>IF(ISERROR(INDEX('Meter Type Data'!$B$2:$D$1165,SUMPRODUCT(--('Meter Type Data'!$B$2:$B$1165&lt;=Analysis!L260)*('Meter Type Data'!$C$2:$C$1165&gt;=Analysis!L260),ROW('Meter Type Data'!$B$2:$B$1165))-1,3))," ",INDEX('Meter Type Data'!$B$2:$D$1165,SUMPRODUCT(--('Meter Type Data'!$B$2:$B$1165&lt;=Analysis!L260)*('Meter Type Data'!$C$2:$C$1165&gt;=Analysis!L260),ROW('Meter Type Data'!$B$2:$B$1165))-1,3))</x:f>
      </x:c>
      <x:c r="O260" s="69"/>
      <x:c r="P260" s="47"/>
      <x:c r="Q260" s="60"/>
      <x:c r="R260" s="58">
        <x:f>(($O260*P260)/100)+(Q260*12)</x:f>
      </x:c>
      <x:c r="S260" s="59"/>
      <x:c r="T260" s="59"/>
      <x:c r="U260" s="58">
        <x:f>(($O260*S260)/100)+(T260*12)</x:f>
      </x:c>
      <x:c r="V260" s="47"/>
      <x:c r="W260" s="60"/>
      <x:c r="X260" s="58">
        <x:f>(($O260*V260)/100)+(W260*12)</x:f>
      </x:c>
      <x:c r="Y260" s="47"/>
      <x:c r="Z260" s="60"/>
      <x:c r="AA260" s="58">
        <x:f>(($O260*Y260)/100)+(Z260*12)</x:f>
      </x:c>
      <x:c r="AB260" s="47"/>
      <x:c r="AC260" s="60"/>
      <x:c r="AD260" s="58">
        <x:f>(($O260*AB260)/100)+(AC260*12)</x:f>
      </x:c>
      <x:c r="AE260" s="47"/>
      <x:c r="AF260" s="60"/>
      <x:c r="AG260" s="58">
        <x:f>(($O260*AE260)/100)+(AF260*12)</x:f>
      </x:c>
      <x:c r="AH260" s="47"/>
      <x:c r="AI260" s="60"/>
      <x:c r="AJ260" s="58">
        <x:f>(($O260*AH260)/100)+(AI260*12)</x:f>
      </x:c>
      <x:c r="AK260" s="47"/>
      <x:c r="AL260" s="60"/>
      <x:c r="AM260" s="58">
        <x:f>(($O260*AK260)/100)+(AL260*12)</x:f>
      </x:c>
      <x:c r="AN260" s="47"/>
      <x:c r="AO260" s="60"/>
      <x:c r="AP260" s="58">
        <x:f>(($O260*AN260)/100)+(AO260*12)</x:f>
      </x:c>
      <x:c r="AQ260" s="47"/>
      <x:c r="AR260" s="60"/>
      <x:c r="AS260" s="58">
        <x:f>(($O260*AQ260)/100)+(AR260*12)</x:f>
      </x:c>
      <x:c r="AT260" s="47"/>
      <x:c r="AU260" s="60"/>
      <x:c r="AV260" s="58">
        <x:f>(($O260*AT260)/100)+(AU260*12)</x:f>
      </x:c>
      <x:c r="AW260" s="47"/>
      <x:c r="AX260" s="60"/>
      <x:c r="AY260" s="58">
        <x:f>(($O260*AW260)/100)+(AX260*12)</x:f>
      </x:c>
      <x:c r="AZ260" s="47"/>
      <x:c r="BA260" s="60"/>
      <x:c r="BB260" s="58">
        <x:f>(($O260*AZ260)/100)+(BA260*12)</x:f>
      </x:c>
      <x:c r="BC260" s="47"/>
      <x:c r="BD260" s="60"/>
      <x:c r="BE260" s="58">
        <x:f>(($O260*BC260)/100)+(BD260*12)</x:f>
      </x:c>
      <x:c r="BF260" s="47"/>
      <x:c r="BG260" s="60"/>
      <x:c r="BH260" s="58">
        <x:f>(($O260*BF260)/100)+(BG260*12)</x:f>
      </x:c>
      <x:c r="BI260" s="47"/>
      <x:c r="BJ260" s="60"/>
      <x:c r="BK260" s="58">
        <x:f>(($O260*BI260)/100)+(BJ260*12)</x:f>
      </x:c>
      <x:c r="BL260" s="47"/>
      <x:c r="BM260" s="60"/>
      <x:c r="BN260" s="58">
        <x:f>(($O260*BL260)/100)+(BM260*12)</x:f>
      </x:c>
      <x:c r="BO260" s="47"/>
      <x:c r="BP260" s="60"/>
      <x:c r="BQ260" s="58">
        <x:f>(($O260*BO260)/100)+(BP260*12)</x:f>
      </x:c>
      <x:c r="BR260" s="47"/>
      <x:c r="BS260" s="60"/>
      <x:c r="BT260" s="58">
        <x:f>(($O260*BR260)/100)+(BS260*12)</x:f>
      </x:c>
      <x:c r="BU260" s="47"/>
      <x:c r="BV260" s="60"/>
      <x:c r="BW260" s="58">
        <x:f>(($O260*BU260)/100)+(BV260*12)</x:f>
      </x:c>
      <x:c r="BX260" s="47"/>
      <x:c r="BY260" s="60"/>
      <x:c r="BZ260" s="58">
        <x:f>(($O260*BX260)/100)+(BY260*12)</x:f>
      </x:c>
      <x:c r="CA260" s="47"/>
      <x:c r="CB260" s="60"/>
      <x:c r="CC260" s="58">
        <x:f>(($O260*CA260)/100)+(CB260*12)</x:f>
      </x:c>
      <x:c r="CD260" s="47"/>
      <x:c r="CE260" s="60"/>
      <x:c r="CF260" s="58">
        <x:f>(($O260*CD260)/100)+(CE260*12)</x:f>
      </x:c>
      <x:c r="CG260" s="47"/>
      <x:c r="CH260" s="60"/>
      <x:c r="CI260" s="58">
        <x:f>(($O260*CG260)/100)+(CH260*12)</x:f>
      </x:c>
      <x:c r="CJ260" s="47"/>
      <x:c r="CK260" s="60"/>
      <x:c r="CL260" s="58">
        <x:f>(($O260*CJ260)/100)+(CK260*12)</x:f>
      </x:c>
      <x:c r="CM260" s="47"/>
      <x:c r="CN260" s="60"/>
      <x:c r="CO260" s="58">
        <x:f>(($O260*CM260)/100)+(CN260*12)</x:f>
      </x:c>
      <x:c r="CP260" s="47"/>
      <x:c r="CQ260" s="60"/>
      <x:c r="CR260" s="58">
        <x:f>(($O260*CP260)/100)+(CQ260*12)</x:f>
      </x:c>
      <x:c r="CS260" s="47"/>
      <x:c r="CT260" s="60"/>
      <x:c r="CU260" s="58">
        <x:f>(($O260*CS260)/100)+(CT260*12)</x:f>
      </x:c>
      <x:c r="CV260" s="47"/>
      <x:c r="CW260" s="60"/>
      <x:c r="CX260" s="58"/>
      <x:c r="CY260" s="47"/>
      <x:c r="CZ260" s="60"/>
      <x:c r="DA260" s="58"/>
      <x:c r="DB260" s="47"/>
      <x:c r="DC260" s="60"/>
      <x:c r="DD260" s="58"/>
      <x:c r="DE260" s="47"/>
      <x:c r="DF260" s="60"/>
      <x:c r="DG260" s="58"/>
      <x:c r="DH260" s="47"/>
      <x:c r="DI260" s="60"/>
      <x:c r="DJ260" s="58"/>
      <x:c r="DK260" s="47"/>
      <x:c r="DL260" s="60"/>
      <x:c r="DM260" s="58"/>
      <x:c r="DN260" s="11"/>
      <x:c r="DO260" s="61"/>
      <x:c r="DP260" s="62"/>
      <x:c r="DQ260" s="11"/>
      <x:c r="DR260" s="61"/>
      <x:c r="DS260" s="62"/>
      <x:c r="DT260" s="11"/>
      <x:c r="DU260" s="61"/>
      <x:c r="DV260" s="62"/>
    </x:row>
    <x:row r="261" spans="1:126" x14ac:dyDescent="0.3">
      <x:c r="A261" s="47"/>
      <x:c r="B261" s="70"/>
      <x:c r="C261" s="70"/>
      <x:c r="D261" s="70"/>
      <x:c r="E261" s="70"/>
      <x:c r="F261" s="70"/>
      <x:c r="G261" s="70"/>
      <x:c r="H261" s="70"/>
      <x:c r="I261" s="70"/>
      <x:c r="J261" s="70"/>
      <x:c r="K261" s="190"/>
      <x:c r="L261" s="191"/>
      <x:c r="M261" s="192">
        <x:f>IF(ISERROR(INDEX('Meter Type Data'!$B$2:$E$1165,SUMPRODUCT(--('Meter Type Data'!$B$2:$B$1165&lt;=Analysis!L261)*('Meter Type Data'!$C$2:$C$1165&gt;=Analysis!L261),ROW('Meter Type Data'!$B$2:$B$1165))-1,4))," ",INDEX('Meter Type Data'!$B$2:$E$1165,SUMPRODUCT(--('Meter Type Data'!$B$2:$B$1165&lt;=Analysis!L261)*('Meter Type Data'!$C$2:$C$1165&gt;=Analysis!L261),ROW('Meter Type Data'!$B$2:$B$1165))-1,4))</x:f>
      </x:c>
      <x:c r="N261" s="192">
        <x:f>IF(ISERROR(INDEX('Meter Type Data'!$B$2:$D$1165,SUMPRODUCT(--('Meter Type Data'!$B$2:$B$1165&lt;=Analysis!L261)*('Meter Type Data'!$C$2:$C$1165&gt;=Analysis!L261),ROW('Meter Type Data'!$B$2:$B$1165))-1,3))," ",INDEX('Meter Type Data'!$B$2:$D$1165,SUMPRODUCT(--('Meter Type Data'!$B$2:$B$1165&lt;=Analysis!L261)*('Meter Type Data'!$C$2:$C$1165&gt;=Analysis!L261),ROW('Meter Type Data'!$B$2:$B$1165))-1,3))</x:f>
      </x:c>
      <x:c r="O261" s="69"/>
      <x:c r="P261" s="47"/>
      <x:c r="Q261" s="60"/>
      <x:c r="R261" s="58">
        <x:f>(($O261*P261)/100)+(Q261*12)</x:f>
      </x:c>
      <x:c r="S261" s="59"/>
      <x:c r="T261" s="59"/>
      <x:c r="U261" s="58">
        <x:f>(($O261*S261)/100)+(T261*12)</x:f>
      </x:c>
      <x:c r="V261" s="47"/>
      <x:c r="W261" s="60"/>
      <x:c r="X261" s="58">
        <x:f>(($O261*V261)/100)+(W261*12)</x:f>
      </x:c>
      <x:c r="Y261" s="47"/>
      <x:c r="Z261" s="60"/>
      <x:c r="AA261" s="58">
        <x:f>(($O261*Y261)/100)+(Z261*12)</x:f>
      </x:c>
      <x:c r="AB261" s="47"/>
      <x:c r="AC261" s="60"/>
      <x:c r="AD261" s="58">
        <x:f>(($O261*AB261)/100)+(AC261*12)</x:f>
      </x:c>
      <x:c r="AE261" s="47"/>
      <x:c r="AF261" s="60"/>
      <x:c r="AG261" s="58">
        <x:f>(($O261*AE261)/100)+(AF261*12)</x:f>
      </x:c>
      <x:c r="AH261" s="47"/>
      <x:c r="AI261" s="60"/>
      <x:c r="AJ261" s="58">
        <x:f>(($O261*AH261)/100)+(AI261*12)</x:f>
      </x:c>
      <x:c r="AK261" s="47"/>
      <x:c r="AL261" s="60"/>
      <x:c r="AM261" s="58">
        <x:f>(($O261*AK261)/100)+(AL261*12)</x:f>
      </x:c>
      <x:c r="AN261" s="47"/>
      <x:c r="AO261" s="60"/>
      <x:c r="AP261" s="58">
        <x:f>(($O261*AN261)/100)+(AO261*12)</x:f>
      </x:c>
      <x:c r="AQ261" s="47"/>
      <x:c r="AR261" s="60"/>
      <x:c r="AS261" s="58">
        <x:f>(($O261*AQ261)/100)+(AR261*12)</x:f>
      </x:c>
      <x:c r="AT261" s="47"/>
      <x:c r="AU261" s="60"/>
      <x:c r="AV261" s="58">
        <x:f>(($O261*AT261)/100)+(AU261*12)</x:f>
      </x:c>
      <x:c r="AW261" s="47"/>
      <x:c r="AX261" s="60"/>
      <x:c r="AY261" s="58">
        <x:f>(($O261*AW261)/100)+(AX261*12)</x:f>
      </x:c>
      <x:c r="AZ261" s="47"/>
      <x:c r="BA261" s="60"/>
      <x:c r="BB261" s="58">
        <x:f>(($O261*AZ261)/100)+(BA261*12)</x:f>
      </x:c>
      <x:c r="BC261" s="47"/>
      <x:c r="BD261" s="60"/>
      <x:c r="BE261" s="58">
        <x:f>(($O261*BC261)/100)+(BD261*12)</x:f>
      </x:c>
      <x:c r="BF261" s="47"/>
      <x:c r="BG261" s="60"/>
      <x:c r="BH261" s="58">
        <x:f>(($O261*BF261)/100)+(BG261*12)</x:f>
      </x:c>
      <x:c r="BI261" s="47"/>
      <x:c r="BJ261" s="60"/>
      <x:c r="BK261" s="58">
        <x:f>(($O261*BI261)/100)+(BJ261*12)</x:f>
      </x:c>
      <x:c r="BL261" s="47"/>
      <x:c r="BM261" s="60"/>
      <x:c r="BN261" s="58">
        <x:f>(($O261*BL261)/100)+(BM261*12)</x:f>
      </x:c>
      <x:c r="BO261" s="47"/>
      <x:c r="BP261" s="60"/>
      <x:c r="BQ261" s="58">
        <x:f>(($O261*BO261)/100)+(BP261*12)</x:f>
      </x:c>
      <x:c r="BR261" s="47"/>
      <x:c r="BS261" s="60"/>
      <x:c r="BT261" s="58">
        <x:f>(($O261*BR261)/100)+(BS261*12)</x:f>
      </x:c>
      <x:c r="BU261" s="47"/>
      <x:c r="BV261" s="60"/>
      <x:c r="BW261" s="58">
        <x:f>(($O261*BU261)/100)+(BV261*12)</x:f>
      </x:c>
      <x:c r="BX261" s="47"/>
      <x:c r="BY261" s="60"/>
      <x:c r="BZ261" s="58">
        <x:f>(($O261*BX261)/100)+(BY261*12)</x:f>
      </x:c>
      <x:c r="CA261" s="47"/>
      <x:c r="CB261" s="60"/>
      <x:c r="CC261" s="58">
        <x:f>(($O261*CA261)/100)+(CB261*12)</x:f>
      </x:c>
      <x:c r="CD261" s="47"/>
      <x:c r="CE261" s="60"/>
      <x:c r="CF261" s="58">
        <x:f>(($O261*CD261)/100)+(CE261*12)</x:f>
      </x:c>
      <x:c r="CG261" s="47"/>
      <x:c r="CH261" s="60"/>
      <x:c r="CI261" s="58">
        <x:f>(($O261*CG261)/100)+(CH261*12)</x:f>
      </x:c>
      <x:c r="CJ261" s="47"/>
      <x:c r="CK261" s="60"/>
      <x:c r="CL261" s="58">
        <x:f>(($O261*CJ261)/100)+(CK261*12)</x:f>
      </x:c>
      <x:c r="CM261" s="47"/>
      <x:c r="CN261" s="60"/>
      <x:c r="CO261" s="58">
        <x:f>(($O261*CM261)/100)+(CN261*12)</x:f>
      </x:c>
      <x:c r="CP261" s="47"/>
      <x:c r="CQ261" s="60"/>
      <x:c r="CR261" s="58">
        <x:f>(($O261*CP261)/100)+(CQ261*12)</x:f>
      </x:c>
      <x:c r="CS261" s="47"/>
      <x:c r="CT261" s="60"/>
      <x:c r="CU261" s="58">
        <x:f>(($O261*CS261)/100)+(CT261*12)</x:f>
      </x:c>
      <x:c r="CV261" s="47"/>
      <x:c r="CW261" s="60"/>
      <x:c r="CX261" s="58"/>
      <x:c r="CY261" s="47"/>
      <x:c r="CZ261" s="60"/>
      <x:c r="DA261" s="58"/>
      <x:c r="DB261" s="47"/>
      <x:c r="DC261" s="60"/>
      <x:c r="DD261" s="58"/>
      <x:c r="DE261" s="47"/>
      <x:c r="DF261" s="60"/>
      <x:c r="DG261" s="58"/>
      <x:c r="DH261" s="47"/>
      <x:c r="DI261" s="60"/>
      <x:c r="DJ261" s="58"/>
      <x:c r="DK261" s="47"/>
      <x:c r="DL261" s="60"/>
      <x:c r="DM261" s="58"/>
      <x:c r="DN261" s="11"/>
      <x:c r="DO261" s="61"/>
      <x:c r="DP261" s="62"/>
      <x:c r="DQ261" s="11"/>
      <x:c r="DR261" s="61"/>
      <x:c r="DS261" s="62"/>
      <x:c r="DT261" s="11"/>
      <x:c r="DU261" s="61"/>
      <x:c r="DV261" s="62"/>
    </x:row>
    <x:row r="262" spans="1:126" x14ac:dyDescent="0.3">
      <x:c r="A262" s="47"/>
      <x:c r="B262" s="70"/>
      <x:c r="C262" s="70"/>
      <x:c r="D262" s="70"/>
      <x:c r="E262" s="70"/>
      <x:c r="F262" s="70"/>
      <x:c r="G262" s="70"/>
      <x:c r="H262" s="70"/>
      <x:c r="I262" s="70"/>
      <x:c r="J262" s="70"/>
      <x:c r="K262" s="190"/>
      <x:c r="L262" s="191"/>
      <x:c r="M262" s="192">
        <x:f>IF(ISERROR(INDEX('Meter Type Data'!$B$2:$E$1165,SUMPRODUCT(--('Meter Type Data'!$B$2:$B$1165&lt;=Analysis!L262)*('Meter Type Data'!$C$2:$C$1165&gt;=Analysis!L262),ROW('Meter Type Data'!$B$2:$B$1165))-1,4))," ",INDEX('Meter Type Data'!$B$2:$E$1165,SUMPRODUCT(--('Meter Type Data'!$B$2:$B$1165&lt;=Analysis!L262)*('Meter Type Data'!$C$2:$C$1165&gt;=Analysis!L262),ROW('Meter Type Data'!$B$2:$B$1165))-1,4))</x:f>
      </x:c>
      <x:c r="N262" s="192">
        <x:f>IF(ISERROR(INDEX('Meter Type Data'!$B$2:$D$1165,SUMPRODUCT(--('Meter Type Data'!$B$2:$B$1165&lt;=Analysis!L262)*('Meter Type Data'!$C$2:$C$1165&gt;=Analysis!L262),ROW('Meter Type Data'!$B$2:$B$1165))-1,3))," ",INDEX('Meter Type Data'!$B$2:$D$1165,SUMPRODUCT(--('Meter Type Data'!$B$2:$B$1165&lt;=Analysis!L262)*('Meter Type Data'!$C$2:$C$1165&gt;=Analysis!L262),ROW('Meter Type Data'!$B$2:$B$1165))-1,3))</x:f>
      </x:c>
      <x:c r="O262" s="69"/>
      <x:c r="P262" s="47"/>
      <x:c r="Q262" s="60"/>
      <x:c r="R262" s="58">
        <x:f>(($O262*P262)/100)+(Q262*12)</x:f>
      </x:c>
      <x:c r="S262" s="59"/>
      <x:c r="T262" s="59"/>
      <x:c r="U262" s="58">
        <x:f>(($O262*S262)/100)+(T262*12)</x:f>
      </x:c>
      <x:c r="V262" s="47"/>
      <x:c r="W262" s="60"/>
      <x:c r="X262" s="58">
        <x:f>(($O262*V262)/100)+(W262*12)</x:f>
      </x:c>
      <x:c r="Y262" s="47"/>
      <x:c r="Z262" s="60"/>
      <x:c r="AA262" s="58">
        <x:f>(($O262*Y262)/100)+(Z262*12)</x:f>
      </x:c>
      <x:c r="AB262" s="47"/>
      <x:c r="AC262" s="60"/>
      <x:c r="AD262" s="58">
        <x:f>(($O262*AB262)/100)+(AC262*12)</x:f>
      </x:c>
      <x:c r="AE262" s="47"/>
      <x:c r="AF262" s="60"/>
      <x:c r="AG262" s="58">
        <x:f>(($O262*AE262)/100)+(AF262*12)</x:f>
      </x:c>
      <x:c r="AH262" s="47"/>
      <x:c r="AI262" s="60"/>
      <x:c r="AJ262" s="58">
        <x:f>(($O262*AH262)/100)+(AI262*12)</x:f>
      </x:c>
      <x:c r="AK262" s="47"/>
      <x:c r="AL262" s="60"/>
      <x:c r="AM262" s="58">
        <x:f>(($O262*AK262)/100)+(AL262*12)</x:f>
      </x:c>
      <x:c r="AN262" s="47"/>
      <x:c r="AO262" s="60"/>
      <x:c r="AP262" s="58">
        <x:f>(($O262*AN262)/100)+(AO262*12)</x:f>
      </x:c>
      <x:c r="AQ262" s="47"/>
      <x:c r="AR262" s="60"/>
      <x:c r="AS262" s="58">
        <x:f>(($O262*AQ262)/100)+(AR262*12)</x:f>
      </x:c>
      <x:c r="AT262" s="47"/>
      <x:c r="AU262" s="60"/>
      <x:c r="AV262" s="58">
        <x:f>(($O262*AT262)/100)+(AU262*12)</x:f>
      </x:c>
      <x:c r="AW262" s="47"/>
      <x:c r="AX262" s="60"/>
      <x:c r="AY262" s="58">
        <x:f>(($O262*AW262)/100)+(AX262*12)</x:f>
      </x:c>
      <x:c r="AZ262" s="47"/>
      <x:c r="BA262" s="60"/>
      <x:c r="BB262" s="58">
        <x:f>(($O262*AZ262)/100)+(BA262*12)</x:f>
      </x:c>
      <x:c r="BC262" s="47"/>
      <x:c r="BD262" s="60"/>
      <x:c r="BE262" s="58">
        <x:f>(($O262*BC262)/100)+(BD262*12)</x:f>
      </x:c>
      <x:c r="BF262" s="47"/>
      <x:c r="BG262" s="60"/>
      <x:c r="BH262" s="58">
        <x:f>(($O262*BF262)/100)+(BG262*12)</x:f>
      </x:c>
      <x:c r="BI262" s="47"/>
      <x:c r="BJ262" s="60"/>
      <x:c r="BK262" s="58">
        <x:f>(($O262*BI262)/100)+(BJ262*12)</x:f>
      </x:c>
      <x:c r="BL262" s="47"/>
      <x:c r="BM262" s="60"/>
      <x:c r="BN262" s="58">
        <x:f>(($O262*BL262)/100)+(BM262*12)</x:f>
      </x:c>
      <x:c r="BO262" s="47"/>
      <x:c r="BP262" s="60"/>
      <x:c r="BQ262" s="58">
        <x:f>(($O262*BO262)/100)+(BP262*12)</x:f>
      </x:c>
      <x:c r="BR262" s="47"/>
      <x:c r="BS262" s="60"/>
      <x:c r="BT262" s="58">
        <x:f>(($O262*BR262)/100)+(BS262*12)</x:f>
      </x:c>
      <x:c r="BU262" s="47"/>
      <x:c r="BV262" s="60"/>
      <x:c r="BW262" s="58">
        <x:f>(($O262*BU262)/100)+(BV262*12)</x:f>
      </x:c>
      <x:c r="BX262" s="47"/>
      <x:c r="BY262" s="60"/>
      <x:c r="BZ262" s="58">
        <x:f>(($O262*BX262)/100)+(BY262*12)</x:f>
      </x:c>
      <x:c r="CA262" s="47"/>
      <x:c r="CB262" s="60"/>
      <x:c r="CC262" s="58">
        <x:f>(($O262*CA262)/100)+(CB262*12)</x:f>
      </x:c>
      <x:c r="CD262" s="47"/>
      <x:c r="CE262" s="60"/>
      <x:c r="CF262" s="58">
        <x:f>(($O262*CD262)/100)+(CE262*12)</x:f>
      </x:c>
      <x:c r="CG262" s="47"/>
      <x:c r="CH262" s="60"/>
      <x:c r="CI262" s="58">
        <x:f>(($O262*CG262)/100)+(CH262*12)</x:f>
      </x:c>
      <x:c r="CJ262" s="47"/>
      <x:c r="CK262" s="60"/>
      <x:c r="CL262" s="58">
        <x:f>(($O262*CJ262)/100)+(CK262*12)</x:f>
      </x:c>
      <x:c r="CM262" s="47"/>
      <x:c r="CN262" s="60"/>
      <x:c r="CO262" s="58">
        <x:f>(($O262*CM262)/100)+(CN262*12)</x:f>
      </x:c>
      <x:c r="CP262" s="47"/>
      <x:c r="CQ262" s="60"/>
      <x:c r="CR262" s="58">
        <x:f>(($O262*CP262)/100)+(CQ262*12)</x:f>
      </x:c>
      <x:c r="CS262" s="47"/>
      <x:c r="CT262" s="60"/>
      <x:c r="CU262" s="58">
        <x:f>(($O262*CS262)/100)+(CT262*12)</x:f>
      </x:c>
      <x:c r="CV262" s="47"/>
      <x:c r="CW262" s="60"/>
      <x:c r="CX262" s="58"/>
      <x:c r="CY262" s="47"/>
      <x:c r="CZ262" s="60"/>
      <x:c r="DA262" s="58"/>
      <x:c r="DB262" s="47"/>
      <x:c r="DC262" s="60"/>
      <x:c r="DD262" s="58"/>
      <x:c r="DE262" s="47"/>
      <x:c r="DF262" s="60"/>
      <x:c r="DG262" s="58"/>
      <x:c r="DH262" s="47"/>
      <x:c r="DI262" s="60"/>
      <x:c r="DJ262" s="58"/>
      <x:c r="DK262" s="47"/>
      <x:c r="DL262" s="60"/>
      <x:c r="DM262" s="58"/>
      <x:c r="DN262" s="11"/>
      <x:c r="DO262" s="61"/>
      <x:c r="DP262" s="62"/>
      <x:c r="DQ262" s="11"/>
      <x:c r="DR262" s="61"/>
      <x:c r="DS262" s="62"/>
      <x:c r="DT262" s="11"/>
      <x:c r="DU262" s="61"/>
      <x:c r="DV262" s="62"/>
    </x:row>
    <x:row r="263" spans="1:126" x14ac:dyDescent="0.3">
      <x:c r="A263" s="47"/>
      <x:c r="B263" s="70"/>
      <x:c r="C263" s="70"/>
      <x:c r="D263" s="70"/>
      <x:c r="E263" s="70"/>
      <x:c r="F263" s="70"/>
      <x:c r="G263" s="70"/>
      <x:c r="H263" s="70"/>
      <x:c r="I263" s="70"/>
      <x:c r="J263" s="70"/>
      <x:c r="K263" s="190"/>
      <x:c r="L263" s="191"/>
      <x:c r="M263" s="192">
        <x:f>IF(ISERROR(INDEX('Meter Type Data'!$B$2:$E$1165,SUMPRODUCT(--('Meter Type Data'!$B$2:$B$1165&lt;=Analysis!L263)*('Meter Type Data'!$C$2:$C$1165&gt;=Analysis!L263),ROW('Meter Type Data'!$B$2:$B$1165))-1,4))," ",INDEX('Meter Type Data'!$B$2:$E$1165,SUMPRODUCT(--('Meter Type Data'!$B$2:$B$1165&lt;=Analysis!L263)*('Meter Type Data'!$C$2:$C$1165&gt;=Analysis!L263),ROW('Meter Type Data'!$B$2:$B$1165))-1,4))</x:f>
      </x:c>
      <x:c r="N263" s="192">
        <x:f>IF(ISERROR(INDEX('Meter Type Data'!$B$2:$D$1165,SUMPRODUCT(--('Meter Type Data'!$B$2:$B$1165&lt;=Analysis!L263)*('Meter Type Data'!$C$2:$C$1165&gt;=Analysis!L263),ROW('Meter Type Data'!$B$2:$B$1165))-1,3))," ",INDEX('Meter Type Data'!$B$2:$D$1165,SUMPRODUCT(--('Meter Type Data'!$B$2:$B$1165&lt;=Analysis!L263)*('Meter Type Data'!$C$2:$C$1165&gt;=Analysis!L263),ROW('Meter Type Data'!$B$2:$B$1165))-1,3))</x:f>
      </x:c>
      <x:c r="O263" s="69"/>
      <x:c r="P263" s="47"/>
      <x:c r="Q263" s="60"/>
      <x:c r="R263" s="58">
        <x:f>(($O263*P263)/100)+(Q263*12)</x:f>
      </x:c>
      <x:c r="S263" s="59"/>
      <x:c r="T263" s="59"/>
      <x:c r="U263" s="58">
        <x:f>(($O263*S263)/100)+(T263*12)</x:f>
      </x:c>
      <x:c r="V263" s="47"/>
      <x:c r="W263" s="60"/>
      <x:c r="X263" s="58">
        <x:f>(($O263*V263)/100)+(W263*12)</x:f>
      </x:c>
      <x:c r="Y263" s="47"/>
      <x:c r="Z263" s="60"/>
      <x:c r="AA263" s="58">
        <x:f>(($O263*Y263)/100)+(Z263*12)</x:f>
      </x:c>
      <x:c r="AB263" s="47"/>
      <x:c r="AC263" s="60"/>
      <x:c r="AD263" s="58">
        <x:f>(($O263*AB263)/100)+(AC263*12)</x:f>
      </x:c>
      <x:c r="AE263" s="47"/>
      <x:c r="AF263" s="60"/>
      <x:c r="AG263" s="58">
        <x:f>(($O263*AE263)/100)+(AF263*12)</x:f>
      </x:c>
      <x:c r="AH263" s="47"/>
      <x:c r="AI263" s="60"/>
      <x:c r="AJ263" s="58">
        <x:f>(($O263*AH263)/100)+(AI263*12)</x:f>
      </x:c>
      <x:c r="AK263" s="47"/>
      <x:c r="AL263" s="60"/>
      <x:c r="AM263" s="58">
        <x:f>(($O263*AK263)/100)+(AL263*12)</x:f>
      </x:c>
      <x:c r="AN263" s="47"/>
      <x:c r="AO263" s="60"/>
      <x:c r="AP263" s="58">
        <x:f>(($O263*AN263)/100)+(AO263*12)</x:f>
      </x:c>
      <x:c r="AQ263" s="47"/>
      <x:c r="AR263" s="60"/>
      <x:c r="AS263" s="58">
        <x:f>(($O263*AQ263)/100)+(AR263*12)</x:f>
      </x:c>
      <x:c r="AT263" s="47"/>
      <x:c r="AU263" s="60"/>
      <x:c r="AV263" s="58">
        <x:f>(($O263*AT263)/100)+(AU263*12)</x:f>
      </x:c>
      <x:c r="AW263" s="47"/>
      <x:c r="AX263" s="60"/>
      <x:c r="AY263" s="58">
        <x:f>(($O263*AW263)/100)+(AX263*12)</x:f>
      </x:c>
      <x:c r="AZ263" s="47"/>
      <x:c r="BA263" s="60"/>
      <x:c r="BB263" s="58">
        <x:f>(($O263*AZ263)/100)+(BA263*12)</x:f>
      </x:c>
      <x:c r="BC263" s="47"/>
      <x:c r="BD263" s="60"/>
      <x:c r="BE263" s="58">
        <x:f>(($O263*BC263)/100)+(BD263*12)</x:f>
      </x:c>
      <x:c r="BF263" s="47"/>
      <x:c r="BG263" s="60"/>
      <x:c r="BH263" s="58">
        <x:f>(($O263*BF263)/100)+(BG263*12)</x:f>
      </x:c>
      <x:c r="BI263" s="47"/>
      <x:c r="BJ263" s="60"/>
      <x:c r="BK263" s="58">
        <x:f>(($O263*BI263)/100)+(BJ263*12)</x:f>
      </x:c>
      <x:c r="BL263" s="47"/>
      <x:c r="BM263" s="60"/>
      <x:c r="BN263" s="58">
        <x:f>(($O263*BL263)/100)+(BM263*12)</x:f>
      </x:c>
      <x:c r="BO263" s="47"/>
      <x:c r="BP263" s="60"/>
      <x:c r="BQ263" s="58">
        <x:f>(($O263*BO263)/100)+(BP263*12)</x:f>
      </x:c>
      <x:c r="BR263" s="47"/>
      <x:c r="BS263" s="60"/>
      <x:c r="BT263" s="58">
        <x:f>(($O263*BR263)/100)+(BS263*12)</x:f>
      </x:c>
      <x:c r="BU263" s="47"/>
      <x:c r="BV263" s="60"/>
      <x:c r="BW263" s="58">
        <x:f>(($O263*BU263)/100)+(BV263*12)</x:f>
      </x:c>
      <x:c r="BX263" s="47"/>
      <x:c r="BY263" s="60"/>
      <x:c r="BZ263" s="58">
        <x:f>(($O263*BX263)/100)+(BY263*12)</x:f>
      </x:c>
      <x:c r="CA263" s="47"/>
      <x:c r="CB263" s="60"/>
      <x:c r="CC263" s="58">
        <x:f>(($O263*CA263)/100)+(CB263*12)</x:f>
      </x:c>
      <x:c r="CD263" s="47"/>
      <x:c r="CE263" s="60"/>
      <x:c r="CF263" s="58">
        <x:f>(($O263*CD263)/100)+(CE263*12)</x:f>
      </x:c>
      <x:c r="CG263" s="47"/>
      <x:c r="CH263" s="60"/>
      <x:c r="CI263" s="58">
        <x:f>(($O263*CG263)/100)+(CH263*12)</x:f>
      </x:c>
      <x:c r="CJ263" s="47"/>
      <x:c r="CK263" s="60"/>
      <x:c r="CL263" s="58">
        <x:f>(($O263*CJ263)/100)+(CK263*12)</x:f>
      </x:c>
      <x:c r="CM263" s="47"/>
      <x:c r="CN263" s="60"/>
      <x:c r="CO263" s="58">
        <x:f>(($O263*CM263)/100)+(CN263*12)</x:f>
      </x:c>
      <x:c r="CP263" s="47"/>
      <x:c r="CQ263" s="60"/>
      <x:c r="CR263" s="58">
        <x:f>(($O263*CP263)/100)+(CQ263*12)</x:f>
      </x:c>
      <x:c r="CS263" s="47"/>
      <x:c r="CT263" s="60"/>
      <x:c r="CU263" s="58">
        <x:f>(($O263*CS263)/100)+(CT263*12)</x:f>
      </x:c>
      <x:c r="CV263" s="47"/>
      <x:c r="CW263" s="60"/>
      <x:c r="CX263" s="58"/>
      <x:c r="CY263" s="47"/>
      <x:c r="CZ263" s="60"/>
      <x:c r="DA263" s="58"/>
      <x:c r="DB263" s="47"/>
      <x:c r="DC263" s="60"/>
      <x:c r="DD263" s="58"/>
      <x:c r="DE263" s="47"/>
      <x:c r="DF263" s="60"/>
      <x:c r="DG263" s="58"/>
      <x:c r="DH263" s="47"/>
      <x:c r="DI263" s="60"/>
      <x:c r="DJ263" s="58"/>
      <x:c r="DK263" s="47"/>
      <x:c r="DL263" s="60"/>
      <x:c r="DM263" s="58"/>
      <x:c r="DN263" s="11"/>
      <x:c r="DO263" s="61"/>
      <x:c r="DP263" s="62"/>
      <x:c r="DQ263" s="11"/>
      <x:c r="DR263" s="61"/>
      <x:c r="DS263" s="62"/>
      <x:c r="DT263" s="11"/>
      <x:c r="DU263" s="61"/>
      <x:c r="DV263" s="62"/>
    </x:row>
    <x:row r="264" spans="1:126" x14ac:dyDescent="0.3">
      <x:c r="A264" s="47"/>
      <x:c r="B264" s="70"/>
      <x:c r="C264" s="70"/>
      <x:c r="D264" s="70"/>
      <x:c r="E264" s="70"/>
      <x:c r="F264" s="70"/>
      <x:c r="G264" s="70"/>
      <x:c r="H264" s="70"/>
      <x:c r="I264" s="70"/>
      <x:c r="J264" s="70"/>
      <x:c r="K264" s="190"/>
      <x:c r="L264" s="191"/>
      <x:c r="M264" s="192">
        <x:f>IF(ISERROR(INDEX('Meter Type Data'!$B$2:$E$1165,SUMPRODUCT(--('Meter Type Data'!$B$2:$B$1165&lt;=Analysis!L264)*('Meter Type Data'!$C$2:$C$1165&gt;=Analysis!L264),ROW('Meter Type Data'!$B$2:$B$1165))-1,4))," ",INDEX('Meter Type Data'!$B$2:$E$1165,SUMPRODUCT(--('Meter Type Data'!$B$2:$B$1165&lt;=Analysis!L264)*('Meter Type Data'!$C$2:$C$1165&gt;=Analysis!L264),ROW('Meter Type Data'!$B$2:$B$1165))-1,4))</x:f>
      </x:c>
      <x:c r="N264" s="192">
        <x:f>IF(ISERROR(INDEX('Meter Type Data'!$B$2:$D$1165,SUMPRODUCT(--('Meter Type Data'!$B$2:$B$1165&lt;=Analysis!L264)*('Meter Type Data'!$C$2:$C$1165&gt;=Analysis!L264),ROW('Meter Type Data'!$B$2:$B$1165))-1,3))," ",INDEX('Meter Type Data'!$B$2:$D$1165,SUMPRODUCT(--('Meter Type Data'!$B$2:$B$1165&lt;=Analysis!L264)*('Meter Type Data'!$C$2:$C$1165&gt;=Analysis!L264),ROW('Meter Type Data'!$B$2:$B$1165))-1,3))</x:f>
      </x:c>
      <x:c r="O264" s="69"/>
      <x:c r="P264" s="47"/>
      <x:c r="Q264" s="60"/>
      <x:c r="R264" s="58">
        <x:f>(($O264*P264)/100)+(Q264*12)</x:f>
      </x:c>
      <x:c r="S264" s="59"/>
      <x:c r="T264" s="59"/>
      <x:c r="U264" s="58">
        <x:f>(($O264*S264)/100)+(T264*12)</x:f>
      </x:c>
      <x:c r="V264" s="47"/>
      <x:c r="W264" s="60"/>
      <x:c r="X264" s="58">
        <x:f>(($O264*V264)/100)+(W264*12)</x:f>
      </x:c>
      <x:c r="Y264" s="47"/>
      <x:c r="Z264" s="60"/>
      <x:c r="AA264" s="58">
        <x:f>(($O264*Y264)/100)+(Z264*12)</x:f>
      </x:c>
      <x:c r="AB264" s="47"/>
      <x:c r="AC264" s="60"/>
      <x:c r="AD264" s="58">
        <x:f>(($O264*AB264)/100)+(AC264*12)</x:f>
      </x:c>
      <x:c r="AE264" s="47"/>
      <x:c r="AF264" s="60"/>
      <x:c r="AG264" s="58">
        <x:f>(($O264*AE264)/100)+(AF264*12)</x:f>
      </x:c>
      <x:c r="AH264" s="47"/>
      <x:c r="AI264" s="60"/>
      <x:c r="AJ264" s="58">
        <x:f>(($O264*AH264)/100)+(AI264*12)</x:f>
      </x:c>
      <x:c r="AK264" s="47"/>
      <x:c r="AL264" s="60"/>
      <x:c r="AM264" s="58">
        <x:f>(($O264*AK264)/100)+(AL264*12)</x:f>
      </x:c>
      <x:c r="AN264" s="47"/>
      <x:c r="AO264" s="60"/>
      <x:c r="AP264" s="58">
        <x:f>(($O264*AN264)/100)+(AO264*12)</x:f>
      </x:c>
      <x:c r="AQ264" s="47"/>
      <x:c r="AR264" s="60"/>
      <x:c r="AS264" s="58">
        <x:f>(($O264*AQ264)/100)+(AR264*12)</x:f>
      </x:c>
      <x:c r="AT264" s="47"/>
      <x:c r="AU264" s="60"/>
      <x:c r="AV264" s="58">
        <x:f>(($O264*AT264)/100)+(AU264*12)</x:f>
      </x:c>
      <x:c r="AW264" s="47"/>
      <x:c r="AX264" s="60"/>
      <x:c r="AY264" s="58">
        <x:f>(($O264*AW264)/100)+(AX264*12)</x:f>
      </x:c>
      <x:c r="AZ264" s="47"/>
      <x:c r="BA264" s="60"/>
      <x:c r="BB264" s="58">
        <x:f>(($O264*AZ264)/100)+(BA264*12)</x:f>
      </x:c>
      <x:c r="BC264" s="47"/>
      <x:c r="BD264" s="60"/>
      <x:c r="BE264" s="58">
        <x:f>(($O264*BC264)/100)+(BD264*12)</x:f>
      </x:c>
      <x:c r="BF264" s="47"/>
      <x:c r="BG264" s="60"/>
      <x:c r="BH264" s="58">
        <x:f>(($O264*BF264)/100)+(BG264*12)</x:f>
      </x:c>
      <x:c r="BI264" s="47"/>
      <x:c r="BJ264" s="60"/>
      <x:c r="BK264" s="58">
        <x:f>(($O264*BI264)/100)+(BJ264*12)</x:f>
      </x:c>
      <x:c r="BL264" s="47"/>
      <x:c r="BM264" s="60"/>
      <x:c r="BN264" s="58">
        <x:f>(($O264*BL264)/100)+(BM264*12)</x:f>
      </x:c>
      <x:c r="BO264" s="47"/>
      <x:c r="BP264" s="60"/>
      <x:c r="BQ264" s="58">
        <x:f>(($O264*BO264)/100)+(BP264*12)</x:f>
      </x:c>
      <x:c r="BR264" s="47"/>
      <x:c r="BS264" s="60"/>
      <x:c r="BT264" s="58">
        <x:f>(($O264*BR264)/100)+(BS264*12)</x:f>
      </x:c>
      <x:c r="BU264" s="47"/>
      <x:c r="BV264" s="60"/>
      <x:c r="BW264" s="58">
        <x:f>(($O264*BU264)/100)+(BV264*12)</x:f>
      </x:c>
      <x:c r="BX264" s="47"/>
      <x:c r="BY264" s="60"/>
      <x:c r="BZ264" s="58">
        <x:f>(($O264*BX264)/100)+(BY264*12)</x:f>
      </x:c>
      <x:c r="CA264" s="47"/>
      <x:c r="CB264" s="60"/>
      <x:c r="CC264" s="58">
        <x:f>(($O264*CA264)/100)+(CB264*12)</x:f>
      </x:c>
      <x:c r="CD264" s="47"/>
      <x:c r="CE264" s="60"/>
      <x:c r="CF264" s="58">
        <x:f>(($O264*CD264)/100)+(CE264*12)</x:f>
      </x:c>
      <x:c r="CG264" s="47"/>
      <x:c r="CH264" s="60"/>
      <x:c r="CI264" s="58">
        <x:f>(($O264*CG264)/100)+(CH264*12)</x:f>
      </x:c>
      <x:c r="CJ264" s="47"/>
      <x:c r="CK264" s="60"/>
      <x:c r="CL264" s="58">
        <x:f>(($O264*CJ264)/100)+(CK264*12)</x:f>
      </x:c>
      <x:c r="CM264" s="47"/>
      <x:c r="CN264" s="60"/>
      <x:c r="CO264" s="58">
        <x:f>(($O264*CM264)/100)+(CN264*12)</x:f>
      </x:c>
      <x:c r="CP264" s="47"/>
      <x:c r="CQ264" s="60"/>
      <x:c r="CR264" s="58">
        <x:f>(($O264*CP264)/100)+(CQ264*12)</x:f>
      </x:c>
      <x:c r="CS264" s="47"/>
      <x:c r="CT264" s="60"/>
      <x:c r="CU264" s="58">
        <x:f>(($O264*CS264)/100)+(CT264*12)</x:f>
      </x:c>
      <x:c r="CV264" s="47"/>
      <x:c r="CW264" s="60"/>
      <x:c r="CX264" s="58"/>
      <x:c r="CY264" s="47"/>
      <x:c r="CZ264" s="60"/>
      <x:c r="DA264" s="58"/>
      <x:c r="DB264" s="47"/>
      <x:c r="DC264" s="60"/>
      <x:c r="DD264" s="58"/>
      <x:c r="DE264" s="47"/>
      <x:c r="DF264" s="60"/>
      <x:c r="DG264" s="58"/>
      <x:c r="DH264" s="47"/>
      <x:c r="DI264" s="60"/>
      <x:c r="DJ264" s="58"/>
      <x:c r="DK264" s="47"/>
      <x:c r="DL264" s="60"/>
      <x:c r="DM264" s="58"/>
      <x:c r="DN264" s="11"/>
      <x:c r="DO264" s="61"/>
      <x:c r="DP264" s="62"/>
      <x:c r="DQ264" s="11"/>
      <x:c r="DR264" s="61"/>
      <x:c r="DS264" s="62"/>
      <x:c r="DT264" s="11"/>
      <x:c r="DU264" s="61"/>
      <x:c r="DV264" s="62"/>
    </x:row>
    <x:row r="265" spans="1:126" x14ac:dyDescent="0.3">
      <x:c r="A265" s="47"/>
      <x:c r="B265" s="70"/>
      <x:c r="C265" s="70"/>
      <x:c r="D265" s="70"/>
      <x:c r="E265" s="70"/>
      <x:c r="F265" s="70"/>
      <x:c r="G265" s="70"/>
      <x:c r="H265" s="70"/>
      <x:c r="I265" s="70"/>
      <x:c r="J265" s="70"/>
      <x:c r="K265" s="190"/>
      <x:c r="L265" s="191"/>
      <x:c r="M265" s="192">
        <x:f>IF(ISERROR(INDEX('Meter Type Data'!$B$2:$E$1165,SUMPRODUCT(--('Meter Type Data'!$B$2:$B$1165&lt;=Analysis!L265)*('Meter Type Data'!$C$2:$C$1165&gt;=Analysis!L265),ROW('Meter Type Data'!$B$2:$B$1165))-1,4))," ",INDEX('Meter Type Data'!$B$2:$E$1165,SUMPRODUCT(--('Meter Type Data'!$B$2:$B$1165&lt;=Analysis!L265)*('Meter Type Data'!$C$2:$C$1165&gt;=Analysis!L265),ROW('Meter Type Data'!$B$2:$B$1165))-1,4))</x:f>
      </x:c>
      <x:c r="N265" s="192">
        <x:f>IF(ISERROR(INDEX('Meter Type Data'!$B$2:$D$1165,SUMPRODUCT(--('Meter Type Data'!$B$2:$B$1165&lt;=Analysis!L265)*('Meter Type Data'!$C$2:$C$1165&gt;=Analysis!L265),ROW('Meter Type Data'!$B$2:$B$1165))-1,3))," ",INDEX('Meter Type Data'!$B$2:$D$1165,SUMPRODUCT(--('Meter Type Data'!$B$2:$B$1165&lt;=Analysis!L265)*('Meter Type Data'!$C$2:$C$1165&gt;=Analysis!L265),ROW('Meter Type Data'!$B$2:$B$1165))-1,3))</x:f>
      </x:c>
      <x:c r="O265" s="69"/>
      <x:c r="P265" s="47"/>
      <x:c r="Q265" s="60"/>
      <x:c r="R265" s="58">
        <x:f>(($O265*P265)/100)+(Q265*12)</x:f>
      </x:c>
      <x:c r="S265" s="59"/>
      <x:c r="T265" s="59"/>
      <x:c r="U265" s="58">
        <x:f>(($O265*S265)/100)+(T265*12)</x:f>
      </x:c>
      <x:c r="V265" s="47"/>
      <x:c r="W265" s="60"/>
      <x:c r="X265" s="58">
        <x:f>(($O265*V265)/100)+(W265*12)</x:f>
      </x:c>
      <x:c r="Y265" s="47"/>
      <x:c r="Z265" s="60"/>
      <x:c r="AA265" s="58">
        <x:f>(($O265*Y265)/100)+(Z265*12)</x:f>
      </x:c>
      <x:c r="AB265" s="47"/>
      <x:c r="AC265" s="60"/>
      <x:c r="AD265" s="58">
        <x:f>(($O265*AB265)/100)+(AC265*12)</x:f>
      </x:c>
      <x:c r="AE265" s="47"/>
      <x:c r="AF265" s="60"/>
      <x:c r="AG265" s="58">
        <x:f>(($O265*AE265)/100)+(AF265*12)</x:f>
      </x:c>
      <x:c r="AH265" s="47"/>
      <x:c r="AI265" s="60"/>
      <x:c r="AJ265" s="58">
        <x:f>(($O265*AH265)/100)+(AI265*12)</x:f>
      </x:c>
      <x:c r="AK265" s="47"/>
      <x:c r="AL265" s="60"/>
      <x:c r="AM265" s="58">
        <x:f>(($O265*AK265)/100)+(AL265*12)</x:f>
      </x:c>
      <x:c r="AN265" s="47"/>
      <x:c r="AO265" s="60"/>
      <x:c r="AP265" s="58">
        <x:f>(($O265*AN265)/100)+(AO265*12)</x:f>
      </x:c>
      <x:c r="AQ265" s="47"/>
      <x:c r="AR265" s="60"/>
      <x:c r="AS265" s="58">
        <x:f>(($O265*AQ265)/100)+(AR265*12)</x:f>
      </x:c>
      <x:c r="AT265" s="47"/>
      <x:c r="AU265" s="60"/>
      <x:c r="AV265" s="58">
        <x:f>(($O265*AT265)/100)+(AU265*12)</x:f>
      </x:c>
      <x:c r="AW265" s="47"/>
      <x:c r="AX265" s="60"/>
      <x:c r="AY265" s="58">
        <x:f>(($O265*AW265)/100)+(AX265*12)</x:f>
      </x:c>
      <x:c r="AZ265" s="47"/>
      <x:c r="BA265" s="60"/>
      <x:c r="BB265" s="58">
        <x:f>(($O265*AZ265)/100)+(BA265*12)</x:f>
      </x:c>
      <x:c r="BC265" s="47"/>
      <x:c r="BD265" s="60"/>
      <x:c r="BE265" s="58">
        <x:f>(($O265*BC265)/100)+(BD265*12)</x:f>
      </x:c>
      <x:c r="BF265" s="47"/>
      <x:c r="BG265" s="60"/>
      <x:c r="BH265" s="58">
        <x:f>(($O265*BF265)/100)+(BG265*12)</x:f>
      </x:c>
      <x:c r="BI265" s="47"/>
      <x:c r="BJ265" s="60"/>
      <x:c r="BK265" s="58">
        <x:f>(($O265*BI265)/100)+(BJ265*12)</x:f>
      </x:c>
      <x:c r="BL265" s="47"/>
      <x:c r="BM265" s="60"/>
      <x:c r="BN265" s="58">
        <x:f>(($O265*BL265)/100)+(BM265*12)</x:f>
      </x:c>
      <x:c r="BO265" s="47"/>
      <x:c r="BP265" s="60"/>
      <x:c r="BQ265" s="58">
        <x:f>(($O265*BO265)/100)+(BP265*12)</x:f>
      </x:c>
      <x:c r="BR265" s="47"/>
      <x:c r="BS265" s="60"/>
      <x:c r="BT265" s="58">
        <x:f>(($O265*BR265)/100)+(BS265*12)</x:f>
      </x:c>
      <x:c r="BU265" s="47"/>
      <x:c r="BV265" s="60"/>
      <x:c r="BW265" s="58">
        <x:f>(($O265*BU265)/100)+(BV265*12)</x:f>
      </x:c>
      <x:c r="BX265" s="47"/>
      <x:c r="BY265" s="60"/>
      <x:c r="BZ265" s="58">
        <x:f>(($O265*BX265)/100)+(BY265*12)</x:f>
      </x:c>
      <x:c r="CA265" s="47"/>
      <x:c r="CB265" s="60"/>
      <x:c r="CC265" s="58">
        <x:f>(($O265*CA265)/100)+(CB265*12)</x:f>
      </x:c>
      <x:c r="CD265" s="47"/>
      <x:c r="CE265" s="60"/>
      <x:c r="CF265" s="58">
        <x:f>(($O265*CD265)/100)+(CE265*12)</x:f>
      </x:c>
      <x:c r="CG265" s="47"/>
      <x:c r="CH265" s="60"/>
      <x:c r="CI265" s="58">
        <x:f>(($O265*CG265)/100)+(CH265*12)</x:f>
      </x:c>
      <x:c r="CJ265" s="47"/>
      <x:c r="CK265" s="60"/>
      <x:c r="CL265" s="58">
        <x:f>(($O265*CJ265)/100)+(CK265*12)</x:f>
      </x:c>
      <x:c r="CM265" s="47"/>
      <x:c r="CN265" s="60"/>
      <x:c r="CO265" s="58">
        <x:f>(($O265*CM265)/100)+(CN265*12)</x:f>
      </x:c>
      <x:c r="CP265" s="47"/>
      <x:c r="CQ265" s="60"/>
      <x:c r="CR265" s="58">
        <x:f>(($O265*CP265)/100)+(CQ265*12)</x:f>
      </x:c>
      <x:c r="CS265" s="47"/>
      <x:c r="CT265" s="60"/>
      <x:c r="CU265" s="58">
        <x:f>(($O265*CS265)/100)+(CT265*12)</x:f>
      </x:c>
      <x:c r="CV265" s="47"/>
      <x:c r="CW265" s="60"/>
      <x:c r="CX265" s="58"/>
      <x:c r="CY265" s="47"/>
      <x:c r="CZ265" s="60"/>
      <x:c r="DA265" s="58"/>
      <x:c r="DB265" s="47"/>
      <x:c r="DC265" s="60"/>
      <x:c r="DD265" s="58"/>
      <x:c r="DE265" s="47"/>
      <x:c r="DF265" s="60"/>
      <x:c r="DG265" s="58"/>
      <x:c r="DH265" s="47"/>
      <x:c r="DI265" s="60"/>
      <x:c r="DJ265" s="58"/>
      <x:c r="DK265" s="47"/>
      <x:c r="DL265" s="60"/>
      <x:c r="DM265" s="58"/>
      <x:c r="DN265" s="11"/>
      <x:c r="DO265" s="61"/>
      <x:c r="DP265" s="62"/>
      <x:c r="DQ265" s="11"/>
      <x:c r="DR265" s="61"/>
      <x:c r="DS265" s="62"/>
      <x:c r="DT265" s="11"/>
      <x:c r="DU265" s="61"/>
      <x:c r="DV265" s="62"/>
    </x:row>
    <x:row r="266" spans="1:126" x14ac:dyDescent="0.3">
      <x:c r="A266" s="47"/>
      <x:c r="B266" s="70"/>
      <x:c r="C266" s="70"/>
      <x:c r="D266" s="70"/>
      <x:c r="E266" s="70"/>
      <x:c r="F266" s="70"/>
      <x:c r="G266" s="70"/>
      <x:c r="H266" s="70"/>
      <x:c r="I266" s="70"/>
      <x:c r="J266" s="70"/>
      <x:c r="K266" s="190"/>
      <x:c r="L266" s="191"/>
      <x:c r="M266" s="192">
        <x:f>IF(ISERROR(INDEX('Meter Type Data'!$B$2:$E$1165,SUMPRODUCT(--('Meter Type Data'!$B$2:$B$1165&lt;=Analysis!L266)*('Meter Type Data'!$C$2:$C$1165&gt;=Analysis!L266),ROW('Meter Type Data'!$B$2:$B$1165))-1,4))," ",INDEX('Meter Type Data'!$B$2:$E$1165,SUMPRODUCT(--('Meter Type Data'!$B$2:$B$1165&lt;=Analysis!L266)*('Meter Type Data'!$C$2:$C$1165&gt;=Analysis!L266),ROW('Meter Type Data'!$B$2:$B$1165))-1,4))</x:f>
      </x:c>
      <x:c r="N266" s="192">
        <x:f>IF(ISERROR(INDEX('Meter Type Data'!$B$2:$D$1165,SUMPRODUCT(--('Meter Type Data'!$B$2:$B$1165&lt;=Analysis!L266)*('Meter Type Data'!$C$2:$C$1165&gt;=Analysis!L266),ROW('Meter Type Data'!$B$2:$B$1165))-1,3))," ",INDEX('Meter Type Data'!$B$2:$D$1165,SUMPRODUCT(--('Meter Type Data'!$B$2:$B$1165&lt;=Analysis!L266)*('Meter Type Data'!$C$2:$C$1165&gt;=Analysis!L266),ROW('Meter Type Data'!$B$2:$B$1165))-1,3))</x:f>
      </x:c>
      <x:c r="O266" s="69"/>
      <x:c r="P266" s="47"/>
      <x:c r="Q266" s="60"/>
      <x:c r="R266" s="58">
        <x:f>(($O266*P266)/100)+(Q266*12)</x:f>
      </x:c>
      <x:c r="S266" s="59"/>
      <x:c r="T266" s="59"/>
      <x:c r="U266" s="58">
        <x:f>(($O266*S266)/100)+(T266*12)</x:f>
      </x:c>
      <x:c r="V266" s="47"/>
      <x:c r="W266" s="60"/>
      <x:c r="X266" s="58">
        <x:f>(($O266*V266)/100)+(W266*12)</x:f>
      </x:c>
      <x:c r="Y266" s="47"/>
      <x:c r="Z266" s="60"/>
      <x:c r="AA266" s="58">
        <x:f>(($O266*Y266)/100)+(Z266*12)</x:f>
      </x:c>
      <x:c r="AB266" s="47"/>
      <x:c r="AC266" s="60"/>
      <x:c r="AD266" s="58">
        <x:f>(($O266*AB266)/100)+(AC266*12)</x:f>
      </x:c>
      <x:c r="AE266" s="47"/>
      <x:c r="AF266" s="60"/>
      <x:c r="AG266" s="58">
        <x:f>(($O266*AE266)/100)+(AF266*12)</x:f>
      </x:c>
      <x:c r="AH266" s="47"/>
      <x:c r="AI266" s="60"/>
      <x:c r="AJ266" s="58">
        <x:f>(($O266*AH266)/100)+(AI266*12)</x:f>
      </x:c>
      <x:c r="AK266" s="47"/>
      <x:c r="AL266" s="60"/>
      <x:c r="AM266" s="58">
        <x:f>(($O266*AK266)/100)+(AL266*12)</x:f>
      </x:c>
      <x:c r="AN266" s="47"/>
      <x:c r="AO266" s="60"/>
      <x:c r="AP266" s="58">
        <x:f>(($O266*AN266)/100)+(AO266*12)</x:f>
      </x:c>
      <x:c r="AQ266" s="47"/>
      <x:c r="AR266" s="60"/>
      <x:c r="AS266" s="58">
        <x:f>(($O266*AQ266)/100)+(AR266*12)</x:f>
      </x:c>
      <x:c r="AT266" s="47"/>
      <x:c r="AU266" s="60"/>
      <x:c r="AV266" s="58">
        <x:f>(($O266*AT266)/100)+(AU266*12)</x:f>
      </x:c>
      <x:c r="AW266" s="47"/>
      <x:c r="AX266" s="60"/>
      <x:c r="AY266" s="58">
        <x:f>(($O266*AW266)/100)+(AX266*12)</x:f>
      </x:c>
      <x:c r="AZ266" s="47"/>
      <x:c r="BA266" s="60"/>
      <x:c r="BB266" s="58">
        <x:f>(($O266*AZ266)/100)+(BA266*12)</x:f>
      </x:c>
      <x:c r="BC266" s="47"/>
      <x:c r="BD266" s="60"/>
      <x:c r="BE266" s="58">
        <x:f>(($O266*BC266)/100)+(BD266*12)</x:f>
      </x:c>
      <x:c r="BF266" s="47"/>
      <x:c r="BG266" s="60"/>
      <x:c r="BH266" s="58">
        <x:f>(($O266*BF266)/100)+(BG266*12)</x:f>
      </x:c>
      <x:c r="BI266" s="47"/>
      <x:c r="BJ266" s="60"/>
      <x:c r="BK266" s="58">
        <x:f>(($O266*BI266)/100)+(BJ266*12)</x:f>
      </x:c>
      <x:c r="BL266" s="47"/>
      <x:c r="BM266" s="60"/>
      <x:c r="BN266" s="58">
        <x:f>(($O266*BL266)/100)+(BM266*12)</x:f>
      </x:c>
      <x:c r="BO266" s="47"/>
      <x:c r="BP266" s="60"/>
      <x:c r="BQ266" s="58">
        <x:f>(($O266*BO266)/100)+(BP266*12)</x:f>
      </x:c>
      <x:c r="BR266" s="47"/>
      <x:c r="BS266" s="60"/>
      <x:c r="BT266" s="58">
        <x:f>(($O266*BR266)/100)+(BS266*12)</x:f>
      </x:c>
      <x:c r="BU266" s="47"/>
      <x:c r="BV266" s="60"/>
      <x:c r="BW266" s="58">
        <x:f>(($O266*BU266)/100)+(BV266*12)</x:f>
      </x:c>
      <x:c r="BX266" s="47"/>
      <x:c r="BY266" s="60"/>
      <x:c r="BZ266" s="58">
        <x:f>(($O266*BX266)/100)+(BY266*12)</x:f>
      </x:c>
      <x:c r="CA266" s="47"/>
      <x:c r="CB266" s="60"/>
      <x:c r="CC266" s="58">
        <x:f>(($O266*CA266)/100)+(CB266*12)</x:f>
      </x:c>
      <x:c r="CD266" s="47"/>
      <x:c r="CE266" s="60"/>
      <x:c r="CF266" s="58">
        <x:f>(($O266*CD266)/100)+(CE266*12)</x:f>
      </x:c>
      <x:c r="CG266" s="47"/>
      <x:c r="CH266" s="60"/>
      <x:c r="CI266" s="58">
        <x:f>(($O266*CG266)/100)+(CH266*12)</x:f>
      </x:c>
      <x:c r="CJ266" s="47"/>
      <x:c r="CK266" s="60"/>
      <x:c r="CL266" s="58">
        <x:f>(($O266*CJ266)/100)+(CK266*12)</x:f>
      </x:c>
      <x:c r="CM266" s="47"/>
      <x:c r="CN266" s="60"/>
      <x:c r="CO266" s="58">
        <x:f>(($O266*CM266)/100)+(CN266*12)</x:f>
      </x:c>
      <x:c r="CP266" s="47"/>
      <x:c r="CQ266" s="60"/>
      <x:c r="CR266" s="58">
        <x:f>(($O266*CP266)/100)+(CQ266*12)</x:f>
      </x:c>
      <x:c r="CS266" s="47"/>
      <x:c r="CT266" s="60"/>
      <x:c r="CU266" s="58">
        <x:f>(($O266*CS266)/100)+(CT266*12)</x:f>
      </x:c>
      <x:c r="CV266" s="47"/>
      <x:c r="CW266" s="60"/>
      <x:c r="CX266" s="58"/>
      <x:c r="CY266" s="47"/>
      <x:c r="CZ266" s="60"/>
      <x:c r="DA266" s="58"/>
      <x:c r="DB266" s="47"/>
      <x:c r="DC266" s="60"/>
      <x:c r="DD266" s="58"/>
      <x:c r="DE266" s="47"/>
      <x:c r="DF266" s="60"/>
      <x:c r="DG266" s="58"/>
      <x:c r="DH266" s="47"/>
      <x:c r="DI266" s="60"/>
      <x:c r="DJ266" s="58"/>
      <x:c r="DK266" s="47"/>
      <x:c r="DL266" s="60"/>
      <x:c r="DM266" s="58"/>
      <x:c r="DN266" s="11"/>
      <x:c r="DO266" s="61"/>
      <x:c r="DP266" s="62"/>
      <x:c r="DQ266" s="11"/>
      <x:c r="DR266" s="61"/>
      <x:c r="DS266" s="62"/>
      <x:c r="DT266" s="11"/>
      <x:c r="DU266" s="61"/>
      <x:c r="DV266" s="62"/>
    </x:row>
    <x:row r="267" spans="1:126" x14ac:dyDescent="0.3">
      <x:c r="A267" s="47"/>
      <x:c r="B267" s="70"/>
      <x:c r="C267" s="70"/>
      <x:c r="D267" s="70"/>
      <x:c r="E267" s="70"/>
      <x:c r="F267" s="70"/>
      <x:c r="G267" s="70"/>
      <x:c r="H267" s="70"/>
      <x:c r="I267" s="70"/>
      <x:c r="J267" s="70"/>
      <x:c r="K267" s="190"/>
      <x:c r="L267" s="191"/>
      <x:c r="M267" s="192">
        <x:f>IF(ISERROR(INDEX('Meter Type Data'!$B$2:$E$1165,SUMPRODUCT(--('Meter Type Data'!$B$2:$B$1165&lt;=Analysis!L267)*('Meter Type Data'!$C$2:$C$1165&gt;=Analysis!L267),ROW('Meter Type Data'!$B$2:$B$1165))-1,4))," ",INDEX('Meter Type Data'!$B$2:$E$1165,SUMPRODUCT(--('Meter Type Data'!$B$2:$B$1165&lt;=Analysis!L267)*('Meter Type Data'!$C$2:$C$1165&gt;=Analysis!L267),ROW('Meter Type Data'!$B$2:$B$1165))-1,4))</x:f>
      </x:c>
      <x:c r="N267" s="192">
        <x:f>IF(ISERROR(INDEX('Meter Type Data'!$B$2:$D$1165,SUMPRODUCT(--('Meter Type Data'!$B$2:$B$1165&lt;=Analysis!L267)*('Meter Type Data'!$C$2:$C$1165&gt;=Analysis!L267),ROW('Meter Type Data'!$B$2:$B$1165))-1,3))," ",INDEX('Meter Type Data'!$B$2:$D$1165,SUMPRODUCT(--('Meter Type Data'!$B$2:$B$1165&lt;=Analysis!L267)*('Meter Type Data'!$C$2:$C$1165&gt;=Analysis!L267),ROW('Meter Type Data'!$B$2:$B$1165))-1,3))</x:f>
      </x:c>
      <x:c r="O267" s="69"/>
      <x:c r="P267" s="47"/>
      <x:c r="Q267" s="60"/>
      <x:c r="R267" s="58">
        <x:f>(($O267*P267)/100)+(Q267*12)</x:f>
      </x:c>
      <x:c r="S267" s="59"/>
      <x:c r="T267" s="59"/>
      <x:c r="U267" s="58">
        <x:f>(($O267*S267)/100)+(T267*12)</x:f>
      </x:c>
      <x:c r="V267" s="47"/>
      <x:c r="W267" s="60"/>
      <x:c r="X267" s="58">
        <x:f>(($O267*V267)/100)+(W267*12)</x:f>
      </x:c>
      <x:c r="Y267" s="47"/>
      <x:c r="Z267" s="60"/>
      <x:c r="AA267" s="58">
        <x:f>(($O267*Y267)/100)+(Z267*12)</x:f>
      </x:c>
      <x:c r="AB267" s="47"/>
      <x:c r="AC267" s="60"/>
      <x:c r="AD267" s="58">
        <x:f>(($O267*AB267)/100)+(AC267*12)</x:f>
      </x:c>
      <x:c r="AE267" s="47"/>
      <x:c r="AF267" s="60"/>
      <x:c r="AG267" s="58">
        <x:f>(($O267*AE267)/100)+(AF267*12)</x:f>
      </x:c>
      <x:c r="AH267" s="47"/>
      <x:c r="AI267" s="60"/>
      <x:c r="AJ267" s="58">
        <x:f>(($O267*AH267)/100)+(AI267*12)</x:f>
      </x:c>
      <x:c r="AK267" s="47"/>
      <x:c r="AL267" s="60"/>
      <x:c r="AM267" s="58">
        <x:f>(($O267*AK267)/100)+(AL267*12)</x:f>
      </x:c>
      <x:c r="AN267" s="47"/>
      <x:c r="AO267" s="60"/>
      <x:c r="AP267" s="58">
        <x:f>(($O267*AN267)/100)+(AO267*12)</x:f>
      </x:c>
      <x:c r="AQ267" s="47"/>
      <x:c r="AR267" s="60"/>
      <x:c r="AS267" s="58">
        <x:f>(($O267*AQ267)/100)+(AR267*12)</x:f>
      </x:c>
      <x:c r="AT267" s="47"/>
      <x:c r="AU267" s="60"/>
      <x:c r="AV267" s="58">
        <x:f>(($O267*AT267)/100)+(AU267*12)</x:f>
      </x:c>
      <x:c r="AW267" s="47"/>
      <x:c r="AX267" s="60"/>
      <x:c r="AY267" s="58">
        <x:f>(($O267*AW267)/100)+(AX267*12)</x:f>
      </x:c>
      <x:c r="AZ267" s="47"/>
      <x:c r="BA267" s="60"/>
      <x:c r="BB267" s="58">
        <x:f>(($O267*AZ267)/100)+(BA267*12)</x:f>
      </x:c>
      <x:c r="BC267" s="47"/>
      <x:c r="BD267" s="60"/>
      <x:c r="BE267" s="58">
        <x:f>(($O267*BC267)/100)+(BD267*12)</x:f>
      </x:c>
      <x:c r="BF267" s="47"/>
      <x:c r="BG267" s="60"/>
      <x:c r="BH267" s="58">
        <x:f>(($O267*BF267)/100)+(BG267*12)</x:f>
      </x:c>
      <x:c r="BI267" s="47"/>
      <x:c r="BJ267" s="60"/>
      <x:c r="BK267" s="58">
        <x:f>(($O267*BI267)/100)+(BJ267*12)</x:f>
      </x:c>
      <x:c r="BL267" s="47"/>
      <x:c r="BM267" s="60"/>
      <x:c r="BN267" s="58">
        <x:f>(($O267*BL267)/100)+(BM267*12)</x:f>
      </x:c>
      <x:c r="BO267" s="47"/>
      <x:c r="BP267" s="60"/>
      <x:c r="BQ267" s="58">
        <x:f>(($O267*BO267)/100)+(BP267*12)</x:f>
      </x:c>
      <x:c r="BR267" s="47"/>
      <x:c r="BS267" s="60"/>
      <x:c r="BT267" s="58">
        <x:f>(($O267*BR267)/100)+(BS267*12)</x:f>
      </x:c>
      <x:c r="BU267" s="47"/>
      <x:c r="BV267" s="60"/>
      <x:c r="BW267" s="58">
        <x:f>(($O267*BU267)/100)+(BV267*12)</x:f>
      </x:c>
      <x:c r="BX267" s="47"/>
      <x:c r="BY267" s="60"/>
      <x:c r="BZ267" s="58">
        <x:f>(($O267*BX267)/100)+(BY267*12)</x:f>
      </x:c>
      <x:c r="CA267" s="47"/>
      <x:c r="CB267" s="60"/>
      <x:c r="CC267" s="58">
        <x:f>(($O267*CA267)/100)+(CB267*12)</x:f>
      </x:c>
      <x:c r="CD267" s="47"/>
      <x:c r="CE267" s="60"/>
      <x:c r="CF267" s="58">
        <x:f>(($O267*CD267)/100)+(CE267*12)</x:f>
      </x:c>
      <x:c r="CG267" s="47"/>
      <x:c r="CH267" s="60"/>
      <x:c r="CI267" s="58">
        <x:f>(($O267*CG267)/100)+(CH267*12)</x:f>
      </x:c>
      <x:c r="CJ267" s="47"/>
      <x:c r="CK267" s="60"/>
      <x:c r="CL267" s="58">
        <x:f>(($O267*CJ267)/100)+(CK267*12)</x:f>
      </x:c>
      <x:c r="CM267" s="47"/>
      <x:c r="CN267" s="60"/>
      <x:c r="CO267" s="58">
        <x:f>(($O267*CM267)/100)+(CN267*12)</x:f>
      </x:c>
      <x:c r="CP267" s="47"/>
      <x:c r="CQ267" s="60"/>
      <x:c r="CR267" s="58">
        <x:f>(($O267*CP267)/100)+(CQ267*12)</x:f>
      </x:c>
      <x:c r="CS267" s="47"/>
      <x:c r="CT267" s="60"/>
      <x:c r="CU267" s="58">
        <x:f>(($O267*CS267)/100)+(CT267*12)</x:f>
      </x:c>
      <x:c r="CV267" s="47"/>
      <x:c r="CW267" s="60"/>
      <x:c r="CX267" s="58"/>
      <x:c r="CY267" s="47"/>
      <x:c r="CZ267" s="60"/>
      <x:c r="DA267" s="58"/>
      <x:c r="DB267" s="47"/>
      <x:c r="DC267" s="60"/>
      <x:c r="DD267" s="58"/>
      <x:c r="DE267" s="47"/>
      <x:c r="DF267" s="60"/>
      <x:c r="DG267" s="58"/>
      <x:c r="DH267" s="47"/>
      <x:c r="DI267" s="60"/>
      <x:c r="DJ267" s="58"/>
      <x:c r="DK267" s="47"/>
      <x:c r="DL267" s="60"/>
      <x:c r="DM267" s="58"/>
      <x:c r="DN267" s="11"/>
      <x:c r="DO267" s="61"/>
      <x:c r="DP267" s="62"/>
      <x:c r="DQ267" s="11"/>
      <x:c r="DR267" s="61"/>
      <x:c r="DS267" s="62"/>
      <x:c r="DT267" s="11"/>
      <x:c r="DU267" s="61"/>
      <x:c r="DV267" s="62"/>
    </x:row>
    <x:row r="268" spans="1:126" x14ac:dyDescent="0.3">
      <x:c r="A268" s="47"/>
      <x:c r="B268" s="70"/>
      <x:c r="C268" s="70"/>
      <x:c r="D268" s="70"/>
      <x:c r="E268" s="70"/>
      <x:c r="F268" s="70"/>
      <x:c r="G268" s="70"/>
      <x:c r="H268" s="70"/>
      <x:c r="I268" s="70"/>
      <x:c r="J268" s="70"/>
      <x:c r="K268" s="190"/>
      <x:c r="L268" s="191"/>
      <x:c r="M268" s="192">
        <x:f>IF(ISERROR(INDEX('Meter Type Data'!$B$2:$E$1165,SUMPRODUCT(--('Meter Type Data'!$B$2:$B$1165&lt;=Analysis!L268)*('Meter Type Data'!$C$2:$C$1165&gt;=Analysis!L268),ROW('Meter Type Data'!$B$2:$B$1165))-1,4))," ",INDEX('Meter Type Data'!$B$2:$E$1165,SUMPRODUCT(--('Meter Type Data'!$B$2:$B$1165&lt;=Analysis!L268)*('Meter Type Data'!$C$2:$C$1165&gt;=Analysis!L268),ROW('Meter Type Data'!$B$2:$B$1165))-1,4))</x:f>
      </x:c>
      <x:c r="N268" s="192">
        <x:f>IF(ISERROR(INDEX('Meter Type Data'!$B$2:$D$1165,SUMPRODUCT(--('Meter Type Data'!$B$2:$B$1165&lt;=Analysis!L268)*('Meter Type Data'!$C$2:$C$1165&gt;=Analysis!L268),ROW('Meter Type Data'!$B$2:$B$1165))-1,3))," ",INDEX('Meter Type Data'!$B$2:$D$1165,SUMPRODUCT(--('Meter Type Data'!$B$2:$B$1165&lt;=Analysis!L268)*('Meter Type Data'!$C$2:$C$1165&gt;=Analysis!L268),ROW('Meter Type Data'!$B$2:$B$1165))-1,3))</x:f>
      </x:c>
      <x:c r="O268" s="69"/>
      <x:c r="P268" s="47"/>
      <x:c r="Q268" s="60"/>
      <x:c r="R268" s="58">
        <x:f>(($O268*P268)/100)+(Q268*12)</x:f>
      </x:c>
      <x:c r="S268" s="59"/>
      <x:c r="T268" s="59"/>
      <x:c r="U268" s="58">
        <x:f>(($O268*S268)/100)+(T268*12)</x:f>
      </x:c>
      <x:c r="V268" s="47"/>
      <x:c r="W268" s="60"/>
      <x:c r="X268" s="58">
        <x:f>(($O268*V268)/100)+(W268*12)</x:f>
      </x:c>
      <x:c r="Y268" s="47"/>
      <x:c r="Z268" s="60"/>
      <x:c r="AA268" s="58">
        <x:f>(($O268*Y268)/100)+(Z268*12)</x:f>
      </x:c>
      <x:c r="AB268" s="47"/>
      <x:c r="AC268" s="60"/>
      <x:c r="AD268" s="58">
        <x:f>(($O268*AB268)/100)+(AC268*12)</x:f>
      </x:c>
      <x:c r="AE268" s="47"/>
      <x:c r="AF268" s="60"/>
      <x:c r="AG268" s="58">
        <x:f>(($O268*AE268)/100)+(AF268*12)</x:f>
      </x:c>
      <x:c r="AH268" s="47"/>
      <x:c r="AI268" s="60"/>
      <x:c r="AJ268" s="58">
        <x:f>(($O268*AH268)/100)+(AI268*12)</x:f>
      </x:c>
      <x:c r="AK268" s="47"/>
      <x:c r="AL268" s="60"/>
      <x:c r="AM268" s="58">
        <x:f>(($O268*AK268)/100)+(AL268*12)</x:f>
      </x:c>
      <x:c r="AN268" s="47"/>
      <x:c r="AO268" s="60"/>
      <x:c r="AP268" s="58">
        <x:f>(($O268*AN268)/100)+(AO268*12)</x:f>
      </x:c>
      <x:c r="AQ268" s="47"/>
      <x:c r="AR268" s="60"/>
      <x:c r="AS268" s="58">
        <x:f>(($O268*AQ268)/100)+(AR268*12)</x:f>
      </x:c>
      <x:c r="AT268" s="47"/>
      <x:c r="AU268" s="60"/>
      <x:c r="AV268" s="58">
        <x:f>(($O268*AT268)/100)+(AU268*12)</x:f>
      </x:c>
      <x:c r="AW268" s="47"/>
      <x:c r="AX268" s="60"/>
      <x:c r="AY268" s="58">
        <x:f>(($O268*AW268)/100)+(AX268*12)</x:f>
      </x:c>
      <x:c r="AZ268" s="47"/>
      <x:c r="BA268" s="60"/>
      <x:c r="BB268" s="58">
        <x:f>(($O268*AZ268)/100)+(BA268*12)</x:f>
      </x:c>
      <x:c r="BC268" s="47"/>
      <x:c r="BD268" s="60"/>
      <x:c r="BE268" s="58">
        <x:f>(($O268*BC268)/100)+(BD268*12)</x:f>
      </x:c>
      <x:c r="BF268" s="47"/>
      <x:c r="BG268" s="60"/>
      <x:c r="BH268" s="58">
        <x:f>(($O268*BF268)/100)+(BG268*12)</x:f>
      </x:c>
      <x:c r="BI268" s="47"/>
      <x:c r="BJ268" s="60"/>
      <x:c r="BK268" s="58">
        <x:f>(($O268*BI268)/100)+(BJ268*12)</x:f>
      </x:c>
      <x:c r="BL268" s="47"/>
      <x:c r="BM268" s="60"/>
      <x:c r="BN268" s="58">
        <x:f>(($O268*BL268)/100)+(BM268*12)</x:f>
      </x:c>
      <x:c r="BO268" s="47"/>
      <x:c r="BP268" s="60"/>
      <x:c r="BQ268" s="58">
        <x:f>(($O268*BO268)/100)+(BP268*12)</x:f>
      </x:c>
      <x:c r="BR268" s="47"/>
      <x:c r="BS268" s="60"/>
      <x:c r="BT268" s="58">
        <x:f>(($O268*BR268)/100)+(BS268*12)</x:f>
      </x:c>
      <x:c r="BU268" s="47"/>
      <x:c r="BV268" s="60"/>
      <x:c r="BW268" s="58">
        <x:f>(($O268*BU268)/100)+(BV268*12)</x:f>
      </x:c>
      <x:c r="BX268" s="47"/>
      <x:c r="BY268" s="60"/>
      <x:c r="BZ268" s="58">
        <x:f>(($O268*BX268)/100)+(BY268*12)</x:f>
      </x:c>
      <x:c r="CA268" s="47"/>
      <x:c r="CB268" s="60"/>
      <x:c r="CC268" s="58">
        <x:f>(($O268*CA268)/100)+(CB268*12)</x:f>
      </x:c>
      <x:c r="CD268" s="47"/>
      <x:c r="CE268" s="60"/>
      <x:c r="CF268" s="58">
        <x:f>(($O268*CD268)/100)+(CE268*12)</x:f>
      </x:c>
      <x:c r="CG268" s="47"/>
      <x:c r="CH268" s="60"/>
      <x:c r="CI268" s="58">
        <x:f>(($O268*CG268)/100)+(CH268*12)</x:f>
      </x:c>
      <x:c r="CJ268" s="47"/>
      <x:c r="CK268" s="60"/>
      <x:c r="CL268" s="58">
        <x:f>(($O268*CJ268)/100)+(CK268*12)</x:f>
      </x:c>
      <x:c r="CM268" s="47"/>
      <x:c r="CN268" s="60"/>
      <x:c r="CO268" s="58">
        <x:f>(($O268*CM268)/100)+(CN268*12)</x:f>
      </x:c>
      <x:c r="CP268" s="47"/>
      <x:c r="CQ268" s="60"/>
      <x:c r="CR268" s="58">
        <x:f>(($O268*CP268)/100)+(CQ268*12)</x:f>
      </x:c>
      <x:c r="CS268" s="47"/>
      <x:c r="CT268" s="60"/>
      <x:c r="CU268" s="58">
        <x:f>(($O268*CS268)/100)+(CT268*12)</x:f>
      </x:c>
      <x:c r="CV268" s="47"/>
      <x:c r="CW268" s="60"/>
      <x:c r="CX268" s="58"/>
      <x:c r="CY268" s="47"/>
      <x:c r="CZ268" s="60"/>
      <x:c r="DA268" s="58"/>
      <x:c r="DB268" s="47"/>
      <x:c r="DC268" s="60"/>
      <x:c r="DD268" s="58"/>
      <x:c r="DE268" s="47"/>
      <x:c r="DF268" s="60"/>
      <x:c r="DG268" s="58"/>
      <x:c r="DH268" s="47"/>
      <x:c r="DI268" s="60"/>
      <x:c r="DJ268" s="58"/>
      <x:c r="DK268" s="47"/>
      <x:c r="DL268" s="60"/>
      <x:c r="DM268" s="58"/>
      <x:c r="DN268" s="11"/>
      <x:c r="DO268" s="61"/>
      <x:c r="DP268" s="62"/>
      <x:c r="DQ268" s="11"/>
      <x:c r="DR268" s="61"/>
      <x:c r="DS268" s="62"/>
      <x:c r="DT268" s="11"/>
      <x:c r="DU268" s="61"/>
      <x:c r="DV268" s="62"/>
    </x:row>
    <x:row r="269" spans="1:126" x14ac:dyDescent="0.3">
      <x:c r="A269" s="47"/>
      <x:c r="B269" s="70"/>
      <x:c r="C269" s="70"/>
      <x:c r="D269" s="70"/>
      <x:c r="E269" s="70"/>
      <x:c r="F269" s="70"/>
      <x:c r="G269" s="70"/>
      <x:c r="H269" s="70"/>
      <x:c r="I269" s="70"/>
      <x:c r="J269" s="70"/>
      <x:c r="K269" s="190"/>
      <x:c r="L269" s="191"/>
      <x:c r="M269" s="192">
        <x:f>IF(ISERROR(INDEX('Meter Type Data'!$B$2:$E$1165,SUMPRODUCT(--('Meter Type Data'!$B$2:$B$1165&lt;=Analysis!L269)*('Meter Type Data'!$C$2:$C$1165&gt;=Analysis!L269),ROW('Meter Type Data'!$B$2:$B$1165))-1,4))," ",INDEX('Meter Type Data'!$B$2:$E$1165,SUMPRODUCT(--('Meter Type Data'!$B$2:$B$1165&lt;=Analysis!L269)*('Meter Type Data'!$C$2:$C$1165&gt;=Analysis!L269),ROW('Meter Type Data'!$B$2:$B$1165))-1,4))</x:f>
      </x:c>
      <x:c r="N269" s="192">
        <x:f>IF(ISERROR(INDEX('Meter Type Data'!$B$2:$D$1165,SUMPRODUCT(--('Meter Type Data'!$B$2:$B$1165&lt;=Analysis!L269)*('Meter Type Data'!$C$2:$C$1165&gt;=Analysis!L269),ROW('Meter Type Data'!$B$2:$B$1165))-1,3))," ",INDEX('Meter Type Data'!$B$2:$D$1165,SUMPRODUCT(--('Meter Type Data'!$B$2:$B$1165&lt;=Analysis!L269)*('Meter Type Data'!$C$2:$C$1165&gt;=Analysis!L269),ROW('Meter Type Data'!$B$2:$B$1165))-1,3))</x:f>
      </x:c>
      <x:c r="O269" s="69"/>
      <x:c r="P269" s="47"/>
      <x:c r="Q269" s="60"/>
      <x:c r="R269" s="58">
        <x:f>(($O269*P269)/100)+(Q269*12)</x:f>
      </x:c>
      <x:c r="S269" s="59"/>
      <x:c r="T269" s="59"/>
      <x:c r="U269" s="58">
        <x:f>(($O269*S269)/100)+(T269*12)</x:f>
      </x:c>
      <x:c r="V269" s="47"/>
      <x:c r="W269" s="60"/>
      <x:c r="X269" s="58">
        <x:f>(($O269*V269)/100)+(W269*12)</x:f>
      </x:c>
      <x:c r="Y269" s="47"/>
      <x:c r="Z269" s="60"/>
      <x:c r="AA269" s="58">
        <x:f>(($O269*Y269)/100)+(Z269*12)</x:f>
      </x:c>
      <x:c r="AB269" s="47"/>
      <x:c r="AC269" s="60"/>
      <x:c r="AD269" s="58">
        <x:f>(($O269*AB269)/100)+(AC269*12)</x:f>
      </x:c>
      <x:c r="AE269" s="47"/>
      <x:c r="AF269" s="60"/>
      <x:c r="AG269" s="58">
        <x:f>(($O269*AE269)/100)+(AF269*12)</x:f>
      </x:c>
      <x:c r="AH269" s="47"/>
      <x:c r="AI269" s="60"/>
      <x:c r="AJ269" s="58">
        <x:f>(($O269*AH269)/100)+(AI269*12)</x:f>
      </x:c>
      <x:c r="AK269" s="47"/>
      <x:c r="AL269" s="60"/>
      <x:c r="AM269" s="58">
        <x:f>(($O269*AK269)/100)+(AL269*12)</x:f>
      </x:c>
      <x:c r="AN269" s="47"/>
      <x:c r="AO269" s="60"/>
      <x:c r="AP269" s="58">
        <x:f>(($O269*AN269)/100)+(AO269*12)</x:f>
      </x:c>
      <x:c r="AQ269" s="47"/>
      <x:c r="AR269" s="60"/>
      <x:c r="AS269" s="58">
        <x:f>(($O269*AQ269)/100)+(AR269*12)</x:f>
      </x:c>
      <x:c r="AT269" s="47"/>
      <x:c r="AU269" s="60"/>
      <x:c r="AV269" s="58">
        <x:f>(($O269*AT269)/100)+(AU269*12)</x:f>
      </x:c>
      <x:c r="AW269" s="47"/>
      <x:c r="AX269" s="60"/>
      <x:c r="AY269" s="58">
        <x:f>(($O269*AW269)/100)+(AX269*12)</x:f>
      </x:c>
      <x:c r="AZ269" s="47"/>
      <x:c r="BA269" s="60"/>
      <x:c r="BB269" s="58">
        <x:f>(($O269*AZ269)/100)+(BA269*12)</x:f>
      </x:c>
      <x:c r="BC269" s="47"/>
      <x:c r="BD269" s="60"/>
      <x:c r="BE269" s="58">
        <x:f>(($O269*BC269)/100)+(BD269*12)</x:f>
      </x:c>
      <x:c r="BF269" s="47"/>
      <x:c r="BG269" s="60"/>
      <x:c r="BH269" s="58">
        <x:f>(($O269*BF269)/100)+(BG269*12)</x:f>
      </x:c>
      <x:c r="BI269" s="47"/>
      <x:c r="BJ269" s="60"/>
      <x:c r="BK269" s="58">
        <x:f>(($O269*BI269)/100)+(BJ269*12)</x:f>
      </x:c>
      <x:c r="BL269" s="47"/>
      <x:c r="BM269" s="60"/>
      <x:c r="BN269" s="58">
        <x:f>(($O269*BL269)/100)+(BM269*12)</x:f>
      </x:c>
      <x:c r="BO269" s="47"/>
      <x:c r="BP269" s="60"/>
      <x:c r="BQ269" s="58">
        <x:f>(($O269*BO269)/100)+(BP269*12)</x:f>
      </x:c>
      <x:c r="BR269" s="47"/>
      <x:c r="BS269" s="60"/>
      <x:c r="BT269" s="58">
        <x:f>(($O269*BR269)/100)+(BS269*12)</x:f>
      </x:c>
      <x:c r="BU269" s="47"/>
      <x:c r="BV269" s="60"/>
      <x:c r="BW269" s="58">
        <x:f>(($O269*BU269)/100)+(BV269*12)</x:f>
      </x:c>
      <x:c r="BX269" s="47"/>
      <x:c r="BY269" s="60"/>
      <x:c r="BZ269" s="58">
        <x:f>(($O269*BX269)/100)+(BY269*12)</x:f>
      </x:c>
      <x:c r="CA269" s="47"/>
      <x:c r="CB269" s="60"/>
      <x:c r="CC269" s="58">
        <x:f>(($O269*CA269)/100)+(CB269*12)</x:f>
      </x:c>
      <x:c r="CD269" s="47"/>
      <x:c r="CE269" s="60"/>
      <x:c r="CF269" s="58">
        <x:f>(($O269*CD269)/100)+(CE269*12)</x:f>
      </x:c>
      <x:c r="CG269" s="47"/>
      <x:c r="CH269" s="60"/>
      <x:c r="CI269" s="58">
        <x:f>(($O269*CG269)/100)+(CH269*12)</x:f>
      </x:c>
      <x:c r="CJ269" s="47"/>
      <x:c r="CK269" s="60"/>
      <x:c r="CL269" s="58">
        <x:f>(($O269*CJ269)/100)+(CK269*12)</x:f>
      </x:c>
      <x:c r="CM269" s="47"/>
      <x:c r="CN269" s="60"/>
      <x:c r="CO269" s="58">
        <x:f>(($O269*CM269)/100)+(CN269*12)</x:f>
      </x:c>
      <x:c r="CP269" s="47"/>
      <x:c r="CQ269" s="60"/>
      <x:c r="CR269" s="58">
        <x:f>(($O269*CP269)/100)+(CQ269*12)</x:f>
      </x:c>
      <x:c r="CS269" s="47"/>
      <x:c r="CT269" s="60"/>
      <x:c r="CU269" s="58">
        <x:f>(($O269*CS269)/100)+(CT269*12)</x:f>
      </x:c>
      <x:c r="CV269" s="47"/>
      <x:c r="CW269" s="60"/>
      <x:c r="CX269" s="58"/>
      <x:c r="CY269" s="47"/>
      <x:c r="CZ269" s="60"/>
      <x:c r="DA269" s="58"/>
      <x:c r="DB269" s="47"/>
      <x:c r="DC269" s="60"/>
      <x:c r="DD269" s="58"/>
      <x:c r="DE269" s="47"/>
      <x:c r="DF269" s="60"/>
      <x:c r="DG269" s="58"/>
      <x:c r="DH269" s="47"/>
      <x:c r="DI269" s="60"/>
      <x:c r="DJ269" s="58"/>
      <x:c r="DK269" s="47"/>
      <x:c r="DL269" s="60"/>
      <x:c r="DM269" s="58"/>
      <x:c r="DN269" s="11"/>
      <x:c r="DO269" s="61"/>
      <x:c r="DP269" s="62"/>
      <x:c r="DQ269" s="11"/>
      <x:c r="DR269" s="61"/>
      <x:c r="DS269" s="62"/>
      <x:c r="DT269" s="11"/>
      <x:c r="DU269" s="61"/>
      <x:c r="DV269" s="62"/>
    </x:row>
    <x:row r="270" spans="1:126" x14ac:dyDescent="0.3">
      <x:c r="A270" s="47"/>
      <x:c r="B270" s="70"/>
      <x:c r="C270" s="70"/>
      <x:c r="D270" s="70"/>
      <x:c r="E270" s="70"/>
      <x:c r="F270" s="70"/>
      <x:c r="G270" s="70"/>
      <x:c r="H270" s="70"/>
      <x:c r="I270" s="70"/>
      <x:c r="J270" s="70"/>
      <x:c r="K270" s="190"/>
      <x:c r="L270" s="191"/>
      <x:c r="M270" s="192">
        <x:f>IF(ISERROR(INDEX('Meter Type Data'!$B$2:$E$1165,SUMPRODUCT(--('Meter Type Data'!$B$2:$B$1165&lt;=Analysis!L270)*('Meter Type Data'!$C$2:$C$1165&gt;=Analysis!L270),ROW('Meter Type Data'!$B$2:$B$1165))-1,4))," ",INDEX('Meter Type Data'!$B$2:$E$1165,SUMPRODUCT(--('Meter Type Data'!$B$2:$B$1165&lt;=Analysis!L270)*('Meter Type Data'!$C$2:$C$1165&gt;=Analysis!L270),ROW('Meter Type Data'!$B$2:$B$1165))-1,4))</x:f>
      </x:c>
      <x:c r="N270" s="192">
        <x:f>IF(ISERROR(INDEX('Meter Type Data'!$B$2:$D$1165,SUMPRODUCT(--('Meter Type Data'!$B$2:$B$1165&lt;=Analysis!L270)*('Meter Type Data'!$C$2:$C$1165&gt;=Analysis!L270),ROW('Meter Type Data'!$B$2:$B$1165))-1,3))," ",INDEX('Meter Type Data'!$B$2:$D$1165,SUMPRODUCT(--('Meter Type Data'!$B$2:$B$1165&lt;=Analysis!L270)*('Meter Type Data'!$C$2:$C$1165&gt;=Analysis!L270),ROW('Meter Type Data'!$B$2:$B$1165))-1,3))</x:f>
      </x:c>
      <x:c r="O270" s="69"/>
      <x:c r="P270" s="47"/>
      <x:c r="Q270" s="60"/>
      <x:c r="R270" s="58">
        <x:f>(($O270*P270)/100)+(Q270*12)</x:f>
      </x:c>
      <x:c r="S270" s="59"/>
      <x:c r="T270" s="59"/>
      <x:c r="U270" s="58">
        <x:f>(($O270*S270)/100)+(T270*12)</x:f>
      </x:c>
      <x:c r="V270" s="47"/>
      <x:c r="W270" s="60"/>
      <x:c r="X270" s="58">
        <x:f>(($O270*V270)/100)+(W270*12)</x:f>
      </x:c>
      <x:c r="Y270" s="47"/>
      <x:c r="Z270" s="60"/>
      <x:c r="AA270" s="58">
        <x:f>(($O270*Y270)/100)+(Z270*12)</x:f>
      </x:c>
      <x:c r="AB270" s="47"/>
      <x:c r="AC270" s="60"/>
      <x:c r="AD270" s="58">
        <x:f>(($O270*AB270)/100)+(AC270*12)</x:f>
      </x:c>
      <x:c r="AE270" s="47"/>
      <x:c r="AF270" s="60"/>
      <x:c r="AG270" s="58">
        <x:f>(($O270*AE270)/100)+(AF270*12)</x:f>
      </x:c>
      <x:c r="AH270" s="47"/>
      <x:c r="AI270" s="60"/>
      <x:c r="AJ270" s="58">
        <x:f>(($O270*AH270)/100)+(AI270*12)</x:f>
      </x:c>
      <x:c r="AK270" s="47"/>
      <x:c r="AL270" s="60"/>
      <x:c r="AM270" s="58">
        <x:f>(($O270*AK270)/100)+(AL270*12)</x:f>
      </x:c>
      <x:c r="AN270" s="47"/>
      <x:c r="AO270" s="60"/>
      <x:c r="AP270" s="58">
        <x:f>(($O270*AN270)/100)+(AO270*12)</x:f>
      </x:c>
      <x:c r="AQ270" s="47"/>
      <x:c r="AR270" s="60"/>
      <x:c r="AS270" s="58">
        <x:f>(($O270*AQ270)/100)+(AR270*12)</x:f>
      </x:c>
      <x:c r="AT270" s="47"/>
      <x:c r="AU270" s="60"/>
      <x:c r="AV270" s="58">
        <x:f>(($O270*AT270)/100)+(AU270*12)</x:f>
      </x:c>
      <x:c r="AW270" s="47"/>
      <x:c r="AX270" s="60"/>
      <x:c r="AY270" s="58">
        <x:f>(($O270*AW270)/100)+(AX270*12)</x:f>
      </x:c>
      <x:c r="AZ270" s="47"/>
      <x:c r="BA270" s="60"/>
      <x:c r="BB270" s="58">
        <x:f>(($O270*AZ270)/100)+(BA270*12)</x:f>
      </x:c>
      <x:c r="BC270" s="47"/>
      <x:c r="BD270" s="60"/>
      <x:c r="BE270" s="58">
        <x:f>(($O270*BC270)/100)+(BD270*12)</x:f>
      </x:c>
      <x:c r="BF270" s="47"/>
      <x:c r="BG270" s="60"/>
      <x:c r="BH270" s="58">
        <x:f>(($O270*BF270)/100)+(BG270*12)</x:f>
      </x:c>
      <x:c r="BI270" s="47"/>
      <x:c r="BJ270" s="60"/>
      <x:c r="BK270" s="58">
        <x:f>(($O270*BI270)/100)+(BJ270*12)</x:f>
      </x:c>
      <x:c r="BL270" s="47"/>
      <x:c r="BM270" s="60"/>
      <x:c r="BN270" s="58">
        <x:f>(($O270*BL270)/100)+(BM270*12)</x:f>
      </x:c>
      <x:c r="BO270" s="47"/>
      <x:c r="BP270" s="60"/>
      <x:c r="BQ270" s="58">
        <x:f>(($O270*BO270)/100)+(BP270*12)</x:f>
      </x:c>
      <x:c r="BR270" s="47"/>
      <x:c r="BS270" s="60"/>
      <x:c r="BT270" s="58">
        <x:f>(($O270*BR270)/100)+(BS270*12)</x:f>
      </x:c>
      <x:c r="BU270" s="47"/>
      <x:c r="BV270" s="60"/>
      <x:c r="BW270" s="58">
        <x:f>(($O270*BU270)/100)+(BV270*12)</x:f>
      </x:c>
      <x:c r="BX270" s="47"/>
      <x:c r="BY270" s="60"/>
      <x:c r="BZ270" s="58">
        <x:f>(($O270*BX270)/100)+(BY270*12)</x:f>
      </x:c>
      <x:c r="CA270" s="47"/>
      <x:c r="CB270" s="60"/>
      <x:c r="CC270" s="58">
        <x:f>(($O270*CA270)/100)+(CB270*12)</x:f>
      </x:c>
      <x:c r="CD270" s="47"/>
      <x:c r="CE270" s="60"/>
      <x:c r="CF270" s="58">
        <x:f>(($O270*CD270)/100)+(CE270*12)</x:f>
      </x:c>
      <x:c r="CG270" s="47"/>
      <x:c r="CH270" s="60"/>
      <x:c r="CI270" s="58">
        <x:f>(($O270*CG270)/100)+(CH270*12)</x:f>
      </x:c>
      <x:c r="CJ270" s="47"/>
      <x:c r="CK270" s="60"/>
      <x:c r="CL270" s="58">
        <x:f>(($O270*CJ270)/100)+(CK270*12)</x:f>
      </x:c>
      <x:c r="CM270" s="47"/>
      <x:c r="CN270" s="60"/>
      <x:c r="CO270" s="58">
        <x:f>(($O270*CM270)/100)+(CN270*12)</x:f>
      </x:c>
      <x:c r="CP270" s="47"/>
      <x:c r="CQ270" s="60"/>
      <x:c r="CR270" s="58">
        <x:f>(($O270*CP270)/100)+(CQ270*12)</x:f>
      </x:c>
      <x:c r="CS270" s="47"/>
      <x:c r="CT270" s="60"/>
      <x:c r="CU270" s="58">
        <x:f>(($O270*CS270)/100)+(CT270*12)</x:f>
      </x:c>
      <x:c r="CV270" s="47"/>
      <x:c r="CW270" s="60"/>
      <x:c r="CX270" s="58"/>
      <x:c r="CY270" s="47"/>
      <x:c r="CZ270" s="60"/>
      <x:c r="DA270" s="58"/>
      <x:c r="DB270" s="47"/>
      <x:c r="DC270" s="60"/>
      <x:c r="DD270" s="58"/>
      <x:c r="DE270" s="47"/>
      <x:c r="DF270" s="60"/>
      <x:c r="DG270" s="58"/>
      <x:c r="DH270" s="47"/>
      <x:c r="DI270" s="60"/>
      <x:c r="DJ270" s="58"/>
      <x:c r="DK270" s="47"/>
      <x:c r="DL270" s="60"/>
      <x:c r="DM270" s="58"/>
      <x:c r="DN270" s="11"/>
      <x:c r="DO270" s="61"/>
      <x:c r="DP270" s="62"/>
      <x:c r="DQ270" s="11"/>
      <x:c r="DR270" s="61"/>
      <x:c r="DS270" s="62"/>
      <x:c r="DT270" s="11"/>
      <x:c r="DU270" s="61"/>
      <x:c r="DV270" s="62"/>
    </x:row>
    <x:row r="271" spans="1:126" x14ac:dyDescent="0.3">
      <x:c r="A271" s="47"/>
      <x:c r="B271" s="70"/>
      <x:c r="C271" s="70"/>
      <x:c r="D271" s="70"/>
      <x:c r="E271" s="70"/>
      <x:c r="F271" s="70"/>
      <x:c r="G271" s="70"/>
      <x:c r="H271" s="70"/>
      <x:c r="I271" s="70"/>
      <x:c r="J271" s="70"/>
      <x:c r="K271" s="190"/>
      <x:c r="L271" s="191"/>
      <x:c r="M271" s="192">
        <x:f>IF(ISERROR(INDEX('Meter Type Data'!$B$2:$E$1165,SUMPRODUCT(--('Meter Type Data'!$B$2:$B$1165&lt;=Analysis!L271)*('Meter Type Data'!$C$2:$C$1165&gt;=Analysis!L271),ROW('Meter Type Data'!$B$2:$B$1165))-1,4))," ",INDEX('Meter Type Data'!$B$2:$E$1165,SUMPRODUCT(--('Meter Type Data'!$B$2:$B$1165&lt;=Analysis!L271)*('Meter Type Data'!$C$2:$C$1165&gt;=Analysis!L271),ROW('Meter Type Data'!$B$2:$B$1165))-1,4))</x:f>
      </x:c>
      <x:c r="N271" s="192">
        <x:f>IF(ISERROR(INDEX('Meter Type Data'!$B$2:$D$1165,SUMPRODUCT(--('Meter Type Data'!$B$2:$B$1165&lt;=Analysis!L271)*('Meter Type Data'!$C$2:$C$1165&gt;=Analysis!L271),ROW('Meter Type Data'!$B$2:$B$1165))-1,3))," ",INDEX('Meter Type Data'!$B$2:$D$1165,SUMPRODUCT(--('Meter Type Data'!$B$2:$B$1165&lt;=Analysis!L271)*('Meter Type Data'!$C$2:$C$1165&gt;=Analysis!L271),ROW('Meter Type Data'!$B$2:$B$1165))-1,3))</x:f>
      </x:c>
      <x:c r="O271" s="69"/>
      <x:c r="P271" s="47"/>
      <x:c r="Q271" s="60"/>
      <x:c r="R271" s="58">
        <x:f>(($O271*P271)/100)+(Q271*12)</x:f>
      </x:c>
      <x:c r="S271" s="59"/>
      <x:c r="T271" s="59"/>
      <x:c r="U271" s="58">
        <x:f>(($O271*S271)/100)+(T271*12)</x:f>
      </x:c>
      <x:c r="V271" s="47"/>
      <x:c r="W271" s="60"/>
      <x:c r="X271" s="58">
        <x:f>(($O271*V271)/100)+(W271*12)</x:f>
      </x:c>
      <x:c r="Y271" s="47"/>
      <x:c r="Z271" s="60"/>
      <x:c r="AA271" s="58">
        <x:f>(($O271*Y271)/100)+(Z271*12)</x:f>
      </x:c>
      <x:c r="AB271" s="47"/>
      <x:c r="AC271" s="60"/>
      <x:c r="AD271" s="58">
        <x:f>(($O271*AB271)/100)+(AC271*12)</x:f>
      </x:c>
      <x:c r="AE271" s="47"/>
      <x:c r="AF271" s="60"/>
      <x:c r="AG271" s="58">
        <x:f>(($O271*AE271)/100)+(AF271*12)</x:f>
      </x:c>
      <x:c r="AH271" s="47"/>
      <x:c r="AI271" s="60"/>
      <x:c r="AJ271" s="58">
        <x:f>(($O271*AH271)/100)+(AI271*12)</x:f>
      </x:c>
      <x:c r="AK271" s="47"/>
      <x:c r="AL271" s="60"/>
      <x:c r="AM271" s="58">
        <x:f>(($O271*AK271)/100)+(AL271*12)</x:f>
      </x:c>
      <x:c r="AN271" s="47"/>
      <x:c r="AO271" s="60"/>
      <x:c r="AP271" s="58">
        <x:f>(($O271*AN271)/100)+(AO271*12)</x:f>
      </x:c>
      <x:c r="AQ271" s="47"/>
      <x:c r="AR271" s="60"/>
      <x:c r="AS271" s="58">
        <x:f>(($O271*AQ271)/100)+(AR271*12)</x:f>
      </x:c>
      <x:c r="AT271" s="47"/>
      <x:c r="AU271" s="60"/>
      <x:c r="AV271" s="58">
        <x:f>(($O271*AT271)/100)+(AU271*12)</x:f>
      </x:c>
      <x:c r="AW271" s="47"/>
      <x:c r="AX271" s="60"/>
      <x:c r="AY271" s="58">
        <x:f>(($O271*AW271)/100)+(AX271*12)</x:f>
      </x:c>
      <x:c r="AZ271" s="47"/>
      <x:c r="BA271" s="60"/>
      <x:c r="BB271" s="58">
        <x:f>(($O271*AZ271)/100)+(BA271*12)</x:f>
      </x:c>
      <x:c r="BC271" s="47"/>
      <x:c r="BD271" s="60"/>
      <x:c r="BE271" s="58">
        <x:f>(($O271*BC271)/100)+(BD271*12)</x:f>
      </x:c>
      <x:c r="BF271" s="47"/>
      <x:c r="BG271" s="60"/>
      <x:c r="BH271" s="58">
        <x:f>(($O271*BF271)/100)+(BG271*12)</x:f>
      </x:c>
      <x:c r="BI271" s="47"/>
      <x:c r="BJ271" s="60"/>
      <x:c r="BK271" s="58">
        <x:f>(($O271*BI271)/100)+(BJ271*12)</x:f>
      </x:c>
      <x:c r="BL271" s="47"/>
      <x:c r="BM271" s="60"/>
      <x:c r="BN271" s="58">
        <x:f>(($O271*BL271)/100)+(BM271*12)</x:f>
      </x:c>
      <x:c r="BO271" s="47"/>
      <x:c r="BP271" s="60"/>
      <x:c r="BQ271" s="58">
        <x:f>(($O271*BO271)/100)+(BP271*12)</x:f>
      </x:c>
      <x:c r="BR271" s="47"/>
      <x:c r="BS271" s="60"/>
      <x:c r="BT271" s="58">
        <x:f>(($O271*BR271)/100)+(BS271*12)</x:f>
      </x:c>
      <x:c r="BU271" s="47"/>
      <x:c r="BV271" s="60"/>
      <x:c r="BW271" s="58">
        <x:f>(($O271*BU271)/100)+(BV271*12)</x:f>
      </x:c>
      <x:c r="BX271" s="47"/>
      <x:c r="BY271" s="60"/>
      <x:c r="BZ271" s="58">
        <x:f>(($O271*BX271)/100)+(BY271*12)</x:f>
      </x:c>
      <x:c r="CA271" s="47"/>
      <x:c r="CB271" s="60"/>
      <x:c r="CC271" s="58">
        <x:f>(($O271*CA271)/100)+(CB271*12)</x:f>
      </x:c>
      <x:c r="CD271" s="47"/>
      <x:c r="CE271" s="60"/>
      <x:c r="CF271" s="58">
        <x:f>(($O271*CD271)/100)+(CE271*12)</x:f>
      </x:c>
      <x:c r="CG271" s="47"/>
      <x:c r="CH271" s="60"/>
      <x:c r="CI271" s="58">
        <x:f>(($O271*CG271)/100)+(CH271*12)</x:f>
      </x:c>
      <x:c r="CJ271" s="47"/>
      <x:c r="CK271" s="60"/>
      <x:c r="CL271" s="58">
        <x:f>(($O271*CJ271)/100)+(CK271*12)</x:f>
      </x:c>
      <x:c r="CM271" s="47"/>
      <x:c r="CN271" s="60"/>
      <x:c r="CO271" s="58">
        <x:f>(($O271*CM271)/100)+(CN271*12)</x:f>
      </x:c>
      <x:c r="CP271" s="47"/>
      <x:c r="CQ271" s="60"/>
      <x:c r="CR271" s="58">
        <x:f>(($O271*CP271)/100)+(CQ271*12)</x:f>
      </x:c>
      <x:c r="CS271" s="47"/>
      <x:c r="CT271" s="60"/>
      <x:c r="CU271" s="58">
        <x:f>(($O271*CS271)/100)+(CT271*12)</x:f>
      </x:c>
      <x:c r="CV271" s="47"/>
      <x:c r="CW271" s="60"/>
      <x:c r="CX271" s="58"/>
      <x:c r="CY271" s="47"/>
      <x:c r="CZ271" s="60"/>
      <x:c r="DA271" s="58"/>
      <x:c r="DB271" s="47"/>
      <x:c r="DC271" s="60"/>
      <x:c r="DD271" s="58"/>
      <x:c r="DE271" s="47"/>
      <x:c r="DF271" s="60"/>
      <x:c r="DG271" s="58"/>
      <x:c r="DH271" s="47"/>
      <x:c r="DI271" s="60"/>
      <x:c r="DJ271" s="58"/>
      <x:c r="DK271" s="47"/>
      <x:c r="DL271" s="60"/>
      <x:c r="DM271" s="58"/>
      <x:c r="DN271" s="11"/>
      <x:c r="DO271" s="61"/>
      <x:c r="DP271" s="62"/>
      <x:c r="DQ271" s="11"/>
      <x:c r="DR271" s="61"/>
      <x:c r="DS271" s="62"/>
      <x:c r="DT271" s="11"/>
      <x:c r="DU271" s="61"/>
      <x:c r="DV271" s="62"/>
    </x:row>
    <x:row r="272" spans="1:126" x14ac:dyDescent="0.3">
      <x:c r="A272" s="47"/>
      <x:c r="B272" s="70"/>
      <x:c r="C272" s="70"/>
      <x:c r="D272" s="70"/>
      <x:c r="E272" s="70"/>
      <x:c r="F272" s="70"/>
      <x:c r="G272" s="70"/>
      <x:c r="H272" s="70"/>
      <x:c r="I272" s="70"/>
      <x:c r="J272" s="70"/>
      <x:c r="K272" s="190"/>
      <x:c r="L272" s="191"/>
      <x:c r="M272" s="192">
        <x:f>IF(ISERROR(INDEX('Meter Type Data'!$B$2:$E$1165,SUMPRODUCT(--('Meter Type Data'!$B$2:$B$1165&lt;=Analysis!L272)*('Meter Type Data'!$C$2:$C$1165&gt;=Analysis!L272),ROW('Meter Type Data'!$B$2:$B$1165))-1,4))," ",INDEX('Meter Type Data'!$B$2:$E$1165,SUMPRODUCT(--('Meter Type Data'!$B$2:$B$1165&lt;=Analysis!L272)*('Meter Type Data'!$C$2:$C$1165&gt;=Analysis!L272),ROW('Meter Type Data'!$B$2:$B$1165))-1,4))</x:f>
      </x:c>
      <x:c r="N272" s="192">
        <x:f>IF(ISERROR(INDEX('Meter Type Data'!$B$2:$D$1165,SUMPRODUCT(--('Meter Type Data'!$B$2:$B$1165&lt;=Analysis!L272)*('Meter Type Data'!$C$2:$C$1165&gt;=Analysis!L272),ROW('Meter Type Data'!$B$2:$B$1165))-1,3))," ",INDEX('Meter Type Data'!$B$2:$D$1165,SUMPRODUCT(--('Meter Type Data'!$B$2:$B$1165&lt;=Analysis!L272)*('Meter Type Data'!$C$2:$C$1165&gt;=Analysis!L272),ROW('Meter Type Data'!$B$2:$B$1165))-1,3))</x:f>
      </x:c>
      <x:c r="O272" s="69"/>
      <x:c r="P272" s="47"/>
      <x:c r="Q272" s="60"/>
      <x:c r="R272" s="58">
        <x:f>(($O272*P272)/100)+(Q272*12)</x:f>
      </x:c>
      <x:c r="S272" s="59"/>
      <x:c r="T272" s="59"/>
      <x:c r="U272" s="58">
        <x:f>(($O272*S272)/100)+(T272*12)</x:f>
      </x:c>
      <x:c r="V272" s="47"/>
      <x:c r="W272" s="60"/>
      <x:c r="X272" s="58">
        <x:f>(($O272*V272)/100)+(W272*12)</x:f>
      </x:c>
      <x:c r="Y272" s="47"/>
      <x:c r="Z272" s="60"/>
      <x:c r="AA272" s="58">
        <x:f>(($O272*Y272)/100)+(Z272*12)</x:f>
      </x:c>
      <x:c r="AB272" s="47"/>
      <x:c r="AC272" s="60"/>
      <x:c r="AD272" s="58">
        <x:f>(($O272*AB272)/100)+(AC272*12)</x:f>
      </x:c>
      <x:c r="AE272" s="47"/>
      <x:c r="AF272" s="60"/>
      <x:c r="AG272" s="58">
        <x:f>(($O272*AE272)/100)+(AF272*12)</x:f>
      </x:c>
      <x:c r="AH272" s="47"/>
      <x:c r="AI272" s="60"/>
      <x:c r="AJ272" s="58">
        <x:f>(($O272*AH272)/100)+(AI272*12)</x:f>
      </x:c>
      <x:c r="AK272" s="47"/>
      <x:c r="AL272" s="60"/>
      <x:c r="AM272" s="58">
        <x:f>(($O272*AK272)/100)+(AL272*12)</x:f>
      </x:c>
      <x:c r="AN272" s="47"/>
      <x:c r="AO272" s="60"/>
      <x:c r="AP272" s="58">
        <x:f>(($O272*AN272)/100)+(AO272*12)</x:f>
      </x:c>
      <x:c r="AQ272" s="47"/>
      <x:c r="AR272" s="60"/>
      <x:c r="AS272" s="58">
        <x:f>(($O272*AQ272)/100)+(AR272*12)</x:f>
      </x:c>
      <x:c r="AT272" s="47"/>
      <x:c r="AU272" s="60"/>
      <x:c r="AV272" s="58">
        <x:f>(($O272*AT272)/100)+(AU272*12)</x:f>
      </x:c>
      <x:c r="AW272" s="47"/>
      <x:c r="AX272" s="60"/>
      <x:c r="AY272" s="58">
        <x:f>(($O272*AW272)/100)+(AX272*12)</x:f>
      </x:c>
      <x:c r="AZ272" s="47"/>
      <x:c r="BA272" s="60"/>
      <x:c r="BB272" s="58">
        <x:f>(($O272*AZ272)/100)+(BA272*12)</x:f>
      </x:c>
      <x:c r="BC272" s="47"/>
      <x:c r="BD272" s="60"/>
      <x:c r="BE272" s="58">
        <x:f>(($O272*BC272)/100)+(BD272*12)</x:f>
      </x:c>
      <x:c r="BF272" s="47"/>
      <x:c r="BG272" s="60"/>
      <x:c r="BH272" s="58">
        <x:f>(($O272*BF272)/100)+(BG272*12)</x:f>
      </x:c>
      <x:c r="BI272" s="47"/>
      <x:c r="BJ272" s="60"/>
      <x:c r="BK272" s="58">
        <x:f>(($O272*BI272)/100)+(BJ272*12)</x:f>
      </x:c>
      <x:c r="BL272" s="47"/>
      <x:c r="BM272" s="60"/>
      <x:c r="BN272" s="58">
        <x:f>(($O272*BL272)/100)+(BM272*12)</x:f>
      </x:c>
      <x:c r="BO272" s="47"/>
      <x:c r="BP272" s="60"/>
      <x:c r="BQ272" s="58">
        <x:f>(($O272*BO272)/100)+(BP272*12)</x:f>
      </x:c>
      <x:c r="BR272" s="47"/>
      <x:c r="BS272" s="60"/>
      <x:c r="BT272" s="58">
        <x:f>(($O272*BR272)/100)+(BS272*12)</x:f>
      </x:c>
      <x:c r="BU272" s="47"/>
      <x:c r="BV272" s="60"/>
      <x:c r="BW272" s="58">
        <x:f>(($O272*BU272)/100)+(BV272*12)</x:f>
      </x:c>
      <x:c r="BX272" s="47"/>
      <x:c r="BY272" s="60"/>
      <x:c r="BZ272" s="58">
        <x:f>(($O272*BX272)/100)+(BY272*12)</x:f>
      </x:c>
      <x:c r="CA272" s="47"/>
      <x:c r="CB272" s="60"/>
      <x:c r="CC272" s="58">
        <x:f>(($O272*CA272)/100)+(CB272*12)</x:f>
      </x:c>
      <x:c r="CD272" s="47"/>
      <x:c r="CE272" s="60"/>
      <x:c r="CF272" s="58">
        <x:f>(($O272*CD272)/100)+(CE272*12)</x:f>
      </x:c>
      <x:c r="CG272" s="47"/>
      <x:c r="CH272" s="60"/>
      <x:c r="CI272" s="58">
        <x:f>(($O272*CG272)/100)+(CH272*12)</x:f>
      </x:c>
      <x:c r="CJ272" s="47"/>
      <x:c r="CK272" s="60"/>
      <x:c r="CL272" s="58">
        <x:f>(($O272*CJ272)/100)+(CK272*12)</x:f>
      </x:c>
      <x:c r="CM272" s="47"/>
      <x:c r="CN272" s="60"/>
      <x:c r="CO272" s="58">
        <x:f>(($O272*CM272)/100)+(CN272*12)</x:f>
      </x:c>
      <x:c r="CP272" s="47"/>
      <x:c r="CQ272" s="60"/>
      <x:c r="CR272" s="58">
        <x:f>(($O272*CP272)/100)+(CQ272*12)</x:f>
      </x:c>
      <x:c r="CS272" s="47"/>
      <x:c r="CT272" s="60"/>
      <x:c r="CU272" s="58">
        <x:f>(($O272*CS272)/100)+(CT272*12)</x:f>
      </x:c>
      <x:c r="CV272" s="47"/>
      <x:c r="CW272" s="60"/>
      <x:c r="CX272" s="58"/>
      <x:c r="CY272" s="47"/>
      <x:c r="CZ272" s="60"/>
      <x:c r="DA272" s="58"/>
      <x:c r="DB272" s="47"/>
      <x:c r="DC272" s="60"/>
      <x:c r="DD272" s="58"/>
      <x:c r="DE272" s="47"/>
      <x:c r="DF272" s="60"/>
      <x:c r="DG272" s="58"/>
      <x:c r="DH272" s="47"/>
      <x:c r="DI272" s="60"/>
      <x:c r="DJ272" s="58"/>
      <x:c r="DK272" s="47"/>
      <x:c r="DL272" s="60"/>
      <x:c r="DM272" s="58"/>
      <x:c r="DN272" s="11"/>
      <x:c r="DO272" s="61"/>
      <x:c r="DP272" s="62"/>
      <x:c r="DQ272" s="11"/>
      <x:c r="DR272" s="61"/>
      <x:c r="DS272" s="62"/>
      <x:c r="DT272" s="11"/>
      <x:c r="DU272" s="61"/>
      <x:c r="DV272" s="62"/>
    </x:row>
    <x:row r="273" spans="1:126" x14ac:dyDescent="0.3">
      <x:c r="A273" s="47"/>
      <x:c r="B273" s="70"/>
      <x:c r="C273" s="70"/>
      <x:c r="D273" s="70"/>
      <x:c r="E273" s="70"/>
      <x:c r="F273" s="70"/>
      <x:c r="G273" s="70"/>
      <x:c r="H273" s="70"/>
      <x:c r="I273" s="70"/>
      <x:c r="J273" s="70"/>
      <x:c r="K273" s="190"/>
      <x:c r="L273" s="191"/>
      <x:c r="M273" s="192">
        <x:f>IF(ISERROR(INDEX('Meter Type Data'!$B$2:$E$1165,SUMPRODUCT(--('Meter Type Data'!$B$2:$B$1165&lt;=Analysis!L273)*('Meter Type Data'!$C$2:$C$1165&gt;=Analysis!L273),ROW('Meter Type Data'!$B$2:$B$1165))-1,4))," ",INDEX('Meter Type Data'!$B$2:$E$1165,SUMPRODUCT(--('Meter Type Data'!$B$2:$B$1165&lt;=Analysis!L273)*('Meter Type Data'!$C$2:$C$1165&gt;=Analysis!L273),ROW('Meter Type Data'!$B$2:$B$1165))-1,4))</x:f>
      </x:c>
      <x:c r="N273" s="192">
        <x:f>IF(ISERROR(INDEX('Meter Type Data'!$B$2:$D$1165,SUMPRODUCT(--('Meter Type Data'!$B$2:$B$1165&lt;=Analysis!L273)*('Meter Type Data'!$C$2:$C$1165&gt;=Analysis!L273),ROW('Meter Type Data'!$B$2:$B$1165))-1,3))," ",INDEX('Meter Type Data'!$B$2:$D$1165,SUMPRODUCT(--('Meter Type Data'!$B$2:$B$1165&lt;=Analysis!L273)*('Meter Type Data'!$C$2:$C$1165&gt;=Analysis!L273),ROW('Meter Type Data'!$B$2:$B$1165))-1,3))</x:f>
      </x:c>
      <x:c r="O273" s="69"/>
      <x:c r="P273" s="47"/>
      <x:c r="Q273" s="60"/>
      <x:c r="R273" s="58">
        <x:f>(($O273*P273)/100)+(Q273*12)</x:f>
      </x:c>
      <x:c r="S273" s="59"/>
      <x:c r="T273" s="59"/>
      <x:c r="U273" s="58">
        <x:f>(($O273*S273)/100)+(T273*12)</x:f>
      </x:c>
      <x:c r="V273" s="47"/>
      <x:c r="W273" s="60"/>
      <x:c r="X273" s="58">
        <x:f>(($O273*V273)/100)+(W273*12)</x:f>
      </x:c>
      <x:c r="Y273" s="47"/>
      <x:c r="Z273" s="60"/>
      <x:c r="AA273" s="58">
        <x:f>(($O273*Y273)/100)+(Z273*12)</x:f>
      </x:c>
      <x:c r="AB273" s="47"/>
      <x:c r="AC273" s="60"/>
      <x:c r="AD273" s="58">
        <x:f>(($O273*AB273)/100)+(AC273*12)</x:f>
      </x:c>
      <x:c r="AE273" s="47"/>
      <x:c r="AF273" s="60"/>
      <x:c r="AG273" s="58">
        <x:f>(($O273*AE273)/100)+(AF273*12)</x:f>
      </x:c>
      <x:c r="AH273" s="47"/>
      <x:c r="AI273" s="60"/>
      <x:c r="AJ273" s="58">
        <x:f>(($O273*AH273)/100)+(AI273*12)</x:f>
      </x:c>
      <x:c r="AK273" s="47"/>
      <x:c r="AL273" s="60"/>
      <x:c r="AM273" s="58">
        <x:f>(($O273*AK273)/100)+(AL273*12)</x:f>
      </x:c>
      <x:c r="AN273" s="47"/>
      <x:c r="AO273" s="60"/>
      <x:c r="AP273" s="58">
        <x:f>(($O273*AN273)/100)+(AO273*12)</x:f>
      </x:c>
      <x:c r="AQ273" s="47"/>
      <x:c r="AR273" s="60"/>
      <x:c r="AS273" s="58">
        <x:f>(($O273*AQ273)/100)+(AR273*12)</x:f>
      </x:c>
      <x:c r="AT273" s="47"/>
      <x:c r="AU273" s="60"/>
      <x:c r="AV273" s="58">
        <x:f>(($O273*AT273)/100)+(AU273*12)</x:f>
      </x:c>
      <x:c r="AW273" s="47"/>
      <x:c r="AX273" s="60"/>
      <x:c r="AY273" s="58">
        <x:f>(($O273*AW273)/100)+(AX273*12)</x:f>
      </x:c>
      <x:c r="AZ273" s="47"/>
      <x:c r="BA273" s="60"/>
      <x:c r="BB273" s="58">
        <x:f>(($O273*AZ273)/100)+(BA273*12)</x:f>
      </x:c>
      <x:c r="BC273" s="47"/>
      <x:c r="BD273" s="60"/>
      <x:c r="BE273" s="58">
        <x:f>(($O273*BC273)/100)+(BD273*12)</x:f>
      </x:c>
      <x:c r="BF273" s="47"/>
      <x:c r="BG273" s="60"/>
      <x:c r="BH273" s="58">
        <x:f>(($O273*BF273)/100)+(BG273*12)</x:f>
      </x:c>
      <x:c r="BI273" s="47"/>
      <x:c r="BJ273" s="60"/>
      <x:c r="BK273" s="58">
        <x:f>(($O273*BI273)/100)+(BJ273*12)</x:f>
      </x:c>
      <x:c r="BL273" s="47"/>
      <x:c r="BM273" s="60"/>
      <x:c r="BN273" s="58">
        <x:f>(($O273*BL273)/100)+(BM273*12)</x:f>
      </x:c>
      <x:c r="BO273" s="47"/>
      <x:c r="BP273" s="60"/>
      <x:c r="BQ273" s="58">
        <x:f>(($O273*BO273)/100)+(BP273*12)</x:f>
      </x:c>
      <x:c r="BR273" s="47"/>
      <x:c r="BS273" s="60"/>
      <x:c r="BT273" s="58">
        <x:f>(($O273*BR273)/100)+(BS273*12)</x:f>
      </x:c>
      <x:c r="BU273" s="47"/>
      <x:c r="BV273" s="60"/>
      <x:c r="BW273" s="58">
        <x:f>(($O273*BU273)/100)+(BV273*12)</x:f>
      </x:c>
      <x:c r="BX273" s="47"/>
      <x:c r="BY273" s="60"/>
      <x:c r="BZ273" s="58">
        <x:f>(($O273*BX273)/100)+(BY273*12)</x:f>
      </x:c>
      <x:c r="CA273" s="47"/>
      <x:c r="CB273" s="60"/>
      <x:c r="CC273" s="58">
        <x:f>(($O273*CA273)/100)+(CB273*12)</x:f>
      </x:c>
      <x:c r="CD273" s="47"/>
      <x:c r="CE273" s="60"/>
      <x:c r="CF273" s="58">
        <x:f>(($O273*CD273)/100)+(CE273*12)</x:f>
      </x:c>
      <x:c r="CG273" s="47"/>
      <x:c r="CH273" s="60"/>
      <x:c r="CI273" s="58">
        <x:f>(($O273*CG273)/100)+(CH273*12)</x:f>
      </x:c>
      <x:c r="CJ273" s="47"/>
      <x:c r="CK273" s="60"/>
      <x:c r="CL273" s="58">
        <x:f>(($O273*CJ273)/100)+(CK273*12)</x:f>
      </x:c>
      <x:c r="CM273" s="47"/>
      <x:c r="CN273" s="60"/>
      <x:c r="CO273" s="58">
        <x:f>(($O273*CM273)/100)+(CN273*12)</x:f>
      </x:c>
      <x:c r="CP273" s="47"/>
      <x:c r="CQ273" s="60"/>
      <x:c r="CR273" s="58">
        <x:f>(($O273*CP273)/100)+(CQ273*12)</x:f>
      </x:c>
      <x:c r="CS273" s="47"/>
      <x:c r="CT273" s="60"/>
      <x:c r="CU273" s="58">
        <x:f>(($O273*CS273)/100)+(CT273*12)</x:f>
      </x:c>
      <x:c r="CV273" s="47"/>
      <x:c r="CW273" s="60"/>
      <x:c r="CX273" s="58"/>
      <x:c r="CY273" s="47"/>
      <x:c r="CZ273" s="60"/>
      <x:c r="DA273" s="58"/>
      <x:c r="DB273" s="47"/>
      <x:c r="DC273" s="60"/>
      <x:c r="DD273" s="58"/>
      <x:c r="DE273" s="47"/>
      <x:c r="DF273" s="60"/>
      <x:c r="DG273" s="58"/>
      <x:c r="DH273" s="47"/>
      <x:c r="DI273" s="60"/>
      <x:c r="DJ273" s="58"/>
      <x:c r="DK273" s="47"/>
      <x:c r="DL273" s="60"/>
      <x:c r="DM273" s="58"/>
      <x:c r="DN273" s="11"/>
      <x:c r="DO273" s="61"/>
      <x:c r="DP273" s="62"/>
      <x:c r="DQ273" s="11"/>
      <x:c r="DR273" s="61"/>
      <x:c r="DS273" s="62"/>
      <x:c r="DT273" s="11"/>
      <x:c r="DU273" s="61"/>
      <x:c r="DV273" s="62"/>
    </x:row>
    <x:row r="274" spans="1:126" x14ac:dyDescent="0.3">
      <x:c r="A274" s="47"/>
      <x:c r="B274" s="70"/>
      <x:c r="C274" s="70"/>
      <x:c r="D274" s="70"/>
      <x:c r="E274" s="70"/>
      <x:c r="F274" s="70"/>
      <x:c r="G274" s="70"/>
      <x:c r="H274" s="70"/>
      <x:c r="I274" s="70"/>
      <x:c r="J274" s="70"/>
      <x:c r="K274" s="190"/>
      <x:c r="L274" s="191"/>
      <x:c r="M274" s="192">
        <x:f>IF(ISERROR(INDEX('Meter Type Data'!$B$2:$E$1165,SUMPRODUCT(--('Meter Type Data'!$B$2:$B$1165&lt;=Analysis!L274)*('Meter Type Data'!$C$2:$C$1165&gt;=Analysis!L274),ROW('Meter Type Data'!$B$2:$B$1165))-1,4))," ",INDEX('Meter Type Data'!$B$2:$E$1165,SUMPRODUCT(--('Meter Type Data'!$B$2:$B$1165&lt;=Analysis!L274)*('Meter Type Data'!$C$2:$C$1165&gt;=Analysis!L274),ROW('Meter Type Data'!$B$2:$B$1165))-1,4))</x:f>
      </x:c>
      <x:c r="N274" s="192">
        <x:f>IF(ISERROR(INDEX('Meter Type Data'!$B$2:$D$1165,SUMPRODUCT(--('Meter Type Data'!$B$2:$B$1165&lt;=Analysis!L274)*('Meter Type Data'!$C$2:$C$1165&gt;=Analysis!L274),ROW('Meter Type Data'!$B$2:$B$1165))-1,3))," ",INDEX('Meter Type Data'!$B$2:$D$1165,SUMPRODUCT(--('Meter Type Data'!$B$2:$B$1165&lt;=Analysis!L274)*('Meter Type Data'!$C$2:$C$1165&gt;=Analysis!L274),ROW('Meter Type Data'!$B$2:$B$1165))-1,3))</x:f>
      </x:c>
      <x:c r="O274" s="69"/>
      <x:c r="P274" s="47"/>
      <x:c r="Q274" s="60"/>
      <x:c r="R274" s="58">
        <x:f>(($O274*P274)/100)+(Q274*12)</x:f>
      </x:c>
      <x:c r="S274" s="59"/>
      <x:c r="T274" s="59"/>
      <x:c r="U274" s="58">
        <x:f>(($O274*S274)/100)+(T274*12)</x:f>
      </x:c>
      <x:c r="V274" s="47"/>
      <x:c r="W274" s="60"/>
      <x:c r="X274" s="58">
        <x:f>(($O274*V274)/100)+(W274*12)</x:f>
      </x:c>
      <x:c r="Y274" s="47"/>
      <x:c r="Z274" s="60"/>
      <x:c r="AA274" s="58">
        <x:f>(($O274*Y274)/100)+(Z274*12)</x:f>
      </x:c>
      <x:c r="AB274" s="47"/>
      <x:c r="AC274" s="60"/>
      <x:c r="AD274" s="58">
        <x:f>(($O274*AB274)/100)+(AC274*12)</x:f>
      </x:c>
      <x:c r="AE274" s="47"/>
      <x:c r="AF274" s="60"/>
      <x:c r="AG274" s="58">
        <x:f>(($O274*AE274)/100)+(AF274*12)</x:f>
      </x:c>
      <x:c r="AH274" s="47"/>
      <x:c r="AI274" s="60"/>
      <x:c r="AJ274" s="58">
        <x:f>(($O274*AH274)/100)+(AI274*12)</x:f>
      </x:c>
      <x:c r="AK274" s="47"/>
      <x:c r="AL274" s="60"/>
      <x:c r="AM274" s="58">
        <x:f>(($O274*AK274)/100)+(AL274*12)</x:f>
      </x:c>
      <x:c r="AN274" s="47"/>
      <x:c r="AO274" s="60"/>
      <x:c r="AP274" s="58">
        <x:f>(($O274*AN274)/100)+(AO274*12)</x:f>
      </x:c>
      <x:c r="AQ274" s="47"/>
      <x:c r="AR274" s="60"/>
      <x:c r="AS274" s="58">
        <x:f>(($O274*AQ274)/100)+(AR274*12)</x:f>
      </x:c>
      <x:c r="AT274" s="47"/>
      <x:c r="AU274" s="60"/>
      <x:c r="AV274" s="58">
        <x:f>(($O274*AT274)/100)+(AU274*12)</x:f>
      </x:c>
      <x:c r="AW274" s="47"/>
      <x:c r="AX274" s="60"/>
      <x:c r="AY274" s="58">
        <x:f>(($O274*AW274)/100)+(AX274*12)</x:f>
      </x:c>
      <x:c r="AZ274" s="47"/>
      <x:c r="BA274" s="60"/>
      <x:c r="BB274" s="58">
        <x:f>(($O274*AZ274)/100)+(BA274*12)</x:f>
      </x:c>
      <x:c r="BC274" s="47"/>
      <x:c r="BD274" s="60"/>
      <x:c r="BE274" s="58">
        <x:f>(($O274*BC274)/100)+(BD274*12)</x:f>
      </x:c>
      <x:c r="BF274" s="47"/>
      <x:c r="BG274" s="60"/>
      <x:c r="BH274" s="58">
        <x:f>(($O274*BF274)/100)+(BG274*12)</x:f>
      </x:c>
      <x:c r="BI274" s="47"/>
      <x:c r="BJ274" s="60"/>
      <x:c r="BK274" s="58">
        <x:f>(($O274*BI274)/100)+(BJ274*12)</x:f>
      </x:c>
      <x:c r="BL274" s="47"/>
      <x:c r="BM274" s="60"/>
      <x:c r="BN274" s="58">
        <x:f>(($O274*BL274)/100)+(BM274*12)</x:f>
      </x:c>
      <x:c r="BO274" s="47"/>
      <x:c r="BP274" s="60"/>
      <x:c r="BQ274" s="58">
        <x:f>(($O274*BO274)/100)+(BP274*12)</x:f>
      </x:c>
      <x:c r="BR274" s="47"/>
      <x:c r="BS274" s="60"/>
      <x:c r="BT274" s="58">
        <x:f>(($O274*BR274)/100)+(BS274*12)</x:f>
      </x:c>
      <x:c r="BU274" s="47"/>
      <x:c r="BV274" s="60"/>
      <x:c r="BW274" s="58">
        <x:f>(($O274*BU274)/100)+(BV274*12)</x:f>
      </x:c>
      <x:c r="BX274" s="47"/>
      <x:c r="BY274" s="60"/>
      <x:c r="BZ274" s="58">
        <x:f>(($O274*BX274)/100)+(BY274*12)</x:f>
      </x:c>
      <x:c r="CA274" s="47"/>
      <x:c r="CB274" s="60"/>
      <x:c r="CC274" s="58">
        <x:f>(($O274*CA274)/100)+(CB274*12)</x:f>
      </x:c>
      <x:c r="CD274" s="47"/>
      <x:c r="CE274" s="60"/>
      <x:c r="CF274" s="58">
        <x:f>(($O274*CD274)/100)+(CE274*12)</x:f>
      </x:c>
      <x:c r="CG274" s="47"/>
      <x:c r="CH274" s="60"/>
      <x:c r="CI274" s="58">
        <x:f>(($O274*CG274)/100)+(CH274*12)</x:f>
      </x:c>
      <x:c r="CJ274" s="47"/>
      <x:c r="CK274" s="60"/>
      <x:c r="CL274" s="58">
        <x:f>(($O274*CJ274)/100)+(CK274*12)</x:f>
      </x:c>
      <x:c r="CM274" s="47"/>
      <x:c r="CN274" s="60"/>
      <x:c r="CO274" s="58">
        <x:f>(($O274*CM274)/100)+(CN274*12)</x:f>
      </x:c>
      <x:c r="CP274" s="47"/>
      <x:c r="CQ274" s="60"/>
      <x:c r="CR274" s="58">
        <x:f>(($O274*CP274)/100)+(CQ274*12)</x:f>
      </x:c>
      <x:c r="CS274" s="47"/>
      <x:c r="CT274" s="60"/>
      <x:c r="CU274" s="58">
        <x:f>(($O274*CS274)/100)+(CT274*12)</x:f>
      </x:c>
      <x:c r="CV274" s="47"/>
      <x:c r="CW274" s="60"/>
      <x:c r="CX274" s="58"/>
      <x:c r="CY274" s="47"/>
      <x:c r="CZ274" s="60"/>
      <x:c r="DA274" s="58"/>
      <x:c r="DB274" s="47"/>
      <x:c r="DC274" s="60"/>
      <x:c r="DD274" s="58"/>
      <x:c r="DE274" s="47"/>
      <x:c r="DF274" s="60"/>
      <x:c r="DG274" s="58"/>
      <x:c r="DH274" s="47"/>
      <x:c r="DI274" s="60"/>
      <x:c r="DJ274" s="58"/>
      <x:c r="DK274" s="47"/>
      <x:c r="DL274" s="60"/>
      <x:c r="DM274" s="58"/>
      <x:c r="DN274" s="11"/>
      <x:c r="DO274" s="61"/>
      <x:c r="DP274" s="62"/>
      <x:c r="DQ274" s="11"/>
      <x:c r="DR274" s="61"/>
      <x:c r="DS274" s="62"/>
      <x:c r="DT274" s="11"/>
      <x:c r="DU274" s="61"/>
      <x:c r="DV274" s="62"/>
    </x:row>
    <x:row r="275" spans="1:126" x14ac:dyDescent="0.3">
      <x:c r="A275" s="47"/>
      <x:c r="B275" s="70"/>
      <x:c r="C275" s="70"/>
      <x:c r="D275" s="70"/>
      <x:c r="E275" s="70"/>
      <x:c r="F275" s="70"/>
      <x:c r="G275" s="70"/>
      <x:c r="H275" s="70"/>
      <x:c r="I275" s="70"/>
      <x:c r="J275" s="70"/>
      <x:c r="K275" s="190"/>
      <x:c r="L275" s="191"/>
      <x:c r="M275" s="192">
        <x:f>IF(ISERROR(INDEX('Meter Type Data'!$B$2:$E$1165,SUMPRODUCT(--('Meter Type Data'!$B$2:$B$1165&lt;=Analysis!L275)*('Meter Type Data'!$C$2:$C$1165&gt;=Analysis!L275),ROW('Meter Type Data'!$B$2:$B$1165))-1,4))," ",INDEX('Meter Type Data'!$B$2:$E$1165,SUMPRODUCT(--('Meter Type Data'!$B$2:$B$1165&lt;=Analysis!L275)*('Meter Type Data'!$C$2:$C$1165&gt;=Analysis!L275),ROW('Meter Type Data'!$B$2:$B$1165))-1,4))</x:f>
      </x:c>
      <x:c r="N275" s="192">
        <x:f>IF(ISERROR(INDEX('Meter Type Data'!$B$2:$D$1165,SUMPRODUCT(--('Meter Type Data'!$B$2:$B$1165&lt;=Analysis!L275)*('Meter Type Data'!$C$2:$C$1165&gt;=Analysis!L275),ROW('Meter Type Data'!$B$2:$B$1165))-1,3))," ",INDEX('Meter Type Data'!$B$2:$D$1165,SUMPRODUCT(--('Meter Type Data'!$B$2:$B$1165&lt;=Analysis!L275)*('Meter Type Data'!$C$2:$C$1165&gt;=Analysis!L275),ROW('Meter Type Data'!$B$2:$B$1165))-1,3))</x:f>
      </x:c>
      <x:c r="O275" s="69"/>
      <x:c r="P275" s="47"/>
      <x:c r="Q275" s="60"/>
      <x:c r="R275" s="58">
        <x:f>(($O275*P275)/100)+(Q275*12)</x:f>
      </x:c>
      <x:c r="S275" s="59"/>
      <x:c r="T275" s="59"/>
      <x:c r="U275" s="58">
        <x:f>(($O275*S275)/100)+(T275*12)</x:f>
      </x:c>
      <x:c r="V275" s="47"/>
      <x:c r="W275" s="60"/>
      <x:c r="X275" s="58">
        <x:f>(($O275*V275)/100)+(W275*12)</x:f>
      </x:c>
      <x:c r="Y275" s="47"/>
      <x:c r="Z275" s="60"/>
      <x:c r="AA275" s="58">
        <x:f>(($O275*Y275)/100)+(Z275*12)</x:f>
      </x:c>
      <x:c r="AB275" s="47"/>
      <x:c r="AC275" s="60"/>
      <x:c r="AD275" s="58">
        <x:f>(($O275*AB275)/100)+(AC275*12)</x:f>
      </x:c>
      <x:c r="AE275" s="47"/>
      <x:c r="AF275" s="60"/>
      <x:c r="AG275" s="58">
        <x:f>(($O275*AE275)/100)+(AF275*12)</x:f>
      </x:c>
      <x:c r="AH275" s="47"/>
      <x:c r="AI275" s="60"/>
      <x:c r="AJ275" s="58">
        <x:f>(($O275*AH275)/100)+(AI275*12)</x:f>
      </x:c>
      <x:c r="AK275" s="47"/>
      <x:c r="AL275" s="60"/>
      <x:c r="AM275" s="58">
        <x:f>(($O275*AK275)/100)+(AL275*12)</x:f>
      </x:c>
      <x:c r="AN275" s="47"/>
      <x:c r="AO275" s="60"/>
      <x:c r="AP275" s="58">
        <x:f>(($O275*AN275)/100)+(AO275*12)</x:f>
      </x:c>
      <x:c r="AQ275" s="47"/>
      <x:c r="AR275" s="60"/>
      <x:c r="AS275" s="58">
        <x:f>(($O275*AQ275)/100)+(AR275*12)</x:f>
      </x:c>
      <x:c r="AT275" s="47"/>
      <x:c r="AU275" s="60"/>
      <x:c r="AV275" s="58">
        <x:f>(($O275*AT275)/100)+(AU275*12)</x:f>
      </x:c>
      <x:c r="AW275" s="47"/>
      <x:c r="AX275" s="60"/>
      <x:c r="AY275" s="58">
        <x:f>(($O275*AW275)/100)+(AX275*12)</x:f>
      </x:c>
      <x:c r="AZ275" s="47"/>
      <x:c r="BA275" s="60"/>
      <x:c r="BB275" s="58">
        <x:f>(($O275*AZ275)/100)+(BA275*12)</x:f>
      </x:c>
      <x:c r="BC275" s="47"/>
      <x:c r="BD275" s="60"/>
      <x:c r="BE275" s="58">
        <x:f>(($O275*BC275)/100)+(BD275*12)</x:f>
      </x:c>
      <x:c r="BF275" s="47"/>
      <x:c r="BG275" s="60"/>
      <x:c r="BH275" s="58">
        <x:f>(($O275*BF275)/100)+(BG275*12)</x:f>
      </x:c>
      <x:c r="BI275" s="47"/>
      <x:c r="BJ275" s="60"/>
      <x:c r="BK275" s="58">
        <x:f>(($O275*BI275)/100)+(BJ275*12)</x:f>
      </x:c>
      <x:c r="BL275" s="47"/>
      <x:c r="BM275" s="60"/>
      <x:c r="BN275" s="58">
        <x:f>(($O275*BL275)/100)+(BM275*12)</x:f>
      </x:c>
      <x:c r="BO275" s="47"/>
      <x:c r="BP275" s="60"/>
      <x:c r="BQ275" s="58">
        <x:f>(($O275*BO275)/100)+(BP275*12)</x:f>
      </x:c>
      <x:c r="BR275" s="47"/>
      <x:c r="BS275" s="60"/>
      <x:c r="BT275" s="58">
        <x:f>(($O275*BR275)/100)+(BS275*12)</x:f>
      </x:c>
      <x:c r="BU275" s="47"/>
      <x:c r="BV275" s="60"/>
      <x:c r="BW275" s="58">
        <x:f>(($O275*BU275)/100)+(BV275*12)</x:f>
      </x:c>
      <x:c r="BX275" s="47"/>
      <x:c r="BY275" s="60"/>
      <x:c r="BZ275" s="58">
        <x:f>(($O275*BX275)/100)+(BY275*12)</x:f>
      </x:c>
      <x:c r="CA275" s="47"/>
      <x:c r="CB275" s="60"/>
      <x:c r="CC275" s="58">
        <x:f>(($O275*CA275)/100)+(CB275*12)</x:f>
      </x:c>
      <x:c r="CD275" s="47"/>
      <x:c r="CE275" s="60"/>
      <x:c r="CF275" s="58">
        <x:f>(($O275*CD275)/100)+(CE275*12)</x:f>
      </x:c>
      <x:c r="CG275" s="47"/>
      <x:c r="CH275" s="60"/>
      <x:c r="CI275" s="58">
        <x:f>(($O275*CG275)/100)+(CH275*12)</x:f>
      </x:c>
      <x:c r="CJ275" s="47"/>
      <x:c r="CK275" s="60"/>
      <x:c r="CL275" s="58">
        <x:f>(($O275*CJ275)/100)+(CK275*12)</x:f>
      </x:c>
      <x:c r="CM275" s="47"/>
      <x:c r="CN275" s="60"/>
      <x:c r="CO275" s="58">
        <x:f>(($O275*CM275)/100)+(CN275*12)</x:f>
      </x:c>
      <x:c r="CP275" s="47"/>
      <x:c r="CQ275" s="60"/>
      <x:c r="CR275" s="58">
        <x:f>(($O275*CP275)/100)+(CQ275*12)</x:f>
      </x:c>
      <x:c r="CS275" s="47"/>
      <x:c r="CT275" s="60"/>
      <x:c r="CU275" s="58">
        <x:f>(($O275*CS275)/100)+(CT275*12)</x:f>
      </x:c>
      <x:c r="CV275" s="47"/>
      <x:c r="CW275" s="60"/>
      <x:c r="CX275" s="58"/>
      <x:c r="CY275" s="47"/>
      <x:c r="CZ275" s="60"/>
      <x:c r="DA275" s="58"/>
      <x:c r="DB275" s="47"/>
      <x:c r="DC275" s="60"/>
      <x:c r="DD275" s="58"/>
      <x:c r="DE275" s="47"/>
      <x:c r="DF275" s="60"/>
      <x:c r="DG275" s="58"/>
      <x:c r="DH275" s="47"/>
      <x:c r="DI275" s="60"/>
      <x:c r="DJ275" s="58"/>
      <x:c r="DK275" s="47"/>
      <x:c r="DL275" s="60"/>
      <x:c r="DM275" s="58"/>
      <x:c r="DN275" s="11"/>
      <x:c r="DO275" s="61"/>
      <x:c r="DP275" s="62"/>
      <x:c r="DQ275" s="11"/>
      <x:c r="DR275" s="61"/>
      <x:c r="DS275" s="62"/>
      <x:c r="DT275" s="11"/>
      <x:c r="DU275" s="61"/>
      <x:c r="DV275" s="62"/>
    </x:row>
    <x:row r="276" spans="1:126" x14ac:dyDescent="0.3">
      <x:c r="A276" s="47"/>
      <x:c r="B276" s="70"/>
      <x:c r="C276" s="70"/>
      <x:c r="D276" s="70"/>
      <x:c r="E276" s="70"/>
      <x:c r="F276" s="70"/>
      <x:c r="G276" s="70"/>
      <x:c r="H276" s="70"/>
      <x:c r="I276" s="70"/>
      <x:c r="J276" s="70"/>
      <x:c r="K276" s="190"/>
      <x:c r="L276" s="191"/>
      <x:c r="M276" s="192">
        <x:f>IF(ISERROR(INDEX('Meter Type Data'!$B$2:$E$1165,SUMPRODUCT(--('Meter Type Data'!$B$2:$B$1165&lt;=Analysis!L276)*('Meter Type Data'!$C$2:$C$1165&gt;=Analysis!L276),ROW('Meter Type Data'!$B$2:$B$1165))-1,4))," ",INDEX('Meter Type Data'!$B$2:$E$1165,SUMPRODUCT(--('Meter Type Data'!$B$2:$B$1165&lt;=Analysis!L276)*('Meter Type Data'!$C$2:$C$1165&gt;=Analysis!L276),ROW('Meter Type Data'!$B$2:$B$1165))-1,4))</x:f>
      </x:c>
      <x:c r="N276" s="192">
        <x:f>IF(ISERROR(INDEX('Meter Type Data'!$B$2:$D$1165,SUMPRODUCT(--('Meter Type Data'!$B$2:$B$1165&lt;=Analysis!L276)*('Meter Type Data'!$C$2:$C$1165&gt;=Analysis!L276),ROW('Meter Type Data'!$B$2:$B$1165))-1,3))," ",INDEX('Meter Type Data'!$B$2:$D$1165,SUMPRODUCT(--('Meter Type Data'!$B$2:$B$1165&lt;=Analysis!L276)*('Meter Type Data'!$C$2:$C$1165&gt;=Analysis!L276),ROW('Meter Type Data'!$B$2:$B$1165))-1,3))</x:f>
      </x:c>
      <x:c r="O276" s="69"/>
      <x:c r="P276" s="47"/>
      <x:c r="Q276" s="60"/>
      <x:c r="R276" s="58">
        <x:f>(($O276*P276)/100)+(Q276*12)</x:f>
      </x:c>
      <x:c r="S276" s="59"/>
      <x:c r="T276" s="59"/>
      <x:c r="U276" s="58">
        <x:f>(($O276*S276)/100)+(T276*12)</x:f>
      </x:c>
      <x:c r="V276" s="47"/>
      <x:c r="W276" s="60"/>
      <x:c r="X276" s="58">
        <x:f>(($O276*V276)/100)+(W276*12)</x:f>
      </x:c>
      <x:c r="Y276" s="47"/>
      <x:c r="Z276" s="60"/>
      <x:c r="AA276" s="58">
        <x:f>(($O276*Y276)/100)+(Z276*12)</x:f>
      </x:c>
      <x:c r="AB276" s="47"/>
      <x:c r="AC276" s="60"/>
      <x:c r="AD276" s="58">
        <x:f>(($O276*AB276)/100)+(AC276*12)</x:f>
      </x:c>
      <x:c r="AE276" s="47"/>
      <x:c r="AF276" s="60"/>
      <x:c r="AG276" s="58">
        <x:f>(($O276*AE276)/100)+(AF276*12)</x:f>
      </x:c>
      <x:c r="AH276" s="47"/>
      <x:c r="AI276" s="60"/>
      <x:c r="AJ276" s="58">
        <x:f>(($O276*AH276)/100)+(AI276*12)</x:f>
      </x:c>
      <x:c r="AK276" s="47"/>
      <x:c r="AL276" s="60"/>
      <x:c r="AM276" s="58">
        <x:f>(($O276*AK276)/100)+(AL276*12)</x:f>
      </x:c>
      <x:c r="AN276" s="47"/>
      <x:c r="AO276" s="60"/>
      <x:c r="AP276" s="58">
        <x:f>(($O276*AN276)/100)+(AO276*12)</x:f>
      </x:c>
      <x:c r="AQ276" s="47"/>
      <x:c r="AR276" s="60"/>
      <x:c r="AS276" s="58">
        <x:f>(($O276*AQ276)/100)+(AR276*12)</x:f>
      </x:c>
      <x:c r="AT276" s="47"/>
      <x:c r="AU276" s="60"/>
      <x:c r="AV276" s="58">
        <x:f>(($O276*AT276)/100)+(AU276*12)</x:f>
      </x:c>
      <x:c r="AW276" s="47"/>
      <x:c r="AX276" s="60"/>
      <x:c r="AY276" s="58">
        <x:f>(($O276*AW276)/100)+(AX276*12)</x:f>
      </x:c>
      <x:c r="AZ276" s="47"/>
      <x:c r="BA276" s="60"/>
      <x:c r="BB276" s="58">
        <x:f>(($O276*AZ276)/100)+(BA276*12)</x:f>
      </x:c>
      <x:c r="BC276" s="47"/>
      <x:c r="BD276" s="60"/>
      <x:c r="BE276" s="58">
        <x:f>(($O276*BC276)/100)+(BD276*12)</x:f>
      </x:c>
      <x:c r="BF276" s="47"/>
      <x:c r="BG276" s="60"/>
      <x:c r="BH276" s="58">
        <x:f>(($O276*BF276)/100)+(BG276*12)</x:f>
      </x:c>
      <x:c r="BI276" s="47"/>
      <x:c r="BJ276" s="60"/>
      <x:c r="BK276" s="58">
        <x:f>(($O276*BI276)/100)+(BJ276*12)</x:f>
      </x:c>
      <x:c r="BL276" s="47"/>
      <x:c r="BM276" s="60"/>
      <x:c r="BN276" s="58">
        <x:f>(($O276*BL276)/100)+(BM276*12)</x:f>
      </x:c>
      <x:c r="BO276" s="47"/>
      <x:c r="BP276" s="60"/>
      <x:c r="BQ276" s="58">
        <x:f>(($O276*BO276)/100)+(BP276*12)</x:f>
      </x:c>
      <x:c r="BR276" s="47"/>
      <x:c r="BS276" s="60"/>
      <x:c r="BT276" s="58">
        <x:f>(($O276*BR276)/100)+(BS276*12)</x:f>
      </x:c>
      <x:c r="BU276" s="47"/>
      <x:c r="BV276" s="60"/>
      <x:c r="BW276" s="58">
        <x:f>(($O276*BU276)/100)+(BV276*12)</x:f>
      </x:c>
      <x:c r="BX276" s="47"/>
      <x:c r="BY276" s="60"/>
      <x:c r="BZ276" s="58">
        <x:f>(($O276*BX276)/100)+(BY276*12)</x:f>
      </x:c>
      <x:c r="CA276" s="47"/>
      <x:c r="CB276" s="60"/>
      <x:c r="CC276" s="58">
        <x:f>(($O276*CA276)/100)+(CB276*12)</x:f>
      </x:c>
      <x:c r="CD276" s="47"/>
      <x:c r="CE276" s="60"/>
      <x:c r="CF276" s="58">
        <x:f>(($O276*CD276)/100)+(CE276*12)</x:f>
      </x:c>
      <x:c r="CG276" s="47"/>
      <x:c r="CH276" s="60"/>
      <x:c r="CI276" s="58">
        <x:f>(($O276*CG276)/100)+(CH276*12)</x:f>
      </x:c>
      <x:c r="CJ276" s="47"/>
      <x:c r="CK276" s="60"/>
      <x:c r="CL276" s="58">
        <x:f>(($O276*CJ276)/100)+(CK276*12)</x:f>
      </x:c>
      <x:c r="CM276" s="47"/>
      <x:c r="CN276" s="60"/>
      <x:c r="CO276" s="58">
        <x:f>(($O276*CM276)/100)+(CN276*12)</x:f>
      </x:c>
      <x:c r="CP276" s="47"/>
      <x:c r="CQ276" s="60"/>
      <x:c r="CR276" s="58">
        <x:f>(($O276*CP276)/100)+(CQ276*12)</x:f>
      </x:c>
      <x:c r="CS276" s="47"/>
      <x:c r="CT276" s="60"/>
      <x:c r="CU276" s="58">
        <x:f>(($O276*CS276)/100)+(CT276*12)</x:f>
      </x:c>
      <x:c r="CV276" s="47"/>
      <x:c r="CW276" s="60"/>
      <x:c r="CX276" s="58"/>
      <x:c r="CY276" s="47"/>
      <x:c r="CZ276" s="60"/>
      <x:c r="DA276" s="58"/>
      <x:c r="DB276" s="47"/>
      <x:c r="DC276" s="60"/>
      <x:c r="DD276" s="58"/>
      <x:c r="DE276" s="47"/>
      <x:c r="DF276" s="60"/>
      <x:c r="DG276" s="58"/>
      <x:c r="DH276" s="47"/>
      <x:c r="DI276" s="60"/>
      <x:c r="DJ276" s="58"/>
      <x:c r="DK276" s="47"/>
      <x:c r="DL276" s="60"/>
      <x:c r="DM276" s="58"/>
      <x:c r="DN276" s="11"/>
      <x:c r="DO276" s="61"/>
      <x:c r="DP276" s="62"/>
      <x:c r="DQ276" s="11"/>
      <x:c r="DR276" s="61"/>
      <x:c r="DS276" s="62"/>
      <x:c r="DT276" s="11"/>
      <x:c r="DU276" s="61"/>
      <x:c r="DV276" s="62"/>
    </x:row>
    <x:row r="277" spans="1:126" x14ac:dyDescent="0.3">
      <x:c r="A277" s="47"/>
      <x:c r="B277" s="70"/>
      <x:c r="C277" s="70"/>
      <x:c r="D277" s="70"/>
      <x:c r="E277" s="70"/>
      <x:c r="F277" s="70"/>
      <x:c r="G277" s="70"/>
      <x:c r="H277" s="70"/>
      <x:c r="I277" s="70"/>
      <x:c r="J277" s="70"/>
      <x:c r="K277" s="190"/>
      <x:c r="L277" s="191"/>
      <x:c r="M277" s="192">
        <x:f>IF(ISERROR(INDEX('Meter Type Data'!$B$2:$E$1165,SUMPRODUCT(--('Meter Type Data'!$B$2:$B$1165&lt;=Analysis!L277)*('Meter Type Data'!$C$2:$C$1165&gt;=Analysis!L277),ROW('Meter Type Data'!$B$2:$B$1165))-1,4))," ",INDEX('Meter Type Data'!$B$2:$E$1165,SUMPRODUCT(--('Meter Type Data'!$B$2:$B$1165&lt;=Analysis!L277)*('Meter Type Data'!$C$2:$C$1165&gt;=Analysis!L277),ROW('Meter Type Data'!$B$2:$B$1165))-1,4))</x:f>
      </x:c>
      <x:c r="N277" s="192">
        <x:f>IF(ISERROR(INDEX('Meter Type Data'!$B$2:$D$1165,SUMPRODUCT(--('Meter Type Data'!$B$2:$B$1165&lt;=Analysis!L277)*('Meter Type Data'!$C$2:$C$1165&gt;=Analysis!L277),ROW('Meter Type Data'!$B$2:$B$1165))-1,3))," ",INDEX('Meter Type Data'!$B$2:$D$1165,SUMPRODUCT(--('Meter Type Data'!$B$2:$B$1165&lt;=Analysis!L277)*('Meter Type Data'!$C$2:$C$1165&gt;=Analysis!L277),ROW('Meter Type Data'!$B$2:$B$1165))-1,3))</x:f>
      </x:c>
      <x:c r="O277" s="69"/>
      <x:c r="P277" s="47"/>
      <x:c r="Q277" s="60"/>
      <x:c r="R277" s="58">
        <x:f>(($O277*P277)/100)+(Q277*12)</x:f>
      </x:c>
      <x:c r="S277" s="59"/>
      <x:c r="T277" s="59"/>
      <x:c r="U277" s="58">
        <x:f>(($O277*S277)/100)+(T277*12)</x:f>
      </x:c>
      <x:c r="V277" s="47"/>
      <x:c r="W277" s="60"/>
      <x:c r="X277" s="58">
        <x:f>(($O277*V277)/100)+(W277*12)</x:f>
      </x:c>
      <x:c r="Y277" s="47"/>
      <x:c r="Z277" s="60"/>
      <x:c r="AA277" s="58">
        <x:f>(($O277*Y277)/100)+(Z277*12)</x:f>
      </x:c>
      <x:c r="AB277" s="47"/>
      <x:c r="AC277" s="60"/>
      <x:c r="AD277" s="58">
        <x:f>(($O277*AB277)/100)+(AC277*12)</x:f>
      </x:c>
      <x:c r="AE277" s="47"/>
      <x:c r="AF277" s="60"/>
      <x:c r="AG277" s="58">
        <x:f>(($O277*AE277)/100)+(AF277*12)</x:f>
      </x:c>
      <x:c r="AH277" s="47"/>
      <x:c r="AI277" s="60"/>
      <x:c r="AJ277" s="58">
        <x:f>(($O277*AH277)/100)+(AI277*12)</x:f>
      </x:c>
      <x:c r="AK277" s="47"/>
      <x:c r="AL277" s="60"/>
      <x:c r="AM277" s="58">
        <x:f>(($O277*AK277)/100)+(AL277*12)</x:f>
      </x:c>
      <x:c r="AN277" s="47"/>
      <x:c r="AO277" s="60"/>
      <x:c r="AP277" s="58">
        <x:f>(($O277*AN277)/100)+(AO277*12)</x:f>
      </x:c>
      <x:c r="AQ277" s="47"/>
      <x:c r="AR277" s="60"/>
      <x:c r="AS277" s="58">
        <x:f>(($O277*AQ277)/100)+(AR277*12)</x:f>
      </x:c>
      <x:c r="AT277" s="47"/>
      <x:c r="AU277" s="60"/>
      <x:c r="AV277" s="58">
        <x:f>(($O277*AT277)/100)+(AU277*12)</x:f>
      </x:c>
      <x:c r="AW277" s="47"/>
      <x:c r="AX277" s="60"/>
      <x:c r="AY277" s="58">
        <x:f>(($O277*AW277)/100)+(AX277*12)</x:f>
      </x:c>
      <x:c r="AZ277" s="47"/>
      <x:c r="BA277" s="60"/>
      <x:c r="BB277" s="58">
        <x:f>(($O277*AZ277)/100)+(BA277*12)</x:f>
      </x:c>
      <x:c r="BC277" s="47"/>
      <x:c r="BD277" s="60"/>
      <x:c r="BE277" s="58">
        <x:f>(($O277*BC277)/100)+(BD277*12)</x:f>
      </x:c>
      <x:c r="BF277" s="47"/>
      <x:c r="BG277" s="60"/>
      <x:c r="BH277" s="58">
        <x:f>(($O277*BF277)/100)+(BG277*12)</x:f>
      </x:c>
      <x:c r="BI277" s="47"/>
      <x:c r="BJ277" s="60"/>
      <x:c r="BK277" s="58">
        <x:f>(($O277*BI277)/100)+(BJ277*12)</x:f>
      </x:c>
      <x:c r="BL277" s="47"/>
      <x:c r="BM277" s="60"/>
      <x:c r="BN277" s="58">
        <x:f>(($O277*BL277)/100)+(BM277*12)</x:f>
      </x:c>
      <x:c r="BO277" s="47"/>
      <x:c r="BP277" s="60"/>
      <x:c r="BQ277" s="58">
        <x:f>(($O277*BO277)/100)+(BP277*12)</x:f>
      </x:c>
      <x:c r="BR277" s="47"/>
      <x:c r="BS277" s="60"/>
      <x:c r="BT277" s="58">
        <x:f>(($O277*BR277)/100)+(BS277*12)</x:f>
      </x:c>
      <x:c r="BU277" s="47"/>
      <x:c r="BV277" s="60"/>
      <x:c r="BW277" s="58">
        <x:f>(($O277*BU277)/100)+(BV277*12)</x:f>
      </x:c>
      <x:c r="BX277" s="47"/>
      <x:c r="BY277" s="60"/>
      <x:c r="BZ277" s="58">
        <x:f>(($O277*BX277)/100)+(BY277*12)</x:f>
      </x:c>
      <x:c r="CA277" s="47"/>
      <x:c r="CB277" s="60"/>
      <x:c r="CC277" s="58">
        <x:f>(($O277*CA277)/100)+(CB277*12)</x:f>
      </x:c>
      <x:c r="CD277" s="47"/>
      <x:c r="CE277" s="60"/>
      <x:c r="CF277" s="58">
        <x:f>(($O277*CD277)/100)+(CE277*12)</x:f>
      </x:c>
      <x:c r="CG277" s="47"/>
      <x:c r="CH277" s="60"/>
      <x:c r="CI277" s="58">
        <x:f>(($O277*CG277)/100)+(CH277*12)</x:f>
      </x:c>
      <x:c r="CJ277" s="47"/>
      <x:c r="CK277" s="60"/>
      <x:c r="CL277" s="58">
        <x:f>(($O277*CJ277)/100)+(CK277*12)</x:f>
      </x:c>
      <x:c r="CM277" s="47"/>
      <x:c r="CN277" s="60"/>
      <x:c r="CO277" s="58">
        <x:f>(($O277*CM277)/100)+(CN277*12)</x:f>
      </x:c>
      <x:c r="CP277" s="47"/>
      <x:c r="CQ277" s="60"/>
      <x:c r="CR277" s="58">
        <x:f>(($O277*CP277)/100)+(CQ277*12)</x:f>
      </x:c>
      <x:c r="CS277" s="47"/>
      <x:c r="CT277" s="60"/>
      <x:c r="CU277" s="58">
        <x:f>(($O277*CS277)/100)+(CT277*12)</x:f>
      </x:c>
      <x:c r="CV277" s="47"/>
      <x:c r="CW277" s="60"/>
      <x:c r="CX277" s="58"/>
      <x:c r="CY277" s="47"/>
      <x:c r="CZ277" s="60"/>
      <x:c r="DA277" s="58"/>
      <x:c r="DB277" s="47"/>
      <x:c r="DC277" s="60"/>
      <x:c r="DD277" s="58"/>
      <x:c r="DE277" s="47"/>
      <x:c r="DF277" s="60"/>
      <x:c r="DG277" s="58"/>
      <x:c r="DH277" s="47"/>
      <x:c r="DI277" s="60"/>
      <x:c r="DJ277" s="58"/>
      <x:c r="DK277" s="47"/>
      <x:c r="DL277" s="60"/>
      <x:c r="DM277" s="58"/>
      <x:c r="DN277" s="11"/>
      <x:c r="DO277" s="61"/>
      <x:c r="DP277" s="62"/>
      <x:c r="DQ277" s="11"/>
      <x:c r="DR277" s="61"/>
      <x:c r="DS277" s="62"/>
      <x:c r="DT277" s="11"/>
      <x:c r="DU277" s="61"/>
      <x:c r="DV277" s="62"/>
    </x:row>
    <x:row r="278" spans="1:126" x14ac:dyDescent="0.3">
      <x:c r="A278" s="47"/>
      <x:c r="B278" s="70"/>
      <x:c r="C278" s="70"/>
      <x:c r="D278" s="70"/>
      <x:c r="E278" s="70"/>
      <x:c r="F278" s="70"/>
      <x:c r="G278" s="70"/>
      <x:c r="H278" s="70"/>
      <x:c r="I278" s="70"/>
      <x:c r="J278" s="70"/>
      <x:c r="K278" s="190"/>
      <x:c r="L278" s="191"/>
      <x:c r="M278" s="192">
        <x:f>IF(ISERROR(INDEX('Meter Type Data'!$B$2:$E$1165,SUMPRODUCT(--('Meter Type Data'!$B$2:$B$1165&lt;=Analysis!L278)*('Meter Type Data'!$C$2:$C$1165&gt;=Analysis!L278),ROW('Meter Type Data'!$B$2:$B$1165))-1,4))," ",INDEX('Meter Type Data'!$B$2:$E$1165,SUMPRODUCT(--('Meter Type Data'!$B$2:$B$1165&lt;=Analysis!L278)*('Meter Type Data'!$C$2:$C$1165&gt;=Analysis!L278),ROW('Meter Type Data'!$B$2:$B$1165))-1,4))</x:f>
      </x:c>
      <x:c r="N278" s="192">
        <x:f>IF(ISERROR(INDEX('Meter Type Data'!$B$2:$D$1165,SUMPRODUCT(--('Meter Type Data'!$B$2:$B$1165&lt;=Analysis!L278)*('Meter Type Data'!$C$2:$C$1165&gt;=Analysis!L278),ROW('Meter Type Data'!$B$2:$B$1165))-1,3))," ",INDEX('Meter Type Data'!$B$2:$D$1165,SUMPRODUCT(--('Meter Type Data'!$B$2:$B$1165&lt;=Analysis!L278)*('Meter Type Data'!$C$2:$C$1165&gt;=Analysis!L278),ROW('Meter Type Data'!$B$2:$B$1165))-1,3))</x:f>
      </x:c>
      <x:c r="O278" s="69"/>
      <x:c r="P278" s="47"/>
      <x:c r="Q278" s="60"/>
      <x:c r="R278" s="58">
        <x:f>(($O278*P278)/100)+(Q278*12)</x:f>
      </x:c>
      <x:c r="S278" s="59"/>
      <x:c r="T278" s="59"/>
      <x:c r="U278" s="58">
        <x:f>(($O278*S278)/100)+(T278*12)</x:f>
      </x:c>
      <x:c r="V278" s="47"/>
      <x:c r="W278" s="60"/>
      <x:c r="X278" s="58">
        <x:f>(($O278*V278)/100)+(W278*12)</x:f>
      </x:c>
      <x:c r="Y278" s="47"/>
      <x:c r="Z278" s="60"/>
      <x:c r="AA278" s="58">
        <x:f>(($O278*Y278)/100)+(Z278*12)</x:f>
      </x:c>
      <x:c r="AB278" s="47"/>
      <x:c r="AC278" s="60"/>
      <x:c r="AD278" s="58">
        <x:f>(($O278*AB278)/100)+(AC278*12)</x:f>
      </x:c>
      <x:c r="AE278" s="47"/>
      <x:c r="AF278" s="60"/>
      <x:c r="AG278" s="58">
        <x:f>(($O278*AE278)/100)+(AF278*12)</x:f>
      </x:c>
      <x:c r="AH278" s="47"/>
      <x:c r="AI278" s="60"/>
      <x:c r="AJ278" s="58">
        <x:f>(($O278*AH278)/100)+(AI278*12)</x:f>
      </x:c>
      <x:c r="AK278" s="47"/>
      <x:c r="AL278" s="60"/>
      <x:c r="AM278" s="58">
        <x:f>(($O278*AK278)/100)+(AL278*12)</x:f>
      </x:c>
      <x:c r="AN278" s="47"/>
      <x:c r="AO278" s="60"/>
      <x:c r="AP278" s="58">
        <x:f>(($O278*AN278)/100)+(AO278*12)</x:f>
      </x:c>
      <x:c r="AQ278" s="47"/>
      <x:c r="AR278" s="60"/>
      <x:c r="AS278" s="58">
        <x:f>(($O278*AQ278)/100)+(AR278*12)</x:f>
      </x:c>
      <x:c r="AT278" s="47"/>
      <x:c r="AU278" s="60"/>
      <x:c r="AV278" s="58">
        <x:f>(($O278*AT278)/100)+(AU278*12)</x:f>
      </x:c>
      <x:c r="AW278" s="47"/>
      <x:c r="AX278" s="60"/>
      <x:c r="AY278" s="58">
        <x:f>(($O278*AW278)/100)+(AX278*12)</x:f>
      </x:c>
      <x:c r="AZ278" s="47"/>
      <x:c r="BA278" s="60"/>
      <x:c r="BB278" s="58">
        <x:f>(($O278*AZ278)/100)+(BA278*12)</x:f>
      </x:c>
      <x:c r="BC278" s="47"/>
      <x:c r="BD278" s="60"/>
      <x:c r="BE278" s="58">
        <x:f>(($O278*BC278)/100)+(BD278*12)</x:f>
      </x:c>
      <x:c r="BF278" s="47"/>
      <x:c r="BG278" s="60"/>
      <x:c r="BH278" s="58">
        <x:f>(($O278*BF278)/100)+(BG278*12)</x:f>
      </x:c>
      <x:c r="BI278" s="47"/>
      <x:c r="BJ278" s="60"/>
      <x:c r="BK278" s="58">
        <x:f>(($O278*BI278)/100)+(BJ278*12)</x:f>
      </x:c>
      <x:c r="BL278" s="47"/>
      <x:c r="BM278" s="60"/>
      <x:c r="BN278" s="58">
        <x:f>(($O278*BL278)/100)+(BM278*12)</x:f>
      </x:c>
      <x:c r="BO278" s="47"/>
      <x:c r="BP278" s="60"/>
      <x:c r="BQ278" s="58">
        <x:f>(($O278*BO278)/100)+(BP278*12)</x:f>
      </x:c>
      <x:c r="BR278" s="47"/>
      <x:c r="BS278" s="60"/>
      <x:c r="BT278" s="58">
        <x:f>(($O278*BR278)/100)+(BS278*12)</x:f>
      </x:c>
      <x:c r="BU278" s="47"/>
      <x:c r="BV278" s="60"/>
      <x:c r="BW278" s="58">
        <x:f>(($O278*BU278)/100)+(BV278*12)</x:f>
      </x:c>
      <x:c r="BX278" s="47"/>
      <x:c r="BY278" s="60"/>
      <x:c r="BZ278" s="58">
        <x:f>(($O278*BX278)/100)+(BY278*12)</x:f>
      </x:c>
      <x:c r="CA278" s="47"/>
      <x:c r="CB278" s="60"/>
      <x:c r="CC278" s="58">
        <x:f>(($O278*CA278)/100)+(CB278*12)</x:f>
      </x:c>
      <x:c r="CD278" s="47"/>
      <x:c r="CE278" s="60"/>
      <x:c r="CF278" s="58">
        <x:f>(($O278*CD278)/100)+(CE278*12)</x:f>
      </x:c>
      <x:c r="CG278" s="47"/>
      <x:c r="CH278" s="60"/>
      <x:c r="CI278" s="58">
        <x:f>(($O278*CG278)/100)+(CH278*12)</x:f>
      </x:c>
      <x:c r="CJ278" s="47"/>
      <x:c r="CK278" s="60"/>
      <x:c r="CL278" s="58">
        <x:f>(($O278*CJ278)/100)+(CK278*12)</x:f>
      </x:c>
      <x:c r="CM278" s="47"/>
      <x:c r="CN278" s="60"/>
      <x:c r="CO278" s="58">
        <x:f>(($O278*CM278)/100)+(CN278*12)</x:f>
      </x:c>
      <x:c r="CP278" s="47"/>
      <x:c r="CQ278" s="60"/>
      <x:c r="CR278" s="58">
        <x:f>(($O278*CP278)/100)+(CQ278*12)</x:f>
      </x:c>
      <x:c r="CS278" s="47"/>
      <x:c r="CT278" s="60"/>
      <x:c r="CU278" s="58">
        <x:f>(($O278*CS278)/100)+(CT278*12)</x:f>
      </x:c>
      <x:c r="CV278" s="47"/>
      <x:c r="CW278" s="60"/>
      <x:c r="CX278" s="58"/>
      <x:c r="CY278" s="47"/>
      <x:c r="CZ278" s="60"/>
      <x:c r="DA278" s="58"/>
      <x:c r="DB278" s="47"/>
      <x:c r="DC278" s="60"/>
      <x:c r="DD278" s="58"/>
      <x:c r="DE278" s="47"/>
      <x:c r="DF278" s="60"/>
      <x:c r="DG278" s="58"/>
      <x:c r="DH278" s="47"/>
      <x:c r="DI278" s="60"/>
      <x:c r="DJ278" s="58"/>
      <x:c r="DK278" s="47"/>
      <x:c r="DL278" s="60"/>
      <x:c r="DM278" s="58"/>
      <x:c r="DN278" s="11"/>
      <x:c r="DO278" s="61"/>
      <x:c r="DP278" s="62"/>
      <x:c r="DQ278" s="11"/>
      <x:c r="DR278" s="61"/>
      <x:c r="DS278" s="62"/>
      <x:c r="DT278" s="11"/>
      <x:c r="DU278" s="61"/>
      <x:c r="DV278" s="62"/>
    </x:row>
    <x:row r="279" spans="1:126" x14ac:dyDescent="0.3">
      <x:c r="A279" s="47"/>
      <x:c r="B279" s="70"/>
      <x:c r="C279" s="70"/>
      <x:c r="D279" s="70"/>
      <x:c r="E279" s="70"/>
      <x:c r="F279" s="70"/>
      <x:c r="G279" s="70"/>
      <x:c r="H279" s="70"/>
      <x:c r="I279" s="70"/>
      <x:c r="J279" s="70"/>
      <x:c r="K279" s="190"/>
      <x:c r="L279" s="191"/>
      <x:c r="M279" s="192">
        <x:f>IF(ISERROR(INDEX('Meter Type Data'!$B$2:$E$1165,SUMPRODUCT(--('Meter Type Data'!$B$2:$B$1165&lt;=Analysis!L279)*('Meter Type Data'!$C$2:$C$1165&gt;=Analysis!L279),ROW('Meter Type Data'!$B$2:$B$1165))-1,4))," ",INDEX('Meter Type Data'!$B$2:$E$1165,SUMPRODUCT(--('Meter Type Data'!$B$2:$B$1165&lt;=Analysis!L279)*('Meter Type Data'!$C$2:$C$1165&gt;=Analysis!L279),ROW('Meter Type Data'!$B$2:$B$1165))-1,4))</x:f>
      </x:c>
      <x:c r="N279" s="192">
        <x:f>IF(ISERROR(INDEX('Meter Type Data'!$B$2:$D$1165,SUMPRODUCT(--('Meter Type Data'!$B$2:$B$1165&lt;=Analysis!L279)*('Meter Type Data'!$C$2:$C$1165&gt;=Analysis!L279),ROW('Meter Type Data'!$B$2:$B$1165))-1,3))," ",INDEX('Meter Type Data'!$B$2:$D$1165,SUMPRODUCT(--('Meter Type Data'!$B$2:$B$1165&lt;=Analysis!L279)*('Meter Type Data'!$C$2:$C$1165&gt;=Analysis!L279),ROW('Meter Type Data'!$B$2:$B$1165))-1,3))</x:f>
      </x:c>
      <x:c r="O279" s="69"/>
      <x:c r="P279" s="47"/>
      <x:c r="Q279" s="60"/>
      <x:c r="R279" s="58">
        <x:f>(($O279*P279)/100)+(Q279*12)</x:f>
      </x:c>
      <x:c r="S279" s="59"/>
      <x:c r="T279" s="59"/>
      <x:c r="U279" s="58">
        <x:f>(($O279*S279)/100)+(T279*12)</x:f>
      </x:c>
      <x:c r="V279" s="47"/>
      <x:c r="W279" s="60"/>
      <x:c r="X279" s="58">
        <x:f>(($O279*V279)/100)+(W279*12)</x:f>
      </x:c>
      <x:c r="Y279" s="47"/>
      <x:c r="Z279" s="60"/>
      <x:c r="AA279" s="58">
        <x:f>(($O279*Y279)/100)+(Z279*12)</x:f>
      </x:c>
      <x:c r="AB279" s="47"/>
      <x:c r="AC279" s="60"/>
      <x:c r="AD279" s="58">
        <x:f>(($O279*AB279)/100)+(AC279*12)</x:f>
      </x:c>
      <x:c r="AE279" s="47"/>
      <x:c r="AF279" s="60"/>
      <x:c r="AG279" s="58">
        <x:f>(($O279*AE279)/100)+(AF279*12)</x:f>
      </x:c>
      <x:c r="AH279" s="47"/>
      <x:c r="AI279" s="60"/>
      <x:c r="AJ279" s="58">
        <x:f>(($O279*AH279)/100)+(AI279*12)</x:f>
      </x:c>
      <x:c r="AK279" s="47"/>
      <x:c r="AL279" s="60"/>
      <x:c r="AM279" s="58">
        <x:f>(($O279*AK279)/100)+(AL279*12)</x:f>
      </x:c>
      <x:c r="AN279" s="47"/>
      <x:c r="AO279" s="60"/>
      <x:c r="AP279" s="58">
        <x:f>(($O279*AN279)/100)+(AO279*12)</x:f>
      </x:c>
      <x:c r="AQ279" s="47"/>
      <x:c r="AR279" s="60"/>
      <x:c r="AS279" s="58">
        <x:f>(($O279*AQ279)/100)+(AR279*12)</x:f>
      </x:c>
      <x:c r="AT279" s="47"/>
      <x:c r="AU279" s="60"/>
      <x:c r="AV279" s="58">
        <x:f>(($O279*AT279)/100)+(AU279*12)</x:f>
      </x:c>
      <x:c r="AW279" s="47"/>
      <x:c r="AX279" s="60"/>
      <x:c r="AY279" s="58">
        <x:f>(($O279*AW279)/100)+(AX279*12)</x:f>
      </x:c>
      <x:c r="AZ279" s="47"/>
      <x:c r="BA279" s="60"/>
      <x:c r="BB279" s="58">
        <x:f>(($O279*AZ279)/100)+(BA279*12)</x:f>
      </x:c>
      <x:c r="BC279" s="47"/>
      <x:c r="BD279" s="60"/>
      <x:c r="BE279" s="58">
        <x:f>(($O279*BC279)/100)+(BD279*12)</x:f>
      </x:c>
      <x:c r="BF279" s="47"/>
      <x:c r="BG279" s="60"/>
      <x:c r="BH279" s="58">
        <x:f>(($O279*BF279)/100)+(BG279*12)</x:f>
      </x:c>
      <x:c r="BI279" s="47"/>
      <x:c r="BJ279" s="60"/>
      <x:c r="BK279" s="58">
        <x:f>(($O279*BI279)/100)+(BJ279*12)</x:f>
      </x:c>
      <x:c r="BL279" s="47"/>
      <x:c r="BM279" s="60"/>
      <x:c r="BN279" s="58">
        <x:f>(($O279*BL279)/100)+(BM279*12)</x:f>
      </x:c>
      <x:c r="BO279" s="47"/>
      <x:c r="BP279" s="60"/>
      <x:c r="BQ279" s="58">
        <x:f>(($O279*BO279)/100)+(BP279*12)</x:f>
      </x:c>
      <x:c r="BR279" s="47"/>
      <x:c r="BS279" s="60"/>
      <x:c r="BT279" s="58">
        <x:f>(($O279*BR279)/100)+(BS279*12)</x:f>
      </x:c>
      <x:c r="BU279" s="47"/>
      <x:c r="BV279" s="60"/>
      <x:c r="BW279" s="58">
        <x:f>(($O279*BU279)/100)+(BV279*12)</x:f>
      </x:c>
      <x:c r="BX279" s="47"/>
      <x:c r="BY279" s="60"/>
      <x:c r="BZ279" s="58">
        <x:f>(($O279*BX279)/100)+(BY279*12)</x:f>
      </x:c>
      <x:c r="CA279" s="47"/>
      <x:c r="CB279" s="60"/>
      <x:c r="CC279" s="58">
        <x:f>(($O279*CA279)/100)+(CB279*12)</x:f>
      </x:c>
      <x:c r="CD279" s="47"/>
      <x:c r="CE279" s="60"/>
      <x:c r="CF279" s="58">
        <x:f>(($O279*CD279)/100)+(CE279*12)</x:f>
      </x:c>
      <x:c r="CG279" s="47"/>
      <x:c r="CH279" s="60"/>
      <x:c r="CI279" s="58">
        <x:f>(($O279*CG279)/100)+(CH279*12)</x:f>
      </x:c>
      <x:c r="CJ279" s="47"/>
      <x:c r="CK279" s="60"/>
      <x:c r="CL279" s="58">
        <x:f>(($O279*CJ279)/100)+(CK279*12)</x:f>
      </x:c>
      <x:c r="CM279" s="47"/>
      <x:c r="CN279" s="60"/>
      <x:c r="CO279" s="58">
        <x:f>(($O279*CM279)/100)+(CN279*12)</x:f>
      </x:c>
      <x:c r="CP279" s="47"/>
      <x:c r="CQ279" s="60"/>
      <x:c r="CR279" s="58">
        <x:f>(($O279*CP279)/100)+(CQ279*12)</x:f>
      </x:c>
      <x:c r="CS279" s="47"/>
      <x:c r="CT279" s="60"/>
      <x:c r="CU279" s="58">
        <x:f>(($O279*CS279)/100)+(CT279*12)</x:f>
      </x:c>
      <x:c r="CV279" s="47"/>
      <x:c r="CW279" s="60"/>
      <x:c r="CX279" s="58"/>
      <x:c r="CY279" s="47"/>
      <x:c r="CZ279" s="60"/>
      <x:c r="DA279" s="58"/>
      <x:c r="DB279" s="47"/>
      <x:c r="DC279" s="60"/>
      <x:c r="DD279" s="58"/>
      <x:c r="DE279" s="47"/>
      <x:c r="DF279" s="60"/>
      <x:c r="DG279" s="58"/>
      <x:c r="DH279" s="47"/>
      <x:c r="DI279" s="60"/>
      <x:c r="DJ279" s="58"/>
      <x:c r="DK279" s="47"/>
      <x:c r="DL279" s="60"/>
      <x:c r="DM279" s="58"/>
      <x:c r="DN279" s="11"/>
      <x:c r="DO279" s="61"/>
      <x:c r="DP279" s="62"/>
      <x:c r="DQ279" s="11"/>
      <x:c r="DR279" s="61"/>
      <x:c r="DS279" s="62"/>
      <x:c r="DT279" s="11"/>
      <x:c r="DU279" s="61"/>
      <x:c r="DV279" s="62"/>
    </x:row>
    <x:row r="280" spans="1:126" x14ac:dyDescent="0.3">
      <x:c r="A280" s="47"/>
      <x:c r="B280" s="70"/>
      <x:c r="C280" s="70"/>
      <x:c r="D280" s="70"/>
      <x:c r="E280" s="70"/>
      <x:c r="F280" s="70"/>
      <x:c r="G280" s="70"/>
      <x:c r="H280" s="70"/>
      <x:c r="I280" s="70"/>
      <x:c r="J280" s="70"/>
      <x:c r="K280" s="190"/>
      <x:c r="L280" s="191"/>
      <x:c r="M280" s="192">
        <x:f>IF(ISERROR(INDEX('Meter Type Data'!$B$2:$E$1165,SUMPRODUCT(--('Meter Type Data'!$B$2:$B$1165&lt;=Analysis!L280)*('Meter Type Data'!$C$2:$C$1165&gt;=Analysis!L280),ROW('Meter Type Data'!$B$2:$B$1165))-1,4))," ",INDEX('Meter Type Data'!$B$2:$E$1165,SUMPRODUCT(--('Meter Type Data'!$B$2:$B$1165&lt;=Analysis!L280)*('Meter Type Data'!$C$2:$C$1165&gt;=Analysis!L280),ROW('Meter Type Data'!$B$2:$B$1165))-1,4))</x:f>
      </x:c>
      <x:c r="N280" s="192">
        <x:f>IF(ISERROR(INDEX('Meter Type Data'!$B$2:$D$1165,SUMPRODUCT(--('Meter Type Data'!$B$2:$B$1165&lt;=Analysis!L280)*('Meter Type Data'!$C$2:$C$1165&gt;=Analysis!L280),ROW('Meter Type Data'!$B$2:$B$1165))-1,3))," ",INDEX('Meter Type Data'!$B$2:$D$1165,SUMPRODUCT(--('Meter Type Data'!$B$2:$B$1165&lt;=Analysis!L280)*('Meter Type Data'!$C$2:$C$1165&gt;=Analysis!L280),ROW('Meter Type Data'!$B$2:$B$1165))-1,3))</x:f>
      </x:c>
      <x:c r="O280" s="69"/>
      <x:c r="P280" s="47"/>
      <x:c r="Q280" s="60"/>
      <x:c r="R280" s="58">
        <x:f>(($O280*P280)/100)+(Q280*12)</x:f>
      </x:c>
      <x:c r="S280" s="59"/>
      <x:c r="T280" s="59"/>
      <x:c r="U280" s="58">
        <x:f>(($O280*S280)/100)+(T280*12)</x:f>
      </x:c>
      <x:c r="V280" s="47"/>
      <x:c r="W280" s="60"/>
      <x:c r="X280" s="58">
        <x:f>(($O280*V280)/100)+(W280*12)</x:f>
      </x:c>
      <x:c r="Y280" s="47"/>
      <x:c r="Z280" s="60"/>
      <x:c r="AA280" s="58">
        <x:f>(($O280*Y280)/100)+(Z280*12)</x:f>
      </x:c>
      <x:c r="AB280" s="47"/>
      <x:c r="AC280" s="60"/>
      <x:c r="AD280" s="58">
        <x:f>(($O280*AB280)/100)+(AC280*12)</x:f>
      </x:c>
      <x:c r="AE280" s="47"/>
      <x:c r="AF280" s="60"/>
      <x:c r="AG280" s="58">
        <x:f>(($O280*AE280)/100)+(AF280*12)</x:f>
      </x:c>
      <x:c r="AH280" s="47"/>
      <x:c r="AI280" s="60"/>
      <x:c r="AJ280" s="58">
        <x:f>(($O280*AH280)/100)+(AI280*12)</x:f>
      </x:c>
      <x:c r="AK280" s="47"/>
      <x:c r="AL280" s="60"/>
      <x:c r="AM280" s="58">
        <x:f>(($O280*AK280)/100)+(AL280*12)</x:f>
      </x:c>
      <x:c r="AN280" s="47"/>
      <x:c r="AO280" s="60"/>
      <x:c r="AP280" s="58">
        <x:f>(($O280*AN280)/100)+(AO280*12)</x:f>
      </x:c>
      <x:c r="AQ280" s="47"/>
      <x:c r="AR280" s="60"/>
      <x:c r="AS280" s="58">
        <x:f>(($O280*AQ280)/100)+(AR280*12)</x:f>
      </x:c>
      <x:c r="AT280" s="47"/>
      <x:c r="AU280" s="60"/>
      <x:c r="AV280" s="58">
        <x:f>(($O280*AT280)/100)+(AU280*12)</x:f>
      </x:c>
      <x:c r="AW280" s="47"/>
      <x:c r="AX280" s="60"/>
      <x:c r="AY280" s="58">
        <x:f>(($O280*AW280)/100)+(AX280*12)</x:f>
      </x:c>
      <x:c r="AZ280" s="47"/>
      <x:c r="BA280" s="60"/>
      <x:c r="BB280" s="58">
        <x:f>(($O280*AZ280)/100)+(BA280*12)</x:f>
      </x:c>
      <x:c r="BC280" s="47"/>
      <x:c r="BD280" s="60"/>
      <x:c r="BE280" s="58">
        <x:f>(($O280*BC280)/100)+(BD280*12)</x:f>
      </x:c>
      <x:c r="BF280" s="47"/>
      <x:c r="BG280" s="60"/>
      <x:c r="BH280" s="58">
        <x:f>(($O280*BF280)/100)+(BG280*12)</x:f>
      </x:c>
      <x:c r="BI280" s="47"/>
      <x:c r="BJ280" s="60"/>
      <x:c r="BK280" s="58">
        <x:f>(($O280*BI280)/100)+(BJ280*12)</x:f>
      </x:c>
      <x:c r="BL280" s="47"/>
      <x:c r="BM280" s="60"/>
      <x:c r="BN280" s="58">
        <x:f>(($O280*BL280)/100)+(BM280*12)</x:f>
      </x:c>
      <x:c r="BO280" s="47"/>
      <x:c r="BP280" s="60"/>
      <x:c r="BQ280" s="58">
        <x:f>(($O280*BO280)/100)+(BP280*12)</x:f>
      </x:c>
      <x:c r="BR280" s="47"/>
      <x:c r="BS280" s="60"/>
      <x:c r="BT280" s="58">
        <x:f>(($O280*BR280)/100)+(BS280*12)</x:f>
      </x:c>
      <x:c r="BU280" s="47"/>
      <x:c r="BV280" s="60"/>
      <x:c r="BW280" s="58">
        <x:f>(($O280*BU280)/100)+(BV280*12)</x:f>
      </x:c>
      <x:c r="BX280" s="47"/>
      <x:c r="BY280" s="60"/>
      <x:c r="BZ280" s="58">
        <x:f>(($O280*BX280)/100)+(BY280*12)</x:f>
      </x:c>
      <x:c r="CA280" s="47"/>
      <x:c r="CB280" s="60"/>
      <x:c r="CC280" s="58">
        <x:f>(($O280*CA280)/100)+(CB280*12)</x:f>
      </x:c>
      <x:c r="CD280" s="47"/>
      <x:c r="CE280" s="60"/>
      <x:c r="CF280" s="58">
        <x:f>(($O280*CD280)/100)+(CE280*12)</x:f>
      </x:c>
      <x:c r="CG280" s="47"/>
      <x:c r="CH280" s="60"/>
      <x:c r="CI280" s="58">
        <x:f>(($O280*CG280)/100)+(CH280*12)</x:f>
      </x:c>
      <x:c r="CJ280" s="47"/>
      <x:c r="CK280" s="60"/>
      <x:c r="CL280" s="58">
        <x:f>(($O280*CJ280)/100)+(CK280*12)</x:f>
      </x:c>
      <x:c r="CM280" s="47"/>
      <x:c r="CN280" s="60"/>
      <x:c r="CO280" s="58">
        <x:f>(($O280*CM280)/100)+(CN280*12)</x:f>
      </x:c>
      <x:c r="CP280" s="47"/>
      <x:c r="CQ280" s="60"/>
      <x:c r="CR280" s="58">
        <x:f>(($O280*CP280)/100)+(CQ280*12)</x:f>
      </x:c>
      <x:c r="CS280" s="47"/>
      <x:c r="CT280" s="60"/>
      <x:c r="CU280" s="58">
        <x:f>(($O280*CS280)/100)+(CT280*12)</x:f>
      </x:c>
      <x:c r="CV280" s="47"/>
      <x:c r="CW280" s="60"/>
      <x:c r="CX280" s="58"/>
      <x:c r="CY280" s="47"/>
      <x:c r="CZ280" s="60"/>
      <x:c r="DA280" s="58"/>
      <x:c r="DB280" s="47"/>
      <x:c r="DC280" s="60"/>
      <x:c r="DD280" s="58"/>
      <x:c r="DE280" s="47"/>
      <x:c r="DF280" s="60"/>
      <x:c r="DG280" s="58"/>
      <x:c r="DH280" s="47"/>
      <x:c r="DI280" s="60"/>
      <x:c r="DJ280" s="58"/>
      <x:c r="DK280" s="47"/>
      <x:c r="DL280" s="60"/>
      <x:c r="DM280" s="58"/>
      <x:c r="DN280" s="11"/>
      <x:c r="DO280" s="61"/>
      <x:c r="DP280" s="62"/>
      <x:c r="DQ280" s="11"/>
      <x:c r="DR280" s="61"/>
      <x:c r="DS280" s="62"/>
      <x:c r="DT280" s="11"/>
      <x:c r="DU280" s="61"/>
      <x:c r="DV280" s="62"/>
    </x:row>
    <x:row r="281" spans="1:126" x14ac:dyDescent="0.3">
      <x:c r="A281" s="47"/>
      <x:c r="B281" s="70"/>
      <x:c r="C281" s="70"/>
      <x:c r="D281" s="70"/>
      <x:c r="E281" s="70"/>
      <x:c r="F281" s="70"/>
      <x:c r="G281" s="70"/>
      <x:c r="H281" s="70"/>
      <x:c r="I281" s="70"/>
      <x:c r="J281" s="70"/>
      <x:c r="K281" s="190"/>
      <x:c r="L281" s="191"/>
      <x:c r="M281" s="192">
        <x:f>IF(ISERROR(INDEX('Meter Type Data'!$B$2:$E$1165,SUMPRODUCT(--('Meter Type Data'!$B$2:$B$1165&lt;=Analysis!L281)*('Meter Type Data'!$C$2:$C$1165&gt;=Analysis!L281),ROW('Meter Type Data'!$B$2:$B$1165))-1,4))," ",INDEX('Meter Type Data'!$B$2:$E$1165,SUMPRODUCT(--('Meter Type Data'!$B$2:$B$1165&lt;=Analysis!L281)*('Meter Type Data'!$C$2:$C$1165&gt;=Analysis!L281),ROW('Meter Type Data'!$B$2:$B$1165))-1,4))</x:f>
      </x:c>
      <x:c r="N281" s="192">
        <x:f>IF(ISERROR(INDEX('Meter Type Data'!$B$2:$D$1165,SUMPRODUCT(--('Meter Type Data'!$B$2:$B$1165&lt;=Analysis!L281)*('Meter Type Data'!$C$2:$C$1165&gt;=Analysis!L281),ROW('Meter Type Data'!$B$2:$B$1165))-1,3))," ",INDEX('Meter Type Data'!$B$2:$D$1165,SUMPRODUCT(--('Meter Type Data'!$B$2:$B$1165&lt;=Analysis!L281)*('Meter Type Data'!$C$2:$C$1165&gt;=Analysis!L281),ROW('Meter Type Data'!$B$2:$B$1165))-1,3))</x:f>
      </x:c>
      <x:c r="O281" s="69"/>
      <x:c r="P281" s="47"/>
      <x:c r="Q281" s="60"/>
      <x:c r="R281" s="58">
        <x:f>(($O281*P281)/100)+(Q281*12)</x:f>
      </x:c>
      <x:c r="S281" s="59"/>
      <x:c r="T281" s="59"/>
      <x:c r="U281" s="58">
        <x:f>(($O281*S281)/100)+(T281*12)</x:f>
      </x:c>
      <x:c r="V281" s="47"/>
      <x:c r="W281" s="60"/>
      <x:c r="X281" s="58">
        <x:f>(($O281*V281)/100)+(W281*12)</x:f>
      </x:c>
      <x:c r="Y281" s="47"/>
      <x:c r="Z281" s="60"/>
      <x:c r="AA281" s="58">
        <x:f>(($O281*Y281)/100)+(Z281*12)</x:f>
      </x:c>
      <x:c r="AB281" s="47"/>
      <x:c r="AC281" s="60"/>
      <x:c r="AD281" s="58">
        <x:f>(($O281*AB281)/100)+(AC281*12)</x:f>
      </x:c>
      <x:c r="AE281" s="47"/>
      <x:c r="AF281" s="60"/>
      <x:c r="AG281" s="58">
        <x:f>(($O281*AE281)/100)+(AF281*12)</x:f>
      </x:c>
      <x:c r="AH281" s="47"/>
      <x:c r="AI281" s="60"/>
      <x:c r="AJ281" s="58">
        <x:f>(($O281*AH281)/100)+(AI281*12)</x:f>
      </x:c>
      <x:c r="AK281" s="47"/>
      <x:c r="AL281" s="60"/>
      <x:c r="AM281" s="58">
        <x:f>(($O281*AK281)/100)+(AL281*12)</x:f>
      </x:c>
      <x:c r="AN281" s="47"/>
      <x:c r="AO281" s="60"/>
      <x:c r="AP281" s="58">
        <x:f>(($O281*AN281)/100)+(AO281*12)</x:f>
      </x:c>
      <x:c r="AQ281" s="47"/>
      <x:c r="AR281" s="60"/>
      <x:c r="AS281" s="58">
        <x:f>(($O281*AQ281)/100)+(AR281*12)</x:f>
      </x:c>
      <x:c r="AT281" s="47"/>
      <x:c r="AU281" s="60"/>
      <x:c r="AV281" s="58">
        <x:f>(($O281*AT281)/100)+(AU281*12)</x:f>
      </x:c>
      <x:c r="AW281" s="47"/>
      <x:c r="AX281" s="60"/>
      <x:c r="AY281" s="58">
        <x:f>(($O281*AW281)/100)+(AX281*12)</x:f>
      </x:c>
      <x:c r="AZ281" s="47"/>
      <x:c r="BA281" s="60"/>
      <x:c r="BB281" s="58">
        <x:f>(($O281*AZ281)/100)+(BA281*12)</x:f>
      </x:c>
      <x:c r="BC281" s="47"/>
      <x:c r="BD281" s="60"/>
      <x:c r="BE281" s="58">
        <x:f>(($O281*BC281)/100)+(BD281*12)</x:f>
      </x:c>
      <x:c r="BF281" s="47"/>
      <x:c r="BG281" s="60"/>
      <x:c r="BH281" s="58">
        <x:f>(($O281*BF281)/100)+(BG281*12)</x:f>
      </x:c>
      <x:c r="BI281" s="47"/>
      <x:c r="BJ281" s="60"/>
      <x:c r="BK281" s="58">
        <x:f>(($O281*BI281)/100)+(BJ281*12)</x:f>
      </x:c>
      <x:c r="BL281" s="47"/>
      <x:c r="BM281" s="60"/>
      <x:c r="BN281" s="58">
        <x:f>(($O281*BL281)/100)+(BM281*12)</x:f>
      </x:c>
      <x:c r="BO281" s="47"/>
      <x:c r="BP281" s="60"/>
      <x:c r="BQ281" s="58">
        <x:f>(($O281*BO281)/100)+(BP281*12)</x:f>
      </x:c>
      <x:c r="BR281" s="47"/>
      <x:c r="BS281" s="60"/>
      <x:c r="BT281" s="58">
        <x:f>(($O281*BR281)/100)+(BS281*12)</x:f>
      </x:c>
      <x:c r="BU281" s="47"/>
      <x:c r="BV281" s="60"/>
      <x:c r="BW281" s="58">
        <x:f>(($O281*BU281)/100)+(BV281*12)</x:f>
      </x:c>
      <x:c r="BX281" s="47"/>
      <x:c r="BY281" s="60"/>
      <x:c r="BZ281" s="58">
        <x:f>(($O281*BX281)/100)+(BY281*12)</x:f>
      </x:c>
      <x:c r="CA281" s="47"/>
      <x:c r="CB281" s="60"/>
      <x:c r="CC281" s="58">
        <x:f>(($O281*CA281)/100)+(CB281*12)</x:f>
      </x:c>
      <x:c r="CD281" s="47"/>
      <x:c r="CE281" s="60"/>
      <x:c r="CF281" s="58">
        <x:f>(($O281*CD281)/100)+(CE281*12)</x:f>
      </x:c>
      <x:c r="CG281" s="47"/>
      <x:c r="CH281" s="60"/>
      <x:c r="CI281" s="58">
        <x:f>(($O281*CG281)/100)+(CH281*12)</x:f>
      </x:c>
      <x:c r="CJ281" s="47"/>
      <x:c r="CK281" s="60"/>
      <x:c r="CL281" s="58">
        <x:f>(($O281*CJ281)/100)+(CK281*12)</x:f>
      </x:c>
      <x:c r="CM281" s="47"/>
      <x:c r="CN281" s="60"/>
      <x:c r="CO281" s="58">
        <x:f>(($O281*CM281)/100)+(CN281*12)</x:f>
      </x:c>
      <x:c r="CP281" s="47"/>
      <x:c r="CQ281" s="60"/>
      <x:c r="CR281" s="58">
        <x:f>(($O281*CP281)/100)+(CQ281*12)</x:f>
      </x:c>
      <x:c r="CS281" s="47"/>
      <x:c r="CT281" s="60"/>
      <x:c r="CU281" s="58">
        <x:f>(($O281*CS281)/100)+(CT281*12)</x:f>
      </x:c>
      <x:c r="CV281" s="47"/>
      <x:c r="CW281" s="60"/>
      <x:c r="CX281" s="58"/>
      <x:c r="CY281" s="47"/>
      <x:c r="CZ281" s="60"/>
      <x:c r="DA281" s="58"/>
      <x:c r="DB281" s="47"/>
      <x:c r="DC281" s="60"/>
      <x:c r="DD281" s="58"/>
      <x:c r="DE281" s="47"/>
      <x:c r="DF281" s="60"/>
      <x:c r="DG281" s="58"/>
      <x:c r="DH281" s="47"/>
      <x:c r="DI281" s="60"/>
      <x:c r="DJ281" s="58"/>
      <x:c r="DK281" s="47"/>
      <x:c r="DL281" s="60"/>
      <x:c r="DM281" s="58"/>
      <x:c r="DN281" s="11"/>
      <x:c r="DO281" s="61"/>
      <x:c r="DP281" s="62"/>
      <x:c r="DQ281" s="11"/>
      <x:c r="DR281" s="61"/>
      <x:c r="DS281" s="62"/>
      <x:c r="DT281" s="11"/>
      <x:c r="DU281" s="61"/>
      <x:c r="DV281" s="62"/>
    </x:row>
    <x:row r="282" spans="1:126" x14ac:dyDescent="0.3">
      <x:c r="A282" s="47"/>
      <x:c r="B282" s="70"/>
      <x:c r="C282" s="70"/>
      <x:c r="D282" s="70"/>
      <x:c r="E282" s="70"/>
      <x:c r="F282" s="70"/>
      <x:c r="G282" s="70"/>
      <x:c r="H282" s="70"/>
      <x:c r="I282" s="70"/>
      <x:c r="J282" s="70"/>
      <x:c r="K282" s="190"/>
      <x:c r="L282" s="191"/>
      <x:c r="M282" s="192">
        <x:f>IF(ISERROR(INDEX('Meter Type Data'!$B$2:$E$1165,SUMPRODUCT(--('Meter Type Data'!$B$2:$B$1165&lt;=Analysis!L282)*('Meter Type Data'!$C$2:$C$1165&gt;=Analysis!L282),ROW('Meter Type Data'!$B$2:$B$1165))-1,4))," ",INDEX('Meter Type Data'!$B$2:$E$1165,SUMPRODUCT(--('Meter Type Data'!$B$2:$B$1165&lt;=Analysis!L282)*('Meter Type Data'!$C$2:$C$1165&gt;=Analysis!L282),ROW('Meter Type Data'!$B$2:$B$1165))-1,4))</x:f>
      </x:c>
      <x:c r="N282" s="192">
        <x:f>IF(ISERROR(INDEX('Meter Type Data'!$B$2:$D$1165,SUMPRODUCT(--('Meter Type Data'!$B$2:$B$1165&lt;=Analysis!L282)*('Meter Type Data'!$C$2:$C$1165&gt;=Analysis!L282),ROW('Meter Type Data'!$B$2:$B$1165))-1,3))," ",INDEX('Meter Type Data'!$B$2:$D$1165,SUMPRODUCT(--('Meter Type Data'!$B$2:$B$1165&lt;=Analysis!L282)*('Meter Type Data'!$C$2:$C$1165&gt;=Analysis!L282),ROW('Meter Type Data'!$B$2:$B$1165))-1,3))</x:f>
      </x:c>
      <x:c r="O282" s="69"/>
      <x:c r="P282" s="47"/>
      <x:c r="Q282" s="60"/>
      <x:c r="R282" s="58">
        <x:f>(($O282*P282)/100)+(Q282*12)</x:f>
      </x:c>
      <x:c r="S282" s="59"/>
      <x:c r="T282" s="59"/>
      <x:c r="U282" s="58">
        <x:f>(($O282*S282)/100)+(T282*12)</x:f>
      </x:c>
      <x:c r="V282" s="47"/>
      <x:c r="W282" s="60"/>
      <x:c r="X282" s="58">
        <x:f>(($O282*V282)/100)+(W282*12)</x:f>
      </x:c>
      <x:c r="Y282" s="47"/>
      <x:c r="Z282" s="60"/>
      <x:c r="AA282" s="58">
        <x:f>(($O282*Y282)/100)+(Z282*12)</x:f>
      </x:c>
      <x:c r="AB282" s="47"/>
      <x:c r="AC282" s="60"/>
      <x:c r="AD282" s="58">
        <x:f>(($O282*AB282)/100)+(AC282*12)</x:f>
      </x:c>
      <x:c r="AE282" s="47"/>
      <x:c r="AF282" s="60"/>
      <x:c r="AG282" s="58">
        <x:f>(($O282*AE282)/100)+(AF282*12)</x:f>
      </x:c>
      <x:c r="AH282" s="47"/>
      <x:c r="AI282" s="60"/>
      <x:c r="AJ282" s="58">
        <x:f>(($O282*AH282)/100)+(AI282*12)</x:f>
      </x:c>
      <x:c r="AK282" s="47"/>
      <x:c r="AL282" s="60"/>
      <x:c r="AM282" s="58">
        <x:f>(($O282*AK282)/100)+(AL282*12)</x:f>
      </x:c>
      <x:c r="AN282" s="47"/>
      <x:c r="AO282" s="60"/>
      <x:c r="AP282" s="58">
        <x:f>(($O282*AN282)/100)+(AO282*12)</x:f>
      </x:c>
      <x:c r="AQ282" s="47"/>
      <x:c r="AR282" s="60"/>
      <x:c r="AS282" s="58">
        <x:f>(($O282*AQ282)/100)+(AR282*12)</x:f>
      </x:c>
      <x:c r="AT282" s="47"/>
      <x:c r="AU282" s="60"/>
      <x:c r="AV282" s="58">
        <x:f>(($O282*AT282)/100)+(AU282*12)</x:f>
      </x:c>
      <x:c r="AW282" s="47"/>
      <x:c r="AX282" s="60"/>
      <x:c r="AY282" s="58">
        <x:f>(($O282*AW282)/100)+(AX282*12)</x:f>
      </x:c>
      <x:c r="AZ282" s="47"/>
      <x:c r="BA282" s="60"/>
      <x:c r="BB282" s="58">
        <x:f>(($O282*AZ282)/100)+(BA282*12)</x:f>
      </x:c>
      <x:c r="BC282" s="47"/>
      <x:c r="BD282" s="60"/>
      <x:c r="BE282" s="58">
        <x:f>(($O282*BC282)/100)+(BD282*12)</x:f>
      </x:c>
      <x:c r="BF282" s="47"/>
      <x:c r="BG282" s="60"/>
      <x:c r="BH282" s="58">
        <x:f>(($O282*BF282)/100)+(BG282*12)</x:f>
      </x:c>
      <x:c r="BI282" s="47"/>
      <x:c r="BJ282" s="60"/>
      <x:c r="BK282" s="58">
        <x:f>(($O282*BI282)/100)+(BJ282*12)</x:f>
      </x:c>
      <x:c r="BL282" s="47"/>
      <x:c r="BM282" s="60"/>
      <x:c r="BN282" s="58">
        <x:f>(($O282*BL282)/100)+(BM282*12)</x:f>
      </x:c>
      <x:c r="BO282" s="47"/>
      <x:c r="BP282" s="60"/>
      <x:c r="BQ282" s="58">
        <x:f>(($O282*BO282)/100)+(BP282*12)</x:f>
      </x:c>
      <x:c r="BR282" s="47"/>
      <x:c r="BS282" s="60"/>
      <x:c r="BT282" s="58">
        <x:f>(($O282*BR282)/100)+(BS282*12)</x:f>
      </x:c>
      <x:c r="BU282" s="47"/>
      <x:c r="BV282" s="60"/>
      <x:c r="BW282" s="58">
        <x:f>(($O282*BU282)/100)+(BV282*12)</x:f>
      </x:c>
      <x:c r="BX282" s="47"/>
      <x:c r="BY282" s="60"/>
      <x:c r="BZ282" s="58">
        <x:f>(($O282*BX282)/100)+(BY282*12)</x:f>
      </x:c>
      <x:c r="CA282" s="47"/>
      <x:c r="CB282" s="60"/>
      <x:c r="CC282" s="58">
        <x:f>(($O282*CA282)/100)+(CB282*12)</x:f>
      </x:c>
      <x:c r="CD282" s="47"/>
      <x:c r="CE282" s="60"/>
      <x:c r="CF282" s="58">
        <x:f>(($O282*CD282)/100)+(CE282*12)</x:f>
      </x:c>
      <x:c r="CG282" s="47"/>
      <x:c r="CH282" s="60"/>
      <x:c r="CI282" s="58">
        <x:f>(($O282*CG282)/100)+(CH282*12)</x:f>
      </x:c>
      <x:c r="CJ282" s="47"/>
      <x:c r="CK282" s="60"/>
      <x:c r="CL282" s="58">
        <x:f>(($O282*CJ282)/100)+(CK282*12)</x:f>
      </x:c>
      <x:c r="CM282" s="47"/>
      <x:c r="CN282" s="60"/>
      <x:c r="CO282" s="58">
        <x:f>(($O282*CM282)/100)+(CN282*12)</x:f>
      </x:c>
      <x:c r="CP282" s="47"/>
      <x:c r="CQ282" s="60"/>
      <x:c r="CR282" s="58">
        <x:f>(($O282*CP282)/100)+(CQ282*12)</x:f>
      </x:c>
      <x:c r="CS282" s="47"/>
      <x:c r="CT282" s="60"/>
      <x:c r="CU282" s="58">
        <x:f>(($O282*CS282)/100)+(CT282*12)</x:f>
      </x:c>
      <x:c r="CV282" s="47"/>
      <x:c r="CW282" s="60"/>
      <x:c r="CX282" s="58"/>
      <x:c r="CY282" s="47"/>
      <x:c r="CZ282" s="60"/>
      <x:c r="DA282" s="58"/>
      <x:c r="DB282" s="47"/>
      <x:c r="DC282" s="60"/>
      <x:c r="DD282" s="58"/>
      <x:c r="DE282" s="47"/>
      <x:c r="DF282" s="60"/>
      <x:c r="DG282" s="58"/>
      <x:c r="DH282" s="47"/>
      <x:c r="DI282" s="60"/>
      <x:c r="DJ282" s="58"/>
      <x:c r="DK282" s="47"/>
      <x:c r="DL282" s="60"/>
      <x:c r="DM282" s="58"/>
      <x:c r="DN282" s="11"/>
      <x:c r="DO282" s="61"/>
      <x:c r="DP282" s="62"/>
      <x:c r="DQ282" s="11"/>
      <x:c r="DR282" s="61"/>
      <x:c r="DS282" s="62"/>
      <x:c r="DT282" s="11"/>
      <x:c r="DU282" s="61"/>
      <x:c r="DV282" s="62"/>
    </x:row>
    <x:row r="283" spans="1:126" x14ac:dyDescent="0.3">
      <x:c r="A283" s="47"/>
      <x:c r="B283" s="70"/>
      <x:c r="C283" s="70"/>
      <x:c r="D283" s="70"/>
      <x:c r="E283" s="70"/>
      <x:c r="F283" s="70"/>
      <x:c r="G283" s="70"/>
      <x:c r="H283" s="70"/>
      <x:c r="I283" s="70"/>
      <x:c r="J283" s="70"/>
      <x:c r="K283" s="190"/>
      <x:c r="L283" s="191"/>
      <x:c r="M283" s="192">
        <x:f>IF(ISERROR(INDEX('Meter Type Data'!$B$2:$E$1165,SUMPRODUCT(--('Meter Type Data'!$B$2:$B$1165&lt;=Analysis!L283)*('Meter Type Data'!$C$2:$C$1165&gt;=Analysis!L283),ROW('Meter Type Data'!$B$2:$B$1165))-1,4))," ",INDEX('Meter Type Data'!$B$2:$E$1165,SUMPRODUCT(--('Meter Type Data'!$B$2:$B$1165&lt;=Analysis!L283)*('Meter Type Data'!$C$2:$C$1165&gt;=Analysis!L283),ROW('Meter Type Data'!$B$2:$B$1165))-1,4))</x:f>
      </x:c>
      <x:c r="N283" s="192">
        <x:f>IF(ISERROR(INDEX('Meter Type Data'!$B$2:$D$1165,SUMPRODUCT(--('Meter Type Data'!$B$2:$B$1165&lt;=Analysis!L283)*('Meter Type Data'!$C$2:$C$1165&gt;=Analysis!L283),ROW('Meter Type Data'!$B$2:$B$1165))-1,3))," ",INDEX('Meter Type Data'!$B$2:$D$1165,SUMPRODUCT(--('Meter Type Data'!$B$2:$B$1165&lt;=Analysis!L283)*('Meter Type Data'!$C$2:$C$1165&gt;=Analysis!L283),ROW('Meter Type Data'!$B$2:$B$1165))-1,3))</x:f>
      </x:c>
      <x:c r="O283" s="69"/>
      <x:c r="P283" s="47"/>
      <x:c r="Q283" s="60"/>
      <x:c r="R283" s="58">
        <x:f>(($O283*P283)/100)+(Q283*12)</x:f>
      </x:c>
      <x:c r="S283" s="59"/>
      <x:c r="T283" s="59"/>
      <x:c r="U283" s="58">
        <x:f>(($O283*S283)/100)+(T283*12)</x:f>
      </x:c>
      <x:c r="V283" s="47"/>
      <x:c r="W283" s="60"/>
      <x:c r="X283" s="58">
        <x:f>(($O283*V283)/100)+(W283*12)</x:f>
      </x:c>
      <x:c r="Y283" s="47"/>
      <x:c r="Z283" s="60"/>
      <x:c r="AA283" s="58">
        <x:f>(($O283*Y283)/100)+(Z283*12)</x:f>
      </x:c>
      <x:c r="AB283" s="47"/>
      <x:c r="AC283" s="60"/>
      <x:c r="AD283" s="58">
        <x:f>(($O283*AB283)/100)+(AC283*12)</x:f>
      </x:c>
      <x:c r="AE283" s="47"/>
      <x:c r="AF283" s="60"/>
      <x:c r="AG283" s="58">
        <x:f>(($O283*AE283)/100)+(AF283*12)</x:f>
      </x:c>
      <x:c r="AH283" s="47"/>
      <x:c r="AI283" s="60"/>
      <x:c r="AJ283" s="58">
        <x:f>(($O283*AH283)/100)+(AI283*12)</x:f>
      </x:c>
      <x:c r="AK283" s="47"/>
      <x:c r="AL283" s="60"/>
      <x:c r="AM283" s="58">
        <x:f>(($O283*AK283)/100)+(AL283*12)</x:f>
      </x:c>
      <x:c r="AN283" s="47"/>
      <x:c r="AO283" s="60"/>
      <x:c r="AP283" s="58">
        <x:f>(($O283*AN283)/100)+(AO283*12)</x:f>
      </x:c>
      <x:c r="AQ283" s="47"/>
      <x:c r="AR283" s="60"/>
      <x:c r="AS283" s="58">
        <x:f>(($O283*AQ283)/100)+(AR283*12)</x:f>
      </x:c>
      <x:c r="AT283" s="47"/>
      <x:c r="AU283" s="60"/>
      <x:c r="AV283" s="58">
        <x:f>(($O283*AT283)/100)+(AU283*12)</x:f>
      </x:c>
      <x:c r="AW283" s="47"/>
      <x:c r="AX283" s="60"/>
      <x:c r="AY283" s="58">
        <x:f>(($O283*AW283)/100)+(AX283*12)</x:f>
      </x:c>
      <x:c r="AZ283" s="47"/>
      <x:c r="BA283" s="60"/>
      <x:c r="BB283" s="58">
        <x:f>(($O283*AZ283)/100)+(BA283*12)</x:f>
      </x:c>
      <x:c r="BC283" s="47"/>
      <x:c r="BD283" s="60"/>
      <x:c r="BE283" s="58">
        <x:f>(($O283*BC283)/100)+(BD283*12)</x:f>
      </x:c>
      <x:c r="BF283" s="47"/>
      <x:c r="BG283" s="60"/>
      <x:c r="BH283" s="58">
        <x:f>(($O283*BF283)/100)+(BG283*12)</x:f>
      </x:c>
      <x:c r="BI283" s="47"/>
      <x:c r="BJ283" s="60"/>
      <x:c r="BK283" s="58">
        <x:f>(($O283*BI283)/100)+(BJ283*12)</x:f>
      </x:c>
      <x:c r="BL283" s="47"/>
      <x:c r="BM283" s="60"/>
      <x:c r="BN283" s="58">
        <x:f>(($O283*BL283)/100)+(BM283*12)</x:f>
      </x:c>
      <x:c r="BO283" s="47"/>
      <x:c r="BP283" s="60"/>
      <x:c r="BQ283" s="58">
        <x:f>(($O283*BO283)/100)+(BP283*12)</x:f>
      </x:c>
      <x:c r="BR283" s="47"/>
      <x:c r="BS283" s="60"/>
      <x:c r="BT283" s="58">
        <x:f>(($O283*BR283)/100)+(BS283*12)</x:f>
      </x:c>
      <x:c r="BU283" s="47"/>
      <x:c r="BV283" s="60"/>
      <x:c r="BW283" s="58">
        <x:f>(($O283*BU283)/100)+(BV283*12)</x:f>
      </x:c>
      <x:c r="BX283" s="47"/>
      <x:c r="BY283" s="60"/>
      <x:c r="BZ283" s="58">
        <x:f>(($O283*BX283)/100)+(BY283*12)</x:f>
      </x:c>
      <x:c r="CA283" s="47"/>
      <x:c r="CB283" s="60"/>
      <x:c r="CC283" s="58">
        <x:f>(($O283*CA283)/100)+(CB283*12)</x:f>
      </x:c>
      <x:c r="CD283" s="47"/>
      <x:c r="CE283" s="60"/>
      <x:c r="CF283" s="58">
        <x:f>(($O283*CD283)/100)+(CE283*12)</x:f>
      </x:c>
      <x:c r="CG283" s="47"/>
      <x:c r="CH283" s="60"/>
      <x:c r="CI283" s="58">
        <x:f>(($O283*CG283)/100)+(CH283*12)</x:f>
      </x:c>
      <x:c r="CJ283" s="47"/>
      <x:c r="CK283" s="60"/>
      <x:c r="CL283" s="58">
        <x:f>(($O283*CJ283)/100)+(CK283*12)</x:f>
      </x:c>
      <x:c r="CM283" s="47"/>
      <x:c r="CN283" s="60"/>
      <x:c r="CO283" s="58">
        <x:f>(($O283*CM283)/100)+(CN283*12)</x:f>
      </x:c>
      <x:c r="CP283" s="47"/>
      <x:c r="CQ283" s="60"/>
      <x:c r="CR283" s="58">
        <x:f>(($O283*CP283)/100)+(CQ283*12)</x:f>
      </x:c>
      <x:c r="CS283" s="47"/>
      <x:c r="CT283" s="60"/>
      <x:c r="CU283" s="58">
        <x:f>(($O283*CS283)/100)+(CT283*12)</x:f>
      </x:c>
      <x:c r="CV283" s="47"/>
      <x:c r="CW283" s="60"/>
      <x:c r="CX283" s="58"/>
      <x:c r="CY283" s="47"/>
      <x:c r="CZ283" s="60"/>
      <x:c r="DA283" s="58"/>
      <x:c r="DB283" s="47"/>
      <x:c r="DC283" s="60"/>
      <x:c r="DD283" s="58"/>
      <x:c r="DE283" s="47"/>
      <x:c r="DF283" s="60"/>
      <x:c r="DG283" s="58"/>
      <x:c r="DH283" s="47"/>
      <x:c r="DI283" s="60"/>
      <x:c r="DJ283" s="58"/>
      <x:c r="DK283" s="47"/>
      <x:c r="DL283" s="60"/>
      <x:c r="DM283" s="58"/>
      <x:c r="DN283" s="11"/>
      <x:c r="DO283" s="61"/>
      <x:c r="DP283" s="62"/>
      <x:c r="DQ283" s="11"/>
      <x:c r="DR283" s="61"/>
      <x:c r="DS283" s="62"/>
      <x:c r="DT283" s="11"/>
      <x:c r="DU283" s="61"/>
      <x:c r="DV283" s="62"/>
    </x:row>
    <x:row r="284" spans="1:126" x14ac:dyDescent="0.3">
      <x:c r="A284" s="47"/>
      <x:c r="B284" s="70"/>
      <x:c r="C284" s="70"/>
      <x:c r="D284" s="70"/>
      <x:c r="E284" s="70"/>
      <x:c r="F284" s="70"/>
      <x:c r="G284" s="70"/>
      <x:c r="H284" s="70"/>
      <x:c r="I284" s="70"/>
      <x:c r="J284" s="70"/>
      <x:c r="K284" s="190"/>
      <x:c r="L284" s="191"/>
      <x:c r="M284" s="192">
        <x:f>IF(ISERROR(INDEX('Meter Type Data'!$B$2:$E$1165,SUMPRODUCT(--('Meter Type Data'!$B$2:$B$1165&lt;=Analysis!L284)*('Meter Type Data'!$C$2:$C$1165&gt;=Analysis!L284),ROW('Meter Type Data'!$B$2:$B$1165))-1,4))," ",INDEX('Meter Type Data'!$B$2:$E$1165,SUMPRODUCT(--('Meter Type Data'!$B$2:$B$1165&lt;=Analysis!L284)*('Meter Type Data'!$C$2:$C$1165&gt;=Analysis!L284),ROW('Meter Type Data'!$B$2:$B$1165))-1,4))</x:f>
      </x:c>
      <x:c r="N284" s="192">
        <x:f>IF(ISERROR(INDEX('Meter Type Data'!$B$2:$D$1165,SUMPRODUCT(--('Meter Type Data'!$B$2:$B$1165&lt;=Analysis!L284)*('Meter Type Data'!$C$2:$C$1165&gt;=Analysis!L284),ROW('Meter Type Data'!$B$2:$B$1165))-1,3))," ",INDEX('Meter Type Data'!$B$2:$D$1165,SUMPRODUCT(--('Meter Type Data'!$B$2:$B$1165&lt;=Analysis!L284)*('Meter Type Data'!$C$2:$C$1165&gt;=Analysis!L284),ROW('Meter Type Data'!$B$2:$B$1165))-1,3))</x:f>
      </x:c>
      <x:c r="O284" s="69"/>
      <x:c r="P284" s="47"/>
      <x:c r="Q284" s="60"/>
      <x:c r="R284" s="58">
        <x:f>(($O284*P284)/100)+(Q284*12)</x:f>
      </x:c>
      <x:c r="S284" s="59"/>
      <x:c r="T284" s="59"/>
      <x:c r="U284" s="58">
        <x:f>(($O284*S284)/100)+(T284*12)</x:f>
      </x:c>
      <x:c r="V284" s="47"/>
      <x:c r="W284" s="60"/>
      <x:c r="X284" s="58">
        <x:f>(($O284*V284)/100)+(W284*12)</x:f>
      </x:c>
      <x:c r="Y284" s="47"/>
      <x:c r="Z284" s="60"/>
      <x:c r="AA284" s="58">
        <x:f>(($O284*Y284)/100)+(Z284*12)</x:f>
      </x:c>
      <x:c r="AB284" s="47"/>
      <x:c r="AC284" s="60"/>
      <x:c r="AD284" s="58">
        <x:f>(($O284*AB284)/100)+(AC284*12)</x:f>
      </x:c>
      <x:c r="AE284" s="47"/>
      <x:c r="AF284" s="60"/>
      <x:c r="AG284" s="58">
        <x:f>(($O284*AE284)/100)+(AF284*12)</x:f>
      </x:c>
      <x:c r="AH284" s="47"/>
      <x:c r="AI284" s="60"/>
      <x:c r="AJ284" s="58">
        <x:f>(($O284*AH284)/100)+(AI284*12)</x:f>
      </x:c>
      <x:c r="AK284" s="47"/>
      <x:c r="AL284" s="60"/>
      <x:c r="AM284" s="58">
        <x:f>(($O284*AK284)/100)+(AL284*12)</x:f>
      </x:c>
      <x:c r="AN284" s="47"/>
      <x:c r="AO284" s="60"/>
      <x:c r="AP284" s="58">
        <x:f>(($O284*AN284)/100)+(AO284*12)</x:f>
      </x:c>
      <x:c r="AQ284" s="47"/>
      <x:c r="AR284" s="60"/>
      <x:c r="AS284" s="58">
        <x:f>(($O284*AQ284)/100)+(AR284*12)</x:f>
      </x:c>
      <x:c r="AT284" s="47"/>
      <x:c r="AU284" s="60"/>
      <x:c r="AV284" s="58">
        <x:f>(($O284*AT284)/100)+(AU284*12)</x:f>
      </x:c>
      <x:c r="AW284" s="47"/>
      <x:c r="AX284" s="60"/>
      <x:c r="AY284" s="58">
        <x:f>(($O284*AW284)/100)+(AX284*12)</x:f>
      </x:c>
      <x:c r="AZ284" s="47"/>
      <x:c r="BA284" s="60"/>
      <x:c r="BB284" s="58">
        <x:f>(($O284*AZ284)/100)+(BA284*12)</x:f>
      </x:c>
      <x:c r="BC284" s="47"/>
      <x:c r="BD284" s="60"/>
      <x:c r="BE284" s="58">
        <x:f>(($O284*BC284)/100)+(BD284*12)</x:f>
      </x:c>
      <x:c r="BF284" s="47"/>
      <x:c r="BG284" s="60"/>
      <x:c r="BH284" s="58">
        <x:f>(($O284*BF284)/100)+(BG284*12)</x:f>
      </x:c>
      <x:c r="BI284" s="47"/>
      <x:c r="BJ284" s="60"/>
      <x:c r="BK284" s="58">
        <x:f>(($O284*BI284)/100)+(BJ284*12)</x:f>
      </x:c>
      <x:c r="BL284" s="47"/>
      <x:c r="BM284" s="60"/>
      <x:c r="BN284" s="58">
        <x:f>(($O284*BL284)/100)+(BM284*12)</x:f>
      </x:c>
      <x:c r="BO284" s="47"/>
      <x:c r="BP284" s="60"/>
      <x:c r="BQ284" s="58">
        <x:f>(($O284*BO284)/100)+(BP284*12)</x:f>
      </x:c>
      <x:c r="BR284" s="47"/>
      <x:c r="BS284" s="60"/>
      <x:c r="BT284" s="58">
        <x:f>(($O284*BR284)/100)+(BS284*12)</x:f>
      </x:c>
      <x:c r="BU284" s="47"/>
      <x:c r="BV284" s="60"/>
      <x:c r="BW284" s="58">
        <x:f>(($O284*BU284)/100)+(BV284*12)</x:f>
      </x:c>
      <x:c r="BX284" s="47"/>
      <x:c r="BY284" s="60"/>
      <x:c r="BZ284" s="58">
        <x:f>(($O284*BX284)/100)+(BY284*12)</x:f>
      </x:c>
      <x:c r="CA284" s="47"/>
      <x:c r="CB284" s="60"/>
      <x:c r="CC284" s="58">
        <x:f>(($O284*CA284)/100)+(CB284*12)</x:f>
      </x:c>
      <x:c r="CD284" s="47"/>
      <x:c r="CE284" s="60"/>
      <x:c r="CF284" s="58">
        <x:f>(($O284*CD284)/100)+(CE284*12)</x:f>
      </x:c>
      <x:c r="CG284" s="47"/>
      <x:c r="CH284" s="60"/>
      <x:c r="CI284" s="58">
        <x:f>(($O284*CG284)/100)+(CH284*12)</x:f>
      </x:c>
      <x:c r="CJ284" s="47"/>
      <x:c r="CK284" s="60"/>
      <x:c r="CL284" s="58">
        <x:f>(($O284*CJ284)/100)+(CK284*12)</x:f>
      </x:c>
      <x:c r="CM284" s="47"/>
      <x:c r="CN284" s="60"/>
      <x:c r="CO284" s="58">
        <x:f>(($O284*CM284)/100)+(CN284*12)</x:f>
      </x:c>
      <x:c r="CP284" s="47"/>
      <x:c r="CQ284" s="60"/>
      <x:c r="CR284" s="58">
        <x:f>(($O284*CP284)/100)+(CQ284*12)</x:f>
      </x:c>
      <x:c r="CS284" s="47"/>
      <x:c r="CT284" s="60"/>
      <x:c r="CU284" s="58">
        <x:f>(($O284*CS284)/100)+(CT284*12)</x:f>
      </x:c>
      <x:c r="CV284" s="47"/>
      <x:c r="CW284" s="60"/>
      <x:c r="CX284" s="58"/>
      <x:c r="CY284" s="47"/>
      <x:c r="CZ284" s="60"/>
      <x:c r="DA284" s="58"/>
      <x:c r="DB284" s="47"/>
      <x:c r="DC284" s="60"/>
      <x:c r="DD284" s="58"/>
      <x:c r="DE284" s="47"/>
      <x:c r="DF284" s="60"/>
      <x:c r="DG284" s="58"/>
      <x:c r="DH284" s="47"/>
      <x:c r="DI284" s="60"/>
      <x:c r="DJ284" s="58"/>
      <x:c r="DK284" s="47"/>
      <x:c r="DL284" s="60"/>
      <x:c r="DM284" s="58"/>
      <x:c r="DN284" s="11"/>
      <x:c r="DO284" s="61"/>
      <x:c r="DP284" s="62"/>
      <x:c r="DQ284" s="11"/>
      <x:c r="DR284" s="61"/>
      <x:c r="DS284" s="62"/>
      <x:c r="DT284" s="11"/>
      <x:c r="DU284" s="61"/>
      <x:c r="DV284" s="62"/>
    </x:row>
    <x:row r="285" spans="1:126" x14ac:dyDescent="0.3">
      <x:c r="A285" s="47"/>
      <x:c r="B285" s="70"/>
      <x:c r="C285" s="70"/>
      <x:c r="D285" s="70"/>
      <x:c r="E285" s="70"/>
      <x:c r="F285" s="70"/>
      <x:c r="G285" s="70"/>
      <x:c r="H285" s="70"/>
      <x:c r="I285" s="70"/>
      <x:c r="J285" s="70"/>
      <x:c r="K285" s="190"/>
      <x:c r="L285" s="191"/>
      <x:c r="M285" s="192">
        <x:f>IF(ISERROR(INDEX('Meter Type Data'!$B$2:$E$1165,SUMPRODUCT(--('Meter Type Data'!$B$2:$B$1165&lt;=Analysis!L285)*('Meter Type Data'!$C$2:$C$1165&gt;=Analysis!L285),ROW('Meter Type Data'!$B$2:$B$1165))-1,4))," ",INDEX('Meter Type Data'!$B$2:$E$1165,SUMPRODUCT(--('Meter Type Data'!$B$2:$B$1165&lt;=Analysis!L285)*('Meter Type Data'!$C$2:$C$1165&gt;=Analysis!L285),ROW('Meter Type Data'!$B$2:$B$1165))-1,4))</x:f>
      </x:c>
      <x:c r="N285" s="192">
        <x:f>IF(ISERROR(INDEX('Meter Type Data'!$B$2:$D$1165,SUMPRODUCT(--('Meter Type Data'!$B$2:$B$1165&lt;=Analysis!L285)*('Meter Type Data'!$C$2:$C$1165&gt;=Analysis!L285),ROW('Meter Type Data'!$B$2:$B$1165))-1,3))," ",INDEX('Meter Type Data'!$B$2:$D$1165,SUMPRODUCT(--('Meter Type Data'!$B$2:$B$1165&lt;=Analysis!L285)*('Meter Type Data'!$C$2:$C$1165&gt;=Analysis!L285),ROW('Meter Type Data'!$B$2:$B$1165))-1,3))</x:f>
      </x:c>
      <x:c r="O285" s="69"/>
      <x:c r="P285" s="47"/>
      <x:c r="Q285" s="60"/>
      <x:c r="R285" s="58">
        <x:f>(($O285*P285)/100)+(Q285*12)</x:f>
      </x:c>
      <x:c r="S285" s="59"/>
      <x:c r="T285" s="59"/>
      <x:c r="U285" s="58">
        <x:f>(($O285*S285)/100)+(T285*12)</x:f>
      </x:c>
      <x:c r="V285" s="47"/>
      <x:c r="W285" s="60"/>
      <x:c r="X285" s="58">
        <x:f>(($O285*V285)/100)+(W285*12)</x:f>
      </x:c>
      <x:c r="Y285" s="47"/>
      <x:c r="Z285" s="60"/>
      <x:c r="AA285" s="58">
        <x:f>(($O285*Y285)/100)+(Z285*12)</x:f>
      </x:c>
      <x:c r="AB285" s="47"/>
      <x:c r="AC285" s="60"/>
      <x:c r="AD285" s="58">
        <x:f>(($O285*AB285)/100)+(AC285*12)</x:f>
      </x:c>
      <x:c r="AE285" s="47"/>
      <x:c r="AF285" s="60"/>
      <x:c r="AG285" s="58">
        <x:f>(($O285*AE285)/100)+(AF285*12)</x:f>
      </x:c>
      <x:c r="AH285" s="47"/>
      <x:c r="AI285" s="60"/>
      <x:c r="AJ285" s="58">
        <x:f>(($O285*AH285)/100)+(AI285*12)</x:f>
      </x:c>
      <x:c r="AK285" s="47"/>
      <x:c r="AL285" s="60"/>
      <x:c r="AM285" s="58">
        <x:f>(($O285*AK285)/100)+(AL285*12)</x:f>
      </x:c>
      <x:c r="AN285" s="47"/>
      <x:c r="AO285" s="60"/>
      <x:c r="AP285" s="58">
        <x:f>(($O285*AN285)/100)+(AO285*12)</x:f>
      </x:c>
      <x:c r="AQ285" s="47"/>
      <x:c r="AR285" s="60"/>
      <x:c r="AS285" s="58">
        <x:f>(($O285*AQ285)/100)+(AR285*12)</x:f>
      </x:c>
      <x:c r="AT285" s="47"/>
      <x:c r="AU285" s="60"/>
      <x:c r="AV285" s="58">
        <x:f>(($O285*AT285)/100)+(AU285*12)</x:f>
      </x:c>
      <x:c r="AW285" s="47"/>
      <x:c r="AX285" s="60"/>
      <x:c r="AY285" s="58">
        <x:f>(($O285*AW285)/100)+(AX285*12)</x:f>
      </x:c>
      <x:c r="AZ285" s="47"/>
      <x:c r="BA285" s="60"/>
      <x:c r="BB285" s="58">
        <x:f>(($O285*AZ285)/100)+(BA285*12)</x:f>
      </x:c>
      <x:c r="BC285" s="47"/>
      <x:c r="BD285" s="60"/>
      <x:c r="BE285" s="58">
        <x:f>(($O285*BC285)/100)+(BD285*12)</x:f>
      </x:c>
      <x:c r="BF285" s="47"/>
      <x:c r="BG285" s="60"/>
      <x:c r="BH285" s="58">
        <x:f>(($O285*BF285)/100)+(BG285*12)</x:f>
      </x:c>
      <x:c r="BI285" s="47"/>
      <x:c r="BJ285" s="60"/>
      <x:c r="BK285" s="58">
        <x:f>(($O285*BI285)/100)+(BJ285*12)</x:f>
      </x:c>
      <x:c r="BL285" s="47"/>
      <x:c r="BM285" s="60"/>
      <x:c r="BN285" s="58">
        <x:f>(($O285*BL285)/100)+(BM285*12)</x:f>
      </x:c>
      <x:c r="BO285" s="47"/>
      <x:c r="BP285" s="60"/>
      <x:c r="BQ285" s="58">
        <x:f>(($O285*BO285)/100)+(BP285*12)</x:f>
      </x:c>
      <x:c r="BR285" s="47"/>
      <x:c r="BS285" s="60"/>
      <x:c r="BT285" s="58">
        <x:f>(($O285*BR285)/100)+(BS285*12)</x:f>
      </x:c>
      <x:c r="BU285" s="47"/>
      <x:c r="BV285" s="60"/>
      <x:c r="BW285" s="58">
        <x:f>(($O285*BU285)/100)+(BV285*12)</x:f>
      </x:c>
      <x:c r="BX285" s="47"/>
      <x:c r="BY285" s="60"/>
      <x:c r="BZ285" s="58">
        <x:f>(($O285*BX285)/100)+(BY285*12)</x:f>
      </x:c>
      <x:c r="CA285" s="47"/>
      <x:c r="CB285" s="60"/>
      <x:c r="CC285" s="58">
        <x:f>(($O285*CA285)/100)+(CB285*12)</x:f>
      </x:c>
      <x:c r="CD285" s="47"/>
      <x:c r="CE285" s="60"/>
      <x:c r="CF285" s="58">
        <x:f>(($O285*CD285)/100)+(CE285*12)</x:f>
      </x:c>
      <x:c r="CG285" s="47"/>
      <x:c r="CH285" s="60"/>
      <x:c r="CI285" s="58">
        <x:f>(($O285*CG285)/100)+(CH285*12)</x:f>
      </x:c>
      <x:c r="CJ285" s="47"/>
      <x:c r="CK285" s="60"/>
      <x:c r="CL285" s="58">
        <x:f>(($O285*CJ285)/100)+(CK285*12)</x:f>
      </x:c>
      <x:c r="CM285" s="47"/>
      <x:c r="CN285" s="60"/>
      <x:c r="CO285" s="58">
        <x:f>(($O285*CM285)/100)+(CN285*12)</x:f>
      </x:c>
      <x:c r="CP285" s="47"/>
      <x:c r="CQ285" s="60"/>
      <x:c r="CR285" s="58">
        <x:f>(($O285*CP285)/100)+(CQ285*12)</x:f>
      </x:c>
      <x:c r="CS285" s="47"/>
      <x:c r="CT285" s="60"/>
      <x:c r="CU285" s="58">
        <x:f>(($O285*CS285)/100)+(CT285*12)</x:f>
      </x:c>
      <x:c r="CV285" s="47"/>
      <x:c r="CW285" s="60"/>
      <x:c r="CX285" s="58"/>
      <x:c r="CY285" s="47"/>
      <x:c r="CZ285" s="60"/>
      <x:c r="DA285" s="58"/>
      <x:c r="DB285" s="47"/>
      <x:c r="DC285" s="60"/>
      <x:c r="DD285" s="58"/>
      <x:c r="DE285" s="47"/>
      <x:c r="DF285" s="60"/>
      <x:c r="DG285" s="58"/>
      <x:c r="DH285" s="47"/>
      <x:c r="DI285" s="60"/>
      <x:c r="DJ285" s="58"/>
      <x:c r="DK285" s="47"/>
      <x:c r="DL285" s="60"/>
      <x:c r="DM285" s="58"/>
      <x:c r="DN285" s="11"/>
      <x:c r="DO285" s="61"/>
      <x:c r="DP285" s="62"/>
      <x:c r="DQ285" s="11"/>
      <x:c r="DR285" s="61"/>
      <x:c r="DS285" s="62"/>
      <x:c r="DT285" s="11"/>
      <x:c r="DU285" s="61"/>
      <x:c r="DV285" s="62"/>
    </x:row>
    <x:row r="286" spans="1:126" x14ac:dyDescent="0.3">
      <x:c r="A286" s="47"/>
      <x:c r="B286" s="70"/>
      <x:c r="C286" s="70"/>
      <x:c r="D286" s="70"/>
      <x:c r="E286" s="70"/>
      <x:c r="F286" s="70"/>
      <x:c r="G286" s="70"/>
      <x:c r="H286" s="70"/>
      <x:c r="I286" s="70"/>
      <x:c r="J286" s="70"/>
      <x:c r="K286" s="190"/>
      <x:c r="L286" s="191"/>
      <x:c r="M286" s="192">
        <x:f>IF(ISERROR(INDEX('Meter Type Data'!$B$2:$E$1165,SUMPRODUCT(--('Meter Type Data'!$B$2:$B$1165&lt;=Analysis!L286)*('Meter Type Data'!$C$2:$C$1165&gt;=Analysis!L286),ROW('Meter Type Data'!$B$2:$B$1165))-1,4))," ",INDEX('Meter Type Data'!$B$2:$E$1165,SUMPRODUCT(--('Meter Type Data'!$B$2:$B$1165&lt;=Analysis!L286)*('Meter Type Data'!$C$2:$C$1165&gt;=Analysis!L286),ROW('Meter Type Data'!$B$2:$B$1165))-1,4))</x:f>
      </x:c>
      <x:c r="N286" s="192">
        <x:f>IF(ISERROR(INDEX('Meter Type Data'!$B$2:$D$1165,SUMPRODUCT(--('Meter Type Data'!$B$2:$B$1165&lt;=Analysis!L286)*('Meter Type Data'!$C$2:$C$1165&gt;=Analysis!L286),ROW('Meter Type Data'!$B$2:$B$1165))-1,3))," ",INDEX('Meter Type Data'!$B$2:$D$1165,SUMPRODUCT(--('Meter Type Data'!$B$2:$B$1165&lt;=Analysis!L286)*('Meter Type Data'!$C$2:$C$1165&gt;=Analysis!L286),ROW('Meter Type Data'!$B$2:$B$1165))-1,3))</x:f>
      </x:c>
      <x:c r="O286" s="69"/>
      <x:c r="P286" s="47"/>
      <x:c r="Q286" s="60"/>
      <x:c r="R286" s="58">
        <x:f>(($O286*P286)/100)+(Q286*12)</x:f>
      </x:c>
      <x:c r="S286" s="59"/>
      <x:c r="T286" s="59"/>
      <x:c r="U286" s="58">
        <x:f>(($O286*S286)/100)+(T286*12)</x:f>
      </x:c>
      <x:c r="V286" s="47"/>
      <x:c r="W286" s="60"/>
      <x:c r="X286" s="58">
        <x:f>(($O286*V286)/100)+(W286*12)</x:f>
      </x:c>
      <x:c r="Y286" s="47"/>
      <x:c r="Z286" s="60"/>
      <x:c r="AA286" s="58">
        <x:f>(($O286*Y286)/100)+(Z286*12)</x:f>
      </x:c>
      <x:c r="AB286" s="47"/>
      <x:c r="AC286" s="60"/>
      <x:c r="AD286" s="58">
        <x:f>(($O286*AB286)/100)+(AC286*12)</x:f>
      </x:c>
      <x:c r="AE286" s="47"/>
      <x:c r="AF286" s="60"/>
      <x:c r="AG286" s="58">
        <x:f>(($O286*AE286)/100)+(AF286*12)</x:f>
      </x:c>
      <x:c r="AH286" s="47"/>
      <x:c r="AI286" s="60"/>
      <x:c r="AJ286" s="58">
        <x:f>(($O286*AH286)/100)+(AI286*12)</x:f>
      </x:c>
      <x:c r="AK286" s="47"/>
      <x:c r="AL286" s="60"/>
      <x:c r="AM286" s="58">
        <x:f>(($O286*AK286)/100)+(AL286*12)</x:f>
      </x:c>
      <x:c r="AN286" s="47"/>
      <x:c r="AO286" s="60"/>
      <x:c r="AP286" s="58">
        <x:f>(($O286*AN286)/100)+(AO286*12)</x:f>
      </x:c>
      <x:c r="AQ286" s="47"/>
      <x:c r="AR286" s="60"/>
      <x:c r="AS286" s="58">
        <x:f>(($O286*AQ286)/100)+(AR286*12)</x:f>
      </x:c>
      <x:c r="AT286" s="47"/>
      <x:c r="AU286" s="60"/>
      <x:c r="AV286" s="58">
        <x:f>(($O286*AT286)/100)+(AU286*12)</x:f>
      </x:c>
      <x:c r="AW286" s="47"/>
      <x:c r="AX286" s="60"/>
      <x:c r="AY286" s="58">
        <x:f>(($O286*AW286)/100)+(AX286*12)</x:f>
      </x:c>
      <x:c r="AZ286" s="47"/>
      <x:c r="BA286" s="60"/>
      <x:c r="BB286" s="58">
        <x:f>(($O286*AZ286)/100)+(BA286*12)</x:f>
      </x:c>
      <x:c r="BC286" s="47"/>
      <x:c r="BD286" s="60"/>
      <x:c r="BE286" s="58">
        <x:f>(($O286*BC286)/100)+(BD286*12)</x:f>
      </x:c>
      <x:c r="BF286" s="47"/>
      <x:c r="BG286" s="60"/>
      <x:c r="BH286" s="58">
        <x:f>(($O286*BF286)/100)+(BG286*12)</x:f>
      </x:c>
      <x:c r="BI286" s="47"/>
      <x:c r="BJ286" s="60"/>
      <x:c r="BK286" s="58">
        <x:f>(($O286*BI286)/100)+(BJ286*12)</x:f>
      </x:c>
      <x:c r="BL286" s="47"/>
      <x:c r="BM286" s="60"/>
      <x:c r="BN286" s="58">
        <x:f>(($O286*BL286)/100)+(BM286*12)</x:f>
      </x:c>
      <x:c r="BO286" s="47"/>
      <x:c r="BP286" s="60"/>
      <x:c r="BQ286" s="58">
        <x:f>(($O286*BO286)/100)+(BP286*12)</x:f>
      </x:c>
      <x:c r="BR286" s="47"/>
      <x:c r="BS286" s="60"/>
      <x:c r="BT286" s="58">
        <x:f>(($O286*BR286)/100)+(BS286*12)</x:f>
      </x:c>
      <x:c r="BU286" s="47"/>
      <x:c r="BV286" s="60"/>
      <x:c r="BW286" s="58">
        <x:f>(($O286*BU286)/100)+(BV286*12)</x:f>
      </x:c>
      <x:c r="BX286" s="47"/>
      <x:c r="BY286" s="60"/>
      <x:c r="BZ286" s="58">
        <x:f>(($O286*BX286)/100)+(BY286*12)</x:f>
      </x:c>
      <x:c r="CA286" s="47"/>
      <x:c r="CB286" s="60"/>
      <x:c r="CC286" s="58">
        <x:f>(($O286*CA286)/100)+(CB286*12)</x:f>
      </x:c>
      <x:c r="CD286" s="47"/>
      <x:c r="CE286" s="60"/>
      <x:c r="CF286" s="58">
        <x:f>(($O286*CD286)/100)+(CE286*12)</x:f>
      </x:c>
      <x:c r="CG286" s="47"/>
      <x:c r="CH286" s="60"/>
      <x:c r="CI286" s="58">
        <x:f>(($O286*CG286)/100)+(CH286*12)</x:f>
      </x:c>
      <x:c r="CJ286" s="47"/>
      <x:c r="CK286" s="60"/>
      <x:c r="CL286" s="58">
        <x:f>(($O286*CJ286)/100)+(CK286*12)</x:f>
      </x:c>
      <x:c r="CM286" s="47"/>
      <x:c r="CN286" s="60"/>
      <x:c r="CO286" s="58">
        <x:f>(($O286*CM286)/100)+(CN286*12)</x:f>
      </x:c>
      <x:c r="CP286" s="47"/>
      <x:c r="CQ286" s="60"/>
      <x:c r="CR286" s="58">
        <x:f>(($O286*CP286)/100)+(CQ286*12)</x:f>
      </x:c>
      <x:c r="CS286" s="47"/>
      <x:c r="CT286" s="60"/>
      <x:c r="CU286" s="58">
        <x:f>(($O286*CS286)/100)+(CT286*12)</x:f>
      </x:c>
      <x:c r="CV286" s="47"/>
      <x:c r="CW286" s="60"/>
      <x:c r="CX286" s="58"/>
      <x:c r="CY286" s="47"/>
      <x:c r="CZ286" s="60"/>
      <x:c r="DA286" s="58"/>
      <x:c r="DB286" s="47"/>
      <x:c r="DC286" s="60"/>
      <x:c r="DD286" s="58"/>
      <x:c r="DE286" s="47"/>
      <x:c r="DF286" s="60"/>
      <x:c r="DG286" s="58"/>
      <x:c r="DH286" s="47"/>
      <x:c r="DI286" s="60"/>
      <x:c r="DJ286" s="58"/>
      <x:c r="DK286" s="47"/>
      <x:c r="DL286" s="60"/>
      <x:c r="DM286" s="58"/>
      <x:c r="DN286" s="11"/>
      <x:c r="DO286" s="61"/>
      <x:c r="DP286" s="62"/>
      <x:c r="DQ286" s="11"/>
      <x:c r="DR286" s="61"/>
      <x:c r="DS286" s="62"/>
      <x:c r="DT286" s="11"/>
      <x:c r="DU286" s="61"/>
      <x:c r="DV286" s="62"/>
    </x:row>
    <x:row r="287" spans="1:126" x14ac:dyDescent="0.3">
      <x:c r="A287" s="47"/>
      <x:c r="B287" s="70"/>
      <x:c r="C287" s="70"/>
      <x:c r="D287" s="70"/>
      <x:c r="E287" s="70"/>
      <x:c r="F287" s="70"/>
      <x:c r="G287" s="70"/>
      <x:c r="H287" s="70"/>
      <x:c r="I287" s="70"/>
      <x:c r="J287" s="70"/>
      <x:c r="K287" s="190"/>
      <x:c r="L287" s="195"/>
      <x:c r="M287" s="192"/>
      <x:c r="N287" s="192"/>
      <x:c r="O287" s="69"/>
      <x:c r="P287" s="47"/>
      <x:c r="Q287" s="60"/>
      <x:c r="R287" s="58"/>
      <x:c r="S287" s="47"/>
      <x:c r="T287" s="60"/>
      <x:c r="U287" s="58"/>
      <x:c r="V287" s="47"/>
      <x:c r="W287" s="60"/>
      <x:c r="X287" s="58"/>
      <x:c r="Y287" s="47"/>
      <x:c r="Z287" s="60"/>
      <x:c r="AA287" s="58"/>
      <x:c r="AB287" s="47"/>
      <x:c r="AC287" s="60"/>
      <x:c r="AD287" s="58"/>
      <x:c r="AE287" s="47"/>
      <x:c r="AF287" s="60"/>
      <x:c r="AG287" s="58"/>
      <x:c r="AH287" s="47"/>
      <x:c r="AI287" s="60"/>
      <x:c r="AJ287" s="58"/>
      <x:c r="AK287" s="47"/>
      <x:c r="AL287" s="60"/>
      <x:c r="AM287" s="58"/>
      <x:c r="AN287" s="47"/>
      <x:c r="AO287" s="60"/>
      <x:c r="AP287" s="58"/>
      <x:c r="AQ287" s="47"/>
      <x:c r="AR287" s="60"/>
      <x:c r="AS287" s="58"/>
      <x:c r="AT287" s="47"/>
      <x:c r="AU287" s="60"/>
      <x:c r="AV287" s="58"/>
      <x:c r="AW287" s="47"/>
      <x:c r="AX287" s="60"/>
      <x:c r="AY287" s="58"/>
      <x:c r="AZ287" s="47"/>
      <x:c r="BA287" s="60"/>
      <x:c r="BB287" s="58"/>
      <x:c r="BC287" s="47"/>
      <x:c r="BD287" s="60"/>
      <x:c r="BE287" s="58"/>
      <x:c r="BF287" s="47"/>
      <x:c r="BG287" s="60"/>
      <x:c r="BH287" s="58"/>
      <x:c r="BI287" s="47"/>
      <x:c r="BJ287" s="60"/>
      <x:c r="BK287" s="58"/>
      <x:c r="BL287" s="47"/>
      <x:c r="BM287" s="60"/>
      <x:c r="BN287" s="58"/>
      <x:c r="BO287" s="47"/>
      <x:c r="BP287" s="60"/>
      <x:c r="BQ287" s="58"/>
      <x:c r="BR287" s="47"/>
      <x:c r="BS287" s="60"/>
      <x:c r="BT287" s="58"/>
      <x:c r="BU287" s="47"/>
      <x:c r="BV287" s="60"/>
      <x:c r="BW287" s="58"/>
      <x:c r="BX287" s="47"/>
      <x:c r="BY287" s="60"/>
      <x:c r="BZ287" s="58"/>
      <x:c r="CA287" s="47"/>
      <x:c r="CB287" s="60"/>
      <x:c r="CC287" s="58"/>
      <x:c r="CD287" s="47"/>
      <x:c r="CE287" s="60"/>
      <x:c r="CF287" s="58"/>
      <x:c r="CG287" s="47"/>
      <x:c r="CH287" s="60"/>
      <x:c r="CI287" s="58"/>
      <x:c r="CJ287" s="47"/>
      <x:c r="CK287" s="60"/>
      <x:c r="CL287" s="58"/>
      <x:c r="CM287" s="47"/>
      <x:c r="CN287" s="60"/>
      <x:c r="CO287" s="58"/>
      <x:c r="CP287" s="47"/>
      <x:c r="CQ287" s="60"/>
      <x:c r="CR287" s="58"/>
      <x:c r="CS287" s="47"/>
      <x:c r="CT287" s="60"/>
      <x:c r="CU287" s="58"/>
      <x:c r="CV287" s="47"/>
      <x:c r="CW287" s="60"/>
      <x:c r="CX287" s="58"/>
      <x:c r="CY287" s="47"/>
      <x:c r="CZ287" s="60"/>
      <x:c r="DA287" s="58"/>
      <x:c r="DB287" s="47"/>
      <x:c r="DC287" s="60"/>
      <x:c r="DD287" s="58"/>
      <x:c r="DE287" s="47"/>
      <x:c r="DF287" s="60"/>
      <x:c r="DG287" s="58"/>
      <x:c r="DH287" s="47"/>
      <x:c r="DI287" s="60"/>
      <x:c r="DJ287" s="58"/>
      <x:c r="DK287" s="47"/>
      <x:c r="DL287" s="60"/>
      <x:c r="DM287" s="58"/>
      <x:c r="DN287" s="11"/>
      <x:c r="DO287" s="61"/>
      <x:c r="DP287" s="62"/>
      <x:c r="DQ287" s="11"/>
      <x:c r="DR287" s="61"/>
      <x:c r="DS287" s="62"/>
      <x:c r="DT287" s="11"/>
      <x:c r="DU287" s="61"/>
      <x:c r="DV287" s="62"/>
    </x:row>
    <x:row r="288" spans="1:126" x14ac:dyDescent="0.3">
      <x:c r="A288" s="47"/>
      <x:c r="B288" s="70"/>
      <x:c r="C288" s="70"/>
      <x:c r="D288" s="70"/>
      <x:c r="E288" s="70"/>
      <x:c r="F288" s="70"/>
      <x:c r="G288" s="70"/>
      <x:c r="H288" s="70"/>
      <x:c r="I288" s="70"/>
      <x:c r="J288" s="70"/>
      <x:c r="K288" s="190"/>
      <x:c r="L288" s="195"/>
      <x:c r="M288" s="192"/>
      <x:c r="N288" s="192"/>
      <x:c r="O288" s="69"/>
      <x:c r="P288" s="47"/>
      <x:c r="Q288" s="60"/>
      <x:c r="R288" s="58"/>
      <x:c r="S288" s="47"/>
      <x:c r="T288" s="60"/>
      <x:c r="U288" s="58"/>
      <x:c r="V288" s="47"/>
      <x:c r="W288" s="60"/>
      <x:c r="X288" s="58"/>
      <x:c r="Y288" s="47"/>
      <x:c r="Z288" s="60"/>
      <x:c r="AA288" s="58"/>
      <x:c r="AB288" s="47"/>
      <x:c r="AC288" s="60"/>
      <x:c r="AD288" s="58"/>
      <x:c r="AE288" s="47"/>
      <x:c r="AF288" s="60"/>
      <x:c r="AG288" s="58"/>
      <x:c r="AH288" s="47"/>
      <x:c r="AI288" s="60"/>
      <x:c r="AJ288" s="58"/>
      <x:c r="AK288" s="47"/>
      <x:c r="AL288" s="60"/>
      <x:c r="AM288" s="58"/>
      <x:c r="AN288" s="47"/>
      <x:c r="AO288" s="60"/>
      <x:c r="AP288" s="58"/>
      <x:c r="AQ288" s="47"/>
      <x:c r="AR288" s="60"/>
      <x:c r="AS288" s="58"/>
      <x:c r="AT288" s="47"/>
      <x:c r="AU288" s="60"/>
      <x:c r="AV288" s="58"/>
      <x:c r="AW288" s="47"/>
      <x:c r="AX288" s="60"/>
      <x:c r="AY288" s="58"/>
      <x:c r="AZ288" s="47"/>
      <x:c r="BA288" s="60"/>
      <x:c r="BB288" s="58"/>
      <x:c r="BC288" s="47"/>
      <x:c r="BD288" s="60"/>
      <x:c r="BE288" s="58"/>
      <x:c r="BF288" s="47"/>
      <x:c r="BG288" s="60"/>
      <x:c r="BH288" s="58"/>
      <x:c r="BI288" s="47"/>
      <x:c r="BJ288" s="60"/>
      <x:c r="BK288" s="58"/>
      <x:c r="BL288" s="47"/>
      <x:c r="BM288" s="60"/>
      <x:c r="BN288" s="58"/>
      <x:c r="BO288" s="47"/>
      <x:c r="BP288" s="60"/>
      <x:c r="BQ288" s="58"/>
      <x:c r="BR288" s="47"/>
      <x:c r="BS288" s="60"/>
      <x:c r="BT288" s="58"/>
      <x:c r="BU288" s="47"/>
      <x:c r="BV288" s="60"/>
      <x:c r="BW288" s="58"/>
      <x:c r="BX288" s="47"/>
      <x:c r="BY288" s="60"/>
      <x:c r="BZ288" s="58"/>
      <x:c r="CA288" s="47"/>
      <x:c r="CB288" s="60"/>
      <x:c r="CC288" s="58"/>
      <x:c r="CD288" s="47"/>
      <x:c r="CE288" s="60"/>
      <x:c r="CF288" s="58"/>
      <x:c r="CG288" s="47"/>
      <x:c r="CH288" s="60"/>
      <x:c r="CI288" s="58"/>
      <x:c r="CJ288" s="47"/>
      <x:c r="CK288" s="60"/>
      <x:c r="CL288" s="58"/>
      <x:c r="CM288" s="47"/>
      <x:c r="CN288" s="60"/>
      <x:c r="CO288" s="58"/>
      <x:c r="CP288" s="47"/>
      <x:c r="CQ288" s="60"/>
      <x:c r="CR288" s="58"/>
      <x:c r="CS288" s="47"/>
      <x:c r="CT288" s="60"/>
      <x:c r="CU288" s="58"/>
      <x:c r="CV288" s="47"/>
      <x:c r="CW288" s="60"/>
      <x:c r="CX288" s="58"/>
      <x:c r="CY288" s="47"/>
      <x:c r="CZ288" s="60"/>
      <x:c r="DA288" s="58"/>
      <x:c r="DB288" s="47"/>
      <x:c r="DC288" s="60"/>
      <x:c r="DD288" s="58"/>
      <x:c r="DE288" s="47"/>
      <x:c r="DF288" s="60"/>
      <x:c r="DG288" s="58"/>
      <x:c r="DH288" s="47"/>
      <x:c r="DI288" s="60"/>
      <x:c r="DJ288" s="58"/>
      <x:c r="DK288" s="47"/>
      <x:c r="DL288" s="60"/>
      <x:c r="DM288" s="58"/>
      <x:c r="DN288" s="11"/>
      <x:c r="DO288" s="61"/>
      <x:c r="DP288" s="62"/>
      <x:c r="DQ288" s="11"/>
      <x:c r="DR288" s="61"/>
      <x:c r="DS288" s="62"/>
      <x:c r="DT288" s="11"/>
      <x:c r="DU288" s="61"/>
      <x:c r="DV288" s="62"/>
    </x:row>
    <x:row r="289" spans="1:126" x14ac:dyDescent="0.3">
      <x:c r="A289" s="47"/>
      <x:c r="B289" s="70"/>
      <x:c r="C289" s="70"/>
      <x:c r="D289" s="70"/>
      <x:c r="E289" s="70"/>
      <x:c r="F289" s="70"/>
      <x:c r="G289" s="70"/>
      <x:c r="H289" s="70"/>
      <x:c r="I289" s="70"/>
      <x:c r="J289" s="70"/>
      <x:c r="K289" s="190"/>
      <x:c r="L289" s="195"/>
      <x:c r="M289" s="192"/>
      <x:c r="N289" s="192"/>
      <x:c r="O289" s="69"/>
      <x:c r="P289" s="47"/>
      <x:c r="Q289" s="60"/>
      <x:c r="R289" s="58"/>
      <x:c r="S289" s="47"/>
      <x:c r="T289" s="60"/>
      <x:c r="U289" s="58"/>
      <x:c r="V289" s="47"/>
      <x:c r="W289" s="60"/>
      <x:c r="X289" s="58"/>
      <x:c r="Y289" s="47"/>
      <x:c r="Z289" s="60"/>
      <x:c r="AA289" s="58"/>
      <x:c r="AB289" s="47"/>
      <x:c r="AC289" s="60"/>
      <x:c r="AD289" s="58"/>
      <x:c r="AE289" s="47"/>
      <x:c r="AF289" s="60"/>
      <x:c r="AG289" s="58"/>
      <x:c r="AH289" s="47"/>
      <x:c r="AI289" s="60"/>
      <x:c r="AJ289" s="58"/>
      <x:c r="AK289" s="47"/>
      <x:c r="AL289" s="60"/>
      <x:c r="AM289" s="58"/>
      <x:c r="AN289" s="47"/>
      <x:c r="AO289" s="60"/>
      <x:c r="AP289" s="58"/>
      <x:c r="AQ289" s="47"/>
      <x:c r="AR289" s="60"/>
      <x:c r="AS289" s="58"/>
      <x:c r="AT289" s="47"/>
      <x:c r="AU289" s="60"/>
      <x:c r="AV289" s="58"/>
      <x:c r="AW289" s="47"/>
      <x:c r="AX289" s="60"/>
      <x:c r="AY289" s="58"/>
      <x:c r="AZ289" s="47"/>
      <x:c r="BA289" s="60"/>
      <x:c r="BB289" s="58"/>
      <x:c r="BC289" s="47"/>
      <x:c r="BD289" s="60"/>
      <x:c r="BE289" s="58"/>
      <x:c r="BF289" s="47"/>
      <x:c r="BG289" s="60"/>
      <x:c r="BH289" s="58"/>
      <x:c r="BI289" s="47"/>
      <x:c r="BJ289" s="60"/>
      <x:c r="BK289" s="58"/>
      <x:c r="BL289" s="47"/>
      <x:c r="BM289" s="60"/>
      <x:c r="BN289" s="58"/>
      <x:c r="BO289" s="47"/>
      <x:c r="BP289" s="60"/>
      <x:c r="BQ289" s="58"/>
      <x:c r="BR289" s="47"/>
      <x:c r="BS289" s="60"/>
      <x:c r="BT289" s="58"/>
      <x:c r="BU289" s="47"/>
      <x:c r="BV289" s="60"/>
      <x:c r="BW289" s="58"/>
      <x:c r="BX289" s="47"/>
      <x:c r="BY289" s="60"/>
      <x:c r="BZ289" s="58"/>
      <x:c r="CA289" s="47"/>
      <x:c r="CB289" s="60"/>
      <x:c r="CC289" s="58"/>
      <x:c r="CD289" s="47"/>
      <x:c r="CE289" s="60"/>
      <x:c r="CF289" s="58"/>
      <x:c r="CG289" s="47"/>
      <x:c r="CH289" s="60"/>
      <x:c r="CI289" s="58"/>
      <x:c r="CJ289" s="47"/>
      <x:c r="CK289" s="60"/>
      <x:c r="CL289" s="58"/>
      <x:c r="CM289" s="47"/>
      <x:c r="CN289" s="60"/>
      <x:c r="CO289" s="58"/>
      <x:c r="CP289" s="47"/>
      <x:c r="CQ289" s="60"/>
      <x:c r="CR289" s="58"/>
      <x:c r="CS289" s="47"/>
      <x:c r="CT289" s="60"/>
      <x:c r="CU289" s="58"/>
      <x:c r="CV289" s="47"/>
      <x:c r="CW289" s="60"/>
      <x:c r="CX289" s="58"/>
      <x:c r="CY289" s="47"/>
      <x:c r="CZ289" s="60"/>
      <x:c r="DA289" s="58"/>
      <x:c r="DB289" s="47"/>
      <x:c r="DC289" s="60"/>
      <x:c r="DD289" s="58"/>
      <x:c r="DE289" s="47"/>
      <x:c r="DF289" s="60"/>
      <x:c r="DG289" s="58"/>
      <x:c r="DH289" s="47"/>
      <x:c r="DI289" s="60"/>
      <x:c r="DJ289" s="58"/>
      <x:c r="DK289" s="47"/>
      <x:c r="DL289" s="60"/>
      <x:c r="DM289" s="58"/>
      <x:c r="DN289" s="11"/>
      <x:c r="DO289" s="61"/>
      <x:c r="DP289" s="62"/>
      <x:c r="DQ289" s="11"/>
      <x:c r="DR289" s="61"/>
      <x:c r="DS289" s="62"/>
      <x:c r="DT289" s="11"/>
      <x:c r="DU289" s="61"/>
      <x:c r="DV289" s="62"/>
    </x:row>
    <x:row r="290" spans="1:126" x14ac:dyDescent="0.3">
      <x:c r="A290" s="47"/>
      <x:c r="B290" s="70"/>
      <x:c r="C290" s="70"/>
      <x:c r="D290" s="70"/>
      <x:c r="E290" s="70"/>
      <x:c r="F290" s="70"/>
      <x:c r="G290" s="70"/>
      <x:c r="H290" s="70"/>
      <x:c r="I290" s="70"/>
      <x:c r="J290" s="70"/>
      <x:c r="K290" s="190"/>
      <x:c r="L290" s="195"/>
      <x:c r="M290" s="192"/>
      <x:c r="N290" s="192"/>
      <x:c r="O290" s="69"/>
      <x:c r="P290" s="47"/>
      <x:c r="Q290" s="60"/>
      <x:c r="R290" s="58"/>
      <x:c r="S290" s="47"/>
      <x:c r="T290" s="60"/>
      <x:c r="U290" s="58"/>
      <x:c r="V290" s="47"/>
      <x:c r="W290" s="60"/>
      <x:c r="X290" s="58"/>
      <x:c r="Y290" s="47"/>
      <x:c r="Z290" s="60"/>
      <x:c r="AA290" s="58"/>
      <x:c r="AB290" s="47"/>
      <x:c r="AC290" s="60"/>
      <x:c r="AD290" s="58"/>
      <x:c r="AE290" s="47"/>
      <x:c r="AF290" s="60"/>
      <x:c r="AG290" s="58"/>
      <x:c r="AH290" s="47"/>
      <x:c r="AI290" s="60"/>
      <x:c r="AJ290" s="58"/>
      <x:c r="AK290" s="47"/>
      <x:c r="AL290" s="60"/>
      <x:c r="AM290" s="58"/>
      <x:c r="AN290" s="47"/>
      <x:c r="AO290" s="60"/>
      <x:c r="AP290" s="58"/>
      <x:c r="AQ290" s="47"/>
      <x:c r="AR290" s="60"/>
      <x:c r="AS290" s="58"/>
      <x:c r="AT290" s="47"/>
      <x:c r="AU290" s="60"/>
      <x:c r="AV290" s="58"/>
      <x:c r="AW290" s="47"/>
      <x:c r="AX290" s="60"/>
      <x:c r="AY290" s="58"/>
      <x:c r="AZ290" s="47"/>
      <x:c r="BA290" s="60"/>
      <x:c r="BB290" s="58"/>
      <x:c r="BC290" s="47"/>
      <x:c r="BD290" s="60"/>
      <x:c r="BE290" s="58"/>
      <x:c r="BF290" s="47"/>
      <x:c r="BG290" s="60"/>
      <x:c r="BH290" s="58"/>
      <x:c r="BI290" s="47"/>
      <x:c r="BJ290" s="60"/>
      <x:c r="BK290" s="58"/>
      <x:c r="BL290" s="47"/>
      <x:c r="BM290" s="60"/>
      <x:c r="BN290" s="58"/>
      <x:c r="BO290" s="47"/>
      <x:c r="BP290" s="60"/>
      <x:c r="BQ290" s="58"/>
      <x:c r="BR290" s="47"/>
      <x:c r="BS290" s="60"/>
      <x:c r="BT290" s="58"/>
      <x:c r="BU290" s="47"/>
      <x:c r="BV290" s="60"/>
      <x:c r="BW290" s="58"/>
      <x:c r="BX290" s="47"/>
      <x:c r="BY290" s="60"/>
      <x:c r="BZ290" s="58"/>
      <x:c r="CA290" s="47"/>
      <x:c r="CB290" s="60"/>
      <x:c r="CC290" s="58"/>
      <x:c r="CD290" s="47"/>
      <x:c r="CE290" s="60"/>
      <x:c r="CF290" s="58"/>
      <x:c r="CG290" s="47"/>
      <x:c r="CH290" s="60"/>
      <x:c r="CI290" s="58"/>
      <x:c r="CJ290" s="47"/>
      <x:c r="CK290" s="60"/>
      <x:c r="CL290" s="58"/>
      <x:c r="CM290" s="47"/>
      <x:c r="CN290" s="60"/>
      <x:c r="CO290" s="58"/>
      <x:c r="CP290" s="47"/>
      <x:c r="CQ290" s="60"/>
      <x:c r="CR290" s="58"/>
      <x:c r="CS290" s="47"/>
      <x:c r="CT290" s="60"/>
      <x:c r="CU290" s="58"/>
      <x:c r="CV290" s="47"/>
      <x:c r="CW290" s="60"/>
      <x:c r="CX290" s="58"/>
      <x:c r="CY290" s="47"/>
      <x:c r="CZ290" s="60"/>
      <x:c r="DA290" s="58"/>
      <x:c r="DB290" s="47"/>
      <x:c r="DC290" s="60"/>
      <x:c r="DD290" s="58"/>
      <x:c r="DE290" s="47"/>
      <x:c r="DF290" s="60"/>
      <x:c r="DG290" s="58"/>
      <x:c r="DH290" s="47"/>
      <x:c r="DI290" s="60"/>
      <x:c r="DJ290" s="58"/>
      <x:c r="DK290" s="47"/>
      <x:c r="DL290" s="60"/>
      <x:c r="DM290" s="58"/>
      <x:c r="DN290" s="11"/>
      <x:c r="DO290" s="61"/>
      <x:c r="DP290" s="62"/>
      <x:c r="DQ290" s="11"/>
      <x:c r="DR290" s="61"/>
      <x:c r="DS290" s="62"/>
      <x:c r="DT290" s="11"/>
      <x:c r="DU290" s="61"/>
      <x:c r="DV290" s="62"/>
    </x:row>
    <x:row r="291" spans="1:126" x14ac:dyDescent="0.3">
      <x:c r="A291" s="47"/>
      <x:c r="B291" s="70"/>
      <x:c r="C291" s="70"/>
      <x:c r="D291" s="70"/>
      <x:c r="E291" s="70"/>
      <x:c r="F291" s="70"/>
      <x:c r="G291" s="70"/>
      <x:c r="H291" s="70"/>
      <x:c r="I291" s="70"/>
      <x:c r="J291" s="70"/>
      <x:c r="K291" s="190"/>
      <x:c r="L291" s="195"/>
      <x:c r="M291" s="192"/>
      <x:c r="N291" s="192"/>
      <x:c r="O291" s="69"/>
      <x:c r="P291" s="47"/>
      <x:c r="Q291" s="60"/>
      <x:c r="R291" s="58"/>
      <x:c r="S291" s="47"/>
      <x:c r="T291" s="60"/>
      <x:c r="U291" s="58"/>
      <x:c r="V291" s="47"/>
      <x:c r="W291" s="60"/>
      <x:c r="X291" s="58"/>
      <x:c r="Y291" s="47"/>
      <x:c r="Z291" s="60"/>
      <x:c r="AA291" s="58"/>
      <x:c r="AB291" s="47"/>
      <x:c r="AC291" s="60"/>
      <x:c r="AD291" s="58"/>
      <x:c r="AE291" s="47"/>
      <x:c r="AF291" s="60"/>
      <x:c r="AG291" s="58"/>
      <x:c r="AH291" s="47"/>
      <x:c r="AI291" s="60"/>
      <x:c r="AJ291" s="58"/>
      <x:c r="AK291" s="47"/>
      <x:c r="AL291" s="60"/>
      <x:c r="AM291" s="58"/>
      <x:c r="AN291" s="47"/>
      <x:c r="AO291" s="60"/>
      <x:c r="AP291" s="58"/>
      <x:c r="AQ291" s="47"/>
      <x:c r="AR291" s="60"/>
      <x:c r="AS291" s="58"/>
      <x:c r="AT291" s="47"/>
      <x:c r="AU291" s="60"/>
      <x:c r="AV291" s="58"/>
      <x:c r="AW291" s="47"/>
      <x:c r="AX291" s="60"/>
      <x:c r="AY291" s="58"/>
      <x:c r="AZ291" s="47"/>
      <x:c r="BA291" s="60"/>
      <x:c r="BB291" s="58"/>
      <x:c r="BC291" s="47"/>
      <x:c r="BD291" s="60"/>
      <x:c r="BE291" s="58"/>
      <x:c r="BF291" s="47"/>
      <x:c r="BG291" s="60"/>
      <x:c r="BH291" s="58"/>
      <x:c r="BI291" s="47"/>
      <x:c r="BJ291" s="60"/>
      <x:c r="BK291" s="58"/>
      <x:c r="BL291" s="47"/>
      <x:c r="BM291" s="60"/>
      <x:c r="BN291" s="58"/>
      <x:c r="BO291" s="47"/>
      <x:c r="BP291" s="60"/>
      <x:c r="BQ291" s="58"/>
      <x:c r="BR291" s="47"/>
      <x:c r="BS291" s="60"/>
      <x:c r="BT291" s="58"/>
      <x:c r="BU291" s="47"/>
      <x:c r="BV291" s="60"/>
      <x:c r="BW291" s="58"/>
      <x:c r="BX291" s="47"/>
      <x:c r="BY291" s="60"/>
      <x:c r="BZ291" s="58"/>
      <x:c r="CA291" s="47"/>
      <x:c r="CB291" s="60"/>
      <x:c r="CC291" s="58"/>
      <x:c r="CD291" s="47"/>
      <x:c r="CE291" s="60"/>
      <x:c r="CF291" s="58"/>
      <x:c r="CG291" s="47"/>
      <x:c r="CH291" s="60"/>
      <x:c r="CI291" s="58"/>
      <x:c r="CJ291" s="47"/>
      <x:c r="CK291" s="60"/>
      <x:c r="CL291" s="58"/>
      <x:c r="CM291" s="47"/>
      <x:c r="CN291" s="60"/>
      <x:c r="CO291" s="58"/>
      <x:c r="CP291" s="47"/>
      <x:c r="CQ291" s="60"/>
      <x:c r="CR291" s="58"/>
      <x:c r="CS291" s="47"/>
      <x:c r="CT291" s="60"/>
      <x:c r="CU291" s="58"/>
      <x:c r="CV291" s="47"/>
      <x:c r="CW291" s="60"/>
      <x:c r="CX291" s="58"/>
      <x:c r="CY291" s="47"/>
      <x:c r="CZ291" s="60"/>
      <x:c r="DA291" s="58"/>
      <x:c r="DB291" s="47"/>
      <x:c r="DC291" s="60"/>
      <x:c r="DD291" s="58"/>
      <x:c r="DE291" s="47"/>
      <x:c r="DF291" s="60"/>
      <x:c r="DG291" s="58"/>
      <x:c r="DH291" s="47"/>
      <x:c r="DI291" s="60"/>
      <x:c r="DJ291" s="58"/>
      <x:c r="DK291" s="47"/>
      <x:c r="DL291" s="60"/>
      <x:c r="DM291" s="58"/>
      <x:c r="DN291" s="11"/>
      <x:c r="DO291" s="61"/>
      <x:c r="DP291" s="62"/>
      <x:c r="DQ291" s="11"/>
      <x:c r="DR291" s="61"/>
      <x:c r="DS291" s="62"/>
      <x:c r="DT291" s="11"/>
      <x:c r="DU291" s="61"/>
      <x:c r="DV291" s="62"/>
    </x:row>
    <x:row r="292" spans="1:126" x14ac:dyDescent="0.3">
      <x:c r="A292" s="47"/>
      <x:c r="B292" s="70"/>
      <x:c r="C292" s="70"/>
      <x:c r="D292" s="70"/>
      <x:c r="E292" s="70"/>
      <x:c r="F292" s="70"/>
      <x:c r="G292" s="70"/>
      <x:c r="H292" s="70"/>
      <x:c r="I292" s="70"/>
      <x:c r="J292" s="70"/>
      <x:c r="K292" s="190"/>
      <x:c r="L292" s="195"/>
      <x:c r="M292" s="192"/>
      <x:c r="N292" s="192"/>
      <x:c r="O292" s="69"/>
      <x:c r="P292" s="47"/>
      <x:c r="Q292" s="60"/>
      <x:c r="R292" s="58"/>
      <x:c r="S292" s="47"/>
      <x:c r="T292" s="60"/>
      <x:c r="U292" s="58"/>
      <x:c r="V292" s="47"/>
      <x:c r="W292" s="60"/>
      <x:c r="X292" s="58"/>
      <x:c r="Y292" s="47"/>
      <x:c r="Z292" s="60"/>
      <x:c r="AA292" s="58"/>
      <x:c r="AB292" s="47"/>
      <x:c r="AC292" s="60"/>
      <x:c r="AD292" s="58"/>
      <x:c r="AE292" s="47"/>
      <x:c r="AF292" s="60"/>
      <x:c r="AG292" s="58"/>
      <x:c r="AH292" s="47"/>
      <x:c r="AI292" s="60"/>
      <x:c r="AJ292" s="58"/>
      <x:c r="AK292" s="47"/>
      <x:c r="AL292" s="60"/>
      <x:c r="AM292" s="58"/>
      <x:c r="AN292" s="47"/>
      <x:c r="AO292" s="60"/>
      <x:c r="AP292" s="58"/>
      <x:c r="AQ292" s="47"/>
      <x:c r="AR292" s="60"/>
      <x:c r="AS292" s="58"/>
      <x:c r="AT292" s="47"/>
      <x:c r="AU292" s="60"/>
      <x:c r="AV292" s="58"/>
      <x:c r="AW292" s="47"/>
      <x:c r="AX292" s="60"/>
      <x:c r="AY292" s="58"/>
      <x:c r="AZ292" s="47"/>
      <x:c r="BA292" s="60"/>
      <x:c r="BB292" s="58"/>
      <x:c r="BC292" s="47"/>
      <x:c r="BD292" s="60"/>
      <x:c r="BE292" s="58"/>
      <x:c r="BF292" s="47"/>
      <x:c r="BG292" s="60"/>
      <x:c r="BH292" s="58"/>
      <x:c r="BI292" s="47"/>
      <x:c r="BJ292" s="60"/>
      <x:c r="BK292" s="58"/>
      <x:c r="BL292" s="47"/>
      <x:c r="BM292" s="60"/>
      <x:c r="BN292" s="58"/>
      <x:c r="BO292" s="47"/>
      <x:c r="BP292" s="60"/>
      <x:c r="BQ292" s="58"/>
      <x:c r="BR292" s="47"/>
      <x:c r="BS292" s="60"/>
      <x:c r="BT292" s="58"/>
      <x:c r="BU292" s="47"/>
      <x:c r="BV292" s="60"/>
      <x:c r="BW292" s="58"/>
      <x:c r="BX292" s="47"/>
      <x:c r="BY292" s="60"/>
      <x:c r="BZ292" s="58"/>
      <x:c r="CA292" s="47"/>
      <x:c r="CB292" s="60"/>
      <x:c r="CC292" s="58"/>
      <x:c r="CD292" s="47"/>
      <x:c r="CE292" s="60"/>
      <x:c r="CF292" s="58"/>
      <x:c r="CG292" s="47"/>
      <x:c r="CH292" s="60"/>
      <x:c r="CI292" s="58"/>
      <x:c r="CJ292" s="47"/>
      <x:c r="CK292" s="60"/>
      <x:c r="CL292" s="58"/>
      <x:c r="CM292" s="47"/>
      <x:c r="CN292" s="60"/>
      <x:c r="CO292" s="58"/>
      <x:c r="CP292" s="47"/>
      <x:c r="CQ292" s="60"/>
      <x:c r="CR292" s="58"/>
      <x:c r="CS292" s="47"/>
      <x:c r="CT292" s="60"/>
      <x:c r="CU292" s="58"/>
      <x:c r="CV292" s="47"/>
      <x:c r="CW292" s="60"/>
      <x:c r="CX292" s="58"/>
      <x:c r="CY292" s="47"/>
      <x:c r="CZ292" s="60"/>
      <x:c r="DA292" s="58"/>
      <x:c r="DB292" s="47"/>
      <x:c r="DC292" s="60"/>
      <x:c r="DD292" s="58"/>
      <x:c r="DE292" s="47"/>
      <x:c r="DF292" s="60"/>
      <x:c r="DG292" s="58"/>
      <x:c r="DH292" s="47"/>
      <x:c r="DI292" s="60"/>
      <x:c r="DJ292" s="58"/>
      <x:c r="DK292" s="47"/>
      <x:c r="DL292" s="60"/>
      <x:c r="DM292" s="58"/>
      <x:c r="DN292" s="11"/>
      <x:c r="DO292" s="61"/>
      <x:c r="DP292" s="62"/>
      <x:c r="DQ292" s="11"/>
      <x:c r="DR292" s="61"/>
      <x:c r="DS292" s="62"/>
      <x:c r="DT292" s="11"/>
      <x:c r="DU292" s="61"/>
      <x:c r="DV292" s="62"/>
    </x:row>
    <x:row r="293" spans="1:126" x14ac:dyDescent="0.3">
      <x:c r="A293" s="47"/>
      <x:c r="B293" s="70"/>
      <x:c r="C293" s="70"/>
      <x:c r="D293" s="70"/>
      <x:c r="E293" s="70"/>
      <x:c r="F293" s="70"/>
      <x:c r="G293" s="70"/>
      <x:c r="H293" s="70"/>
      <x:c r="I293" s="70"/>
      <x:c r="J293" s="70"/>
      <x:c r="K293" s="190"/>
      <x:c r="L293" s="195"/>
      <x:c r="M293" s="192"/>
      <x:c r="N293" s="192"/>
      <x:c r="O293" s="69"/>
      <x:c r="P293" s="47"/>
      <x:c r="Q293" s="60"/>
      <x:c r="R293" s="58"/>
      <x:c r="S293" s="47"/>
      <x:c r="T293" s="60"/>
      <x:c r="U293" s="58"/>
      <x:c r="V293" s="47"/>
      <x:c r="W293" s="60"/>
      <x:c r="X293" s="58"/>
      <x:c r="Y293" s="47"/>
      <x:c r="Z293" s="60"/>
      <x:c r="AA293" s="58"/>
      <x:c r="AB293" s="47"/>
      <x:c r="AC293" s="60"/>
      <x:c r="AD293" s="58"/>
      <x:c r="AE293" s="47"/>
      <x:c r="AF293" s="60"/>
      <x:c r="AG293" s="58"/>
      <x:c r="AH293" s="47"/>
      <x:c r="AI293" s="60"/>
      <x:c r="AJ293" s="58"/>
      <x:c r="AK293" s="47"/>
      <x:c r="AL293" s="60"/>
      <x:c r="AM293" s="58"/>
      <x:c r="AN293" s="47"/>
      <x:c r="AO293" s="60"/>
      <x:c r="AP293" s="58"/>
      <x:c r="AQ293" s="47"/>
      <x:c r="AR293" s="60"/>
      <x:c r="AS293" s="58"/>
      <x:c r="AT293" s="47"/>
      <x:c r="AU293" s="60"/>
      <x:c r="AV293" s="58"/>
      <x:c r="AW293" s="47"/>
      <x:c r="AX293" s="60"/>
      <x:c r="AY293" s="58"/>
      <x:c r="AZ293" s="47"/>
      <x:c r="BA293" s="60"/>
      <x:c r="BB293" s="58"/>
      <x:c r="BC293" s="47"/>
      <x:c r="BD293" s="60"/>
      <x:c r="BE293" s="58"/>
      <x:c r="BF293" s="47"/>
      <x:c r="BG293" s="60"/>
      <x:c r="BH293" s="58"/>
      <x:c r="BI293" s="47"/>
      <x:c r="BJ293" s="60"/>
      <x:c r="BK293" s="58"/>
      <x:c r="BL293" s="47"/>
      <x:c r="BM293" s="60"/>
      <x:c r="BN293" s="58"/>
      <x:c r="BO293" s="47"/>
      <x:c r="BP293" s="60"/>
      <x:c r="BQ293" s="58"/>
      <x:c r="BR293" s="47"/>
      <x:c r="BS293" s="60"/>
      <x:c r="BT293" s="58"/>
      <x:c r="BU293" s="47"/>
      <x:c r="BV293" s="60"/>
      <x:c r="BW293" s="58"/>
      <x:c r="BX293" s="47"/>
      <x:c r="BY293" s="60"/>
      <x:c r="BZ293" s="58"/>
      <x:c r="CA293" s="47"/>
      <x:c r="CB293" s="60"/>
      <x:c r="CC293" s="58"/>
      <x:c r="CD293" s="47"/>
      <x:c r="CE293" s="60"/>
      <x:c r="CF293" s="58"/>
      <x:c r="CG293" s="47"/>
      <x:c r="CH293" s="60"/>
      <x:c r="CI293" s="58"/>
      <x:c r="CJ293" s="47"/>
      <x:c r="CK293" s="60"/>
      <x:c r="CL293" s="58"/>
      <x:c r="CM293" s="47"/>
      <x:c r="CN293" s="60"/>
      <x:c r="CO293" s="58"/>
      <x:c r="CP293" s="47"/>
      <x:c r="CQ293" s="60"/>
      <x:c r="CR293" s="58"/>
      <x:c r="CS293" s="47"/>
      <x:c r="CT293" s="60"/>
      <x:c r="CU293" s="58"/>
      <x:c r="CV293" s="47"/>
      <x:c r="CW293" s="60"/>
      <x:c r="CX293" s="58"/>
      <x:c r="CY293" s="47"/>
      <x:c r="CZ293" s="60"/>
      <x:c r="DA293" s="58"/>
      <x:c r="DB293" s="47"/>
      <x:c r="DC293" s="60"/>
      <x:c r="DD293" s="58"/>
      <x:c r="DE293" s="47"/>
      <x:c r="DF293" s="60"/>
      <x:c r="DG293" s="58"/>
      <x:c r="DH293" s="47"/>
      <x:c r="DI293" s="60"/>
      <x:c r="DJ293" s="58"/>
      <x:c r="DK293" s="47"/>
      <x:c r="DL293" s="60"/>
      <x:c r="DM293" s="58"/>
      <x:c r="DN293" s="11"/>
      <x:c r="DO293" s="61"/>
      <x:c r="DP293" s="62"/>
      <x:c r="DQ293" s="11"/>
      <x:c r="DR293" s="61"/>
      <x:c r="DS293" s="62"/>
      <x:c r="DT293" s="11"/>
      <x:c r="DU293" s="61"/>
      <x:c r="DV293" s="62"/>
    </x:row>
    <x:row r="294" spans="1:126" x14ac:dyDescent="0.3">
      <x:c r="A294" s="47"/>
      <x:c r="B294" s="70"/>
      <x:c r="C294" s="70"/>
      <x:c r="D294" s="70"/>
      <x:c r="E294" s="70"/>
      <x:c r="F294" s="70"/>
      <x:c r="G294" s="70"/>
      <x:c r="H294" s="70"/>
      <x:c r="I294" s="70"/>
      <x:c r="J294" s="70"/>
      <x:c r="K294" s="190"/>
      <x:c r="L294" s="195"/>
      <x:c r="M294" s="192"/>
      <x:c r="N294" s="192"/>
      <x:c r="O294" s="69"/>
      <x:c r="P294" s="47"/>
      <x:c r="Q294" s="60"/>
      <x:c r="R294" s="58"/>
      <x:c r="S294" s="47"/>
      <x:c r="T294" s="60"/>
      <x:c r="U294" s="58"/>
      <x:c r="V294" s="47"/>
      <x:c r="W294" s="60"/>
      <x:c r="X294" s="58"/>
      <x:c r="Y294" s="47"/>
      <x:c r="Z294" s="60"/>
      <x:c r="AA294" s="58"/>
      <x:c r="AB294" s="47"/>
      <x:c r="AC294" s="60"/>
      <x:c r="AD294" s="58"/>
      <x:c r="AE294" s="47"/>
      <x:c r="AF294" s="60"/>
      <x:c r="AG294" s="58"/>
      <x:c r="AH294" s="47"/>
      <x:c r="AI294" s="60"/>
      <x:c r="AJ294" s="58"/>
      <x:c r="AK294" s="47"/>
      <x:c r="AL294" s="60"/>
      <x:c r="AM294" s="58"/>
      <x:c r="AN294" s="47"/>
      <x:c r="AO294" s="60"/>
      <x:c r="AP294" s="58"/>
      <x:c r="AQ294" s="47"/>
      <x:c r="AR294" s="60"/>
      <x:c r="AS294" s="58"/>
      <x:c r="AT294" s="47"/>
      <x:c r="AU294" s="60"/>
      <x:c r="AV294" s="58"/>
      <x:c r="AW294" s="47"/>
      <x:c r="AX294" s="60"/>
      <x:c r="AY294" s="58"/>
      <x:c r="AZ294" s="47"/>
      <x:c r="BA294" s="60"/>
      <x:c r="BB294" s="58"/>
      <x:c r="BC294" s="47"/>
      <x:c r="BD294" s="60"/>
      <x:c r="BE294" s="58"/>
      <x:c r="BF294" s="47"/>
      <x:c r="BG294" s="60"/>
      <x:c r="BH294" s="58"/>
      <x:c r="BI294" s="47"/>
      <x:c r="BJ294" s="60"/>
      <x:c r="BK294" s="58"/>
      <x:c r="BL294" s="47"/>
      <x:c r="BM294" s="60"/>
      <x:c r="BN294" s="58"/>
      <x:c r="BO294" s="47"/>
      <x:c r="BP294" s="60"/>
      <x:c r="BQ294" s="58"/>
      <x:c r="BR294" s="47"/>
      <x:c r="BS294" s="60"/>
      <x:c r="BT294" s="58"/>
      <x:c r="BU294" s="47"/>
      <x:c r="BV294" s="60"/>
      <x:c r="BW294" s="58"/>
      <x:c r="BX294" s="47"/>
      <x:c r="BY294" s="60"/>
      <x:c r="BZ294" s="58"/>
      <x:c r="CA294" s="47"/>
      <x:c r="CB294" s="60"/>
      <x:c r="CC294" s="58"/>
      <x:c r="CD294" s="47"/>
      <x:c r="CE294" s="60"/>
      <x:c r="CF294" s="58"/>
      <x:c r="CG294" s="47"/>
      <x:c r="CH294" s="60"/>
      <x:c r="CI294" s="58"/>
      <x:c r="CJ294" s="47"/>
      <x:c r="CK294" s="60"/>
      <x:c r="CL294" s="58"/>
      <x:c r="CM294" s="47"/>
      <x:c r="CN294" s="60"/>
      <x:c r="CO294" s="58"/>
      <x:c r="CP294" s="47"/>
      <x:c r="CQ294" s="60"/>
      <x:c r="CR294" s="58"/>
      <x:c r="CS294" s="47"/>
      <x:c r="CT294" s="60"/>
      <x:c r="CU294" s="58"/>
      <x:c r="CV294" s="47"/>
      <x:c r="CW294" s="60"/>
      <x:c r="CX294" s="58"/>
      <x:c r="CY294" s="47"/>
      <x:c r="CZ294" s="60"/>
      <x:c r="DA294" s="58"/>
      <x:c r="DB294" s="47"/>
      <x:c r="DC294" s="60"/>
      <x:c r="DD294" s="58"/>
      <x:c r="DE294" s="47"/>
      <x:c r="DF294" s="60"/>
      <x:c r="DG294" s="58"/>
      <x:c r="DH294" s="47"/>
      <x:c r="DI294" s="60"/>
      <x:c r="DJ294" s="58"/>
      <x:c r="DK294" s="47"/>
      <x:c r="DL294" s="60"/>
      <x:c r="DM294" s="58"/>
      <x:c r="DN294" s="11"/>
      <x:c r="DO294" s="61"/>
      <x:c r="DP294" s="62"/>
      <x:c r="DQ294" s="11"/>
      <x:c r="DR294" s="61"/>
      <x:c r="DS294" s="62"/>
      <x:c r="DT294" s="11"/>
      <x:c r="DU294" s="61"/>
      <x:c r="DV294" s="62"/>
    </x:row>
    <x:row r="295" spans="1:126" x14ac:dyDescent="0.3">
      <x:c r="A295" s="47"/>
      <x:c r="B295" s="70"/>
      <x:c r="C295" s="70"/>
      <x:c r="D295" s="70"/>
      <x:c r="E295" s="70"/>
      <x:c r="F295" s="70"/>
      <x:c r="G295" s="70"/>
      <x:c r="H295" s="70"/>
      <x:c r="I295" s="70"/>
      <x:c r="J295" s="70"/>
      <x:c r="K295" s="190"/>
      <x:c r="L295" s="195"/>
      <x:c r="M295" s="192"/>
      <x:c r="N295" s="192"/>
      <x:c r="O295" s="69"/>
      <x:c r="P295" s="47"/>
      <x:c r="Q295" s="60"/>
      <x:c r="R295" s="58"/>
      <x:c r="S295" s="47"/>
      <x:c r="T295" s="60"/>
      <x:c r="U295" s="58"/>
      <x:c r="V295" s="47"/>
      <x:c r="W295" s="60"/>
      <x:c r="X295" s="58"/>
      <x:c r="Y295" s="47"/>
      <x:c r="Z295" s="60"/>
      <x:c r="AA295" s="58"/>
      <x:c r="AB295" s="47"/>
      <x:c r="AC295" s="60"/>
      <x:c r="AD295" s="58"/>
      <x:c r="AE295" s="47"/>
      <x:c r="AF295" s="60"/>
      <x:c r="AG295" s="58"/>
      <x:c r="AH295" s="47"/>
      <x:c r="AI295" s="60"/>
      <x:c r="AJ295" s="58"/>
      <x:c r="AK295" s="47"/>
      <x:c r="AL295" s="60"/>
      <x:c r="AM295" s="58"/>
      <x:c r="AN295" s="47"/>
      <x:c r="AO295" s="60"/>
      <x:c r="AP295" s="58"/>
      <x:c r="AQ295" s="47"/>
      <x:c r="AR295" s="60"/>
      <x:c r="AS295" s="58"/>
      <x:c r="AT295" s="47"/>
      <x:c r="AU295" s="60"/>
      <x:c r="AV295" s="58"/>
      <x:c r="AW295" s="47"/>
      <x:c r="AX295" s="60"/>
      <x:c r="AY295" s="58"/>
      <x:c r="AZ295" s="47"/>
      <x:c r="BA295" s="60"/>
      <x:c r="BB295" s="58"/>
      <x:c r="BC295" s="47"/>
      <x:c r="BD295" s="60"/>
      <x:c r="BE295" s="58"/>
      <x:c r="BF295" s="47"/>
      <x:c r="BG295" s="60"/>
      <x:c r="BH295" s="58"/>
      <x:c r="BI295" s="47"/>
      <x:c r="BJ295" s="60"/>
      <x:c r="BK295" s="58"/>
      <x:c r="BL295" s="47"/>
      <x:c r="BM295" s="60"/>
      <x:c r="BN295" s="58"/>
      <x:c r="BO295" s="47"/>
      <x:c r="BP295" s="60"/>
      <x:c r="BQ295" s="58"/>
      <x:c r="BR295" s="47"/>
      <x:c r="BS295" s="60"/>
      <x:c r="BT295" s="58"/>
      <x:c r="BU295" s="47"/>
      <x:c r="BV295" s="60"/>
      <x:c r="BW295" s="58"/>
      <x:c r="BX295" s="47"/>
      <x:c r="BY295" s="60"/>
      <x:c r="BZ295" s="58"/>
      <x:c r="CA295" s="47"/>
      <x:c r="CB295" s="60"/>
      <x:c r="CC295" s="58"/>
      <x:c r="CD295" s="47"/>
      <x:c r="CE295" s="60"/>
      <x:c r="CF295" s="58"/>
      <x:c r="CG295" s="47"/>
      <x:c r="CH295" s="60"/>
      <x:c r="CI295" s="58"/>
      <x:c r="CJ295" s="47"/>
      <x:c r="CK295" s="60"/>
      <x:c r="CL295" s="58"/>
      <x:c r="CM295" s="47"/>
      <x:c r="CN295" s="60"/>
      <x:c r="CO295" s="58"/>
      <x:c r="CP295" s="47"/>
      <x:c r="CQ295" s="60"/>
      <x:c r="CR295" s="58"/>
      <x:c r="CS295" s="47"/>
      <x:c r="CT295" s="60"/>
      <x:c r="CU295" s="58"/>
      <x:c r="CV295" s="47"/>
      <x:c r="CW295" s="60"/>
      <x:c r="CX295" s="58"/>
      <x:c r="CY295" s="47"/>
      <x:c r="CZ295" s="60"/>
      <x:c r="DA295" s="58"/>
      <x:c r="DB295" s="47"/>
      <x:c r="DC295" s="60"/>
      <x:c r="DD295" s="58"/>
      <x:c r="DE295" s="47"/>
      <x:c r="DF295" s="60"/>
      <x:c r="DG295" s="58"/>
      <x:c r="DH295" s="47"/>
      <x:c r="DI295" s="60"/>
      <x:c r="DJ295" s="58"/>
      <x:c r="DK295" s="47"/>
      <x:c r="DL295" s="60"/>
      <x:c r="DM295" s="58"/>
      <x:c r="DN295" s="11"/>
      <x:c r="DO295" s="61"/>
      <x:c r="DP295" s="62"/>
      <x:c r="DQ295" s="11"/>
      <x:c r="DR295" s="61"/>
      <x:c r="DS295" s="62"/>
      <x:c r="DT295" s="11"/>
      <x:c r="DU295" s="61"/>
      <x:c r="DV295" s="62"/>
    </x:row>
    <x:row r="296" spans="1:126" x14ac:dyDescent="0.3">
      <x:c r="A296" s="47"/>
      <x:c r="B296" s="70"/>
      <x:c r="C296" s="70"/>
      <x:c r="D296" s="70"/>
      <x:c r="E296" s="70"/>
      <x:c r="F296" s="70"/>
      <x:c r="G296" s="70"/>
      <x:c r="H296" s="70"/>
      <x:c r="I296" s="70"/>
      <x:c r="J296" s="70"/>
      <x:c r="K296" s="190"/>
      <x:c r="L296" s="195"/>
      <x:c r="M296" s="192"/>
      <x:c r="N296" s="192"/>
      <x:c r="O296" s="69"/>
      <x:c r="P296" s="47"/>
      <x:c r="Q296" s="60"/>
      <x:c r="R296" s="58"/>
      <x:c r="S296" s="47"/>
      <x:c r="T296" s="60"/>
      <x:c r="U296" s="58"/>
      <x:c r="V296" s="47"/>
      <x:c r="W296" s="60"/>
      <x:c r="X296" s="58"/>
      <x:c r="Y296" s="47"/>
      <x:c r="Z296" s="60"/>
      <x:c r="AA296" s="58"/>
      <x:c r="AB296" s="47"/>
      <x:c r="AC296" s="60"/>
      <x:c r="AD296" s="58"/>
      <x:c r="AE296" s="47"/>
      <x:c r="AF296" s="60"/>
      <x:c r="AG296" s="58"/>
      <x:c r="AH296" s="47"/>
      <x:c r="AI296" s="60"/>
      <x:c r="AJ296" s="58"/>
      <x:c r="AK296" s="47"/>
      <x:c r="AL296" s="60"/>
      <x:c r="AM296" s="58"/>
      <x:c r="AN296" s="47"/>
      <x:c r="AO296" s="60"/>
      <x:c r="AP296" s="58"/>
      <x:c r="AQ296" s="47"/>
      <x:c r="AR296" s="60"/>
      <x:c r="AS296" s="58"/>
      <x:c r="AT296" s="47"/>
      <x:c r="AU296" s="60"/>
      <x:c r="AV296" s="58"/>
      <x:c r="AW296" s="47"/>
      <x:c r="AX296" s="60"/>
      <x:c r="AY296" s="58"/>
      <x:c r="AZ296" s="47"/>
      <x:c r="BA296" s="60"/>
      <x:c r="BB296" s="58"/>
      <x:c r="BC296" s="47"/>
      <x:c r="BD296" s="60"/>
      <x:c r="BE296" s="58"/>
      <x:c r="BF296" s="47"/>
      <x:c r="BG296" s="60"/>
      <x:c r="BH296" s="58"/>
      <x:c r="BI296" s="47"/>
      <x:c r="BJ296" s="60"/>
      <x:c r="BK296" s="58"/>
      <x:c r="BL296" s="47"/>
      <x:c r="BM296" s="60"/>
      <x:c r="BN296" s="58"/>
      <x:c r="BO296" s="47"/>
      <x:c r="BP296" s="60"/>
      <x:c r="BQ296" s="58"/>
      <x:c r="BR296" s="47"/>
      <x:c r="BS296" s="60"/>
      <x:c r="BT296" s="58"/>
      <x:c r="BU296" s="47"/>
      <x:c r="BV296" s="60"/>
      <x:c r="BW296" s="58"/>
      <x:c r="BX296" s="47"/>
      <x:c r="BY296" s="60"/>
      <x:c r="BZ296" s="58"/>
      <x:c r="CA296" s="47"/>
      <x:c r="CB296" s="60"/>
      <x:c r="CC296" s="58"/>
      <x:c r="CD296" s="47"/>
      <x:c r="CE296" s="60"/>
      <x:c r="CF296" s="58"/>
      <x:c r="CG296" s="47"/>
      <x:c r="CH296" s="60"/>
      <x:c r="CI296" s="58"/>
      <x:c r="CJ296" s="47"/>
      <x:c r="CK296" s="60"/>
      <x:c r="CL296" s="58"/>
      <x:c r="CM296" s="47"/>
      <x:c r="CN296" s="60"/>
      <x:c r="CO296" s="58"/>
      <x:c r="CP296" s="47"/>
      <x:c r="CQ296" s="60"/>
      <x:c r="CR296" s="58"/>
      <x:c r="CS296" s="47"/>
      <x:c r="CT296" s="60"/>
      <x:c r="CU296" s="58"/>
      <x:c r="CV296" s="47"/>
      <x:c r="CW296" s="60"/>
      <x:c r="CX296" s="58"/>
      <x:c r="CY296" s="47"/>
      <x:c r="CZ296" s="60"/>
      <x:c r="DA296" s="58"/>
      <x:c r="DB296" s="47"/>
      <x:c r="DC296" s="60"/>
      <x:c r="DD296" s="58"/>
      <x:c r="DE296" s="47"/>
      <x:c r="DF296" s="60"/>
      <x:c r="DG296" s="58"/>
      <x:c r="DH296" s="47"/>
      <x:c r="DI296" s="60"/>
      <x:c r="DJ296" s="58"/>
      <x:c r="DK296" s="47"/>
      <x:c r="DL296" s="60"/>
      <x:c r="DM296" s="58"/>
      <x:c r="DN296" s="11"/>
      <x:c r="DO296" s="61"/>
      <x:c r="DP296" s="62"/>
      <x:c r="DQ296" s="11"/>
      <x:c r="DR296" s="61"/>
      <x:c r="DS296" s="62"/>
      <x:c r="DT296" s="11"/>
      <x:c r="DU296" s="61"/>
      <x:c r="DV296" s="62"/>
    </x:row>
    <x:row r="297" spans="1:126" x14ac:dyDescent="0.3">
      <x:c r="A297" s="47"/>
      <x:c r="B297" s="70"/>
      <x:c r="C297" s="70"/>
      <x:c r="D297" s="70"/>
      <x:c r="E297" s="70"/>
      <x:c r="F297" s="70"/>
      <x:c r="G297" s="70"/>
      <x:c r="H297" s="70"/>
      <x:c r="I297" s="70"/>
      <x:c r="J297" s="70"/>
      <x:c r="K297" s="190"/>
      <x:c r="L297" s="195"/>
      <x:c r="M297" s="192"/>
      <x:c r="N297" s="192"/>
      <x:c r="O297" s="69"/>
      <x:c r="P297" s="47"/>
      <x:c r="Q297" s="60"/>
      <x:c r="R297" s="58"/>
      <x:c r="S297" s="47"/>
      <x:c r="T297" s="60"/>
      <x:c r="U297" s="58"/>
      <x:c r="V297" s="47"/>
      <x:c r="W297" s="60"/>
      <x:c r="X297" s="58"/>
      <x:c r="Y297" s="47"/>
      <x:c r="Z297" s="60"/>
      <x:c r="AA297" s="58"/>
      <x:c r="AB297" s="47"/>
      <x:c r="AC297" s="60"/>
      <x:c r="AD297" s="58"/>
      <x:c r="AE297" s="47"/>
      <x:c r="AF297" s="60"/>
      <x:c r="AG297" s="58"/>
      <x:c r="AH297" s="47"/>
      <x:c r="AI297" s="60"/>
      <x:c r="AJ297" s="58"/>
      <x:c r="AK297" s="47"/>
      <x:c r="AL297" s="60"/>
      <x:c r="AM297" s="58"/>
      <x:c r="AN297" s="47"/>
      <x:c r="AO297" s="60"/>
      <x:c r="AP297" s="58"/>
      <x:c r="AQ297" s="47"/>
      <x:c r="AR297" s="60"/>
      <x:c r="AS297" s="58"/>
      <x:c r="AT297" s="47"/>
      <x:c r="AU297" s="60"/>
      <x:c r="AV297" s="58"/>
      <x:c r="AW297" s="47"/>
      <x:c r="AX297" s="60"/>
      <x:c r="AY297" s="58"/>
      <x:c r="AZ297" s="47"/>
      <x:c r="BA297" s="60"/>
      <x:c r="BB297" s="58"/>
      <x:c r="BC297" s="47"/>
      <x:c r="BD297" s="60"/>
      <x:c r="BE297" s="58"/>
      <x:c r="BF297" s="47"/>
      <x:c r="BG297" s="60"/>
      <x:c r="BH297" s="58"/>
      <x:c r="BI297" s="47"/>
      <x:c r="BJ297" s="60"/>
      <x:c r="BK297" s="58"/>
      <x:c r="BL297" s="47"/>
      <x:c r="BM297" s="60"/>
      <x:c r="BN297" s="58"/>
      <x:c r="BO297" s="47"/>
      <x:c r="BP297" s="60"/>
      <x:c r="BQ297" s="58"/>
      <x:c r="BR297" s="47"/>
      <x:c r="BS297" s="60"/>
      <x:c r="BT297" s="58"/>
      <x:c r="BU297" s="47"/>
      <x:c r="BV297" s="60"/>
      <x:c r="BW297" s="58"/>
      <x:c r="BX297" s="47"/>
      <x:c r="BY297" s="60"/>
      <x:c r="BZ297" s="58"/>
      <x:c r="CA297" s="47"/>
      <x:c r="CB297" s="60"/>
      <x:c r="CC297" s="58"/>
      <x:c r="CD297" s="47"/>
      <x:c r="CE297" s="60"/>
      <x:c r="CF297" s="58"/>
      <x:c r="CG297" s="47"/>
      <x:c r="CH297" s="60"/>
      <x:c r="CI297" s="58"/>
      <x:c r="CJ297" s="47"/>
      <x:c r="CK297" s="60"/>
      <x:c r="CL297" s="58"/>
      <x:c r="CM297" s="47"/>
      <x:c r="CN297" s="60"/>
      <x:c r="CO297" s="58"/>
      <x:c r="CP297" s="47"/>
      <x:c r="CQ297" s="60"/>
      <x:c r="CR297" s="58"/>
      <x:c r="CS297" s="47"/>
      <x:c r="CT297" s="60"/>
      <x:c r="CU297" s="58"/>
      <x:c r="CV297" s="47"/>
      <x:c r="CW297" s="60"/>
      <x:c r="CX297" s="58"/>
      <x:c r="CY297" s="47"/>
      <x:c r="CZ297" s="60"/>
      <x:c r="DA297" s="58"/>
      <x:c r="DB297" s="47"/>
      <x:c r="DC297" s="60"/>
      <x:c r="DD297" s="58"/>
      <x:c r="DE297" s="47"/>
      <x:c r="DF297" s="60"/>
      <x:c r="DG297" s="58"/>
      <x:c r="DH297" s="47"/>
      <x:c r="DI297" s="60"/>
      <x:c r="DJ297" s="58"/>
      <x:c r="DK297" s="47"/>
      <x:c r="DL297" s="60"/>
      <x:c r="DM297" s="58"/>
      <x:c r="DN297" s="11"/>
      <x:c r="DO297" s="61"/>
      <x:c r="DP297" s="62"/>
      <x:c r="DQ297" s="11"/>
      <x:c r="DR297" s="61"/>
      <x:c r="DS297" s="62"/>
      <x:c r="DT297" s="11"/>
      <x:c r="DU297" s="61"/>
      <x:c r="DV297" s="62"/>
    </x:row>
    <x:row r="298" spans="1:126" x14ac:dyDescent="0.3">
      <x:c r="A298" s="47"/>
      <x:c r="B298" s="70"/>
      <x:c r="C298" s="70"/>
      <x:c r="D298" s="70"/>
      <x:c r="E298" s="70"/>
      <x:c r="F298" s="70"/>
      <x:c r="G298" s="70"/>
      <x:c r="H298" s="70"/>
      <x:c r="I298" s="70"/>
      <x:c r="J298" s="70"/>
      <x:c r="K298" s="190"/>
      <x:c r="L298" s="195"/>
      <x:c r="M298" s="192"/>
      <x:c r="N298" s="192"/>
      <x:c r="O298" s="69"/>
      <x:c r="P298" s="47"/>
      <x:c r="Q298" s="60"/>
      <x:c r="R298" s="58"/>
      <x:c r="S298" s="47"/>
      <x:c r="T298" s="60"/>
      <x:c r="U298" s="58"/>
      <x:c r="V298" s="47"/>
      <x:c r="W298" s="60"/>
      <x:c r="X298" s="58"/>
      <x:c r="Y298" s="47"/>
      <x:c r="Z298" s="60"/>
      <x:c r="AA298" s="58"/>
      <x:c r="AB298" s="47"/>
      <x:c r="AC298" s="60"/>
      <x:c r="AD298" s="58"/>
      <x:c r="AE298" s="47"/>
      <x:c r="AF298" s="60"/>
      <x:c r="AG298" s="58"/>
      <x:c r="AH298" s="47"/>
      <x:c r="AI298" s="60"/>
      <x:c r="AJ298" s="58"/>
      <x:c r="AK298" s="47"/>
      <x:c r="AL298" s="60"/>
      <x:c r="AM298" s="58"/>
      <x:c r="AN298" s="47"/>
      <x:c r="AO298" s="60"/>
      <x:c r="AP298" s="58"/>
      <x:c r="AQ298" s="47"/>
      <x:c r="AR298" s="60"/>
      <x:c r="AS298" s="58"/>
      <x:c r="AT298" s="47"/>
      <x:c r="AU298" s="60"/>
      <x:c r="AV298" s="58"/>
      <x:c r="AW298" s="47"/>
      <x:c r="AX298" s="60"/>
      <x:c r="AY298" s="58"/>
      <x:c r="AZ298" s="47"/>
      <x:c r="BA298" s="60"/>
      <x:c r="BB298" s="58"/>
      <x:c r="BC298" s="47"/>
      <x:c r="BD298" s="60"/>
      <x:c r="BE298" s="58"/>
      <x:c r="BF298" s="47"/>
      <x:c r="BG298" s="60"/>
      <x:c r="BH298" s="58"/>
      <x:c r="BI298" s="47"/>
      <x:c r="BJ298" s="60"/>
      <x:c r="BK298" s="58"/>
      <x:c r="BL298" s="47"/>
      <x:c r="BM298" s="60"/>
      <x:c r="BN298" s="58"/>
      <x:c r="BO298" s="47"/>
      <x:c r="BP298" s="60"/>
      <x:c r="BQ298" s="58"/>
      <x:c r="BR298" s="47"/>
      <x:c r="BS298" s="60"/>
      <x:c r="BT298" s="58"/>
      <x:c r="BU298" s="47"/>
      <x:c r="BV298" s="60"/>
      <x:c r="BW298" s="58"/>
      <x:c r="BX298" s="47"/>
      <x:c r="BY298" s="60"/>
      <x:c r="BZ298" s="58"/>
      <x:c r="CA298" s="47"/>
      <x:c r="CB298" s="60"/>
      <x:c r="CC298" s="58"/>
      <x:c r="CD298" s="47"/>
      <x:c r="CE298" s="60"/>
      <x:c r="CF298" s="58"/>
      <x:c r="CG298" s="47"/>
      <x:c r="CH298" s="60"/>
      <x:c r="CI298" s="58"/>
      <x:c r="CJ298" s="47"/>
      <x:c r="CK298" s="60"/>
      <x:c r="CL298" s="58"/>
      <x:c r="CM298" s="47"/>
      <x:c r="CN298" s="60"/>
      <x:c r="CO298" s="58"/>
      <x:c r="CP298" s="47"/>
      <x:c r="CQ298" s="60"/>
      <x:c r="CR298" s="58"/>
      <x:c r="CS298" s="47"/>
      <x:c r="CT298" s="60"/>
      <x:c r="CU298" s="58"/>
      <x:c r="CV298" s="47"/>
      <x:c r="CW298" s="60"/>
      <x:c r="CX298" s="58"/>
      <x:c r="CY298" s="47"/>
      <x:c r="CZ298" s="60"/>
      <x:c r="DA298" s="58"/>
      <x:c r="DB298" s="47"/>
      <x:c r="DC298" s="60"/>
      <x:c r="DD298" s="58"/>
      <x:c r="DE298" s="47"/>
      <x:c r="DF298" s="60"/>
      <x:c r="DG298" s="58"/>
      <x:c r="DH298" s="47"/>
      <x:c r="DI298" s="60"/>
      <x:c r="DJ298" s="58"/>
      <x:c r="DK298" s="47"/>
      <x:c r="DL298" s="60"/>
      <x:c r="DM298" s="58"/>
      <x:c r="DN298" s="11"/>
      <x:c r="DO298" s="61"/>
      <x:c r="DP298" s="62"/>
      <x:c r="DQ298" s="11"/>
      <x:c r="DR298" s="61"/>
      <x:c r="DS298" s="62"/>
      <x:c r="DT298" s="11"/>
      <x:c r="DU298" s="61"/>
      <x:c r="DV298" s="62"/>
    </x:row>
    <x:row r="299" spans="1:126" x14ac:dyDescent="0.3">
      <x:c r="A299" s="47"/>
      <x:c r="B299" s="70"/>
      <x:c r="C299" s="70"/>
      <x:c r="D299" s="70"/>
      <x:c r="E299" s="70"/>
      <x:c r="F299" s="70"/>
      <x:c r="G299" s="70"/>
      <x:c r="H299" s="70"/>
      <x:c r="I299" s="70"/>
      <x:c r="J299" s="70"/>
      <x:c r="K299" s="190"/>
      <x:c r="L299" s="195"/>
      <x:c r="M299" s="192"/>
      <x:c r="N299" s="192"/>
      <x:c r="O299" s="69"/>
      <x:c r="P299" s="47"/>
      <x:c r="Q299" s="60"/>
      <x:c r="R299" s="58"/>
      <x:c r="S299" s="47"/>
      <x:c r="T299" s="60"/>
      <x:c r="U299" s="58"/>
      <x:c r="V299" s="47"/>
      <x:c r="W299" s="60"/>
      <x:c r="X299" s="58"/>
      <x:c r="Y299" s="47"/>
      <x:c r="Z299" s="60"/>
      <x:c r="AA299" s="58"/>
      <x:c r="AB299" s="47"/>
      <x:c r="AC299" s="60"/>
      <x:c r="AD299" s="58"/>
      <x:c r="AE299" s="47"/>
      <x:c r="AF299" s="60"/>
      <x:c r="AG299" s="58"/>
      <x:c r="AH299" s="47"/>
      <x:c r="AI299" s="60"/>
      <x:c r="AJ299" s="58"/>
      <x:c r="AK299" s="47"/>
      <x:c r="AL299" s="60"/>
      <x:c r="AM299" s="58"/>
      <x:c r="AN299" s="47"/>
      <x:c r="AO299" s="60"/>
      <x:c r="AP299" s="58"/>
      <x:c r="AQ299" s="47"/>
      <x:c r="AR299" s="60"/>
      <x:c r="AS299" s="58"/>
      <x:c r="AT299" s="47"/>
      <x:c r="AU299" s="60"/>
      <x:c r="AV299" s="58"/>
      <x:c r="AW299" s="47"/>
      <x:c r="AX299" s="60"/>
      <x:c r="AY299" s="58"/>
      <x:c r="AZ299" s="47"/>
      <x:c r="BA299" s="60"/>
      <x:c r="BB299" s="58"/>
      <x:c r="BC299" s="47"/>
      <x:c r="BD299" s="60"/>
      <x:c r="BE299" s="58"/>
      <x:c r="BF299" s="47"/>
      <x:c r="BG299" s="60"/>
      <x:c r="BH299" s="58"/>
      <x:c r="BI299" s="47"/>
      <x:c r="BJ299" s="60"/>
      <x:c r="BK299" s="58"/>
      <x:c r="BL299" s="47"/>
      <x:c r="BM299" s="60"/>
      <x:c r="BN299" s="58"/>
      <x:c r="BO299" s="47"/>
      <x:c r="BP299" s="60"/>
      <x:c r="BQ299" s="58"/>
      <x:c r="BR299" s="47"/>
      <x:c r="BS299" s="60"/>
      <x:c r="BT299" s="58"/>
      <x:c r="BU299" s="47"/>
      <x:c r="BV299" s="60"/>
      <x:c r="BW299" s="58"/>
      <x:c r="BX299" s="47"/>
      <x:c r="BY299" s="60"/>
      <x:c r="BZ299" s="58"/>
      <x:c r="CA299" s="47"/>
      <x:c r="CB299" s="60"/>
      <x:c r="CC299" s="58"/>
      <x:c r="CD299" s="47"/>
      <x:c r="CE299" s="60"/>
      <x:c r="CF299" s="58"/>
      <x:c r="CG299" s="47"/>
      <x:c r="CH299" s="60"/>
      <x:c r="CI299" s="58"/>
      <x:c r="CJ299" s="47"/>
      <x:c r="CK299" s="60"/>
      <x:c r="CL299" s="58"/>
      <x:c r="CM299" s="47"/>
      <x:c r="CN299" s="60"/>
      <x:c r="CO299" s="58"/>
      <x:c r="CP299" s="47"/>
      <x:c r="CQ299" s="60"/>
      <x:c r="CR299" s="58"/>
      <x:c r="CS299" s="47"/>
      <x:c r="CT299" s="60"/>
      <x:c r="CU299" s="58"/>
      <x:c r="CV299" s="47"/>
      <x:c r="CW299" s="60"/>
      <x:c r="CX299" s="58"/>
      <x:c r="CY299" s="47"/>
      <x:c r="CZ299" s="60"/>
      <x:c r="DA299" s="58"/>
      <x:c r="DB299" s="47"/>
      <x:c r="DC299" s="60"/>
      <x:c r="DD299" s="58"/>
      <x:c r="DE299" s="47"/>
      <x:c r="DF299" s="60"/>
      <x:c r="DG299" s="58"/>
      <x:c r="DH299" s="47"/>
      <x:c r="DI299" s="60"/>
      <x:c r="DJ299" s="58"/>
      <x:c r="DK299" s="47"/>
      <x:c r="DL299" s="60"/>
      <x:c r="DM299" s="58"/>
      <x:c r="DN299" s="11"/>
      <x:c r="DO299" s="61"/>
      <x:c r="DP299" s="62"/>
      <x:c r="DQ299" s="11"/>
      <x:c r="DR299" s="61"/>
      <x:c r="DS299" s="62"/>
      <x:c r="DT299" s="11"/>
      <x:c r="DU299" s="61"/>
      <x:c r="DV299" s="62"/>
    </x:row>
    <x:row r="300" spans="1:126" x14ac:dyDescent="0.3">
      <x:c r="A300" s="47"/>
      <x:c r="B300" s="70"/>
      <x:c r="C300" s="70"/>
      <x:c r="D300" s="70"/>
      <x:c r="E300" s="70"/>
      <x:c r="F300" s="70"/>
      <x:c r="G300" s="70"/>
      <x:c r="H300" s="70"/>
      <x:c r="I300" s="70"/>
      <x:c r="J300" s="70"/>
      <x:c r="K300" s="190"/>
      <x:c r="L300" s="195"/>
      <x:c r="M300" s="192"/>
      <x:c r="N300" s="192"/>
      <x:c r="O300" s="69"/>
      <x:c r="P300" s="47"/>
      <x:c r="Q300" s="60"/>
      <x:c r="R300" s="58"/>
      <x:c r="S300" s="47"/>
      <x:c r="T300" s="60"/>
      <x:c r="U300" s="58"/>
      <x:c r="V300" s="47"/>
      <x:c r="W300" s="60"/>
      <x:c r="X300" s="58"/>
      <x:c r="Y300" s="47"/>
      <x:c r="Z300" s="60"/>
      <x:c r="AA300" s="58"/>
      <x:c r="AB300" s="47"/>
      <x:c r="AC300" s="60"/>
      <x:c r="AD300" s="58"/>
      <x:c r="AE300" s="47"/>
      <x:c r="AF300" s="60"/>
      <x:c r="AG300" s="58"/>
      <x:c r="AH300" s="47"/>
      <x:c r="AI300" s="60"/>
      <x:c r="AJ300" s="58"/>
      <x:c r="AK300" s="47"/>
      <x:c r="AL300" s="60"/>
      <x:c r="AM300" s="58"/>
      <x:c r="AN300" s="47"/>
      <x:c r="AO300" s="60"/>
      <x:c r="AP300" s="58"/>
      <x:c r="AQ300" s="47"/>
      <x:c r="AR300" s="60"/>
      <x:c r="AS300" s="58"/>
      <x:c r="AT300" s="47"/>
      <x:c r="AU300" s="60"/>
      <x:c r="AV300" s="58"/>
      <x:c r="AW300" s="47"/>
      <x:c r="AX300" s="60"/>
      <x:c r="AY300" s="58"/>
      <x:c r="AZ300" s="47"/>
      <x:c r="BA300" s="60"/>
      <x:c r="BB300" s="58"/>
      <x:c r="BC300" s="47"/>
      <x:c r="BD300" s="60"/>
      <x:c r="BE300" s="58"/>
      <x:c r="BF300" s="47"/>
      <x:c r="BG300" s="60"/>
      <x:c r="BH300" s="58"/>
      <x:c r="BI300" s="47"/>
      <x:c r="BJ300" s="60"/>
      <x:c r="BK300" s="58"/>
      <x:c r="BL300" s="47"/>
      <x:c r="BM300" s="60"/>
      <x:c r="BN300" s="58"/>
      <x:c r="BO300" s="47"/>
      <x:c r="BP300" s="60"/>
      <x:c r="BQ300" s="58"/>
      <x:c r="BR300" s="47"/>
      <x:c r="BS300" s="60"/>
      <x:c r="BT300" s="58"/>
      <x:c r="BU300" s="47"/>
      <x:c r="BV300" s="60"/>
      <x:c r="BW300" s="58"/>
      <x:c r="BX300" s="47"/>
      <x:c r="BY300" s="60"/>
      <x:c r="BZ300" s="58"/>
      <x:c r="CA300" s="47"/>
      <x:c r="CB300" s="60"/>
      <x:c r="CC300" s="58"/>
      <x:c r="CD300" s="47"/>
      <x:c r="CE300" s="60"/>
      <x:c r="CF300" s="58"/>
      <x:c r="CG300" s="47"/>
      <x:c r="CH300" s="60"/>
      <x:c r="CI300" s="58"/>
      <x:c r="CJ300" s="47"/>
      <x:c r="CK300" s="60"/>
      <x:c r="CL300" s="58"/>
      <x:c r="CM300" s="47"/>
      <x:c r="CN300" s="60"/>
      <x:c r="CO300" s="58"/>
      <x:c r="CP300" s="47"/>
      <x:c r="CQ300" s="60"/>
      <x:c r="CR300" s="58"/>
      <x:c r="CS300" s="47"/>
      <x:c r="CT300" s="60"/>
      <x:c r="CU300" s="58"/>
      <x:c r="CV300" s="47"/>
      <x:c r="CW300" s="60"/>
      <x:c r="CX300" s="58"/>
      <x:c r="CY300" s="47"/>
      <x:c r="CZ300" s="60"/>
      <x:c r="DA300" s="58"/>
      <x:c r="DB300" s="47"/>
      <x:c r="DC300" s="60"/>
      <x:c r="DD300" s="58"/>
      <x:c r="DE300" s="47"/>
      <x:c r="DF300" s="60"/>
      <x:c r="DG300" s="58"/>
      <x:c r="DH300" s="47"/>
      <x:c r="DI300" s="60"/>
      <x:c r="DJ300" s="58"/>
      <x:c r="DK300" s="47"/>
      <x:c r="DL300" s="60"/>
      <x:c r="DM300" s="58"/>
      <x:c r="DN300" s="11"/>
      <x:c r="DO300" s="61"/>
      <x:c r="DP300" s="62"/>
      <x:c r="DQ300" s="11"/>
      <x:c r="DR300" s="61"/>
      <x:c r="DS300" s="62"/>
      <x:c r="DT300" s="11"/>
      <x:c r="DU300" s="61"/>
      <x:c r="DV300" s="62"/>
    </x:row>
    <x:row r="301" spans="1:126" x14ac:dyDescent="0.3">
      <x:c r="A301" s="47"/>
      <x:c r="B301" s="70"/>
      <x:c r="C301" s="70"/>
      <x:c r="D301" s="70"/>
      <x:c r="E301" s="70"/>
      <x:c r="F301" s="70"/>
      <x:c r="G301" s="70"/>
      <x:c r="H301" s="70"/>
      <x:c r="I301" s="70"/>
      <x:c r="J301" s="70"/>
      <x:c r="K301" s="190"/>
      <x:c r="L301" s="195"/>
      <x:c r="M301" s="192"/>
      <x:c r="N301" s="192"/>
      <x:c r="O301" s="69"/>
      <x:c r="P301" s="47"/>
      <x:c r="Q301" s="60"/>
      <x:c r="R301" s="58"/>
      <x:c r="S301" s="47"/>
      <x:c r="T301" s="60"/>
      <x:c r="U301" s="58"/>
      <x:c r="V301" s="47"/>
      <x:c r="W301" s="60"/>
      <x:c r="X301" s="58"/>
      <x:c r="Y301" s="47"/>
      <x:c r="Z301" s="60"/>
      <x:c r="AA301" s="58"/>
      <x:c r="AB301" s="47"/>
      <x:c r="AC301" s="60"/>
      <x:c r="AD301" s="58"/>
      <x:c r="AE301" s="47"/>
      <x:c r="AF301" s="60"/>
      <x:c r="AG301" s="58"/>
      <x:c r="AH301" s="47"/>
      <x:c r="AI301" s="60"/>
      <x:c r="AJ301" s="58"/>
      <x:c r="AK301" s="47"/>
      <x:c r="AL301" s="60"/>
      <x:c r="AM301" s="58"/>
      <x:c r="AN301" s="47"/>
      <x:c r="AO301" s="60"/>
      <x:c r="AP301" s="58"/>
      <x:c r="AQ301" s="47"/>
      <x:c r="AR301" s="60"/>
      <x:c r="AS301" s="58"/>
      <x:c r="AT301" s="47"/>
      <x:c r="AU301" s="60"/>
      <x:c r="AV301" s="58"/>
      <x:c r="AW301" s="47"/>
      <x:c r="AX301" s="60"/>
      <x:c r="AY301" s="58"/>
      <x:c r="AZ301" s="47"/>
      <x:c r="BA301" s="60"/>
      <x:c r="BB301" s="58"/>
      <x:c r="BC301" s="47"/>
      <x:c r="BD301" s="60"/>
      <x:c r="BE301" s="58"/>
      <x:c r="BF301" s="47"/>
      <x:c r="BG301" s="60"/>
      <x:c r="BH301" s="58"/>
      <x:c r="BI301" s="47"/>
      <x:c r="BJ301" s="60"/>
      <x:c r="BK301" s="58"/>
      <x:c r="BL301" s="47"/>
      <x:c r="BM301" s="60"/>
      <x:c r="BN301" s="58"/>
      <x:c r="BO301" s="47"/>
      <x:c r="BP301" s="60"/>
      <x:c r="BQ301" s="58"/>
      <x:c r="BR301" s="47"/>
      <x:c r="BS301" s="60"/>
      <x:c r="BT301" s="58"/>
      <x:c r="BU301" s="47"/>
      <x:c r="BV301" s="60"/>
      <x:c r="BW301" s="58"/>
      <x:c r="BX301" s="47"/>
      <x:c r="BY301" s="60"/>
      <x:c r="BZ301" s="58"/>
      <x:c r="CA301" s="47"/>
      <x:c r="CB301" s="60"/>
      <x:c r="CC301" s="58"/>
      <x:c r="CD301" s="47"/>
      <x:c r="CE301" s="60"/>
      <x:c r="CF301" s="58"/>
      <x:c r="CG301" s="47"/>
      <x:c r="CH301" s="60"/>
      <x:c r="CI301" s="58"/>
      <x:c r="CJ301" s="47"/>
      <x:c r="CK301" s="60"/>
      <x:c r="CL301" s="58"/>
      <x:c r="CM301" s="47"/>
      <x:c r="CN301" s="60"/>
      <x:c r="CO301" s="58"/>
      <x:c r="CP301" s="47"/>
      <x:c r="CQ301" s="60"/>
      <x:c r="CR301" s="58"/>
      <x:c r="CS301" s="47"/>
      <x:c r="CT301" s="60"/>
      <x:c r="CU301" s="58"/>
      <x:c r="CV301" s="47"/>
      <x:c r="CW301" s="60"/>
      <x:c r="CX301" s="58"/>
      <x:c r="CY301" s="47"/>
      <x:c r="CZ301" s="60"/>
      <x:c r="DA301" s="58"/>
      <x:c r="DB301" s="47"/>
      <x:c r="DC301" s="60"/>
      <x:c r="DD301" s="58"/>
      <x:c r="DE301" s="47"/>
      <x:c r="DF301" s="60"/>
      <x:c r="DG301" s="58"/>
      <x:c r="DH301" s="47"/>
      <x:c r="DI301" s="60"/>
      <x:c r="DJ301" s="58"/>
      <x:c r="DK301" s="47"/>
      <x:c r="DL301" s="60"/>
      <x:c r="DM301" s="58"/>
      <x:c r="DN301" s="11"/>
      <x:c r="DO301" s="61"/>
      <x:c r="DP301" s="62"/>
      <x:c r="DQ301" s="11"/>
      <x:c r="DR301" s="61"/>
      <x:c r="DS301" s="62"/>
      <x:c r="DT301" s="11"/>
      <x:c r="DU301" s="61"/>
      <x:c r="DV301" s="62"/>
    </x:row>
    <x:row r="302" spans="1:126" x14ac:dyDescent="0.3">
      <x:c r="A302" s="47"/>
      <x:c r="B302" s="70"/>
      <x:c r="C302" s="70"/>
      <x:c r="D302" s="70"/>
      <x:c r="E302" s="70"/>
      <x:c r="F302" s="70"/>
      <x:c r="G302" s="70"/>
      <x:c r="H302" s="70"/>
      <x:c r="I302" s="70"/>
      <x:c r="J302" s="70"/>
      <x:c r="K302" s="190"/>
      <x:c r="L302" s="195"/>
      <x:c r="M302" s="192"/>
      <x:c r="N302" s="192"/>
      <x:c r="O302" s="69"/>
      <x:c r="P302" s="47"/>
      <x:c r="Q302" s="60"/>
      <x:c r="R302" s="58"/>
      <x:c r="S302" s="47"/>
      <x:c r="T302" s="60"/>
      <x:c r="U302" s="58"/>
      <x:c r="V302" s="47"/>
      <x:c r="W302" s="60"/>
      <x:c r="X302" s="58"/>
      <x:c r="Y302" s="47"/>
      <x:c r="Z302" s="60"/>
      <x:c r="AA302" s="58"/>
      <x:c r="AB302" s="47"/>
      <x:c r="AC302" s="60"/>
      <x:c r="AD302" s="58"/>
      <x:c r="AE302" s="47"/>
      <x:c r="AF302" s="60"/>
      <x:c r="AG302" s="58"/>
      <x:c r="AH302" s="47"/>
      <x:c r="AI302" s="60"/>
      <x:c r="AJ302" s="58"/>
      <x:c r="AK302" s="47"/>
      <x:c r="AL302" s="60"/>
      <x:c r="AM302" s="58"/>
      <x:c r="AN302" s="47"/>
      <x:c r="AO302" s="60"/>
      <x:c r="AP302" s="58"/>
      <x:c r="AQ302" s="47"/>
      <x:c r="AR302" s="60"/>
      <x:c r="AS302" s="58"/>
      <x:c r="AT302" s="47"/>
      <x:c r="AU302" s="60"/>
      <x:c r="AV302" s="58"/>
      <x:c r="AW302" s="47"/>
      <x:c r="AX302" s="60"/>
      <x:c r="AY302" s="58"/>
      <x:c r="AZ302" s="47"/>
      <x:c r="BA302" s="60"/>
      <x:c r="BB302" s="58"/>
      <x:c r="BC302" s="47"/>
      <x:c r="BD302" s="60"/>
      <x:c r="BE302" s="58"/>
      <x:c r="BF302" s="47"/>
      <x:c r="BG302" s="60"/>
      <x:c r="BH302" s="58"/>
      <x:c r="BI302" s="47"/>
      <x:c r="BJ302" s="60"/>
      <x:c r="BK302" s="58"/>
      <x:c r="BL302" s="47"/>
      <x:c r="BM302" s="60"/>
      <x:c r="BN302" s="58"/>
      <x:c r="BO302" s="47"/>
      <x:c r="BP302" s="60"/>
      <x:c r="BQ302" s="58"/>
      <x:c r="BR302" s="47"/>
      <x:c r="BS302" s="60"/>
      <x:c r="BT302" s="58"/>
      <x:c r="BU302" s="47"/>
      <x:c r="BV302" s="60"/>
      <x:c r="BW302" s="58"/>
      <x:c r="BX302" s="47"/>
      <x:c r="BY302" s="60"/>
      <x:c r="BZ302" s="58"/>
      <x:c r="CA302" s="47"/>
      <x:c r="CB302" s="60"/>
      <x:c r="CC302" s="58"/>
      <x:c r="CD302" s="47"/>
      <x:c r="CE302" s="60"/>
      <x:c r="CF302" s="58"/>
      <x:c r="CG302" s="47"/>
      <x:c r="CH302" s="60"/>
      <x:c r="CI302" s="58"/>
      <x:c r="CJ302" s="47"/>
      <x:c r="CK302" s="60"/>
      <x:c r="CL302" s="58"/>
      <x:c r="CM302" s="47"/>
      <x:c r="CN302" s="60"/>
      <x:c r="CO302" s="58"/>
      <x:c r="CP302" s="47"/>
      <x:c r="CQ302" s="60"/>
      <x:c r="CR302" s="58"/>
      <x:c r="CS302" s="47"/>
      <x:c r="CT302" s="60"/>
      <x:c r="CU302" s="58"/>
      <x:c r="CV302" s="47"/>
      <x:c r="CW302" s="60"/>
      <x:c r="CX302" s="58"/>
      <x:c r="CY302" s="47"/>
      <x:c r="CZ302" s="60"/>
      <x:c r="DA302" s="58"/>
      <x:c r="DB302" s="47"/>
      <x:c r="DC302" s="60"/>
      <x:c r="DD302" s="58"/>
      <x:c r="DE302" s="47"/>
      <x:c r="DF302" s="60"/>
      <x:c r="DG302" s="58"/>
      <x:c r="DH302" s="47"/>
      <x:c r="DI302" s="60"/>
      <x:c r="DJ302" s="58"/>
      <x:c r="DK302" s="47"/>
      <x:c r="DL302" s="60"/>
      <x:c r="DM302" s="58"/>
      <x:c r="DN302" s="11"/>
      <x:c r="DO302" s="61"/>
      <x:c r="DP302" s="62"/>
      <x:c r="DQ302" s="11"/>
      <x:c r="DR302" s="61"/>
      <x:c r="DS302" s="62"/>
      <x:c r="DT302" s="11"/>
      <x:c r="DU302" s="61"/>
      <x:c r="DV302" s="62"/>
    </x:row>
    <x:row r="303" spans="1:126" x14ac:dyDescent="0.3">
      <x:c r="A303" s="47"/>
      <x:c r="B303" s="70"/>
      <x:c r="C303" s="70"/>
      <x:c r="D303" s="70"/>
      <x:c r="E303" s="70"/>
      <x:c r="F303" s="70"/>
      <x:c r="G303" s="70"/>
      <x:c r="H303" s="70"/>
      <x:c r="I303" s="70"/>
      <x:c r="J303" s="70"/>
      <x:c r="K303" s="190"/>
      <x:c r="L303" s="195"/>
      <x:c r="M303" s="192"/>
      <x:c r="N303" s="192"/>
      <x:c r="O303" s="69"/>
      <x:c r="P303" s="47"/>
      <x:c r="Q303" s="60"/>
      <x:c r="R303" s="58"/>
      <x:c r="S303" s="47"/>
      <x:c r="T303" s="60"/>
      <x:c r="U303" s="58"/>
      <x:c r="V303" s="47"/>
      <x:c r="W303" s="60"/>
      <x:c r="X303" s="58"/>
      <x:c r="Y303" s="47"/>
      <x:c r="Z303" s="60"/>
      <x:c r="AA303" s="58"/>
      <x:c r="AB303" s="47"/>
      <x:c r="AC303" s="60"/>
      <x:c r="AD303" s="58"/>
      <x:c r="AE303" s="47"/>
      <x:c r="AF303" s="60"/>
      <x:c r="AG303" s="58"/>
      <x:c r="AH303" s="47"/>
      <x:c r="AI303" s="60"/>
      <x:c r="AJ303" s="58"/>
      <x:c r="AK303" s="47"/>
      <x:c r="AL303" s="60"/>
      <x:c r="AM303" s="58"/>
      <x:c r="AN303" s="47"/>
      <x:c r="AO303" s="60"/>
      <x:c r="AP303" s="58"/>
      <x:c r="AQ303" s="47"/>
      <x:c r="AR303" s="60"/>
      <x:c r="AS303" s="58"/>
      <x:c r="AT303" s="47"/>
      <x:c r="AU303" s="60"/>
      <x:c r="AV303" s="58"/>
      <x:c r="AW303" s="47"/>
      <x:c r="AX303" s="60"/>
      <x:c r="AY303" s="58"/>
      <x:c r="AZ303" s="47"/>
      <x:c r="BA303" s="60"/>
      <x:c r="BB303" s="58"/>
      <x:c r="BC303" s="47"/>
      <x:c r="BD303" s="60"/>
      <x:c r="BE303" s="58"/>
      <x:c r="BF303" s="47"/>
      <x:c r="BG303" s="60"/>
      <x:c r="BH303" s="58"/>
      <x:c r="BI303" s="47"/>
      <x:c r="BJ303" s="60"/>
      <x:c r="BK303" s="58"/>
      <x:c r="BL303" s="47"/>
      <x:c r="BM303" s="60"/>
      <x:c r="BN303" s="58"/>
      <x:c r="BO303" s="47"/>
      <x:c r="BP303" s="60"/>
      <x:c r="BQ303" s="58"/>
      <x:c r="BR303" s="47"/>
      <x:c r="BS303" s="60"/>
      <x:c r="BT303" s="58"/>
      <x:c r="BU303" s="47"/>
      <x:c r="BV303" s="60"/>
      <x:c r="BW303" s="58"/>
      <x:c r="BX303" s="47"/>
      <x:c r="BY303" s="60"/>
      <x:c r="BZ303" s="58"/>
      <x:c r="CA303" s="47"/>
      <x:c r="CB303" s="60"/>
      <x:c r="CC303" s="58"/>
      <x:c r="CD303" s="47"/>
      <x:c r="CE303" s="60"/>
      <x:c r="CF303" s="58"/>
      <x:c r="CG303" s="47"/>
      <x:c r="CH303" s="60"/>
      <x:c r="CI303" s="58"/>
      <x:c r="CJ303" s="47"/>
      <x:c r="CK303" s="60"/>
      <x:c r="CL303" s="58"/>
      <x:c r="CM303" s="47"/>
      <x:c r="CN303" s="60"/>
      <x:c r="CO303" s="58"/>
      <x:c r="CP303" s="47"/>
      <x:c r="CQ303" s="60"/>
      <x:c r="CR303" s="58"/>
      <x:c r="CS303" s="47"/>
      <x:c r="CT303" s="60"/>
      <x:c r="CU303" s="58"/>
      <x:c r="CV303" s="47"/>
      <x:c r="CW303" s="60"/>
      <x:c r="CX303" s="58"/>
      <x:c r="CY303" s="47"/>
      <x:c r="CZ303" s="60"/>
      <x:c r="DA303" s="58"/>
      <x:c r="DB303" s="47"/>
      <x:c r="DC303" s="60"/>
      <x:c r="DD303" s="58"/>
      <x:c r="DE303" s="47"/>
      <x:c r="DF303" s="60"/>
      <x:c r="DG303" s="58"/>
      <x:c r="DH303" s="47"/>
      <x:c r="DI303" s="60"/>
      <x:c r="DJ303" s="58"/>
      <x:c r="DK303" s="47"/>
      <x:c r="DL303" s="60"/>
      <x:c r="DM303" s="58"/>
      <x:c r="DN303" s="11"/>
      <x:c r="DO303" s="61"/>
      <x:c r="DP303" s="62"/>
      <x:c r="DQ303" s="11"/>
      <x:c r="DR303" s="61"/>
      <x:c r="DS303" s="62"/>
      <x:c r="DT303" s="11"/>
      <x:c r="DU303" s="61"/>
      <x:c r="DV303" s="62"/>
    </x:row>
    <x:row r="304" spans="1:126" x14ac:dyDescent="0.3">
      <x:c r="A304" s="47"/>
      <x:c r="B304" s="70"/>
      <x:c r="C304" s="70"/>
      <x:c r="D304" s="70"/>
      <x:c r="E304" s="70"/>
      <x:c r="F304" s="70"/>
      <x:c r="G304" s="70"/>
      <x:c r="H304" s="70"/>
      <x:c r="I304" s="70"/>
      <x:c r="J304" s="70"/>
      <x:c r="K304" s="190"/>
      <x:c r="L304" s="195"/>
      <x:c r="M304" s="192"/>
      <x:c r="N304" s="192"/>
      <x:c r="O304" s="69"/>
      <x:c r="P304" s="47"/>
      <x:c r="Q304" s="60"/>
      <x:c r="R304" s="58"/>
      <x:c r="S304" s="47"/>
      <x:c r="T304" s="60"/>
      <x:c r="U304" s="58"/>
      <x:c r="V304" s="47"/>
      <x:c r="W304" s="60"/>
      <x:c r="X304" s="58"/>
      <x:c r="Y304" s="47"/>
      <x:c r="Z304" s="60"/>
      <x:c r="AA304" s="58"/>
      <x:c r="AB304" s="47"/>
      <x:c r="AC304" s="60"/>
      <x:c r="AD304" s="58"/>
      <x:c r="AE304" s="47"/>
      <x:c r="AF304" s="60"/>
      <x:c r="AG304" s="58"/>
      <x:c r="AH304" s="47"/>
      <x:c r="AI304" s="60"/>
      <x:c r="AJ304" s="58"/>
      <x:c r="AK304" s="47"/>
      <x:c r="AL304" s="60"/>
      <x:c r="AM304" s="58"/>
      <x:c r="AN304" s="47"/>
      <x:c r="AO304" s="60"/>
      <x:c r="AP304" s="58"/>
      <x:c r="AQ304" s="47"/>
      <x:c r="AR304" s="60"/>
      <x:c r="AS304" s="58"/>
      <x:c r="AT304" s="47"/>
      <x:c r="AU304" s="60"/>
      <x:c r="AV304" s="58"/>
      <x:c r="AW304" s="47"/>
      <x:c r="AX304" s="60"/>
      <x:c r="AY304" s="58"/>
      <x:c r="AZ304" s="47"/>
      <x:c r="BA304" s="60"/>
      <x:c r="BB304" s="58"/>
      <x:c r="BC304" s="47"/>
      <x:c r="BD304" s="60"/>
      <x:c r="BE304" s="58"/>
      <x:c r="BF304" s="47"/>
      <x:c r="BG304" s="60"/>
      <x:c r="BH304" s="58"/>
      <x:c r="BI304" s="47"/>
      <x:c r="BJ304" s="60"/>
      <x:c r="BK304" s="58"/>
      <x:c r="BL304" s="47"/>
      <x:c r="BM304" s="60"/>
      <x:c r="BN304" s="58"/>
      <x:c r="BO304" s="47"/>
      <x:c r="BP304" s="60"/>
      <x:c r="BQ304" s="58"/>
      <x:c r="BR304" s="47"/>
      <x:c r="BS304" s="60"/>
      <x:c r="BT304" s="58"/>
      <x:c r="BU304" s="47"/>
      <x:c r="BV304" s="60"/>
      <x:c r="BW304" s="58"/>
      <x:c r="BX304" s="47"/>
      <x:c r="BY304" s="60"/>
      <x:c r="BZ304" s="58"/>
      <x:c r="CA304" s="47"/>
      <x:c r="CB304" s="60"/>
      <x:c r="CC304" s="58"/>
      <x:c r="CD304" s="47"/>
      <x:c r="CE304" s="60"/>
      <x:c r="CF304" s="58"/>
      <x:c r="CG304" s="47"/>
      <x:c r="CH304" s="60"/>
      <x:c r="CI304" s="58"/>
      <x:c r="CJ304" s="47"/>
      <x:c r="CK304" s="60"/>
      <x:c r="CL304" s="58"/>
      <x:c r="CM304" s="47"/>
      <x:c r="CN304" s="60"/>
      <x:c r="CO304" s="58"/>
      <x:c r="CP304" s="47"/>
      <x:c r="CQ304" s="60"/>
      <x:c r="CR304" s="58"/>
      <x:c r="CS304" s="47"/>
      <x:c r="CT304" s="60"/>
      <x:c r="CU304" s="58"/>
      <x:c r="CV304" s="47"/>
      <x:c r="CW304" s="60"/>
      <x:c r="CX304" s="58"/>
      <x:c r="CY304" s="47"/>
      <x:c r="CZ304" s="60"/>
      <x:c r="DA304" s="58"/>
      <x:c r="DB304" s="47"/>
      <x:c r="DC304" s="60"/>
      <x:c r="DD304" s="58"/>
      <x:c r="DE304" s="47"/>
      <x:c r="DF304" s="60"/>
      <x:c r="DG304" s="58"/>
      <x:c r="DH304" s="47"/>
      <x:c r="DI304" s="60"/>
      <x:c r="DJ304" s="58"/>
      <x:c r="DK304" s="47"/>
      <x:c r="DL304" s="60"/>
      <x:c r="DM304" s="58"/>
      <x:c r="DN304" s="11"/>
      <x:c r="DO304" s="61"/>
      <x:c r="DP304" s="62"/>
      <x:c r="DQ304" s="11"/>
      <x:c r="DR304" s="61"/>
      <x:c r="DS304" s="62"/>
      <x:c r="DT304" s="11"/>
      <x:c r="DU304" s="61"/>
      <x:c r="DV304" s="62"/>
    </x:row>
    <x:row r="305" spans="1:126" x14ac:dyDescent="0.3">
      <x:c r="A305" s="47"/>
      <x:c r="B305" s="70"/>
      <x:c r="C305" s="70"/>
      <x:c r="D305" s="70"/>
      <x:c r="E305" s="70"/>
      <x:c r="F305" s="70"/>
      <x:c r="G305" s="70"/>
      <x:c r="H305" s="70"/>
      <x:c r="I305" s="70"/>
      <x:c r="J305" s="70"/>
      <x:c r="K305" s="190"/>
      <x:c r="L305" s="195"/>
      <x:c r="M305" s="192"/>
      <x:c r="N305" s="192"/>
      <x:c r="O305" s="69"/>
      <x:c r="P305" s="47"/>
      <x:c r="Q305" s="60"/>
      <x:c r="R305" s="58"/>
      <x:c r="S305" s="47"/>
      <x:c r="T305" s="60"/>
      <x:c r="U305" s="58"/>
      <x:c r="V305" s="47"/>
      <x:c r="W305" s="60"/>
      <x:c r="X305" s="58"/>
      <x:c r="Y305" s="47"/>
      <x:c r="Z305" s="60"/>
      <x:c r="AA305" s="58"/>
      <x:c r="AB305" s="47"/>
      <x:c r="AC305" s="60"/>
      <x:c r="AD305" s="58"/>
      <x:c r="AE305" s="47"/>
      <x:c r="AF305" s="60"/>
      <x:c r="AG305" s="58"/>
      <x:c r="AH305" s="47"/>
      <x:c r="AI305" s="60"/>
      <x:c r="AJ305" s="58"/>
      <x:c r="AK305" s="47"/>
      <x:c r="AL305" s="60"/>
      <x:c r="AM305" s="58"/>
      <x:c r="AN305" s="47"/>
      <x:c r="AO305" s="60"/>
      <x:c r="AP305" s="58"/>
      <x:c r="AQ305" s="47"/>
      <x:c r="AR305" s="60"/>
      <x:c r="AS305" s="58"/>
      <x:c r="AT305" s="47"/>
      <x:c r="AU305" s="60"/>
      <x:c r="AV305" s="58"/>
      <x:c r="AW305" s="47"/>
      <x:c r="AX305" s="60"/>
      <x:c r="AY305" s="58"/>
      <x:c r="AZ305" s="47"/>
      <x:c r="BA305" s="60"/>
      <x:c r="BB305" s="58"/>
      <x:c r="BC305" s="47"/>
      <x:c r="BD305" s="60"/>
      <x:c r="BE305" s="58"/>
      <x:c r="BF305" s="47"/>
      <x:c r="BG305" s="60"/>
      <x:c r="BH305" s="58"/>
      <x:c r="BI305" s="47"/>
      <x:c r="BJ305" s="60"/>
      <x:c r="BK305" s="58"/>
      <x:c r="BL305" s="47"/>
      <x:c r="BM305" s="60"/>
      <x:c r="BN305" s="58"/>
      <x:c r="BO305" s="47"/>
      <x:c r="BP305" s="60"/>
      <x:c r="BQ305" s="58"/>
      <x:c r="BR305" s="47"/>
      <x:c r="BS305" s="60"/>
      <x:c r="BT305" s="58"/>
      <x:c r="BU305" s="47"/>
      <x:c r="BV305" s="60"/>
      <x:c r="BW305" s="58"/>
      <x:c r="BX305" s="47"/>
      <x:c r="BY305" s="60"/>
      <x:c r="BZ305" s="58"/>
      <x:c r="CA305" s="47"/>
      <x:c r="CB305" s="60"/>
      <x:c r="CC305" s="58"/>
      <x:c r="CD305" s="47"/>
      <x:c r="CE305" s="60"/>
      <x:c r="CF305" s="58"/>
      <x:c r="CG305" s="47"/>
      <x:c r="CH305" s="60"/>
      <x:c r="CI305" s="58"/>
      <x:c r="CJ305" s="47"/>
      <x:c r="CK305" s="60"/>
      <x:c r="CL305" s="58"/>
      <x:c r="CM305" s="47"/>
      <x:c r="CN305" s="60"/>
      <x:c r="CO305" s="58"/>
      <x:c r="CP305" s="47"/>
      <x:c r="CQ305" s="60"/>
      <x:c r="CR305" s="58"/>
      <x:c r="CS305" s="47"/>
      <x:c r="CT305" s="60"/>
      <x:c r="CU305" s="58"/>
      <x:c r="CV305" s="47"/>
      <x:c r="CW305" s="60"/>
      <x:c r="CX305" s="58"/>
      <x:c r="CY305" s="47"/>
      <x:c r="CZ305" s="60"/>
      <x:c r="DA305" s="58"/>
      <x:c r="DB305" s="47"/>
      <x:c r="DC305" s="60"/>
      <x:c r="DD305" s="58"/>
      <x:c r="DE305" s="47"/>
      <x:c r="DF305" s="60"/>
      <x:c r="DG305" s="58"/>
      <x:c r="DH305" s="47"/>
      <x:c r="DI305" s="60"/>
      <x:c r="DJ305" s="58"/>
      <x:c r="DK305" s="47"/>
      <x:c r="DL305" s="60"/>
      <x:c r="DM305" s="58"/>
      <x:c r="DN305" s="11"/>
      <x:c r="DO305" s="61"/>
      <x:c r="DP305" s="62"/>
      <x:c r="DQ305" s="11"/>
      <x:c r="DR305" s="61"/>
      <x:c r="DS305" s="62"/>
      <x:c r="DT305" s="11"/>
      <x:c r="DU305" s="61"/>
      <x:c r="DV305" s="62"/>
    </x:row>
    <x:row r="306" spans="1:126" x14ac:dyDescent="0.3">
      <x:c r="A306" s="47"/>
      <x:c r="B306" s="70"/>
      <x:c r="C306" s="70"/>
      <x:c r="D306" s="70"/>
      <x:c r="E306" s="70"/>
      <x:c r="F306" s="70"/>
      <x:c r="G306" s="70"/>
      <x:c r="H306" s="70"/>
      <x:c r="I306" s="70"/>
      <x:c r="J306" s="70"/>
      <x:c r="K306" s="190"/>
      <x:c r="L306" s="195"/>
      <x:c r="M306" s="192"/>
      <x:c r="N306" s="192"/>
      <x:c r="O306" s="69"/>
      <x:c r="P306" s="47"/>
      <x:c r="Q306" s="60"/>
      <x:c r="R306" s="58"/>
      <x:c r="S306" s="47"/>
      <x:c r="T306" s="60"/>
      <x:c r="U306" s="58"/>
      <x:c r="V306" s="47"/>
      <x:c r="W306" s="60"/>
      <x:c r="X306" s="58"/>
      <x:c r="Y306" s="47"/>
      <x:c r="Z306" s="60"/>
      <x:c r="AA306" s="58"/>
      <x:c r="AB306" s="47"/>
      <x:c r="AC306" s="60"/>
      <x:c r="AD306" s="58"/>
      <x:c r="AE306" s="47"/>
      <x:c r="AF306" s="60"/>
      <x:c r="AG306" s="58"/>
      <x:c r="AH306" s="47"/>
      <x:c r="AI306" s="60"/>
      <x:c r="AJ306" s="58"/>
      <x:c r="AK306" s="47"/>
      <x:c r="AL306" s="60"/>
      <x:c r="AM306" s="58"/>
      <x:c r="AN306" s="47"/>
      <x:c r="AO306" s="60"/>
      <x:c r="AP306" s="58"/>
      <x:c r="AQ306" s="47"/>
      <x:c r="AR306" s="60"/>
      <x:c r="AS306" s="58"/>
      <x:c r="AT306" s="47"/>
      <x:c r="AU306" s="60"/>
      <x:c r="AV306" s="58"/>
      <x:c r="AW306" s="47"/>
      <x:c r="AX306" s="60"/>
      <x:c r="AY306" s="58"/>
      <x:c r="AZ306" s="47"/>
      <x:c r="BA306" s="60"/>
      <x:c r="BB306" s="58"/>
      <x:c r="BC306" s="47"/>
      <x:c r="BD306" s="60"/>
      <x:c r="BE306" s="58"/>
      <x:c r="BF306" s="47"/>
      <x:c r="BG306" s="60"/>
      <x:c r="BH306" s="58"/>
      <x:c r="BI306" s="47"/>
      <x:c r="BJ306" s="60"/>
      <x:c r="BK306" s="58"/>
      <x:c r="BL306" s="47"/>
      <x:c r="BM306" s="60"/>
      <x:c r="BN306" s="58"/>
      <x:c r="BO306" s="47"/>
      <x:c r="BP306" s="60"/>
      <x:c r="BQ306" s="58"/>
      <x:c r="BR306" s="47"/>
      <x:c r="BS306" s="60"/>
      <x:c r="BT306" s="58"/>
      <x:c r="BU306" s="47"/>
      <x:c r="BV306" s="60"/>
      <x:c r="BW306" s="58"/>
      <x:c r="BX306" s="47"/>
      <x:c r="BY306" s="60"/>
      <x:c r="BZ306" s="58"/>
      <x:c r="CA306" s="47"/>
      <x:c r="CB306" s="60"/>
      <x:c r="CC306" s="58"/>
      <x:c r="CD306" s="47"/>
      <x:c r="CE306" s="60"/>
      <x:c r="CF306" s="58"/>
      <x:c r="CG306" s="47"/>
      <x:c r="CH306" s="60"/>
      <x:c r="CI306" s="58"/>
      <x:c r="CJ306" s="47"/>
      <x:c r="CK306" s="60"/>
      <x:c r="CL306" s="58"/>
      <x:c r="CM306" s="47"/>
      <x:c r="CN306" s="60"/>
      <x:c r="CO306" s="58"/>
      <x:c r="CP306" s="47"/>
      <x:c r="CQ306" s="60"/>
      <x:c r="CR306" s="58"/>
      <x:c r="CS306" s="47"/>
      <x:c r="CT306" s="60"/>
      <x:c r="CU306" s="58"/>
      <x:c r="CV306" s="47"/>
      <x:c r="CW306" s="60"/>
      <x:c r="CX306" s="58"/>
      <x:c r="CY306" s="47"/>
      <x:c r="CZ306" s="60"/>
      <x:c r="DA306" s="58"/>
      <x:c r="DB306" s="47"/>
      <x:c r="DC306" s="60"/>
      <x:c r="DD306" s="58"/>
      <x:c r="DE306" s="47"/>
      <x:c r="DF306" s="60"/>
      <x:c r="DG306" s="58"/>
      <x:c r="DH306" s="47"/>
      <x:c r="DI306" s="60"/>
      <x:c r="DJ306" s="58"/>
      <x:c r="DK306" s="47"/>
      <x:c r="DL306" s="60"/>
      <x:c r="DM306" s="58"/>
      <x:c r="DN306" s="11"/>
      <x:c r="DO306" s="61"/>
      <x:c r="DP306" s="62"/>
      <x:c r="DQ306" s="11"/>
      <x:c r="DR306" s="61"/>
      <x:c r="DS306" s="62"/>
      <x:c r="DT306" s="11"/>
      <x:c r="DU306" s="61"/>
      <x:c r="DV306" s="62"/>
    </x:row>
    <x:row r="307" spans="1:126" x14ac:dyDescent="0.3">
      <x:c r="A307" s="47"/>
      <x:c r="B307" s="70"/>
      <x:c r="C307" s="70"/>
      <x:c r="D307" s="70"/>
      <x:c r="E307" s="70"/>
      <x:c r="F307" s="70"/>
      <x:c r="G307" s="70"/>
      <x:c r="H307" s="70"/>
      <x:c r="I307" s="70"/>
      <x:c r="J307" s="70"/>
      <x:c r="K307" s="190"/>
      <x:c r="L307" s="195"/>
      <x:c r="M307" s="192"/>
      <x:c r="N307" s="192"/>
      <x:c r="O307" s="69"/>
      <x:c r="P307" s="47"/>
      <x:c r="Q307" s="60"/>
      <x:c r="R307" s="58"/>
      <x:c r="S307" s="47"/>
      <x:c r="T307" s="60"/>
      <x:c r="U307" s="58"/>
      <x:c r="V307" s="47"/>
      <x:c r="W307" s="60"/>
      <x:c r="X307" s="58"/>
      <x:c r="Y307" s="47"/>
      <x:c r="Z307" s="60"/>
      <x:c r="AA307" s="58"/>
      <x:c r="AB307" s="47"/>
      <x:c r="AC307" s="60"/>
      <x:c r="AD307" s="58"/>
      <x:c r="AE307" s="47"/>
      <x:c r="AF307" s="60"/>
      <x:c r="AG307" s="58"/>
      <x:c r="AH307" s="47"/>
      <x:c r="AI307" s="60"/>
      <x:c r="AJ307" s="58"/>
      <x:c r="AK307" s="47"/>
      <x:c r="AL307" s="60"/>
      <x:c r="AM307" s="58"/>
      <x:c r="AN307" s="47"/>
      <x:c r="AO307" s="60"/>
      <x:c r="AP307" s="58"/>
      <x:c r="AQ307" s="47"/>
      <x:c r="AR307" s="60"/>
      <x:c r="AS307" s="58"/>
      <x:c r="AT307" s="47"/>
      <x:c r="AU307" s="60"/>
      <x:c r="AV307" s="58"/>
      <x:c r="AW307" s="47"/>
      <x:c r="AX307" s="60"/>
      <x:c r="AY307" s="58"/>
      <x:c r="AZ307" s="47"/>
      <x:c r="BA307" s="60"/>
      <x:c r="BB307" s="58"/>
      <x:c r="BC307" s="47"/>
      <x:c r="BD307" s="60"/>
      <x:c r="BE307" s="58"/>
      <x:c r="BF307" s="47"/>
      <x:c r="BG307" s="60"/>
      <x:c r="BH307" s="58"/>
      <x:c r="BI307" s="47"/>
      <x:c r="BJ307" s="60"/>
      <x:c r="BK307" s="58"/>
      <x:c r="BL307" s="47"/>
      <x:c r="BM307" s="60"/>
      <x:c r="BN307" s="58"/>
      <x:c r="BO307" s="47"/>
      <x:c r="BP307" s="60"/>
      <x:c r="BQ307" s="58"/>
      <x:c r="BR307" s="47"/>
      <x:c r="BS307" s="60"/>
      <x:c r="BT307" s="58"/>
      <x:c r="BU307" s="47"/>
      <x:c r="BV307" s="60"/>
      <x:c r="BW307" s="58"/>
      <x:c r="BX307" s="47"/>
      <x:c r="BY307" s="60"/>
      <x:c r="BZ307" s="58"/>
      <x:c r="CA307" s="47"/>
      <x:c r="CB307" s="60"/>
      <x:c r="CC307" s="58"/>
      <x:c r="CD307" s="47"/>
      <x:c r="CE307" s="60"/>
      <x:c r="CF307" s="58"/>
      <x:c r="CG307" s="47"/>
      <x:c r="CH307" s="60"/>
      <x:c r="CI307" s="58"/>
      <x:c r="CJ307" s="47"/>
      <x:c r="CK307" s="60"/>
      <x:c r="CL307" s="58"/>
      <x:c r="CM307" s="47"/>
      <x:c r="CN307" s="60"/>
      <x:c r="CO307" s="58"/>
      <x:c r="CP307" s="47"/>
      <x:c r="CQ307" s="60"/>
      <x:c r="CR307" s="58"/>
      <x:c r="CS307" s="47"/>
      <x:c r="CT307" s="60"/>
      <x:c r="CU307" s="58"/>
      <x:c r="CV307" s="47"/>
      <x:c r="CW307" s="60"/>
      <x:c r="CX307" s="58"/>
      <x:c r="CY307" s="47"/>
      <x:c r="CZ307" s="60"/>
      <x:c r="DA307" s="58"/>
      <x:c r="DB307" s="47"/>
      <x:c r="DC307" s="60"/>
      <x:c r="DD307" s="58"/>
      <x:c r="DE307" s="47"/>
      <x:c r="DF307" s="60"/>
      <x:c r="DG307" s="58"/>
      <x:c r="DH307" s="47"/>
      <x:c r="DI307" s="60"/>
      <x:c r="DJ307" s="58"/>
      <x:c r="DK307" s="47"/>
      <x:c r="DL307" s="60"/>
      <x:c r="DM307" s="58"/>
      <x:c r="DN307" s="11"/>
      <x:c r="DO307" s="61"/>
      <x:c r="DP307" s="62"/>
      <x:c r="DQ307" s="11"/>
      <x:c r="DR307" s="61"/>
      <x:c r="DS307" s="62"/>
      <x:c r="DT307" s="11"/>
      <x:c r="DU307" s="61"/>
      <x:c r="DV307" s="62"/>
    </x:row>
    <x:row r="308" spans="1:126" x14ac:dyDescent="0.3">
      <x:c r="A308" s="47"/>
      <x:c r="B308" s="70"/>
      <x:c r="C308" s="70"/>
      <x:c r="D308" s="70"/>
      <x:c r="E308" s="70"/>
      <x:c r="F308" s="70"/>
      <x:c r="G308" s="70"/>
      <x:c r="H308" s="70"/>
      <x:c r="I308" s="70"/>
      <x:c r="J308" s="70"/>
      <x:c r="K308" s="190"/>
      <x:c r="L308" s="195"/>
      <x:c r="M308" s="192"/>
      <x:c r="N308" s="192"/>
      <x:c r="O308" s="69"/>
      <x:c r="P308" s="47"/>
      <x:c r="Q308" s="60"/>
      <x:c r="R308" s="58"/>
      <x:c r="S308" s="47"/>
      <x:c r="T308" s="60"/>
      <x:c r="U308" s="58"/>
      <x:c r="V308" s="47"/>
      <x:c r="W308" s="60"/>
      <x:c r="X308" s="58"/>
      <x:c r="Y308" s="47"/>
      <x:c r="Z308" s="60"/>
      <x:c r="AA308" s="58"/>
      <x:c r="AB308" s="47"/>
      <x:c r="AC308" s="60"/>
      <x:c r="AD308" s="58"/>
      <x:c r="AE308" s="47"/>
      <x:c r="AF308" s="60"/>
      <x:c r="AG308" s="58"/>
      <x:c r="AH308" s="47"/>
      <x:c r="AI308" s="60"/>
      <x:c r="AJ308" s="58"/>
      <x:c r="AK308" s="47"/>
      <x:c r="AL308" s="60"/>
      <x:c r="AM308" s="58"/>
      <x:c r="AN308" s="47"/>
      <x:c r="AO308" s="60"/>
      <x:c r="AP308" s="58"/>
      <x:c r="AQ308" s="47"/>
      <x:c r="AR308" s="60"/>
      <x:c r="AS308" s="58"/>
      <x:c r="AT308" s="47"/>
      <x:c r="AU308" s="60"/>
      <x:c r="AV308" s="58"/>
      <x:c r="AW308" s="47"/>
      <x:c r="AX308" s="60"/>
      <x:c r="AY308" s="58"/>
      <x:c r="AZ308" s="47"/>
      <x:c r="BA308" s="60"/>
      <x:c r="BB308" s="58"/>
      <x:c r="BC308" s="47"/>
      <x:c r="BD308" s="60"/>
      <x:c r="BE308" s="58"/>
      <x:c r="BF308" s="47"/>
      <x:c r="BG308" s="60"/>
      <x:c r="BH308" s="58"/>
      <x:c r="BI308" s="47"/>
      <x:c r="BJ308" s="60"/>
      <x:c r="BK308" s="58"/>
      <x:c r="BL308" s="47"/>
      <x:c r="BM308" s="60"/>
      <x:c r="BN308" s="58"/>
      <x:c r="BO308" s="47"/>
      <x:c r="BP308" s="60"/>
      <x:c r="BQ308" s="58"/>
      <x:c r="BR308" s="47"/>
      <x:c r="BS308" s="60"/>
      <x:c r="BT308" s="58"/>
      <x:c r="BU308" s="47"/>
      <x:c r="BV308" s="60"/>
      <x:c r="BW308" s="58"/>
      <x:c r="BX308" s="47"/>
      <x:c r="BY308" s="60"/>
      <x:c r="BZ308" s="58"/>
      <x:c r="CA308" s="47"/>
      <x:c r="CB308" s="60"/>
      <x:c r="CC308" s="58"/>
      <x:c r="CD308" s="47"/>
      <x:c r="CE308" s="60"/>
      <x:c r="CF308" s="58"/>
      <x:c r="CG308" s="47"/>
      <x:c r="CH308" s="60"/>
      <x:c r="CI308" s="58"/>
      <x:c r="CJ308" s="47"/>
      <x:c r="CK308" s="60"/>
      <x:c r="CL308" s="58"/>
      <x:c r="CM308" s="47"/>
      <x:c r="CN308" s="60"/>
      <x:c r="CO308" s="58"/>
      <x:c r="CP308" s="47"/>
      <x:c r="CQ308" s="60"/>
      <x:c r="CR308" s="58"/>
      <x:c r="CS308" s="47"/>
      <x:c r="CT308" s="60"/>
      <x:c r="CU308" s="58"/>
      <x:c r="CV308" s="47"/>
      <x:c r="CW308" s="60"/>
      <x:c r="CX308" s="58"/>
      <x:c r="CY308" s="47"/>
      <x:c r="CZ308" s="60"/>
      <x:c r="DA308" s="58"/>
      <x:c r="DB308" s="47"/>
      <x:c r="DC308" s="60"/>
      <x:c r="DD308" s="58"/>
      <x:c r="DE308" s="47"/>
      <x:c r="DF308" s="60"/>
      <x:c r="DG308" s="58"/>
      <x:c r="DH308" s="47"/>
      <x:c r="DI308" s="60"/>
      <x:c r="DJ308" s="58"/>
      <x:c r="DK308" s="47"/>
      <x:c r="DL308" s="60"/>
      <x:c r="DM308" s="58"/>
      <x:c r="DN308" s="11"/>
      <x:c r="DO308" s="61"/>
      <x:c r="DP308" s="62"/>
      <x:c r="DQ308" s="11"/>
      <x:c r="DR308" s="61"/>
      <x:c r="DS308" s="62"/>
      <x:c r="DT308" s="11"/>
      <x:c r="DU308" s="61"/>
      <x:c r="DV308" s="62"/>
    </x:row>
    <x:row r="309" spans="1:126" x14ac:dyDescent="0.3">
      <x:c r="A309" s="47"/>
      <x:c r="B309" s="70"/>
      <x:c r="C309" s="70"/>
      <x:c r="D309" s="70"/>
      <x:c r="E309" s="70"/>
      <x:c r="F309" s="70"/>
      <x:c r="G309" s="70"/>
      <x:c r="H309" s="70"/>
      <x:c r="I309" s="70"/>
      <x:c r="J309" s="70"/>
      <x:c r="K309" s="190"/>
      <x:c r="L309" s="195"/>
      <x:c r="M309" s="192"/>
      <x:c r="N309" s="192"/>
      <x:c r="O309" s="69"/>
      <x:c r="P309" s="47"/>
      <x:c r="Q309" s="60"/>
      <x:c r="R309" s="58"/>
      <x:c r="S309" s="47"/>
      <x:c r="T309" s="60"/>
      <x:c r="U309" s="58"/>
      <x:c r="V309" s="47"/>
      <x:c r="W309" s="60"/>
      <x:c r="X309" s="58"/>
      <x:c r="Y309" s="47"/>
      <x:c r="Z309" s="60"/>
      <x:c r="AA309" s="58"/>
      <x:c r="AB309" s="47"/>
      <x:c r="AC309" s="60"/>
      <x:c r="AD309" s="58"/>
      <x:c r="AE309" s="47"/>
      <x:c r="AF309" s="60"/>
      <x:c r="AG309" s="58"/>
      <x:c r="AH309" s="47"/>
      <x:c r="AI309" s="60"/>
      <x:c r="AJ309" s="58"/>
      <x:c r="AK309" s="47"/>
      <x:c r="AL309" s="60"/>
      <x:c r="AM309" s="58"/>
      <x:c r="AN309" s="47"/>
      <x:c r="AO309" s="60"/>
      <x:c r="AP309" s="58"/>
      <x:c r="AQ309" s="47"/>
      <x:c r="AR309" s="60"/>
      <x:c r="AS309" s="58"/>
      <x:c r="AT309" s="47"/>
      <x:c r="AU309" s="60"/>
      <x:c r="AV309" s="58"/>
      <x:c r="AW309" s="47"/>
      <x:c r="AX309" s="60"/>
      <x:c r="AY309" s="58"/>
      <x:c r="AZ309" s="47"/>
      <x:c r="BA309" s="60"/>
      <x:c r="BB309" s="58"/>
      <x:c r="BC309" s="47"/>
      <x:c r="BD309" s="60"/>
      <x:c r="BE309" s="58"/>
      <x:c r="BF309" s="47"/>
      <x:c r="BG309" s="60"/>
      <x:c r="BH309" s="58"/>
      <x:c r="BI309" s="47"/>
      <x:c r="BJ309" s="60"/>
      <x:c r="BK309" s="58"/>
      <x:c r="BL309" s="47"/>
      <x:c r="BM309" s="60"/>
      <x:c r="BN309" s="58"/>
      <x:c r="BO309" s="47"/>
      <x:c r="BP309" s="60"/>
      <x:c r="BQ309" s="58"/>
      <x:c r="BR309" s="47"/>
      <x:c r="BS309" s="60"/>
      <x:c r="BT309" s="58"/>
      <x:c r="BU309" s="47"/>
      <x:c r="BV309" s="60"/>
      <x:c r="BW309" s="58"/>
      <x:c r="BX309" s="47"/>
      <x:c r="BY309" s="60"/>
      <x:c r="BZ309" s="58"/>
      <x:c r="CA309" s="47"/>
      <x:c r="CB309" s="60"/>
      <x:c r="CC309" s="58"/>
      <x:c r="CD309" s="47"/>
      <x:c r="CE309" s="60"/>
      <x:c r="CF309" s="58"/>
      <x:c r="CG309" s="47"/>
      <x:c r="CH309" s="60"/>
      <x:c r="CI309" s="58"/>
      <x:c r="CJ309" s="47"/>
      <x:c r="CK309" s="60"/>
      <x:c r="CL309" s="58"/>
      <x:c r="CM309" s="47"/>
      <x:c r="CN309" s="60"/>
      <x:c r="CO309" s="58"/>
      <x:c r="CP309" s="47"/>
      <x:c r="CQ309" s="60"/>
      <x:c r="CR309" s="58"/>
      <x:c r="CS309" s="47"/>
      <x:c r="CT309" s="60"/>
      <x:c r="CU309" s="58"/>
      <x:c r="CV309" s="47"/>
      <x:c r="CW309" s="60"/>
      <x:c r="CX309" s="58"/>
      <x:c r="CY309" s="47"/>
      <x:c r="CZ309" s="60"/>
      <x:c r="DA309" s="58"/>
      <x:c r="DB309" s="47"/>
      <x:c r="DC309" s="60"/>
      <x:c r="DD309" s="58"/>
      <x:c r="DE309" s="47"/>
      <x:c r="DF309" s="60"/>
      <x:c r="DG309" s="58"/>
      <x:c r="DH309" s="47"/>
      <x:c r="DI309" s="60"/>
      <x:c r="DJ309" s="58"/>
      <x:c r="DK309" s="47"/>
      <x:c r="DL309" s="60"/>
      <x:c r="DM309" s="58"/>
      <x:c r="DN309" s="11"/>
      <x:c r="DO309" s="61"/>
      <x:c r="DP309" s="62"/>
      <x:c r="DQ309" s="11"/>
      <x:c r="DR309" s="61"/>
      <x:c r="DS309" s="62"/>
      <x:c r="DT309" s="11"/>
      <x:c r="DU309" s="61"/>
      <x:c r="DV309" s="62"/>
    </x:row>
    <x:row r="310" spans="1:126" x14ac:dyDescent="0.3">
      <x:c r="A310" s="47"/>
      <x:c r="B310" s="70"/>
      <x:c r="C310" s="70"/>
      <x:c r="D310" s="70"/>
      <x:c r="E310" s="70"/>
      <x:c r="F310" s="70"/>
      <x:c r="G310" s="70"/>
      <x:c r="H310" s="70"/>
      <x:c r="I310" s="70"/>
      <x:c r="J310" s="70"/>
      <x:c r="K310" s="190"/>
      <x:c r="L310" s="195"/>
      <x:c r="M310" s="192"/>
      <x:c r="N310" s="192"/>
      <x:c r="O310" s="69"/>
      <x:c r="P310" s="47"/>
      <x:c r="Q310" s="60"/>
      <x:c r="R310" s="58"/>
      <x:c r="S310" s="47"/>
      <x:c r="T310" s="60"/>
      <x:c r="U310" s="58"/>
      <x:c r="V310" s="47"/>
      <x:c r="W310" s="60"/>
      <x:c r="X310" s="58"/>
      <x:c r="Y310" s="47"/>
      <x:c r="Z310" s="60"/>
      <x:c r="AA310" s="58"/>
      <x:c r="AB310" s="47"/>
      <x:c r="AC310" s="60"/>
      <x:c r="AD310" s="58"/>
      <x:c r="AE310" s="47"/>
      <x:c r="AF310" s="60"/>
      <x:c r="AG310" s="58"/>
      <x:c r="AH310" s="47"/>
      <x:c r="AI310" s="60"/>
      <x:c r="AJ310" s="58"/>
      <x:c r="AK310" s="47"/>
      <x:c r="AL310" s="60"/>
      <x:c r="AM310" s="58"/>
      <x:c r="AN310" s="47"/>
      <x:c r="AO310" s="60"/>
      <x:c r="AP310" s="58"/>
      <x:c r="AQ310" s="47"/>
      <x:c r="AR310" s="60"/>
      <x:c r="AS310" s="58"/>
      <x:c r="AT310" s="47"/>
      <x:c r="AU310" s="60"/>
      <x:c r="AV310" s="58"/>
      <x:c r="AW310" s="47"/>
      <x:c r="AX310" s="60"/>
      <x:c r="AY310" s="58"/>
      <x:c r="AZ310" s="47"/>
      <x:c r="BA310" s="60"/>
      <x:c r="BB310" s="58"/>
      <x:c r="BC310" s="47"/>
      <x:c r="BD310" s="60"/>
      <x:c r="BE310" s="58"/>
      <x:c r="BF310" s="47"/>
      <x:c r="BG310" s="60"/>
      <x:c r="BH310" s="58"/>
      <x:c r="BI310" s="47"/>
      <x:c r="BJ310" s="60"/>
      <x:c r="BK310" s="58"/>
      <x:c r="BL310" s="47"/>
      <x:c r="BM310" s="60"/>
      <x:c r="BN310" s="58"/>
      <x:c r="BO310" s="47"/>
      <x:c r="BP310" s="60"/>
      <x:c r="BQ310" s="58"/>
      <x:c r="BR310" s="47"/>
      <x:c r="BS310" s="60"/>
      <x:c r="BT310" s="58"/>
      <x:c r="BU310" s="47"/>
      <x:c r="BV310" s="60"/>
      <x:c r="BW310" s="58"/>
      <x:c r="BX310" s="47"/>
      <x:c r="BY310" s="60"/>
      <x:c r="BZ310" s="58"/>
      <x:c r="CA310" s="47"/>
      <x:c r="CB310" s="60"/>
      <x:c r="CC310" s="58"/>
      <x:c r="CD310" s="47"/>
      <x:c r="CE310" s="60"/>
      <x:c r="CF310" s="58"/>
      <x:c r="CG310" s="47"/>
      <x:c r="CH310" s="60"/>
      <x:c r="CI310" s="58"/>
      <x:c r="CJ310" s="47"/>
      <x:c r="CK310" s="60"/>
      <x:c r="CL310" s="58"/>
      <x:c r="CM310" s="47"/>
      <x:c r="CN310" s="60"/>
      <x:c r="CO310" s="58"/>
      <x:c r="CP310" s="47"/>
      <x:c r="CQ310" s="60"/>
      <x:c r="CR310" s="58"/>
      <x:c r="CS310" s="47"/>
      <x:c r="CT310" s="60"/>
      <x:c r="CU310" s="58"/>
      <x:c r="CV310" s="47"/>
      <x:c r="CW310" s="60"/>
      <x:c r="CX310" s="58"/>
      <x:c r="CY310" s="47"/>
      <x:c r="CZ310" s="60"/>
      <x:c r="DA310" s="58"/>
      <x:c r="DB310" s="47"/>
      <x:c r="DC310" s="60"/>
      <x:c r="DD310" s="58"/>
      <x:c r="DE310" s="47"/>
      <x:c r="DF310" s="60"/>
      <x:c r="DG310" s="58"/>
      <x:c r="DH310" s="47"/>
      <x:c r="DI310" s="60"/>
      <x:c r="DJ310" s="58"/>
      <x:c r="DK310" s="47"/>
      <x:c r="DL310" s="60"/>
      <x:c r="DM310" s="58"/>
      <x:c r="DN310" s="11"/>
      <x:c r="DO310" s="61"/>
      <x:c r="DP310" s="62"/>
      <x:c r="DQ310" s="11"/>
      <x:c r="DR310" s="61"/>
      <x:c r="DS310" s="62"/>
      <x:c r="DT310" s="11"/>
      <x:c r="DU310" s="61"/>
      <x:c r="DV310" s="62"/>
    </x:row>
    <x:row r="311" spans="1:126" x14ac:dyDescent="0.3">
      <x:c r="A311" s="47"/>
      <x:c r="B311" s="70"/>
      <x:c r="C311" s="70"/>
      <x:c r="D311" s="70"/>
      <x:c r="E311" s="70"/>
      <x:c r="F311" s="70"/>
      <x:c r="G311" s="70"/>
      <x:c r="H311" s="70"/>
      <x:c r="I311" s="70"/>
      <x:c r="J311" s="70"/>
      <x:c r="K311" s="190"/>
      <x:c r="L311" s="195"/>
      <x:c r="M311" s="192"/>
      <x:c r="N311" s="192"/>
      <x:c r="O311" s="69"/>
      <x:c r="P311" s="47"/>
      <x:c r="Q311" s="60"/>
      <x:c r="R311" s="58"/>
      <x:c r="S311" s="47"/>
      <x:c r="T311" s="60"/>
      <x:c r="U311" s="58"/>
      <x:c r="V311" s="47"/>
      <x:c r="W311" s="60"/>
      <x:c r="X311" s="58"/>
      <x:c r="Y311" s="47"/>
      <x:c r="Z311" s="60"/>
      <x:c r="AA311" s="58"/>
      <x:c r="AB311" s="47"/>
      <x:c r="AC311" s="60"/>
      <x:c r="AD311" s="58"/>
      <x:c r="AE311" s="47"/>
      <x:c r="AF311" s="60"/>
      <x:c r="AG311" s="58"/>
      <x:c r="AH311" s="47"/>
      <x:c r="AI311" s="60"/>
      <x:c r="AJ311" s="58"/>
      <x:c r="AK311" s="47"/>
      <x:c r="AL311" s="60"/>
      <x:c r="AM311" s="58"/>
      <x:c r="AN311" s="47"/>
      <x:c r="AO311" s="60"/>
      <x:c r="AP311" s="58"/>
      <x:c r="AQ311" s="47"/>
      <x:c r="AR311" s="60"/>
      <x:c r="AS311" s="58"/>
      <x:c r="AT311" s="47"/>
      <x:c r="AU311" s="60"/>
      <x:c r="AV311" s="58"/>
      <x:c r="AW311" s="47"/>
      <x:c r="AX311" s="60"/>
      <x:c r="AY311" s="58"/>
      <x:c r="AZ311" s="47"/>
      <x:c r="BA311" s="60"/>
      <x:c r="BB311" s="58"/>
      <x:c r="BC311" s="47"/>
      <x:c r="BD311" s="60"/>
      <x:c r="BE311" s="58"/>
      <x:c r="BF311" s="47"/>
      <x:c r="BG311" s="60"/>
      <x:c r="BH311" s="58"/>
      <x:c r="BI311" s="47"/>
      <x:c r="BJ311" s="60"/>
      <x:c r="BK311" s="58"/>
      <x:c r="BL311" s="47"/>
      <x:c r="BM311" s="60"/>
      <x:c r="BN311" s="58"/>
      <x:c r="BO311" s="47"/>
      <x:c r="BP311" s="60"/>
      <x:c r="BQ311" s="58"/>
      <x:c r="BR311" s="47"/>
      <x:c r="BS311" s="60"/>
      <x:c r="BT311" s="58"/>
      <x:c r="BU311" s="47"/>
      <x:c r="BV311" s="60"/>
      <x:c r="BW311" s="58"/>
      <x:c r="BX311" s="47"/>
      <x:c r="BY311" s="60"/>
      <x:c r="BZ311" s="58"/>
      <x:c r="CA311" s="47"/>
      <x:c r="CB311" s="60"/>
      <x:c r="CC311" s="58"/>
      <x:c r="CD311" s="47"/>
      <x:c r="CE311" s="60"/>
      <x:c r="CF311" s="58"/>
      <x:c r="CG311" s="47"/>
      <x:c r="CH311" s="60"/>
      <x:c r="CI311" s="58"/>
      <x:c r="CJ311" s="47"/>
      <x:c r="CK311" s="60"/>
      <x:c r="CL311" s="58"/>
      <x:c r="CM311" s="47"/>
      <x:c r="CN311" s="60"/>
      <x:c r="CO311" s="58"/>
      <x:c r="CP311" s="47"/>
      <x:c r="CQ311" s="60"/>
      <x:c r="CR311" s="58"/>
      <x:c r="CS311" s="47"/>
      <x:c r="CT311" s="60"/>
      <x:c r="CU311" s="58"/>
      <x:c r="CV311" s="47"/>
      <x:c r="CW311" s="60"/>
      <x:c r="CX311" s="58"/>
      <x:c r="CY311" s="47"/>
      <x:c r="CZ311" s="60"/>
      <x:c r="DA311" s="58"/>
      <x:c r="DB311" s="47"/>
      <x:c r="DC311" s="60"/>
      <x:c r="DD311" s="58"/>
      <x:c r="DE311" s="47"/>
      <x:c r="DF311" s="60"/>
      <x:c r="DG311" s="58"/>
      <x:c r="DH311" s="47"/>
      <x:c r="DI311" s="60"/>
      <x:c r="DJ311" s="58"/>
      <x:c r="DK311" s="47"/>
      <x:c r="DL311" s="60"/>
      <x:c r="DM311" s="58"/>
      <x:c r="DN311" s="11"/>
      <x:c r="DO311" s="61"/>
      <x:c r="DP311" s="62"/>
      <x:c r="DQ311" s="11"/>
      <x:c r="DR311" s="61"/>
      <x:c r="DS311" s="62"/>
      <x:c r="DT311" s="11"/>
      <x:c r="DU311" s="61"/>
      <x:c r="DV311" s="62"/>
    </x:row>
    <x:row r="312" spans="1:126" x14ac:dyDescent="0.3">
      <x:c r="A312" s="47"/>
      <x:c r="B312" s="70"/>
      <x:c r="C312" s="70"/>
      <x:c r="D312" s="70"/>
      <x:c r="E312" s="70"/>
      <x:c r="F312" s="70"/>
      <x:c r="G312" s="70"/>
      <x:c r="H312" s="70"/>
      <x:c r="I312" s="70"/>
      <x:c r="J312" s="70"/>
      <x:c r="K312" s="190"/>
      <x:c r="L312" s="195"/>
      <x:c r="M312" s="192"/>
      <x:c r="N312" s="192"/>
      <x:c r="O312" s="69"/>
      <x:c r="P312" s="47"/>
      <x:c r="Q312" s="60"/>
      <x:c r="R312" s="58"/>
      <x:c r="S312" s="47"/>
      <x:c r="T312" s="60"/>
      <x:c r="U312" s="58"/>
      <x:c r="V312" s="47"/>
      <x:c r="W312" s="60"/>
      <x:c r="X312" s="58"/>
      <x:c r="Y312" s="47"/>
      <x:c r="Z312" s="60"/>
      <x:c r="AA312" s="58"/>
      <x:c r="AB312" s="47"/>
      <x:c r="AC312" s="60"/>
      <x:c r="AD312" s="58"/>
      <x:c r="AE312" s="47"/>
      <x:c r="AF312" s="60"/>
      <x:c r="AG312" s="58"/>
      <x:c r="AH312" s="47"/>
      <x:c r="AI312" s="60"/>
      <x:c r="AJ312" s="58"/>
      <x:c r="AK312" s="47"/>
      <x:c r="AL312" s="60"/>
      <x:c r="AM312" s="58"/>
      <x:c r="AN312" s="47"/>
      <x:c r="AO312" s="60"/>
      <x:c r="AP312" s="58"/>
      <x:c r="AQ312" s="47"/>
      <x:c r="AR312" s="60"/>
      <x:c r="AS312" s="58"/>
      <x:c r="AT312" s="47"/>
      <x:c r="AU312" s="60"/>
      <x:c r="AV312" s="58"/>
      <x:c r="AW312" s="47"/>
      <x:c r="AX312" s="60"/>
      <x:c r="AY312" s="58"/>
      <x:c r="AZ312" s="47"/>
      <x:c r="BA312" s="60"/>
      <x:c r="BB312" s="58"/>
      <x:c r="BC312" s="47"/>
      <x:c r="BD312" s="60"/>
      <x:c r="BE312" s="58"/>
      <x:c r="BF312" s="47"/>
      <x:c r="BG312" s="60"/>
      <x:c r="BH312" s="58"/>
      <x:c r="BI312" s="47"/>
      <x:c r="BJ312" s="60"/>
      <x:c r="BK312" s="58"/>
      <x:c r="BL312" s="47"/>
      <x:c r="BM312" s="60"/>
      <x:c r="BN312" s="58"/>
      <x:c r="BO312" s="47"/>
      <x:c r="BP312" s="60"/>
      <x:c r="BQ312" s="58"/>
      <x:c r="BR312" s="47"/>
      <x:c r="BS312" s="60"/>
      <x:c r="BT312" s="58"/>
      <x:c r="BU312" s="47"/>
      <x:c r="BV312" s="60"/>
      <x:c r="BW312" s="58"/>
      <x:c r="BX312" s="47"/>
      <x:c r="BY312" s="60"/>
      <x:c r="BZ312" s="58"/>
      <x:c r="CA312" s="47"/>
      <x:c r="CB312" s="60"/>
      <x:c r="CC312" s="58"/>
      <x:c r="CD312" s="47"/>
      <x:c r="CE312" s="60"/>
      <x:c r="CF312" s="58"/>
      <x:c r="CG312" s="47"/>
      <x:c r="CH312" s="60"/>
      <x:c r="CI312" s="58"/>
      <x:c r="CJ312" s="47"/>
      <x:c r="CK312" s="60"/>
      <x:c r="CL312" s="58"/>
      <x:c r="CM312" s="47"/>
      <x:c r="CN312" s="60"/>
      <x:c r="CO312" s="58"/>
      <x:c r="CP312" s="47"/>
      <x:c r="CQ312" s="60"/>
      <x:c r="CR312" s="58"/>
      <x:c r="CS312" s="47"/>
      <x:c r="CT312" s="60"/>
      <x:c r="CU312" s="58"/>
      <x:c r="CV312" s="47"/>
      <x:c r="CW312" s="60"/>
      <x:c r="CX312" s="58"/>
      <x:c r="CY312" s="47"/>
      <x:c r="CZ312" s="60"/>
      <x:c r="DA312" s="58"/>
      <x:c r="DB312" s="47"/>
      <x:c r="DC312" s="60"/>
      <x:c r="DD312" s="58"/>
      <x:c r="DE312" s="47"/>
      <x:c r="DF312" s="60"/>
      <x:c r="DG312" s="58"/>
      <x:c r="DH312" s="47"/>
      <x:c r="DI312" s="60"/>
      <x:c r="DJ312" s="58"/>
      <x:c r="DK312" s="47"/>
      <x:c r="DL312" s="60"/>
      <x:c r="DM312" s="58"/>
      <x:c r="DN312" s="11"/>
      <x:c r="DO312" s="61"/>
      <x:c r="DP312" s="62"/>
      <x:c r="DQ312" s="11"/>
      <x:c r="DR312" s="61"/>
      <x:c r="DS312" s="62"/>
      <x:c r="DT312" s="11"/>
      <x:c r="DU312" s="61"/>
      <x:c r="DV312" s="62"/>
    </x:row>
    <x:row r="313" spans="1:126" x14ac:dyDescent="0.3">
      <x:c r="A313" s="47"/>
      <x:c r="B313" s="70"/>
      <x:c r="C313" s="70"/>
      <x:c r="D313" s="70"/>
      <x:c r="E313" s="70"/>
      <x:c r="F313" s="70"/>
      <x:c r="G313" s="70"/>
      <x:c r="H313" s="70"/>
      <x:c r="I313" s="70"/>
      <x:c r="J313" s="70"/>
      <x:c r="K313" s="190"/>
      <x:c r="L313" s="195"/>
      <x:c r="M313" s="192"/>
      <x:c r="N313" s="192"/>
      <x:c r="O313" s="69"/>
      <x:c r="P313" s="47"/>
      <x:c r="Q313" s="60"/>
      <x:c r="R313" s="58"/>
      <x:c r="S313" s="47"/>
      <x:c r="T313" s="60"/>
      <x:c r="U313" s="58"/>
      <x:c r="V313" s="47"/>
      <x:c r="W313" s="60"/>
      <x:c r="X313" s="58"/>
      <x:c r="Y313" s="47"/>
      <x:c r="Z313" s="60"/>
      <x:c r="AA313" s="58"/>
      <x:c r="AB313" s="47"/>
      <x:c r="AC313" s="60"/>
      <x:c r="AD313" s="58"/>
      <x:c r="AE313" s="47"/>
      <x:c r="AF313" s="60"/>
      <x:c r="AG313" s="58"/>
      <x:c r="AH313" s="47"/>
      <x:c r="AI313" s="60"/>
      <x:c r="AJ313" s="58"/>
      <x:c r="AK313" s="47"/>
      <x:c r="AL313" s="60"/>
      <x:c r="AM313" s="58"/>
      <x:c r="AN313" s="47"/>
      <x:c r="AO313" s="60"/>
      <x:c r="AP313" s="58"/>
      <x:c r="AQ313" s="47"/>
      <x:c r="AR313" s="60"/>
      <x:c r="AS313" s="58"/>
      <x:c r="AT313" s="47"/>
      <x:c r="AU313" s="60"/>
      <x:c r="AV313" s="58"/>
      <x:c r="AW313" s="47"/>
      <x:c r="AX313" s="60"/>
      <x:c r="AY313" s="58"/>
      <x:c r="AZ313" s="47"/>
      <x:c r="BA313" s="60"/>
      <x:c r="BB313" s="58"/>
      <x:c r="BC313" s="47"/>
      <x:c r="BD313" s="60"/>
      <x:c r="BE313" s="58"/>
      <x:c r="BF313" s="47"/>
      <x:c r="BG313" s="60"/>
      <x:c r="BH313" s="58"/>
      <x:c r="BI313" s="47"/>
      <x:c r="BJ313" s="60"/>
      <x:c r="BK313" s="58"/>
      <x:c r="BL313" s="47"/>
      <x:c r="BM313" s="60"/>
      <x:c r="BN313" s="58"/>
      <x:c r="BO313" s="47"/>
      <x:c r="BP313" s="60"/>
      <x:c r="BQ313" s="58"/>
      <x:c r="BR313" s="47"/>
      <x:c r="BS313" s="60"/>
      <x:c r="BT313" s="58"/>
      <x:c r="BU313" s="47"/>
      <x:c r="BV313" s="60"/>
      <x:c r="BW313" s="58"/>
      <x:c r="BX313" s="47"/>
      <x:c r="BY313" s="60"/>
      <x:c r="BZ313" s="58"/>
      <x:c r="CA313" s="47"/>
      <x:c r="CB313" s="60"/>
      <x:c r="CC313" s="58"/>
      <x:c r="CD313" s="47"/>
      <x:c r="CE313" s="60"/>
      <x:c r="CF313" s="58"/>
      <x:c r="CG313" s="47"/>
      <x:c r="CH313" s="60"/>
      <x:c r="CI313" s="58"/>
      <x:c r="CJ313" s="47"/>
      <x:c r="CK313" s="60"/>
      <x:c r="CL313" s="58"/>
      <x:c r="CM313" s="47"/>
      <x:c r="CN313" s="60"/>
      <x:c r="CO313" s="58"/>
      <x:c r="CP313" s="47"/>
      <x:c r="CQ313" s="60"/>
      <x:c r="CR313" s="58"/>
      <x:c r="CS313" s="47"/>
      <x:c r="CT313" s="60"/>
      <x:c r="CU313" s="58"/>
      <x:c r="CV313" s="47"/>
      <x:c r="CW313" s="60"/>
      <x:c r="CX313" s="58"/>
      <x:c r="CY313" s="47"/>
      <x:c r="CZ313" s="60"/>
      <x:c r="DA313" s="58"/>
      <x:c r="DB313" s="47"/>
      <x:c r="DC313" s="60"/>
      <x:c r="DD313" s="58"/>
      <x:c r="DE313" s="47"/>
      <x:c r="DF313" s="60"/>
      <x:c r="DG313" s="58"/>
      <x:c r="DH313" s="47"/>
      <x:c r="DI313" s="60"/>
      <x:c r="DJ313" s="58"/>
      <x:c r="DK313" s="47"/>
      <x:c r="DL313" s="60"/>
      <x:c r="DM313" s="58"/>
      <x:c r="DN313" s="11"/>
      <x:c r="DO313" s="61"/>
      <x:c r="DP313" s="62"/>
      <x:c r="DQ313" s="11"/>
      <x:c r="DR313" s="61"/>
      <x:c r="DS313" s="62"/>
      <x:c r="DT313" s="11"/>
      <x:c r="DU313" s="61"/>
      <x:c r="DV313" s="62"/>
    </x:row>
    <x:row r="314" spans="1:126" x14ac:dyDescent="0.3">
      <x:c r="A314" s="47"/>
      <x:c r="B314" s="70"/>
      <x:c r="C314" s="70"/>
      <x:c r="D314" s="70"/>
      <x:c r="E314" s="70"/>
      <x:c r="F314" s="70"/>
      <x:c r="G314" s="70"/>
      <x:c r="H314" s="70"/>
      <x:c r="I314" s="70"/>
      <x:c r="J314" s="70"/>
      <x:c r="K314" s="190"/>
      <x:c r="L314" s="195"/>
      <x:c r="M314" s="192"/>
      <x:c r="N314" s="192"/>
      <x:c r="O314" s="69"/>
      <x:c r="P314" s="47"/>
      <x:c r="Q314" s="60"/>
      <x:c r="R314" s="58"/>
      <x:c r="S314" s="47"/>
      <x:c r="T314" s="60"/>
      <x:c r="U314" s="58"/>
      <x:c r="V314" s="47"/>
      <x:c r="W314" s="60"/>
      <x:c r="X314" s="58"/>
      <x:c r="Y314" s="47"/>
      <x:c r="Z314" s="60"/>
      <x:c r="AA314" s="58"/>
      <x:c r="AB314" s="47"/>
      <x:c r="AC314" s="60"/>
      <x:c r="AD314" s="58"/>
      <x:c r="AE314" s="47"/>
      <x:c r="AF314" s="60"/>
      <x:c r="AG314" s="58"/>
      <x:c r="AH314" s="47"/>
      <x:c r="AI314" s="60"/>
      <x:c r="AJ314" s="58"/>
      <x:c r="AK314" s="47"/>
      <x:c r="AL314" s="60"/>
      <x:c r="AM314" s="58"/>
      <x:c r="AN314" s="47"/>
      <x:c r="AO314" s="60"/>
      <x:c r="AP314" s="58"/>
      <x:c r="AQ314" s="47"/>
      <x:c r="AR314" s="60"/>
      <x:c r="AS314" s="58"/>
      <x:c r="AT314" s="47"/>
      <x:c r="AU314" s="60"/>
      <x:c r="AV314" s="58"/>
      <x:c r="AW314" s="47"/>
      <x:c r="AX314" s="60"/>
      <x:c r="AY314" s="58"/>
      <x:c r="AZ314" s="47"/>
      <x:c r="BA314" s="60"/>
      <x:c r="BB314" s="58"/>
      <x:c r="BC314" s="47"/>
      <x:c r="BD314" s="60"/>
      <x:c r="BE314" s="58"/>
      <x:c r="BF314" s="47"/>
      <x:c r="BG314" s="60"/>
      <x:c r="BH314" s="58"/>
      <x:c r="BI314" s="47"/>
      <x:c r="BJ314" s="60"/>
      <x:c r="BK314" s="58"/>
      <x:c r="BL314" s="47"/>
      <x:c r="BM314" s="60"/>
      <x:c r="BN314" s="58"/>
      <x:c r="BO314" s="47"/>
      <x:c r="BP314" s="60"/>
      <x:c r="BQ314" s="58"/>
      <x:c r="BR314" s="47"/>
      <x:c r="BS314" s="60"/>
      <x:c r="BT314" s="58"/>
      <x:c r="BU314" s="47"/>
      <x:c r="BV314" s="60"/>
      <x:c r="BW314" s="58"/>
      <x:c r="BX314" s="47"/>
      <x:c r="BY314" s="60"/>
      <x:c r="BZ314" s="58"/>
      <x:c r="CA314" s="47"/>
      <x:c r="CB314" s="60"/>
      <x:c r="CC314" s="58"/>
      <x:c r="CD314" s="47"/>
      <x:c r="CE314" s="60"/>
      <x:c r="CF314" s="58"/>
      <x:c r="CG314" s="47"/>
      <x:c r="CH314" s="60"/>
      <x:c r="CI314" s="58"/>
      <x:c r="CJ314" s="47"/>
      <x:c r="CK314" s="60"/>
      <x:c r="CL314" s="58"/>
      <x:c r="CM314" s="47"/>
      <x:c r="CN314" s="60"/>
      <x:c r="CO314" s="58"/>
      <x:c r="CP314" s="47"/>
      <x:c r="CQ314" s="60"/>
      <x:c r="CR314" s="58"/>
      <x:c r="CS314" s="47"/>
      <x:c r="CT314" s="60"/>
      <x:c r="CU314" s="58"/>
      <x:c r="CV314" s="47"/>
      <x:c r="CW314" s="60"/>
      <x:c r="CX314" s="58"/>
      <x:c r="CY314" s="47"/>
      <x:c r="CZ314" s="60"/>
      <x:c r="DA314" s="58"/>
      <x:c r="DB314" s="47"/>
      <x:c r="DC314" s="60"/>
      <x:c r="DD314" s="58"/>
      <x:c r="DE314" s="47"/>
      <x:c r="DF314" s="60"/>
      <x:c r="DG314" s="58"/>
      <x:c r="DH314" s="47"/>
      <x:c r="DI314" s="60"/>
      <x:c r="DJ314" s="58"/>
      <x:c r="DK314" s="47"/>
      <x:c r="DL314" s="60"/>
      <x:c r="DM314" s="58"/>
      <x:c r="DN314" s="11"/>
      <x:c r="DO314" s="61"/>
      <x:c r="DP314" s="62"/>
      <x:c r="DQ314" s="11"/>
      <x:c r="DR314" s="61"/>
      <x:c r="DS314" s="62"/>
      <x:c r="DT314" s="11"/>
      <x:c r="DU314" s="61"/>
      <x:c r="DV314" s="62"/>
    </x:row>
    <x:row r="315" spans="1:126" x14ac:dyDescent="0.3">
      <x:c r="A315" s="47"/>
      <x:c r="B315" s="70"/>
      <x:c r="C315" s="70"/>
      <x:c r="D315" s="70"/>
      <x:c r="E315" s="70"/>
      <x:c r="F315" s="70"/>
      <x:c r="G315" s="70"/>
      <x:c r="H315" s="70"/>
      <x:c r="I315" s="70"/>
      <x:c r="J315" s="70"/>
      <x:c r="K315" s="190"/>
      <x:c r="L315" s="195"/>
      <x:c r="M315" s="192"/>
      <x:c r="N315" s="192"/>
      <x:c r="O315" s="69"/>
      <x:c r="P315" s="47"/>
      <x:c r="Q315" s="60"/>
      <x:c r="R315" s="58"/>
      <x:c r="S315" s="47"/>
      <x:c r="T315" s="60"/>
      <x:c r="U315" s="58"/>
      <x:c r="V315" s="47"/>
      <x:c r="W315" s="60"/>
      <x:c r="X315" s="58"/>
      <x:c r="Y315" s="47"/>
      <x:c r="Z315" s="60"/>
      <x:c r="AA315" s="58"/>
      <x:c r="AB315" s="47"/>
      <x:c r="AC315" s="60"/>
      <x:c r="AD315" s="58"/>
      <x:c r="AE315" s="47"/>
      <x:c r="AF315" s="60"/>
      <x:c r="AG315" s="58"/>
      <x:c r="AH315" s="47"/>
      <x:c r="AI315" s="60"/>
      <x:c r="AJ315" s="58"/>
      <x:c r="AK315" s="47"/>
      <x:c r="AL315" s="60"/>
      <x:c r="AM315" s="58"/>
      <x:c r="AN315" s="47"/>
      <x:c r="AO315" s="60"/>
      <x:c r="AP315" s="58"/>
      <x:c r="AQ315" s="47"/>
      <x:c r="AR315" s="60"/>
      <x:c r="AS315" s="58"/>
      <x:c r="AT315" s="47"/>
      <x:c r="AU315" s="60"/>
      <x:c r="AV315" s="58"/>
      <x:c r="AW315" s="47"/>
      <x:c r="AX315" s="60"/>
      <x:c r="AY315" s="58"/>
      <x:c r="AZ315" s="47"/>
      <x:c r="BA315" s="60"/>
      <x:c r="BB315" s="58"/>
      <x:c r="BC315" s="47"/>
      <x:c r="BD315" s="60"/>
      <x:c r="BE315" s="58"/>
      <x:c r="BF315" s="47"/>
      <x:c r="BG315" s="60"/>
      <x:c r="BH315" s="58"/>
      <x:c r="BI315" s="47"/>
      <x:c r="BJ315" s="60"/>
      <x:c r="BK315" s="58"/>
      <x:c r="BL315" s="47"/>
      <x:c r="BM315" s="60"/>
      <x:c r="BN315" s="58"/>
      <x:c r="BO315" s="47"/>
      <x:c r="BP315" s="60"/>
      <x:c r="BQ315" s="58"/>
      <x:c r="BR315" s="47"/>
      <x:c r="BS315" s="60"/>
      <x:c r="BT315" s="58"/>
      <x:c r="BU315" s="47"/>
      <x:c r="BV315" s="60"/>
      <x:c r="BW315" s="58"/>
      <x:c r="BX315" s="47"/>
      <x:c r="BY315" s="60"/>
      <x:c r="BZ315" s="58"/>
      <x:c r="CA315" s="47"/>
      <x:c r="CB315" s="60"/>
      <x:c r="CC315" s="58"/>
      <x:c r="CD315" s="47"/>
      <x:c r="CE315" s="60"/>
      <x:c r="CF315" s="58"/>
      <x:c r="CG315" s="47"/>
      <x:c r="CH315" s="60"/>
      <x:c r="CI315" s="58"/>
      <x:c r="CJ315" s="47"/>
      <x:c r="CK315" s="60"/>
      <x:c r="CL315" s="58"/>
      <x:c r="CM315" s="47"/>
      <x:c r="CN315" s="60"/>
      <x:c r="CO315" s="58"/>
      <x:c r="CP315" s="47"/>
      <x:c r="CQ315" s="60"/>
      <x:c r="CR315" s="58"/>
      <x:c r="CS315" s="47"/>
      <x:c r="CT315" s="60"/>
      <x:c r="CU315" s="58"/>
      <x:c r="CV315" s="47"/>
      <x:c r="CW315" s="60"/>
      <x:c r="CX315" s="58"/>
      <x:c r="CY315" s="47"/>
      <x:c r="CZ315" s="60"/>
      <x:c r="DA315" s="58"/>
      <x:c r="DB315" s="47"/>
      <x:c r="DC315" s="60"/>
      <x:c r="DD315" s="58"/>
      <x:c r="DE315" s="47"/>
      <x:c r="DF315" s="60"/>
      <x:c r="DG315" s="58"/>
      <x:c r="DH315" s="47"/>
      <x:c r="DI315" s="60"/>
      <x:c r="DJ315" s="58"/>
      <x:c r="DK315" s="47"/>
      <x:c r="DL315" s="60"/>
      <x:c r="DM315" s="58"/>
      <x:c r="DN315" s="11"/>
      <x:c r="DO315" s="61"/>
      <x:c r="DP315" s="62"/>
      <x:c r="DQ315" s="11"/>
      <x:c r="DR315" s="61"/>
      <x:c r="DS315" s="62"/>
      <x:c r="DT315" s="11"/>
      <x:c r="DU315" s="61"/>
      <x:c r="DV315" s="62"/>
    </x:row>
    <x:row r="316" spans="1:126" x14ac:dyDescent="0.3">
      <x:c r="A316" s="47"/>
      <x:c r="B316" s="70"/>
      <x:c r="C316" s="70"/>
      <x:c r="D316" s="70"/>
      <x:c r="E316" s="70"/>
      <x:c r="F316" s="70"/>
      <x:c r="G316" s="70"/>
      <x:c r="H316" s="70"/>
      <x:c r="I316" s="70"/>
      <x:c r="J316" s="70"/>
      <x:c r="K316" s="190"/>
      <x:c r="L316" s="195"/>
      <x:c r="M316" s="192"/>
      <x:c r="N316" s="192"/>
      <x:c r="O316" s="69"/>
      <x:c r="P316" s="47"/>
      <x:c r="Q316" s="60"/>
      <x:c r="R316" s="58"/>
      <x:c r="S316" s="47"/>
      <x:c r="T316" s="60"/>
      <x:c r="U316" s="58"/>
      <x:c r="V316" s="47"/>
      <x:c r="W316" s="60"/>
      <x:c r="X316" s="58"/>
      <x:c r="Y316" s="47"/>
      <x:c r="Z316" s="60"/>
      <x:c r="AA316" s="58"/>
      <x:c r="AB316" s="47"/>
      <x:c r="AC316" s="60"/>
      <x:c r="AD316" s="58"/>
      <x:c r="AE316" s="47"/>
      <x:c r="AF316" s="60"/>
      <x:c r="AG316" s="58"/>
      <x:c r="AH316" s="47"/>
      <x:c r="AI316" s="60"/>
      <x:c r="AJ316" s="58"/>
      <x:c r="AK316" s="47"/>
      <x:c r="AL316" s="60"/>
      <x:c r="AM316" s="58"/>
      <x:c r="AN316" s="47"/>
      <x:c r="AO316" s="60"/>
      <x:c r="AP316" s="58"/>
      <x:c r="AQ316" s="47"/>
      <x:c r="AR316" s="60"/>
      <x:c r="AS316" s="58"/>
      <x:c r="AT316" s="47"/>
      <x:c r="AU316" s="60"/>
      <x:c r="AV316" s="58"/>
      <x:c r="AW316" s="47"/>
      <x:c r="AX316" s="60"/>
      <x:c r="AY316" s="58"/>
      <x:c r="AZ316" s="47"/>
      <x:c r="BA316" s="60"/>
      <x:c r="BB316" s="58"/>
      <x:c r="BC316" s="47"/>
      <x:c r="BD316" s="60"/>
      <x:c r="BE316" s="58"/>
      <x:c r="BF316" s="47"/>
      <x:c r="BG316" s="60"/>
      <x:c r="BH316" s="58"/>
      <x:c r="BI316" s="47"/>
      <x:c r="BJ316" s="60"/>
      <x:c r="BK316" s="58"/>
      <x:c r="BL316" s="47"/>
      <x:c r="BM316" s="60"/>
      <x:c r="BN316" s="58"/>
      <x:c r="BO316" s="47"/>
      <x:c r="BP316" s="60"/>
      <x:c r="BQ316" s="58"/>
      <x:c r="BR316" s="47"/>
      <x:c r="BS316" s="60"/>
      <x:c r="BT316" s="58"/>
      <x:c r="BU316" s="47"/>
      <x:c r="BV316" s="60"/>
      <x:c r="BW316" s="58"/>
      <x:c r="BX316" s="47"/>
      <x:c r="BY316" s="60"/>
      <x:c r="BZ316" s="58"/>
      <x:c r="CA316" s="47"/>
      <x:c r="CB316" s="60"/>
      <x:c r="CC316" s="58"/>
      <x:c r="CD316" s="47"/>
      <x:c r="CE316" s="60"/>
      <x:c r="CF316" s="58"/>
      <x:c r="CG316" s="47"/>
      <x:c r="CH316" s="60"/>
      <x:c r="CI316" s="58"/>
      <x:c r="CJ316" s="47"/>
      <x:c r="CK316" s="60"/>
      <x:c r="CL316" s="58"/>
      <x:c r="CM316" s="47"/>
      <x:c r="CN316" s="60"/>
      <x:c r="CO316" s="58"/>
      <x:c r="CP316" s="47"/>
      <x:c r="CQ316" s="60"/>
      <x:c r="CR316" s="58"/>
      <x:c r="CS316" s="47"/>
      <x:c r="CT316" s="60"/>
      <x:c r="CU316" s="58"/>
      <x:c r="CV316" s="47"/>
      <x:c r="CW316" s="60"/>
      <x:c r="CX316" s="58"/>
      <x:c r="CY316" s="47"/>
      <x:c r="CZ316" s="60"/>
      <x:c r="DA316" s="58"/>
      <x:c r="DB316" s="47"/>
      <x:c r="DC316" s="60"/>
      <x:c r="DD316" s="58"/>
      <x:c r="DE316" s="47"/>
      <x:c r="DF316" s="60"/>
      <x:c r="DG316" s="58"/>
      <x:c r="DH316" s="47"/>
      <x:c r="DI316" s="60"/>
      <x:c r="DJ316" s="58"/>
      <x:c r="DK316" s="47"/>
      <x:c r="DL316" s="60"/>
      <x:c r="DM316" s="58"/>
      <x:c r="DN316" s="11"/>
      <x:c r="DO316" s="61"/>
      <x:c r="DP316" s="62"/>
      <x:c r="DQ316" s="11"/>
      <x:c r="DR316" s="61"/>
      <x:c r="DS316" s="62"/>
      <x:c r="DT316" s="11"/>
      <x:c r="DU316" s="61"/>
      <x:c r="DV316" s="62"/>
    </x:row>
    <x:row r="317" spans="1:126" x14ac:dyDescent="0.3">
      <x:c r="A317" s="47"/>
      <x:c r="B317" s="70"/>
      <x:c r="C317" s="70"/>
      <x:c r="D317" s="70"/>
      <x:c r="E317" s="70"/>
      <x:c r="F317" s="70"/>
      <x:c r="G317" s="70"/>
      <x:c r="H317" s="70"/>
      <x:c r="I317" s="70"/>
      <x:c r="J317" s="70"/>
      <x:c r="K317" s="190"/>
      <x:c r="L317" s="195"/>
      <x:c r="M317" s="192"/>
      <x:c r="N317" s="192"/>
      <x:c r="O317" s="69"/>
      <x:c r="P317" s="47"/>
      <x:c r="Q317" s="60"/>
      <x:c r="R317" s="58"/>
      <x:c r="S317" s="47"/>
      <x:c r="T317" s="60"/>
      <x:c r="U317" s="58"/>
      <x:c r="V317" s="47"/>
      <x:c r="W317" s="60"/>
      <x:c r="X317" s="58"/>
      <x:c r="Y317" s="47"/>
      <x:c r="Z317" s="60"/>
      <x:c r="AA317" s="58"/>
      <x:c r="AB317" s="47"/>
      <x:c r="AC317" s="60"/>
      <x:c r="AD317" s="58"/>
      <x:c r="AE317" s="47"/>
      <x:c r="AF317" s="60"/>
      <x:c r="AG317" s="58"/>
      <x:c r="AH317" s="47"/>
      <x:c r="AI317" s="60"/>
      <x:c r="AJ317" s="58"/>
      <x:c r="AK317" s="47"/>
      <x:c r="AL317" s="60"/>
      <x:c r="AM317" s="58"/>
      <x:c r="AN317" s="47"/>
      <x:c r="AO317" s="60"/>
      <x:c r="AP317" s="58"/>
      <x:c r="AQ317" s="47"/>
      <x:c r="AR317" s="60"/>
      <x:c r="AS317" s="58"/>
      <x:c r="AT317" s="47"/>
      <x:c r="AU317" s="60"/>
      <x:c r="AV317" s="58"/>
      <x:c r="AW317" s="47"/>
      <x:c r="AX317" s="60"/>
      <x:c r="AY317" s="58"/>
      <x:c r="AZ317" s="47"/>
      <x:c r="BA317" s="60"/>
      <x:c r="BB317" s="58"/>
      <x:c r="BC317" s="47"/>
      <x:c r="BD317" s="60"/>
      <x:c r="BE317" s="58"/>
      <x:c r="BF317" s="47"/>
      <x:c r="BG317" s="60"/>
      <x:c r="BH317" s="58"/>
      <x:c r="BI317" s="47"/>
      <x:c r="BJ317" s="60"/>
      <x:c r="BK317" s="58"/>
      <x:c r="BL317" s="47"/>
      <x:c r="BM317" s="60"/>
      <x:c r="BN317" s="58"/>
      <x:c r="BO317" s="47"/>
      <x:c r="BP317" s="60"/>
      <x:c r="BQ317" s="58"/>
      <x:c r="BR317" s="47"/>
      <x:c r="BS317" s="60"/>
      <x:c r="BT317" s="58"/>
      <x:c r="BU317" s="47"/>
      <x:c r="BV317" s="60"/>
      <x:c r="BW317" s="58"/>
      <x:c r="BX317" s="47"/>
      <x:c r="BY317" s="60"/>
      <x:c r="BZ317" s="58"/>
      <x:c r="CA317" s="47"/>
      <x:c r="CB317" s="60"/>
      <x:c r="CC317" s="58"/>
      <x:c r="CD317" s="47"/>
      <x:c r="CE317" s="60"/>
      <x:c r="CF317" s="58"/>
      <x:c r="CG317" s="47"/>
      <x:c r="CH317" s="60"/>
      <x:c r="CI317" s="58"/>
      <x:c r="CJ317" s="47"/>
      <x:c r="CK317" s="60"/>
      <x:c r="CL317" s="58"/>
      <x:c r="CM317" s="47"/>
      <x:c r="CN317" s="60"/>
      <x:c r="CO317" s="58"/>
      <x:c r="CP317" s="47"/>
      <x:c r="CQ317" s="60"/>
      <x:c r="CR317" s="58"/>
      <x:c r="CS317" s="47"/>
      <x:c r="CT317" s="60"/>
      <x:c r="CU317" s="58"/>
      <x:c r="CV317" s="47"/>
      <x:c r="CW317" s="60"/>
      <x:c r="CX317" s="58"/>
      <x:c r="CY317" s="47"/>
      <x:c r="CZ317" s="60"/>
      <x:c r="DA317" s="58"/>
      <x:c r="DB317" s="47"/>
      <x:c r="DC317" s="60"/>
      <x:c r="DD317" s="58"/>
      <x:c r="DE317" s="47"/>
      <x:c r="DF317" s="60"/>
      <x:c r="DG317" s="58"/>
      <x:c r="DH317" s="47"/>
      <x:c r="DI317" s="60"/>
      <x:c r="DJ317" s="58"/>
      <x:c r="DK317" s="47"/>
      <x:c r="DL317" s="60"/>
      <x:c r="DM317" s="58"/>
      <x:c r="DN317" s="11"/>
      <x:c r="DO317" s="61"/>
      <x:c r="DP317" s="62"/>
      <x:c r="DQ317" s="11"/>
      <x:c r="DR317" s="61"/>
      <x:c r="DS317" s="62"/>
      <x:c r="DT317" s="11"/>
      <x:c r="DU317" s="61"/>
      <x:c r="DV317" s="62"/>
    </x:row>
    <x:row r="318" spans="1:126" x14ac:dyDescent="0.3">
      <x:c r="A318" s="47"/>
      <x:c r="B318" s="70"/>
      <x:c r="C318" s="70"/>
      <x:c r="D318" s="70"/>
      <x:c r="E318" s="70"/>
      <x:c r="F318" s="70"/>
      <x:c r="G318" s="70"/>
      <x:c r="H318" s="70"/>
      <x:c r="I318" s="70"/>
      <x:c r="J318" s="70"/>
      <x:c r="K318" s="190"/>
      <x:c r="L318" s="195"/>
      <x:c r="M318" s="192"/>
      <x:c r="N318" s="192"/>
      <x:c r="O318" s="69"/>
      <x:c r="P318" s="47"/>
      <x:c r="Q318" s="60"/>
      <x:c r="R318" s="58"/>
      <x:c r="S318" s="47"/>
      <x:c r="T318" s="60"/>
      <x:c r="U318" s="58"/>
      <x:c r="V318" s="47"/>
      <x:c r="W318" s="60"/>
      <x:c r="X318" s="58"/>
      <x:c r="Y318" s="47"/>
      <x:c r="Z318" s="60"/>
      <x:c r="AA318" s="58"/>
      <x:c r="AB318" s="47"/>
      <x:c r="AC318" s="60"/>
      <x:c r="AD318" s="58"/>
      <x:c r="AE318" s="47"/>
      <x:c r="AF318" s="60"/>
      <x:c r="AG318" s="58"/>
      <x:c r="AH318" s="47"/>
      <x:c r="AI318" s="60"/>
      <x:c r="AJ318" s="58"/>
      <x:c r="AK318" s="47"/>
      <x:c r="AL318" s="60"/>
      <x:c r="AM318" s="58"/>
      <x:c r="AN318" s="47"/>
      <x:c r="AO318" s="60"/>
      <x:c r="AP318" s="58"/>
      <x:c r="AQ318" s="47"/>
      <x:c r="AR318" s="60"/>
      <x:c r="AS318" s="58"/>
      <x:c r="AT318" s="47"/>
      <x:c r="AU318" s="60"/>
      <x:c r="AV318" s="58"/>
      <x:c r="AW318" s="47"/>
      <x:c r="AX318" s="60"/>
      <x:c r="AY318" s="58"/>
      <x:c r="AZ318" s="47"/>
      <x:c r="BA318" s="60"/>
      <x:c r="BB318" s="58"/>
      <x:c r="BC318" s="47"/>
      <x:c r="BD318" s="60"/>
      <x:c r="BE318" s="58"/>
      <x:c r="BF318" s="47"/>
      <x:c r="BG318" s="60"/>
      <x:c r="BH318" s="58"/>
      <x:c r="BI318" s="47"/>
      <x:c r="BJ318" s="60"/>
      <x:c r="BK318" s="58"/>
      <x:c r="BL318" s="47"/>
      <x:c r="BM318" s="60"/>
      <x:c r="BN318" s="58"/>
      <x:c r="BO318" s="47"/>
      <x:c r="BP318" s="60"/>
      <x:c r="BQ318" s="58"/>
      <x:c r="BR318" s="47"/>
      <x:c r="BS318" s="60"/>
      <x:c r="BT318" s="58"/>
      <x:c r="BU318" s="47"/>
      <x:c r="BV318" s="60"/>
      <x:c r="BW318" s="58"/>
      <x:c r="BX318" s="47"/>
      <x:c r="BY318" s="60"/>
      <x:c r="BZ318" s="58"/>
      <x:c r="CA318" s="47"/>
      <x:c r="CB318" s="60"/>
      <x:c r="CC318" s="58"/>
      <x:c r="CD318" s="47"/>
      <x:c r="CE318" s="60"/>
      <x:c r="CF318" s="58"/>
      <x:c r="CG318" s="47"/>
      <x:c r="CH318" s="60"/>
      <x:c r="CI318" s="58"/>
      <x:c r="CJ318" s="47"/>
      <x:c r="CK318" s="60"/>
      <x:c r="CL318" s="58"/>
      <x:c r="CM318" s="47"/>
      <x:c r="CN318" s="60"/>
      <x:c r="CO318" s="58"/>
      <x:c r="CP318" s="47"/>
      <x:c r="CQ318" s="60"/>
      <x:c r="CR318" s="58"/>
      <x:c r="CS318" s="47"/>
      <x:c r="CT318" s="60"/>
      <x:c r="CU318" s="58"/>
      <x:c r="CV318" s="47"/>
      <x:c r="CW318" s="60"/>
      <x:c r="CX318" s="58"/>
      <x:c r="CY318" s="47"/>
      <x:c r="CZ318" s="60"/>
      <x:c r="DA318" s="58"/>
      <x:c r="DB318" s="47"/>
      <x:c r="DC318" s="60"/>
      <x:c r="DD318" s="58"/>
      <x:c r="DE318" s="47"/>
      <x:c r="DF318" s="60"/>
      <x:c r="DG318" s="58"/>
      <x:c r="DH318" s="47"/>
      <x:c r="DI318" s="60"/>
      <x:c r="DJ318" s="58"/>
      <x:c r="DK318" s="47"/>
      <x:c r="DL318" s="60"/>
      <x:c r="DM318" s="58"/>
      <x:c r="DN318" s="11"/>
      <x:c r="DO318" s="61"/>
      <x:c r="DP318" s="62"/>
      <x:c r="DQ318" s="11"/>
      <x:c r="DR318" s="61"/>
      <x:c r="DS318" s="62"/>
      <x:c r="DT318" s="11"/>
      <x:c r="DU318" s="61"/>
      <x:c r="DV318" s="62"/>
    </x:row>
    <x:row r="319" spans="1:126" x14ac:dyDescent="0.3">
      <x:c r="A319" s="47"/>
      <x:c r="B319" s="70"/>
      <x:c r="C319" s="70"/>
      <x:c r="D319" s="70"/>
      <x:c r="E319" s="70"/>
      <x:c r="F319" s="70"/>
      <x:c r="G319" s="70"/>
      <x:c r="H319" s="70"/>
      <x:c r="I319" s="70"/>
      <x:c r="J319" s="70"/>
      <x:c r="K319" s="190"/>
      <x:c r="L319" s="195"/>
      <x:c r="M319" s="192"/>
      <x:c r="N319" s="192"/>
      <x:c r="O319" s="69"/>
      <x:c r="P319" s="47"/>
      <x:c r="Q319" s="60"/>
      <x:c r="R319" s="58"/>
      <x:c r="S319" s="47"/>
      <x:c r="T319" s="60"/>
      <x:c r="U319" s="58"/>
      <x:c r="V319" s="47"/>
      <x:c r="W319" s="60"/>
      <x:c r="X319" s="58"/>
      <x:c r="Y319" s="47"/>
      <x:c r="Z319" s="60"/>
      <x:c r="AA319" s="58"/>
      <x:c r="AB319" s="47"/>
      <x:c r="AC319" s="60"/>
      <x:c r="AD319" s="58"/>
      <x:c r="AE319" s="47"/>
      <x:c r="AF319" s="60"/>
      <x:c r="AG319" s="58"/>
      <x:c r="AH319" s="47"/>
      <x:c r="AI319" s="60"/>
      <x:c r="AJ319" s="58"/>
      <x:c r="AK319" s="47"/>
      <x:c r="AL319" s="60"/>
      <x:c r="AM319" s="58"/>
      <x:c r="AN319" s="47"/>
      <x:c r="AO319" s="60"/>
      <x:c r="AP319" s="58"/>
      <x:c r="AQ319" s="47"/>
      <x:c r="AR319" s="60"/>
      <x:c r="AS319" s="58"/>
      <x:c r="AT319" s="47"/>
      <x:c r="AU319" s="60"/>
      <x:c r="AV319" s="58"/>
      <x:c r="AW319" s="47"/>
      <x:c r="AX319" s="60"/>
      <x:c r="AY319" s="58"/>
      <x:c r="AZ319" s="47"/>
      <x:c r="BA319" s="60"/>
      <x:c r="BB319" s="58"/>
      <x:c r="BC319" s="47"/>
      <x:c r="BD319" s="60"/>
      <x:c r="BE319" s="58"/>
      <x:c r="BF319" s="47"/>
      <x:c r="BG319" s="60"/>
      <x:c r="BH319" s="58"/>
      <x:c r="BI319" s="47"/>
      <x:c r="BJ319" s="60"/>
      <x:c r="BK319" s="58"/>
      <x:c r="BL319" s="47"/>
      <x:c r="BM319" s="60"/>
      <x:c r="BN319" s="58"/>
      <x:c r="BO319" s="47"/>
      <x:c r="BP319" s="60"/>
      <x:c r="BQ319" s="58"/>
      <x:c r="BR319" s="47"/>
      <x:c r="BS319" s="60"/>
      <x:c r="BT319" s="58"/>
      <x:c r="BU319" s="47"/>
      <x:c r="BV319" s="60"/>
      <x:c r="BW319" s="58"/>
      <x:c r="BX319" s="47"/>
      <x:c r="BY319" s="60"/>
      <x:c r="BZ319" s="58"/>
      <x:c r="CA319" s="47"/>
      <x:c r="CB319" s="60"/>
      <x:c r="CC319" s="58"/>
      <x:c r="CD319" s="47"/>
      <x:c r="CE319" s="60"/>
      <x:c r="CF319" s="58"/>
      <x:c r="CG319" s="47"/>
      <x:c r="CH319" s="60"/>
      <x:c r="CI319" s="58"/>
      <x:c r="CJ319" s="47"/>
      <x:c r="CK319" s="60"/>
      <x:c r="CL319" s="58"/>
      <x:c r="CM319" s="47"/>
      <x:c r="CN319" s="60"/>
      <x:c r="CO319" s="58"/>
      <x:c r="CP319" s="47"/>
      <x:c r="CQ319" s="60"/>
      <x:c r="CR319" s="58"/>
      <x:c r="CS319" s="47"/>
      <x:c r="CT319" s="60"/>
      <x:c r="CU319" s="58"/>
      <x:c r="CV319" s="47"/>
      <x:c r="CW319" s="60"/>
      <x:c r="CX319" s="58"/>
      <x:c r="CY319" s="47"/>
      <x:c r="CZ319" s="60"/>
      <x:c r="DA319" s="58"/>
      <x:c r="DB319" s="47"/>
      <x:c r="DC319" s="60"/>
      <x:c r="DD319" s="58"/>
      <x:c r="DE319" s="47"/>
      <x:c r="DF319" s="60"/>
      <x:c r="DG319" s="58"/>
      <x:c r="DH319" s="47"/>
      <x:c r="DI319" s="60"/>
      <x:c r="DJ319" s="58"/>
      <x:c r="DK319" s="47"/>
      <x:c r="DL319" s="60"/>
      <x:c r="DM319" s="58"/>
      <x:c r="DN319" s="11"/>
      <x:c r="DO319" s="61"/>
      <x:c r="DP319" s="62"/>
      <x:c r="DQ319" s="11"/>
      <x:c r="DR319" s="61"/>
      <x:c r="DS319" s="62"/>
      <x:c r="DT319" s="11"/>
      <x:c r="DU319" s="61"/>
      <x:c r="DV319" s="62"/>
    </x:row>
    <x:row r="320" spans="1:126" x14ac:dyDescent="0.3">
      <x:c r="A320" s="47"/>
      <x:c r="B320" s="70"/>
      <x:c r="C320" s="70"/>
      <x:c r="D320" s="70"/>
      <x:c r="E320" s="70"/>
      <x:c r="F320" s="70"/>
      <x:c r="G320" s="70"/>
      <x:c r="H320" s="70"/>
      <x:c r="I320" s="70"/>
      <x:c r="J320" s="70"/>
      <x:c r="K320" s="190"/>
      <x:c r="L320" s="195"/>
      <x:c r="M320" s="192"/>
      <x:c r="N320" s="192"/>
      <x:c r="O320" s="69"/>
      <x:c r="P320" s="47"/>
      <x:c r="Q320" s="60"/>
      <x:c r="R320" s="58"/>
      <x:c r="S320" s="47"/>
      <x:c r="T320" s="60"/>
      <x:c r="U320" s="58"/>
      <x:c r="V320" s="47"/>
      <x:c r="W320" s="60"/>
      <x:c r="X320" s="58"/>
      <x:c r="Y320" s="47"/>
      <x:c r="Z320" s="60"/>
      <x:c r="AA320" s="58"/>
      <x:c r="AB320" s="47"/>
      <x:c r="AC320" s="60"/>
      <x:c r="AD320" s="58"/>
      <x:c r="AE320" s="47"/>
      <x:c r="AF320" s="60"/>
      <x:c r="AG320" s="58"/>
      <x:c r="AH320" s="47"/>
      <x:c r="AI320" s="60"/>
      <x:c r="AJ320" s="58"/>
      <x:c r="AK320" s="47"/>
      <x:c r="AL320" s="60"/>
      <x:c r="AM320" s="58"/>
      <x:c r="AN320" s="47"/>
      <x:c r="AO320" s="60"/>
      <x:c r="AP320" s="58"/>
      <x:c r="AQ320" s="47"/>
      <x:c r="AR320" s="60"/>
      <x:c r="AS320" s="58"/>
      <x:c r="AT320" s="47"/>
      <x:c r="AU320" s="60"/>
      <x:c r="AV320" s="58"/>
      <x:c r="AW320" s="47"/>
      <x:c r="AX320" s="60"/>
      <x:c r="AY320" s="58"/>
      <x:c r="AZ320" s="47"/>
      <x:c r="BA320" s="60"/>
      <x:c r="BB320" s="58"/>
      <x:c r="BC320" s="47"/>
      <x:c r="BD320" s="60"/>
      <x:c r="BE320" s="58"/>
      <x:c r="BF320" s="47"/>
      <x:c r="BG320" s="60"/>
      <x:c r="BH320" s="58"/>
      <x:c r="BI320" s="47"/>
      <x:c r="BJ320" s="60"/>
      <x:c r="BK320" s="58"/>
      <x:c r="BL320" s="47"/>
      <x:c r="BM320" s="60"/>
      <x:c r="BN320" s="58"/>
      <x:c r="BO320" s="47"/>
      <x:c r="BP320" s="60"/>
      <x:c r="BQ320" s="58"/>
      <x:c r="BR320" s="47"/>
      <x:c r="BS320" s="60"/>
      <x:c r="BT320" s="58"/>
      <x:c r="BU320" s="47"/>
      <x:c r="BV320" s="60"/>
      <x:c r="BW320" s="58"/>
      <x:c r="BX320" s="47"/>
      <x:c r="BY320" s="60"/>
      <x:c r="BZ320" s="58"/>
      <x:c r="CA320" s="47"/>
      <x:c r="CB320" s="60"/>
      <x:c r="CC320" s="58"/>
      <x:c r="CD320" s="47"/>
      <x:c r="CE320" s="60"/>
      <x:c r="CF320" s="58"/>
      <x:c r="CG320" s="47"/>
      <x:c r="CH320" s="60"/>
      <x:c r="CI320" s="58"/>
      <x:c r="CJ320" s="47"/>
      <x:c r="CK320" s="60"/>
      <x:c r="CL320" s="58"/>
      <x:c r="CM320" s="47"/>
      <x:c r="CN320" s="60"/>
      <x:c r="CO320" s="58"/>
      <x:c r="CP320" s="47"/>
      <x:c r="CQ320" s="60"/>
      <x:c r="CR320" s="58"/>
      <x:c r="CS320" s="47"/>
      <x:c r="CT320" s="60"/>
      <x:c r="CU320" s="58"/>
      <x:c r="CV320" s="47"/>
      <x:c r="CW320" s="60"/>
      <x:c r="CX320" s="58"/>
      <x:c r="CY320" s="47"/>
      <x:c r="CZ320" s="60"/>
      <x:c r="DA320" s="58"/>
      <x:c r="DB320" s="47"/>
      <x:c r="DC320" s="60"/>
      <x:c r="DD320" s="58"/>
      <x:c r="DE320" s="47"/>
      <x:c r="DF320" s="60"/>
      <x:c r="DG320" s="58"/>
      <x:c r="DH320" s="47"/>
      <x:c r="DI320" s="60"/>
      <x:c r="DJ320" s="58"/>
      <x:c r="DK320" s="47"/>
      <x:c r="DL320" s="60"/>
      <x:c r="DM320" s="58"/>
      <x:c r="DN320" s="11"/>
      <x:c r="DO320" s="61"/>
      <x:c r="DP320" s="62"/>
      <x:c r="DQ320" s="11"/>
      <x:c r="DR320" s="61"/>
      <x:c r="DS320" s="62"/>
      <x:c r="DT320" s="11"/>
      <x:c r="DU320" s="61"/>
      <x:c r="DV320" s="62"/>
    </x:row>
    <x:row r="321" spans="1:126" x14ac:dyDescent="0.3">
      <x:c r="A321" s="47"/>
      <x:c r="B321" s="70"/>
      <x:c r="C321" s="70"/>
      <x:c r="D321" s="70"/>
      <x:c r="E321" s="70"/>
      <x:c r="F321" s="70"/>
      <x:c r="G321" s="70"/>
      <x:c r="H321" s="70"/>
      <x:c r="I321" s="70"/>
      <x:c r="J321" s="70"/>
      <x:c r="K321" s="190"/>
      <x:c r="L321" s="195"/>
      <x:c r="M321" s="192"/>
      <x:c r="N321" s="192"/>
      <x:c r="O321" s="69"/>
      <x:c r="P321" s="47"/>
      <x:c r="Q321" s="60"/>
      <x:c r="R321" s="58"/>
      <x:c r="S321" s="47"/>
      <x:c r="T321" s="60"/>
      <x:c r="U321" s="58"/>
      <x:c r="V321" s="47"/>
      <x:c r="W321" s="60"/>
      <x:c r="X321" s="58"/>
      <x:c r="Y321" s="47"/>
      <x:c r="Z321" s="60"/>
      <x:c r="AA321" s="58"/>
      <x:c r="AB321" s="47"/>
      <x:c r="AC321" s="60"/>
      <x:c r="AD321" s="58"/>
      <x:c r="AE321" s="47"/>
      <x:c r="AF321" s="60"/>
      <x:c r="AG321" s="58"/>
      <x:c r="AH321" s="47"/>
      <x:c r="AI321" s="60"/>
      <x:c r="AJ321" s="58"/>
      <x:c r="AK321" s="47"/>
      <x:c r="AL321" s="60"/>
      <x:c r="AM321" s="58"/>
      <x:c r="AN321" s="47"/>
      <x:c r="AO321" s="60"/>
      <x:c r="AP321" s="58"/>
      <x:c r="AQ321" s="47"/>
      <x:c r="AR321" s="60"/>
      <x:c r="AS321" s="58"/>
      <x:c r="AT321" s="47"/>
      <x:c r="AU321" s="60"/>
      <x:c r="AV321" s="58"/>
      <x:c r="AW321" s="47"/>
      <x:c r="AX321" s="60"/>
      <x:c r="AY321" s="58"/>
      <x:c r="AZ321" s="47"/>
      <x:c r="BA321" s="60"/>
      <x:c r="BB321" s="58"/>
      <x:c r="BC321" s="47"/>
      <x:c r="BD321" s="60"/>
      <x:c r="BE321" s="58"/>
      <x:c r="BF321" s="47"/>
      <x:c r="BG321" s="60"/>
      <x:c r="BH321" s="58"/>
      <x:c r="BI321" s="47"/>
      <x:c r="BJ321" s="60"/>
      <x:c r="BK321" s="58"/>
      <x:c r="BL321" s="47"/>
      <x:c r="BM321" s="60"/>
      <x:c r="BN321" s="58"/>
      <x:c r="BO321" s="47"/>
      <x:c r="BP321" s="60"/>
      <x:c r="BQ321" s="58"/>
      <x:c r="BR321" s="47"/>
      <x:c r="BS321" s="60"/>
      <x:c r="BT321" s="58"/>
      <x:c r="BU321" s="47"/>
      <x:c r="BV321" s="60"/>
      <x:c r="BW321" s="58"/>
      <x:c r="BX321" s="47"/>
      <x:c r="BY321" s="60"/>
      <x:c r="BZ321" s="58"/>
      <x:c r="CA321" s="47"/>
      <x:c r="CB321" s="60"/>
      <x:c r="CC321" s="58"/>
      <x:c r="CD321" s="47"/>
      <x:c r="CE321" s="60"/>
      <x:c r="CF321" s="58"/>
      <x:c r="CG321" s="47"/>
      <x:c r="CH321" s="60"/>
      <x:c r="CI321" s="58"/>
      <x:c r="CJ321" s="47"/>
      <x:c r="CK321" s="60"/>
      <x:c r="CL321" s="58"/>
      <x:c r="CM321" s="47"/>
      <x:c r="CN321" s="60"/>
      <x:c r="CO321" s="58"/>
      <x:c r="CP321" s="47"/>
      <x:c r="CQ321" s="60"/>
      <x:c r="CR321" s="58"/>
      <x:c r="CS321" s="47"/>
      <x:c r="CT321" s="60"/>
      <x:c r="CU321" s="58"/>
      <x:c r="CV321" s="47"/>
      <x:c r="CW321" s="60"/>
      <x:c r="CX321" s="58"/>
      <x:c r="CY321" s="47"/>
      <x:c r="CZ321" s="60"/>
      <x:c r="DA321" s="58"/>
      <x:c r="DB321" s="47"/>
      <x:c r="DC321" s="60"/>
      <x:c r="DD321" s="58"/>
      <x:c r="DE321" s="47"/>
      <x:c r="DF321" s="60"/>
      <x:c r="DG321" s="58"/>
      <x:c r="DH321" s="47"/>
      <x:c r="DI321" s="60"/>
      <x:c r="DJ321" s="58"/>
      <x:c r="DK321" s="47"/>
      <x:c r="DL321" s="60"/>
      <x:c r="DM321" s="58"/>
      <x:c r="DN321" s="11"/>
      <x:c r="DO321" s="61"/>
      <x:c r="DP321" s="62"/>
      <x:c r="DQ321" s="11"/>
      <x:c r="DR321" s="61"/>
      <x:c r="DS321" s="62"/>
      <x:c r="DT321" s="11"/>
      <x:c r="DU321" s="61"/>
      <x:c r="DV321" s="62"/>
    </x:row>
    <x:row r="322" spans="1:126" x14ac:dyDescent="0.3">
      <x:c r="A322" s="47"/>
      <x:c r="B322" s="70"/>
      <x:c r="C322" s="70"/>
      <x:c r="D322" s="70"/>
      <x:c r="E322" s="70"/>
      <x:c r="F322" s="70"/>
      <x:c r="G322" s="70"/>
      <x:c r="H322" s="70"/>
      <x:c r="I322" s="70"/>
      <x:c r="J322" s="70"/>
      <x:c r="K322" s="190"/>
      <x:c r="L322" s="195"/>
      <x:c r="M322" s="192"/>
      <x:c r="N322" s="192"/>
      <x:c r="O322" s="69"/>
      <x:c r="P322" s="47"/>
      <x:c r="Q322" s="60"/>
      <x:c r="R322" s="58"/>
      <x:c r="S322" s="47"/>
      <x:c r="T322" s="60"/>
      <x:c r="U322" s="58"/>
      <x:c r="V322" s="47"/>
      <x:c r="W322" s="60"/>
      <x:c r="X322" s="58"/>
      <x:c r="Y322" s="47"/>
      <x:c r="Z322" s="60"/>
      <x:c r="AA322" s="58"/>
      <x:c r="AB322" s="47"/>
      <x:c r="AC322" s="60"/>
      <x:c r="AD322" s="58"/>
      <x:c r="AE322" s="47"/>
      <x:c r="AF322" s="60"/>
      <x:c r="AG322" s="58"/>
      <x:c r="AH322" s="47"/>
      <x:c r="AI322" s="60"/>
      <x:c r="AJ322" s="58"/>
      <x:c r="AK322" s="47"/>
      <x:c r="AL322" s="60"/>
      <x:c r="AM322" s="58"/>
      <x:c r="AN322" s="47"/>
      <x:c r="AO322" s="60"/>
      <x:c r="AP322" s="58"/>
      <x:c r="AQ322" s="47"/>
      <x:c r="AR322" s="60"/>
      <x:c r="AS322" s="58"/>
      <x:c r="AT322" s="47"/>
      <x:c r="AU322" s="60"/>
      <x:c r="AV322" s="58"/>
      <x:c r="AW322" s="47"/>
      <x:c r="AX322" s="60"/>
      <x:c r="AY322" s="58"/>
      <x:c r="AZ322" s="47"/>
      <x:c r="BA322" s="60"/>
      <x:c r="BB322" s="58"/>
      <x:c r="BC322" s="47"/>
      <x:c r="BD322" s="60"/>
      <x:c r="BE322" s="58"/>
      <x:c r="BF322" s="47"/>
      <x:c r="BG322" s="60"/>
      <x:c r="BH322" s="58"/>
      <x:c r="BI322" s="47"/>
      <x:c r="BJ322" s="60"/>
      <x:c r="BK322" s="58"/>
      <x:c r="BL322" s="47"/>
      <x:c r="BM322" s="60"/>
      <x:c r="BN322" s="58"/>
      <x:c r="BO322" s="47"/>
      <x:c r="BP322" s="60"/>
      <x:c r="BQ322" s="58"/>
      <x:c r="BR322" s="47"/>
      <x:c r="BS322" s="60"/>
      <x:c r="BT322" s="58"/>
      <x:c r="BU322" s="47"/>
      <x:c r="BV322" s="60"/>
      <x:c r="BW322" s="58"/>
      <x:c r="BX322" s="47"/>
      <x:c r="BY322" s="60"/>
      <x:c r="BZ322" s="58"/>
      <x:c r="CA322" s="47"/>
      <x:c r="CB322" s="60"/>
      <x:c r="CC322" s="58"/>
      <x:c r="CD322" s="47"/>
      <x:c r="CE322" s="60"/>
      <x:c r="CF322" s="58"/>
      <x:c r="CG322" s="47"/>
      <x:c r="CH322" s="60"/>
      <x:c r="CI322" s="58"/>
      <x:c r="CJ322" s="47"/>
      <x:c r="CK322" s="60"/>
      <x:c r="CL322" s="58"/>
      <x:c r="CM322" s="47"/>
      <x:c r="CN322" s="60"/>
      <x:c r="CO322" s="58"/>
      <x:c r="CP322" s="47"/>
      <x:c r="CQ322" s="60"/>
      <x:c r="CR322" s="58"/>
      <x:c r="CS322" s="47"/>
      <x:c r="CT322" s="60"/>
      <x:c r="CU322" s="58"/>
      <x:c r="CV322" s="47"/>
      <x:c r="CW322" s="60"/>
      <x:c r="CX322" s="58"/>
      <x:c r="CY322" s="47"/>
      <x:c r="CZ322" s="60"/>
      <x:c r="DA322" s="58"/>
      <x:c r="DB322" s="47"/>
      <x:c r="DC322" s="60"/>
      <x:c r="DD322" s="58"/>
      <x:c r="DE322" s="47"/>
      <x:c r="DF322" s="60"/>
      <x:c r="DG322" s="58"/>
      <x:c r="DH322" s="47"/>
      <x:c r="DI322" s="60"/>
      <x:c r="DJ322" s="58"/>
      <x:c r="DK322" s="47"/>
      <x:c r="DL322" s="60"/>
      <x:c r="DM322" s="58"/>
      <x:c r="DN322" s="11"/>
      <x:c r="DO322" s="61"/>
      <x:c r="DP322" s="62"/>
      <x:c r="DQ322" s="11"/>
      <x:c r="DR322" s="61"/>
      <x:c r="DS322" s="62"/>
      <x:c r="DT322" s="11"/>
      <x:c r="DU322" s="61"/>
      <x:c r="DV322" s="62"/>
    </x:row>
    <x:row r="323" spans="1:126" x14ac:dyDescent="0.3">
      <x:c r="A323" s="47"/>
      <x:c r="B323" s="70"/>
      <x:c r="C323" s="70"/>
      <x:c r="D323" s="70"/>
      <x:c r="E323" s="70"/>
      <x:c r="F323" s="70"/>
      <x:c r="G323" s="70"/>
      <x:c r="H323" s="70"/>
      <x:c r="I323" s="70"/>
      <x:c r="J323" s="70"/>
      <x:c r="K323" s="190"/>
      <x:c r="L323" s="195"/>
      <x:c r="M323" s="192"/>
      <x:c r="N323" s="192"/>
      <x:c r="O323" s="69"/>
      <x:c r="P323" s="47"/>
      <x:c r="Q323" s="60"/>
      <x:c r="R323" s="58"/>
      <x:c r="S323" s="47"/>
      <x:c r="T323" s="60"/>
      <x:c r="U323" s="58"/>
      <x:c r="V323" s="47"/>
      <x:c r="W323" s="60"/>
      <x:c r="X323" s="58"/>
      <x:c r="Y323" s="47"/>
      <x:c r="Z323" s="60"/>
      <x:c r="AA323" s="58"/>
      <x:c r="AB323" s="47"/>
      <x:c r="AC323" s="60"/>
      <x:c r="AD323" s="58"/>
      <x:c r="AE323" s="47"/>
      <x:c r="AF323" s="60"/>
      <x:c r="AG323" s="58"/>
      <x:c r="AH323" s="47"/>
      <x:c r="AI323" s="60"/>
      <x:c r="AJ323" s="58"/>
      <x:c r="AK323" s="47"/>
      <x:c r="AL323" s="60"/>
      <x:c r="AM323" s="58"/>
      <x:c r="AN323" s="47"/>
      <x:c r="AO323" s="60"/>
      <x:c r="AP323" s="58"/>
      <x:c r="AQ323" s="47"/>
      <x:c r="AR323" s="60"/>
      <x:c r="AS323" s="58"/>
      <x:c r="AT323" s="47"/>
      <x:c r="AU323" s="60"/>
      <x:c r="AV323" s="58"/>
      <x:c r="AW323" s="47"/>
      <x:c r="AX323" s="60"/>
      <x:c r="AY323" s="58"/>
      <x:c r="AZ323" s="47"/>
      <x:c r="BA323" s="60"/>
      <x:c r="BB323" s="58"/>
      <x:c r="BC323" s="47"/>
      <x:c r="BD323" s="60"/>
      <x:c r="BE323" s="58"/>
      <x:c r="BF323" s="47"/>
      <x:c r="BG323" s="60"/>
      <x:c r="BH323" s="58"/>
      <x:c r="BI323" s="47"/>
      <x:c r="BJ323" s="60"/>
      <x:c r="BK323" s="58"/>
      <x:c r="BL323" s="47"/>
      <x:c r="BM323" s="60"/>
      <x:c r="BN323" s="58"/>
      <x:c r="BO323" s="47"/>
      <x:c r="BP323" s="60"/>
      <x:c r="BQ323" s="58"/>
      <x:c r="BR323" s="47"/>
      <x:c r="BS323" s="60"/>
      <x:c r="BT323" s="58"/>
      <x:c r="BU323" s="47"/>
      <x:c r="BV323" s="60"/>
      <x:c r="BW323" s="58"/>
      <x:c r="BX323" s="47"/>
      <x:c r="BY323" s="60"/>
      <x:c r="BZ323" s="58"/>
      <x:c r="CA323" s="47"/>
      <x:c r="CB323" s="60"/>
      <x:c r="CC323" s="58"/>
      <x:c r="CD323" s="47"/>
      <x:c r="CE323" s="60"/>
      <x:c r="CF323" s="58"/>
      <x:c r="CG323" s="47"/>
      <x:c r="CH323" s="60"/>
      <x:c r="CI323" s="58"/>
      <x:c r="CJ323" s="47"/>
      <x:c r="CK323" s="60"/>
      <x:c r="CL323" s="58"/>
      <x:c r="CM323" s="47"/>
      <x:c r="CN323" s="60"/>
      <x:c r="CO323" s="58"/>
      <x:c r="CP323" s="47"/>
      <x:c r="CQ323" s="60"/>
      <x:c r="CR323" s="58"/>
      <x:c r="CS323" s="47"/>
      <x:c r="CT323" s="60"/>
      <x:c r="CU323" s="58"/>
      <x:c r="CV323" s="47"/>
      <x:c r="CW323" s="60"/>
      <x:c r="CX323" s="58"/>
      <x:c r="CY323" s="47"/>
      <x:c r="CZ323" s="60"/>
      <x:c r="DA323" s="58"/>
      <x:c r="DB323" s="47"/>
      <x:c r="DC323" s="60"/>
      <x:c r="DD323" s="58"/>
      <x:c r="DE323" s="47"/>
      <x:c r="DF323" s="60"/>
      <x:c r="DG323" s="58"/>
      <x:c r="DH323" s="47"/>
      <x:c r="DI323" s="60"/>
      <x:c r="DJ323" s="58"/>
      <x:c r="DK323" s="47"/>
      <x:c r="DL323" s="60"/>
      <x:c r="DM323" s="58"/>
      <x:c r="DN323" s="11"/>
      <x:c r="DO323" s="61"/>
      <x:c r="DP323" s="62"/>
      <x:c r="DQ323" s="11"/>
      <x:c r="DR323" s="61"/>
      <x:c r="DS323" s="62"/>
      <x:c r="DT323" s="11"/>
      <x:c r="DU323" s="61"/>
      <x:c r="DV323" s="62"/>
    </x:row>
    <x:row r="324" spans="1:126" x14ac:dyDescent="0.3">
      <x:c r="A324" s="47"/>
      <x:c r="B324" s="70"/>
      <x:c r="C324" s="70"/>
      <x:c r="D324" s="70"/>
      <x:c r="E324" s="70"/>
      <x:c r="F324" s="70"/>
      <x:c r="G324" s="70"/>
      <x:c r="H324" s="70"/>
      <x:c r="I324" s="70"/>
      <x:c r="J324" s="70"/>
      <x:c r="K324" s="190"/>
      <x:c r="L324" s="195"/>
      <x:c r="M324" s="192"/>
      <x:c r="N324" s="192"/>
      <x:c r="O324" s="69"/>
      <x:c r="P324" s="47"/>
      <x:c r="Q324" s="60"/>
      <x:c r="R324" s="58"/>
      <x:c r="S324" s="47"/>
      <x:c r="T324" s="60"/>
      <x:c r="U324" s="58"/>
      <x:c r="V324" s="47"/>
      <x:c r="W324" s="60"/>
      <x:c r="X324" s="58"/>
      <x:c r="Y324" s="47"/>
      <x:c r="Z324" s="60"/>
      <x:c r="AA324" s="58"/>
      <x:c r="AB324" s="47"/>
      <x:c r="AC324" s="60"/>
      <x:c r="AD324" s="58"/>
      <x:c r="AE324" s="47"/>
      <x:c r="AF324" s="60"/>
      <x:c r="AG324" s="58"/>
      <x:c r="AH324" s="47"/>
      <x:c r="AI324" s="60"/>
      <x:c r="AJ324" s="58"/>
      <x:c r="AK324" s="47"/>
      <x:c r="AL324" s="60"/>
      <x:c r="AM324" s="58"/>
      <x:c r="AN324" s="47"/>
      <x:c r="AO324" s="60"/>
      <x:c r="AP324" s="58"/>
      <x:c r="AQ324" s="47"/>
      <x:c r="AR324" s="60"/>
      <x:c r="AS324" s="58"/>
      <x:c r="AT324" s="47"/>
      <x:c r="AU324" s="60"/>
      <x:c r="AV324" s="58"/>
      <x:c r="AW324" s="47"/>
      <x:c r="AX324" s="60"/>
      <x:c r="AY324" s="58"/>
      <x:c r="AZ324" s="47"/>
      <x:c r="BA324" s="60"/>
      <x:c r="BB324" s="58"/>
      <x:c r="BC324" s="47"/>
      <x:c r="BD324" s="60"/>
      <x:c r="BE324" s="58"/>
      <x:c r="BF324" s="47"/>
      <x:c r="BG324" s="60"/>
      <x:c r="BH324" s="58"/>
      <x:c r="BI324" s="47"/>
      <x:c r="BJ324" s="60"/>
      <x:c r="BK324" s="58"/>
      <x:c r="BL324" s="47"/>
      <x:c r="BM324" s="60"/>
      <x:c r="BN324" s="58"/>
      <x:c r="BO324" s="47"/>
      <x:c r="BP324" s="60"/>
      <x:c r="BQ324" s="58"/>
      <x:c r="BR324" s="47"/>
      <x:c r="BS324" s="60"/>
      <x:c r="BT324" s="58"/>
      <x:c r="BU324" s="47"/>
      <x:c r="BV324" s="60"/>
      <x:c r="BW324" s="58"/>
      <x:c r="BX324" s="47"/>
      <x:c r="BY324" s="60"/>
      <x:c r="BZ324" s="58"/>
      <x:c r="CA324" s="47"/>
      <x:c r="CB324" s="60"/>
      <x:c r="CC324" s="58"/>
      <x:c r="CD324" s="47"/>
      <x:c r="CE324" s="60"/>
      <x:c r="CF324" s="58"/>
      <x:c r="CG324" s="47"/>
      <x:c r="CH324" s="60"/>
      <x:c r="CI324" s="58"/>
      <x:c r="CJ324" s="47"/>
      <x:c r="CK324" s="60"/>
      <x:c r="CL324" s="58"/>
      <x:c r="CM324" s="47"/>
      <x:c r="CN324" s="60"/>
      <x:c r="CO324" s="58"/>
      <x:c r="CP324" s="47"/>
      <x:c r="CQ324" s="60"/>
      <x:c r="CR324" s="58"/>
      <x:c r="CS324" s="47"/>
      <x:c r="CT324" s="60"/>
      <x:c r="CU324" s="58"/>
      <x:c r="CV324" s="47"/>
      <x:c r="CW324" s="60"/>
      <x:c r="CX324" s="58"/>
      <x:c r="CY324" s="47"/>
      <x:c r="CZ324" s="60"/>
      <x:c r="DA324" s="58"/>
      <x:c r="DB324" s="47"/>
      <x:c r="DC324" s="60"/>
      <x:c r="DD324" s="58"/>
      <x:c r="DE324" s="47"/>
      <x:c r="DF324" s="60"/>
      <x:c r="DG324" s="58"/>
      <x:c r="DH324" s="47"/>
      <x:c r="DI324" s="60"/>
      <x:c r="DJ324" s="58"/>
      <x:c r="DK324" s="47"/>
      <x:c r="DL324" s="60"/>
      <x:c r="DM324" s="58"/>
      <x:c r="DN324" s="11"/>
      <x:c r="DO324" s="61"/>
      <x:c r="DP324" s="62"/>
      <x:c r="DQ324" s="11"/>
      <x:c r="DR324" s="61"/>
      <x:c r="DS324" s="62"/>
      <x:c r="DT324" s="11"/>
      <x:c r="DU324" s="61"/>
      <x:c r="DV324" s="62"/>
    </x:row>
    <x:row r="325" spans="1:126" x14ac:dyDescent="0.3">
      <x:c r="A325" s="47"/>
      <x:c r="B325" s="70"/>
      <x:c r="C325" s="70"/>
      <x:c r="D325" s="70"/>
      <x:c r="E325" s="70"/>
      <x:c r="F325" s="70"/>
      <x:c r="G325" s="70"/>
      <x:c r="H325" s="70"/>
      <x:c r="I325" s="70"/>
      <x:c r="J325" s="70"/>
      <x:c r="K325" s="190"/>
      <x:c r="L325" s="195"/>
      <x:c r="M325" s="192"/>
      <x:c r="N325" s="192"/>
      <x:c r="O325" s="69"/>
      <x:c r="P325" s="47"/>
      <x:c r="Q325" s="60"/>
      <x:c r="R325" s="58"/>
      <x:c r="S325" s="47"/>
      <x:c r="T325" s="60"/>
      <x:c r="U325" s="58"/>
      <x:c r="V325" s="47"/>
      <x:c r="W325" s="60"/>
      <x:c r="X325" s="58"/>
      <x:c r="Y325" s="47"/>
      <x:c r="Z325" s="60"/>
      <x:c r="AA325" s="58"/>
      <x:c r="AB325" s="47"/>
      <x:c r="AC325" s="60"/>
      <x:c r="AD325" s="58"/>
      <x:c r="AE325" s="47"/>
      <x:c r="AF325" s="60"/>
      <x:c r="AG325" s="58"/>
      <x:c r="AH325" s="47"/>
      <x:c r="AI325" s="60"/>
      <x:c r="AJ325" s="58"/>
      <x:c r="AK325" s="47"/>
      <x:c r="AL325" s="60"/>
      <x:c r="AM325" s="58"/>
      <x:c r="AN325" s="47"/>
      <x:c r="AO325" s="60"/>
      <x:c r="AP325" s="58"/>
      <x:c r="AQ325" s="47"/>
      <x:c r="AR325" s="60"/>
      <x:c r="AS325" s="58"/>
      <x:c r="AT325" s="47"/>
      <x:c r="AU325" s="60"/>
      <x:c r="AV325" s="58"/>
      <x:c r="AW325" s="47"/>
      <x:c r="AX325" s="60"/>
      <x:c r="AY325" s="58"/>
      <x:c r="AZ325" s="47"/>
      <x:c r="BA325" s="60"/>
      <x:c r="BB325" s="58"/>
      <x:c r="BC325" s="47"/>
      <x:c r="BD325" s="60"/>
      <x:c r="BE325" s="58"/>
      <x:c r="BF325" s="47"/>
      <x:c r="BG325" s="60"/>
      <x:c r="BH325" s="58"/>
      <x:c r="BI325" s="47"/>
      <x:c r="BJ325" s="60"/>
      <x:c r="BK325" s="58"/>
      <x:c r="BL325" s="47"/>
      <x:c r="BM325" s="60"/>
      <x:c r="BN325" s="58"/>
      <x:c r="BO325" s="47"/>
      <x:c r="BP325" s="60"/>
      <x:c r="BQ325" s="58"/>
      <x:c r="BR325" s="47"/>
      <x:c r="BS325" s="60"/>
      <x:c r="BT325" s="58"/>
      <x:c r="BU325" s="47"/>
      <x:c r="BV325" s="60"/>
      <x:c r="BW325" s="58"/>
      <x:c r="BX325" s="47"/>
      <x:c r="BY325" s="60"/>
      <x:c r="BZ325" s="58"/>
      <x:c r="CA325" s="47"/>
      <x:c r="CB325" s="60"/>
      <x:c r="CC325" s="58"/>
      <x:c r="CD325" s="47"/>
      <x:c r="CE325" s="60"/>
      <x:c r="CF325" s="58"/>
      <x:c r="CG325" s="47"/>
      <x:c r="CH325" s="60"/>
      <x:c r="CI325" s="58"/>
      <x:c r="CJ325" s="47"/>
      <x:c r="CK325" s="60"/>
      <x:c r="CL325" s="58"/>
      <x:c r="CM325" s="47"/>
      <x:c r="CN325" s="60"/>
      <x:c r="CO325" s="58"/>
      <x:c r="CP325" s="47"/>
      <x:c r="CQ325" s="60"/>
      <x:c r="CR325" s="58"/>
      <x:c r="CS325" s="47"/>
      <x:c r="CT325" s="60"/>
      <x:c r="CU325" s="58"/>
      <x:c r="CV325" s="47"/>
      <x:c r="CW325" s="60"/>
      <x:c r="CX325" s="58"/>
      <x:c r="CY325" s="47"/>
      <x:c r="CZ325" s="60"/>
      <x:c r="DA325" s="58"/>
      <x:c r="DB325" s="47"/>
      <x:c r="DC325" s="60"/>
      <x:c r="DD325" s="58"/>
      <x:c r="DE325" s="47"/>
      <x:c r="DF325" s="60"/>
      <x:c r="DG325" s="58"/>
      <x:c r="DH325" s="47"/>
      <x:c r="DI325" s="60"/>
      <x:c r="DJ325" s="58"/>
      <x:c r="DK325" s="47"/>
      <x:c r="DL325" s="60"/>
      <x:c r="DM325" s="58"/>
      <x:c r="DN325" s="11"/>
      <x:c r="DO325" s="61"/>
      <x:c r="DP325" s="62"/>
      <x:c r="DQ325" s="11"/>
      <x:c r="DR325" s="61"/>
      <x:c r="DS325" s="62"/>
      <x:c r="DT325" s="11"/>
      <x:c r="DU325" s="61"/>
      <x:c r="DV325" s="62"/>
    </x:row>
    <x:row r="326" spans="1:126" x14ac:dyDescent="0.3">
      <x:c r="A326" s="47"/>
      <x:c r="B326" s="70"/>
      <x:c r="C326" s="70"/>
      <x:c r="D326" s="70"/>
      <x:c r="E326" s="70"/>
      <x:c r="F326" s="70"/>
      <x:c r="G326" s="70"/>
      <x:c r="H326" s="70"/>
      <x:c r="I326" s="70"/>
      <x:c r="J326" s="70"/>
      <x:c r="K326" s="190"/>
      <x:c r="L326" s="195"/>
      <x:c r="M326" s="192"/>
      <x:c r="N326" s="192"/>
      <x:c r="O326" s="69"/>
      <x:c r="P326" s="47"/>
      <x:c r="Q326" s="60"/>
      <x:c r="R326" s="58"/>
      <x:c r="S326" s="47"/>
      <x:c r="T326" s="60"/>
      <x:c r="U326" s="58"/>
      <x:c r="V326" s="47"/>
      <x:c r="W326" s="60"/>
      <x:c r="X326" s="58"/>
      <x:c r="Y326" s="47"/>
      <x:c r="Z326" s="60"/>
      <x:c r="AA326" s="58"/>
      <x:c r="AB326" s="47"/>
      <x:c r="AC326" s="60"/>
      <x:c r="AD326" s="58"/>
      <x:c r="AE326" s="47"/>
      <x:c r="AF326" s="60"/>
      <x:c r="AG326" s="58"/>
      <x:c r="AH326" s="47"/>
      <x:c r="AI326" s="60"/>
      <x:c r="AJ326" s="58"/>
      <x:c r="AK326" s="47"/>
      <x:c r="AL326" s="60"/>
      <x:c r="AM326" s="58"/>
      <x:c r="AN326" s="47"/>
      <x:c r="AO326" s="60"/>
      <x:c r="AP326" s="58"/>
      <x:c r="AQ326" s="47"/>
      <x:c r="AR326" s="60"/>
      <x:c r="AS326" s="58"/>
      <x:c r="AT326" s="47"/>
      <x:c r="AU326" s="60"/>
      <x:c r="AV326" s="58"/>
      <x:c r="AW326" s="47"/>
      <x:c r="AX326" s="60"/>
      <x:c r="AY326" s="58"/>
      <x:c r="AZ326" s="47"/>
      <x:c r="BA326" s="60"/>
      <x:c r="BB326" s="58"/>
      <x:c r="BC326" s="47"/>
      <x:c r="BD326" s="60"/>
      <x:c r="BE326" s="58"/>
      <x:c r="BF326" s="47"/>
      <x:c r="BG326" s="60"/>
      <x:c r="BH326" s="58"/>
      <x:c r="BI326" s="47"/>
      <x:c r="BJ326" s="60"/>
      <x:c r="BK326" s="58"/>
      <x:c r="BL326" s="47"/>
      <x:c r="BM326" s="60"/>
      <x:c r="BN326" s="58"/>
      <x:c r="BO326" s="47"/>
      <x:c r="BP326" s="60"/>
      <x:c r="BQ326" s="58"/>
      <x:c r="BR326" s="47"/>
      <x:c r="BS326" s="60"/>
      <x:c r="BT326" s="58"/>
      <x:c r="BU326" s="47"/>
      <x:c r="BV326" s="60"/>
      <x:c r="BW326" s="58"/>
      <x:c r="BX326" s="47"/>
      <x:c r="BY326" s="60"/>
      <x:c r="BZ326" s="58"/>
      <x:c r="CA326" s="47"/>
      <x:c r="CB326" s="60"/>
      <x:c r="CC326" s="58"/>
      <x:c r="CD326" s="47"/>
      <x:c r="CE326" s="60"/>
      <x:c r="CF326" s="58"/>
      <x:c r="CG326" s="47"/>
      <x:c r="CH326" s="60"/>
      <x:c r="CI326" s="58"/>
      <x:c r="CJ326" s="47"/>
      <x:c r="CK326" s="60"/>
      <x:c r="CL326" s="58"/>
      <x:c r="CM326" s="47"/>
      <x:c r="CN326" s="60"/>
      <x:c r="CO326" s="58"/>
      <x:c r="CP326" s="47"/>
      <x:c r="CQ326" s="60"/>
      <x:c r="CR326" s="58"/>
      <x:c r="CS326" s="47"/>
      <x:c r="CT326" s="60"/>
      <x:c r="CU326" s="58"/>
      <x:c r="CV326" s="47"/>
      <x:c r="CW326" s="60"/>
      <x:c r="CX326" s="58"/>
      <x:c r="CY326" s="47"/>
      <x:c r="CZ326" s="60"/>
      <x:c r="DA326" s="58"/>
      <x:c r="DB326" s="47"/>
      <x:c r="DC326" s="60"/>
      <x:c r="DD326" s="58"/>
      <x:c r="DE326" s="47"/>
      <x:c r="DF326" s="60"/>
      <x:c r="DG326" s="58"/>
      <x:c r="DH326" s="47"/>
      <x:c r="DI326" s="60"/>
      <x:c r="DJ326" s="58"/>
      <x:c r="DK326" s="47"/>
      <x:c r="DL326" s="60"/>
      <x:c r="DM326" s="58"/>
      <x:c r="DN326" s="11"/>
      <x:c r="DO326" s="61"/>
      <x:c r="DP326" s="62"/>
      <x:c r="DQ326" s="11"/>
      <x:c r="DR326" s="61"/>
      <x:c r="DS326" s="62"/>
      <x:c r="DT326" s="11"/>
      <x:c r="DU326" s="61"/>
      <x:c r="DV326" s="62"/>
    </x:row>
    <x:row r="327" spans="1:126" x14ac:dyDescent="0.3">
      <x:c r="A327" s="47"/>
      <x:c r="B327" s="70"/>
      <x:c r="C327" s="70"/>
      <x:c r="D327" s="70"/>
      <x:c r="E327" s="70"/>
      <x:c r="F327" s="70"/>
      <x:c r="G327" s="70"/>
      <x:c r="H327" s="70"/>
      <x:c r="I327" s="70"/>
      <x:c r="J327" s="70"/>
      <x:c r="K327" s="190"/>
      <x:c r="L327" s="195"/>
      <x:c r="M327" s="192"/>
      <x:c r="N327" s="192"/>
      <x:c r="O327" s="69"/>
      <x:c r="P327" s="47"/>
      <x:c r="Q327" s="60"/>
      <x:c r="R327" s="58"/>
      <x:c r="S327" s="47"/>
      <x:c r="T327" s="60"/>
      <x:c r="U327" s="58"/>
      <x:c r="V327" s="47"/>
      <x:c r="W327" s="60"/>
      <x:c r="X327" s="58"/>
      <x:c r="Y327" s="47"/>
      <x:c r="Z327" s="60"/>
      <x:c r="AA327" s="58"/>
      <x:c r="AB327" s="47"/>
      <x:c r="AC327" s="60"/>
      <x:c r="AD327" s="58"/>
      <x:c r="AE327" s="47"/>
      <x:c r="AF327" s="60"/>
      <x:c r="AG327" s="58"/>
      <x:c r="AH327" s="47"/>
      <x:c r="AI327" s="60"/>
      <x:c r="AJ327" s="58"/>
      <x:c r="AK327" s="47"/>
      <x:c r="AL327" s="60"/>
      <x:c r="AM327" s="58"/>
      <x:c r="AN327" s="47"/>
      <x:c r="AO327" s="60"/>
      <x:c r="AP327" s="58"/>
      <x:c r="AQ327" s="47"/>
      <x:c r="AR327" s="60"/>
      <x:c r="AS327" s="58"/>
      <x:c r="AT327" s="47"/>
      <x:c r="AU327" s="60"/>
      <x:c r="AV327" s="58"/>
      <x:c r="AW327" s="47"/>
      <x:c r="AX327" s="60"/>
      <x:c r="AY327" s="58"/>
      <x:c r="AZ327" s="47"/>
      <x:c r="BA327" s="60"/>
      <x:c r="BB327" s="58"/>
      <x:c r="BC327" s="47"/>
      <x:c r="BD327" s="60"/>
      <x:c r="BE327" s="58"/>
      <x:c r="BF327" s="47"/>
      <x:c r="BG327" s="60"/>
      <x:c r="BH327" s="58"/>
      <x:c r="BI327" s="47"/>
      <x:c r="BJ327" s="60"/>
      <x:c r="BK327" s="58"/>
      <x:c r="BL327" s="47"/>
      <x:c r="BM327" s="60"/>
      <x:c r="BN327" s="58"/>
      <x:c r="BO327" s="47"/>
      <x:c r="BP327" s="60"/>
      <x:c r="BQ327" s="58"/>
      <x:c r="BR327" s="47"/>
      <x:c r="BS327" s="60"/>
      <x:c r="BT327" s="58"/>
      <x:c r="BU327" s="47"/>
      <x:c r="BV327" s="60"/>
      <x:c r="BW327" s="58"/>
      <x:c r="BX327" s="47"/>
      <x:c r="BY327" s="60"/>
      <x:c r="BZ327" s="58"/>
      <x:c r="CA327" s="47"/>
      <x:c r="CB327" s="60"/>
      <x:c r="CC327" s="58"/>
      <x:c r="CD327" s="47"/>
      <x:c r="CE327" s="60"/>
      <x:c r="CF327" s="58"/>
      <x:c r="CG327" s="47"/>
      <x:c r="CH327" s="60"/>
      <x:c r="CI327" s="58"/>
      <x:c r="CJ327" s="47"/>
      <x:c r="CK327" s="60"/>
      <x:c r="CL327" s="58"/>
      <x:c r="CM327" s="47"/>
      <x:c r="CN327" s="60"/>
      <x:c r="CO327" s="58"/>
      <x:c r="CP327" s="47"/>
      <x:c r="CQ327" s="60"/>
      <x:c r="CR327" s="58"/>
      <x:c r="CS327" s="47"/>
      <x:c r="CT327" s="60"/>
      <x:c r="CU327" s="58"/>
      <x:c r="CV327" s="47"/>
      <x:c r="CW327" s="60"/>
      <x:c r="CX327" s="58"/>
      <x:c r="CY327" s="47"/>
      <x:c r="CZ327" s="60"/>
      <x:c r="DA327" s="58"/>
      <x:c r="DB327" s="47"/>
      <x:c r="DC327" s="60"/>
      <x:c r="DD327" s="58"/>
      <x:c r="DE327" s="47"/>
      <x:c r="DF327" s="60"/>
      <x:c r="DG327" s="58"/>
      <x:c r="DH327" s="47"/>
      <x:c r="DI327" s="60"/>
      <x:c r="DJ327" s="58"/>
      <x:c r="DK327" s="47"/>
      <x:c r="DL327" s="60"/>
      <x:c r="DM327" s="58"/>
      <x:c r="DN327" s="11"/>
      <x:c r="DO327" s="61"/>
      <x:c r="DP327" s="62"/>
      <x:c r="DQ327" s="11"/>
      <x:c r="DR327" s="61"/>
      <x:c r="DS327" s="62"/>
      <x:c r="DT327" s="11"/>
      <x:c r="DU327" s="61"/>
      <x:c r="DV327" s="62"/>
    </x:row>
    <x:row r="328" spans="1:126" x14ac:dyDescent="0.3">
      <x:c r="A328" s="47"/>
      <x:c r="B328" s="70"/>
      <x:c r="C328" s="70"/>
      <x:c r="D328" s="70"/>
      <x:c r="E328" s="70"/>
      <x:c r="F328" s="70"/>
      <x:c r="G328" s="70"/>
      <x:c r="H328" s="70"/>
      <x:c r="I328" s="70"/>
      <x:c r="J328" s="70"/>
      <x:c r="K328" s="190"/>
      <x:c r="L328" s="195"/>
      <x:c r="M328" s="192"/>
      <x:c r="N328" s="192"/>
      <x:c r="O328" s="69"/>
      <x:c r="P328" s="47"/>
      <x:c r="Q328" s="60"/>
      <x:c r="R328" s="58"/>
      <x:c r="S328" s="47"/>
      <x:c r="T328" s="60"/>
      <x:c r="U328" s="58"/>
      <x:c r="V328" s="47"/>
      <x:c r="W328" s="60"/>
      <x:c r="X328" s="58"/>
      <x:c r="Y328" s="47"/>
      <x:c r="Z328" s="60"/>
      <x:c r="AA328" s="58"/>
      <x:c r="AB328" s="47"/>
      <x:c r="AC328" s="60"/>
      <x:c r="AD328" s="58"/>
      <x:c r="AE328" s="47"/>
      <x:c r="AF328" s="60"/>
      <x:c r="AG328" s="58"/>
      <x:c r="AH328" s="47"/>
      <x:c r="AI328" s="60"/>
      <x:c r="AJ328" s="58"/>
      <x:c r="AK328" s="47"/>
      <x:c r="AL328" s="60"/>
      <x:c r="AM328" s="58"/>
      <x:c r="AN328" s="47"/>
      <x:c r="AO328" s="60"/>
      <x:c r="AP328" s="58"/>
      <x:c r="AQ328" s="47"/>
      <x:c r="AR328" s="60"/>
      <x:c r="AS328" s="58"/>
      <x:c r="AT328" s="47"/>
      <x:c r="AU328" s="60"/>
      <x:c r="AV328" s="58"/>
      <x:c r="AW328" s="47"/>
      <x:c r="AX328" s="60"/>
      <x:c r="AY328" s="58"/>
      <x:c r="AZ328" s="47"/>
      <x:c r="BA328" s="60"/>
      <x:c r="BB328" s="58"/>
      <x:c r="BC328" s="47"/>
      <x:c r="BD328" s="60"/>
      <x:c r="BE328" s="58"/>
      <x:c r="BF328" s="47"/>
      <x:c r="BG328" s="60"/>
      <x:c r="BH328" s="58"/>
      <x:c r="BI328" s="47"/>
      <x:c r="BJ328" s="60"/>
      <x:c r="BK328" s="58"/>
      <x:c r="BL328" s="47"/>
      <x:c r="BM328" s="60"/>
      <x:c r="BN328" s="58"/>
      <x:c r="BO328" s="47"/>
      <x:c r="BP328" s="60"/>
      <x:c r="BQ328" s="58"/>
      <x:c r="BR328" s="47"/>
      <x:c r="BS328" s="60"/>
      <x:c r="BT328" s="58"/>
      <x:c r="BU328" s="47"/>
      <x:c r="BV328" s="60"/>
      <x:c r="BW328" s="58"/>
      <x:c r="BX328" s="47"/>
      <x:c r="BY328" s="60"/>
      <x:c r="BZ328" s="58"/>
      <x:c r="CA328" s="47"/>
      <x:c r="CB328" s="60"/>
      <x:c r="CC328" s="58"/>
      <x:c r="CD328" s="47"/>
      <x:c r="CE328" s="60"/>
      <x:c r="CF328" s="58"/>
      <x:c r="CG328" s="47"/>
      <x:c r="CH328" s="60"/>
      <x:c r="CI328" s="58"/>
      <x:c r="CJ328" s="47"/>
      <x:c r="CK328" s="60"/>
      <x:c r="CL328" s="58"/>
      <x:c r="CM328" s="47"/>
      <x:c r="CN328" s="60"/>
      <x:c r="CO328" s="58"/>
      <x:c r="CP328" s="47"/>
      <x:c r="CQ328" s="60"/>
      <x:c r="CR328" s="58"/>
      <x:c r="CS328" s="47"/>
      <x:c r="CT328" s="60"/>
      <x:c r="CU328" s="58"/>
      <x:c r="CV328" s="47"/>
      <x:c r="CW328" s="60"/>
      <x:c r="CX328" s="58"/>
      <x:c r="CY328" s="47"/>
      <x:c r="CZ328" s="60"/>
      <x:c r="DA328" s="58"/>
      <x:c r="DB328" s="47"/>
      <x:c r="DC328" s="60"/>
      <x:c r="DD328" s="58"/>
      <x:c r="DE328" s="47"/>
      <x:c r="DF328" s="60"/>
      <x:c r="DG328" s="58"/>
      <x:c r="DH328" s="47"/>
      <x:c r="DI328" s="60"/>
      <x:c r="DJ328" s="58"/>
      <x:c r="DK328" s="47"/>
      <x:c r="DL328" s="60"/>
      <x:c r="DM328" s="58"/>
      <x:c r="DN328" s="11"/>
      <x:c r="DO328" s="61"/>
      <x:c r="DP328" s="62"/>
      <x:c r="DQ328" s="11"/>
      <x:c r="DR328" s="61"/>
      <x:c r="DS328" s="62"/>
      <x:c r="DT328" s="11"/>
      <x:c r="DU328" s="61"/>
      <x:c r="DV328" s="62"/>
    </x:row>
    <x:row r="329" spans="1:126" x14ac:dyDescent="0.3">
      <x:c r="A329" s="47"/>
      <x:c r="B329" s="70"/>
      <x:c r="C329" s="70"/>
      <x:c r="D329" s="70"/>
      <x:c r="E329" s="70"/>
      <x:c r="F329" s="70"/>
      <x:c r="G329" s="70"/>
      <x:c r="H329" s="70"/>
      <x:c r="I329" s="70"/>
      <x:c r="J329" s="70"/>
      <x:c r="K329" s="190"/>
      <x:c r="L329" s="195"/>
      <x:c r="M329" s="192"/>
      <x:c r="N329" s="192"/>
      <x:c r="O329" s="69"/>
      <x:c r="P329" s="47"/>
      <x:c r="Q329" s="60"/>
      <x:c r="R329" s="58"/>
      <x:c r="S329" s="47"/>
      <x:c r="T329" s="60"/>
      <x:c r="U329" s="58"/>
      <x:c r="V329" s="47"/>
      <x:c r="W329" s="60"/>
      <x:c r="X329" s="58"/>
      <x:c r="Y329" s="47"/>
      <x:c r="Z329" s="60"/>
      <x:c r="AA329" s="58"/>
      <x:c r="AB329" s="47"/>
      <x:c r="AC329" s="60"/>
      <x:c r="AD329" s="58"/>
      <x:c r="AE329" s="47"/>
      <x:c r="AF329" s="60"/>
      <x:c r="AG329" s="58"/>
      <x:c r="AH329" s="47"/>
      <x:c r="AI329" s="60"/>
      <x:c r="AJ329" s="58"/>
      <x:c r="AK329" s="47"/>
      <x:c r="AL329" s="60"/>
      <x:c r="AM329" s="58"/>
      <x:c r="AN329" s="47"/>
      <x:c r="AO329" s="60"/>
      <x:c r="AP329" s="58"/>
      <x:c r="AQ329" s="47"/>
      <x:c r="AR329" s="60"/>
      <x:c r="AS329" s="58"/>
      <x:c r="AT329" s="47"/>
      <x:c r="AU329" s="60"/>
      <x:c r="AV329" s="58"/>
      <x:c r="AW329" s="47"/>
      <x:c r="AX329" s="60"/>
      <x:c r="AY329" s="58"/>
      <x:c r="AZ329" s="47"/>
      <x:c r="BA329" s="60"/>
      <x:c r="BB329" s="58"/>
      <x:c r="BC329" s="47"/>
      <x:c r="BD329" s="60"/>
      <x:c r="BE329" s="58"/>
      <x:c r="BF329" s="47"/>
      <x:c r="BG329" s="60"/>
      <x:c r="BH329" s="58"/>
      <x:c r="BI329" s="47"/>
      <x:c r="BJ329" s="60"/>
      <x:c r="BK329" s="58"/>
      <x:c r="BL329" s="47"/>
      <x:c r="BM329" s="60"/>
      <x:c r="BN329" s="58"/>
      <x:c r="BO329" s="47"/>
      <x:c r="BP329" s="60"/>
      <x:c r="BQ329" s="58"/>
      <x:c r="BR329" s="47"/>
      <x:c r="BS329" s="60"/>
      <x:c r="BT329" s="58"/>
      <x:c r="BU329" s="47"/>
      <x:c r="BV329" s="60"/>
      <x:c r="BW329" s="58"/>
      <x:c r="BX329" s="47"/>
      <x:c r="BY329" s="60"/>
      <x:c r="BZ329" s="58"/>
      <x:c r="CA329" s="47"/>
      <x:c r="CB329" s="60"/>
      <x:c r="CC329" s="58"/>
      <x:c r="CD329" s="47"/>
      <x:c r="CE329" s="60"/>
      <x:c r="CF329" s="58"/>
      <x:c r="CG329" s="47"/>
      <x:c r="CH329" s="60"/>
      <x:c r="CI329" s="58"/>
      <x:c r="CJ329" s="47"/>
      <x:c r="CK329" s="60"/>
      <x:c r="CL329" s="58"/>
      <x:c r="CM329" s="47"/>
      <x:c r="CN329" s="60"/>
      <x:c r="CO329" s="58"/>
      <x:c r="CP329" s="47"/>
      <x:c r="CQ329" s="60"/>
      <x:c r="CR329" s="58"/>
      <x:c r="CS329" s="47"/>
      <x:c r="CT329" s="60"/>
      <x:c r="CU329" s="58"/>
      <x:c r="CV329" s="47"/>
      <x:c r="CW329" s="60"/>
      <x:c r="CX329" s="58"/>
      <x:c r="CY329" s="47"/>
      <x:c r="CZ329" s="60"/>
      <x:c r="DA329" s="58"/>
      <x:c r="DB329" s="47"/>
      <x:c r="DC329" s="60"/>
      <x:c r="DD329" s="58"/>
      <x:c r="DE329" s="47"/>
      <x:c r="DF329" s="60"/>
      <x:c r="DG329" s="58"/>
      <x:c r="DH329" s="47"/>
      <x:c r="DI329" s="60"/>
      <x:c r="DJ329" s="58"/>
      <x:c r="DK329" s="47"/>
      <x:c r="DL329" s="60"/>
      <x:c r="DM329" s="58"/>
      <x:c r="DN329" s="11"/>
      <x:c r="DO329" s="61"/>
      <x:c r="DP329" s="62"/>
      <x:c r="DQ329" s="11"/>
      <x:c r="DR329" s="61"/>
      <x:c r="DS329" s="62"/>
      <x:c r="DT329" s="11"/>
      <x:c r="DU329" s="61"/>
      <x:c r="DV329" s="62"/>
    </x:row>
    <x:row r="330" spans="1:126" x14ac:dyDescent="0.3">
      <x:c r="A330" s="47"/>
      <x:c r="B330" s="70"/>
      <x:c r="C330" s="70"/>
      <x:c r="D330" s="70"/>
      <x:c r="E330" s="70"/>
      <x:c r="F330" s="70"/>
      <x:c r="G330" s="70"/>
      <x:c r="H330" s="70"/>
      <x:c r="I330" s="70"/>
      <x:c r="J330" s="70"/>
      <x:c r="K330" s="190"/>
      <x:c r="L330" s="195"/>
      <x:c r="M330" s="192"/>
      <x:c r="N330" s="192"/>
      <x:c r="O330" s="69"/>
      <x:c r="P330" s="47"/>
      <x:c r="Q330" s="60"/>
      <x:c r="R330" s="58"/>
      <x:c r="S330" s="47"/>
      <x:c r="T330" s="60"/>
      <x:c r="U330" s="58"/>
      <x:c r="V330" s="47"/>
      <x:c r="W330" s="60"/>
      <x:c r="X330" s="58"/>
      <x:c r="Y330" s="47"/>
      <x:c r="Z330" s="60"/>
      <x:c r="AA330" s="58"/>
      <x:c r="AB330" s="47"/>
      <x:c r="AC330" s="60"/>
      <x:c r="AD330" s="58"/>
      <x:c r="AE330" s="47"/>
      <x:c r="AF330" s="60"/>
      <x:c r="AG330" s="58"/>
      <x:c r="AH330" s="47"/>
      <x:c r="AI330" s="60"/>
      <x:c r="AJ330" s="58"/>
      <x:c r="AK330" s="47"/>
      <x:c r="AL330" s="60"/>
      <x:c r="AM330" s="58"/>
      <x:c r="AN330" s="47"/>
      <x:c r="AO330" s="60"/>
      <x:c r="AP330" s="58"/>
      <x:c r="AQ330" s="47"/>
      <x:c r="AR330" s="60"/>
      <x:c r="AS330" s="58"/>
      <x:c r="AT330" s="47"/>
      <x:c r="AU330" s="60"/>
      <x:c r="AV330" s="58"/>
      <x:c r="AW330" s="47"/>
      <x:c r="AX330" s="60"/>
      <x:c r="AY330" s="58"/>
      <x:c r="AZ330" s="47"/>
      <x:c r="BA330" s="60"/>
      <x:c r="BB330" s="58"/>
      <x:c r="BC330" s="47"/>
      <x:c r="BD330" s="60"/>
      <x:c r="BE330" s="58"/>
      <x:c r="BF330" s="47"/>
      <x:c r="BG330" s="60"/>
      <x:c r="BH330" s="58"/>
      <x:c r="BI330" s="47"/>
      <x:c r="BJ330" s="60"/>
      <x:c r="BK330" s="58"/>
      <x:c r="BL330" s="47"/>
      <x:c r="BM330" s="60"/>
      <x:c r="BN330" s="58"/>
      <x:c r="BO330" s="47"/>
      <x:c r="BP330" s="60"/>
      <x:c r="BQ330" s="58"/>
      <x:c r="BR330" s="47"/>
      <x:c r="BS330" s="60"/>
      <x:c r="BT330" s="58"/>
      <x:c r="BU330" s="47"/>
      <x:c r="BV330" s="60"/>
      <x:c r="BW330" s="58"/>
      <x:c r="BX330" s="47"/>
      <x:c r="BY330" s="60"/>
      <x:c r="BZ330" s="58"/>
      <x:c r="CA330" s="47"/>
      <x:c r="CB330" s="60"/>
      <x:c r="CC330" s="58"/>
      <x:c r="CD330" s="47"/>
      <x:c r="CE330" s="60"/>
      <x:c r="CF330" s="58"/>
      <x:c r="CG330" s="47"/>
      <x:c r="CH330" s="60"/>
      <x:c r="CI330" s="58"/>
      <x:c r="CJ330" s="47"/>
      <x:c r="CK330" s="60"/>
      <x:c r="CL330" s="58"/>
      <x:c r="CM330" s="47"/>
      <x:c r="CN330" s="60"/>
      <x:c r="CO330" s="58"/>
      <x:c r="CP330" s="47"/>
      <x:c r="CQ330" s="60"/>
      <x:c r="CR330" s="58"/>
      <x:c r="CS330" s="47"/>
      <x:c r="CT330" s="60"/>
      <x:c r="CU330" s="58"/>
      <x:c r="CV330" s="47"/>
      <x:c r="CW330" s="60"/>
      <x:c r="CX330" s="58"/>
      <x:c r="CY330" s="47"/>
      <x:c r="CZ330" s="60"/>
      <x:c r="DA330" s="58"/>
      <x:c r="DB330" s="47"/>
      <x:c r="DC330" s="60"/>
      <x:c r="DD330" s="58"/>
      <x:c r="DE330" s="47"/>
      <x:c r="DF330" s="60"/>
      <x:c r="DG330" s="58"/>
      <x:c r="DH330" s="47"/>
      <x:c r="DI330" s="60"/>
      <x:c r="DJ330" s="58"/>
      <x:c r="DK330" s="47"/>
      <x:c r="DL330" s="60"/>
      <x:c r="DM330" s="58"/>
      <x:c r="DN330" s="11"/>
      <x:c r="DO330" s="61"/>
      <x:c r="DP330" s="62"/>
      <x:c r="DQ330" s="11"/>
      <x:c r="DR330" s="61"/>
      <x:c r="DS330" s="62"/>
      <x:c r="DT330" s="11"/>
      <x:c r="DU330" s="61"/>
      <x:c r="DV330" s="62"/>
    </x:row>
    <x:row r="331" spans="1:126" x14ac:dyDescent="0.3">
      <x:c r="A331" s="47"/>
      <x:c r="B331" s="70"/>
      <x:c r="C331" s="70"/>
      <x:c r="D331" s="70"/>
      <x:c r="E331" s="70"/>
      <x:c r="F331" s="70"/>
      <x:c r="G331" s="70"/>
      <x:c r="H331" s="70"/>
      <x:c r="I331" s="70"/>
      <x:c r="J331" s="70"/>
      <x:c r="K331" s="190"/>
      <x:c r="L331" s="195"/>
      <x:c r="M331" s="192"/>
      <x:c r="N331" s="192"/>
      <x:c r="O331" s="69"/>
      <x:c r="P331" s="47"/>
      <x:c r="Q331" s="60"/>
      <x:c r="R331" s="58"/>
      <x:c r="S331" s="47"/>
      <x:c r="T331" s="60"/>
      <x:c r="U331" s="58"/>
      <x:c r="V331" s="47"/>
      <x:c r="W331" s="60"/>
      <x:c r="X331" s="58"/>
      <x:c r="Y331" s="47"/>
      <x:c r="Z331" s="60"/>
      <x:c r="AA331" s="58"/>
      <x:c r="AB331" s="47"/>
      <x:c r="AC331" s="60"/>
      <x:c r="AD331" s="58"/>
      <x:c r="AE331" s="47"/>
      <x:c r="AF331" s="60"/>
      <x:c r="AG331" s="58"/>
      <x:c r="AH331" s="47"/>
      <x:c r="AI331" s="60"/>
      <x:c r="AJ331" s="58"/>
      <x:c r="AK331" s="47"/>
      <x:c r="AL331" s="60"/>
      <x:c r="AM331" s="58"/>
      <x:c r="AN331" s="47"/>
      <x:c r="AO331" s="60"/>
      <x:c r="AP331" s="58"/>
      <x:c r="AQ331" s="47"/>
      <x:c r="AR331" s="60"/>
      <x:c r="AS331" s="58"/>
      <x:c r="AT331" s="47"/>
      <x:c r="AU331" s="60"/>
      <x:c r="AV331" s="58"/>
      <x:c r="AW331" s="47"/>
      <x:c r="AX331" s="60"/>
      <x:c r="AY331" s="58"/>
      <x:c r="AZ331" s="47"/>
      <x:c r="BA331" s="60"/>
      <x:c r="BB331" s="58"/>
      <x:c r="BC331" s="47"/>
      <x:c r="BD331" s="60"/>
      <x:c r="BE331" s="58"/>
      <x:c r="BF331" s="47"/>
      <x:c r="BG331" s="60"/>
      <x:c r="BH331" s="58"/>
      <x:c r="BI331" s="47"/>
      <x:c r="BJ331" s="60"/>
      <x:c r="BK331" s="58"/>
      <x:c r="BL331" s="47"/>
      <x:c r="BM331" s="60"/>
      <x:c r="BN331" s="58"/>
      <x:c r="BO331" s="47"/>
      <x:c r="BP331" s="60"/>
      <x:c r="BQ331" s="58"/>
      <x:c r="BR331" s="47"/>
      <x:c r="BS331" s="60"/>
      <x:c r="BT331" s="58"/>
      <x:c r="BU331" s="47"/>
      <x:c r="BV331" s="60"/>
      <x:c r="BW331" s="58"/>
      <x:c r="BX331" s="47"/>
      <x:c r="BY331" s="60"/>
      <x:c r="BZ331" s="58"/>
      <x:c r="CA331" s="47"/>
      <x:c r="CB331" s="60"/>
      <x:c r="CC331" s="58"/>
      <x:c r="CD331" s="47"/>
      <x:c r="CE331" s="60"/>
      <x:c r="CF331" s="58"/>
      <x:c r="CG331" s="47"/>
      <x:c r="CH331" s="60"/>
      <x:c r="CI331" s="58"/>
      <x:c r="CJ331" s="47"/>
      <x:c r="CK331" s="60"/>
      <x:c r="CL331" s="58"/>
      <x:c r="CM331" s="47"/>
      <x:c r="CN331" s="60"/>
      <x:c r="CO331" s="58"/>
      <x:c r="CP331" s="47"/>
      <x:c r="CQ331" s="60"/>
      <x:c r="CR331" s="58"/>
      <x:c r="CS331" s="47"/>
      <x:c r="CT331" s="60"/>
      <x:c r="CU331" s="58"/>
      <x:c r="CV331" s="47"/>
      <x:c r="CW331" s="60"/>
      <x:c r="CX331" s="58"/>
      <x:c r="CY331" s="47"/>
      <x:c r="CZ331" s="60"/>
      <x:c r="DA331" s="58"/>
      <x:c r="DB331" s="47"/>
      <x:c r="DC331" s="60"/>
      <x:c r="DD331" s="58"/>
      <x:c r="DE331" s="47"/>
      <x:c r="DF331" s="60"/>
      <x:c r="DG331" s="58"/>
      <x:c r="DH331" s="47"/>
      <x:c r="DI331" s="60"/>
      <x:c r="DJ331" s="58"/>
      <x:c r="DK331" s="47"/>
      <x:c r="DL331" s="60"/>
      <x:c r="DM331" s="58"/>
      <x:c r="DN331" s="11"/>
      <x:c r="DO331" s="61"/>
      <x:c r="DP331" s="62"/>
      <x:c r="DQ331" s="11"/>
      <x:c r="DR331" s="61"/>
      <x:c r="DS331" s="62"/>
      <x:c r="DT331" s="11"/>
      <x:c r="DU331" s="61"/>
      <x:c r="DV331" s="62"/>
    </x:row>
    <x:row r="332" spans="1:126" x14ac:dyDescent="0.3">
      <x:c r="A332" s="47"/>
      <x:c r="B332" s="70"/>
      <x:c r="C332" s="70"/>
      <x:c r="D332" s="70"/>
      <x:c r="E332" s="70"/>
      <x:c r="F332" s="70"/>
      <x:c r="G332" s="70"/>
      <x:c r="H332" s="70"/>
      <x:c r="I332" s="70"/>
      <x:c r="J332" s="70"/>
      <x:c r="K332" s="190"/>
      <x:c r="L332" s="195"/>
      <x:c r="M332" s="192"/>
      <x:c r="N332" s="192"/>
      <x:c r="O332" s="69"/>
      <x:c r="P332" s="47"/>
      <x:c r="Q332" s="60"/>
      <x:c r="R332" s="58"/>
      <x:c r="S332" s="47"/>
      <x:c r="T332" s="60"/>
      <x:c r="U332" s="58"/>
      <x:c r="V332" s="47"/>
      <x:c r="W332" s="60"/>
      <x:c r="X332" s="58"/>
      <x:c r="Y332" s="47"/>
      <x:c r="Z332" s="60"/>
      <x:c r="AA332" s="58"/>
      <x:c r="AB332" s="47"/>
      <x:c r="AC332" s="60"/>
      <x:c r="AD332" s="58"/>
      <x:c r="AE332" s="47"/>
      <x:c r="AF332" s="60"/>
      <x:c r="AG332" s="58"/>
      <x:c r="AH332" s="47"/>
      <x:c r="AI332" s="60"/>
      <x:c r="AJ332" s="58"/>
      <x:c r="AK332" s="47"/>
      <x:c r="AL332" s="60"/>
      <x:c r="AM332" s="58"/>
      <x:c r="AN332" s="47"/>
      <x:c r="AO332" s="60"/>
      <x:c r="AP332" s="58"/>
      <x:c r="AQ332" s="47"/>
      <x:c r="AR332" s="60"/>
      <x:c r="AS332" s="58"/>
      <x:c r="AT332" s="47"/>
      <x:c r="AU332" s="60"/>
      <x:c r="AV332" s="58"/>
      <x:c r="AW332" s="47"/>
      <x:c r="AX332" s="60"/>
      <x:c r="AY332" s="58"/>
      <x:c r="AZ332" s="47"/>
      <x:c r="BA332" s="60"/>
      <x:c r="BB332" s="58"/>
      <x:c r="BC332" s="47"/>
      <x:c r="BD332" s="60"/>
      <x:c r="BE332" s="58"/>
      <x:c r="BF332" s="47"/>
      <x:c r="BG332" s="60"/>
      <x:c r="BH332" s="58"/>
      <x:c r="BI332" s="47"/>
      <x:c r="BJ332" s="60"/>
      <x:c r="BK332" s="58"/>
      <x:c r="BL332" s="47"/>
      <x:c r="BM332" s="60"/>
      <x:c r="BN332" s="58"/>
      <x:c r="BO332" s="47"/>
      <x:c r="BP332" s="60"/>
      <x:c r="BQ332" s="58"/>
      <x:c r="BR332" s="47"/>
      <x:c r="BS332" s="60"/>
      <x:c r="BT332" s="58"/>
      <x:c r="BU332" s="47"/>
      <x:c r="BV332" s="60"/>
      <x:c r="BW332" s="58"/>
      <x:c r="BX332" s="47"/>
      <x:c r="BY332" s="60"/>
      <x:c r="BZ332" s="58"/>
      <x:c r="CA332" s="47"/>
      <x:c r="CB332" s="60"/>
      <x:c r="CC332" s="58"/>
      <x:c r="CD332" s="47"/>
      <x:c r="CE332" s="60"/>
      <x:c r="CF332" s="58"/>
      <x:c r="CG332" s="47"/>
      <x:c r="CH332" s="60"/>
      <x:c r="CI332" s="58"/>
      <x:c r="CJ332" s="47"/>
      <x:c r="CK332" s="60"/>
      <x:c r="CL332" s="58"/>
      <x:c r="CM332" s="47"/>
      <x:c r="CN332" s="60"/>
      <x:c r="CO332" s="58"/>
      <x:c r="CP332" s="47"/>
      <x:c r="CQ332" s="60"/>
      <x:c r="CR332" s="58"/>
      <x:c r="CS332" s="47"/>
      <x:c r="CT332" s="60"/>
      <x:c r="CU332" s="58"/>
      <x:c r="CV332" s="47"/>
      <x:c r="CW332" s="60"/>
      <x:c r="CX332" s="58"/>
      <x:c r="CY332" s="47"/>
      <x:c r="CZ332" s="60"/>
      <x:c r="DA332" s="58"/>
      <x:c r="DB332" s="47"/>
      <x:c r="DC332" s="60"/>
      <x:c r="DD332" s="58"/>
      <x:c r="DE332" s="47"/>
      <x:c r="DF332" s="60"/>
      <x:c r="DG332" s="58"/>
      <x:c r="DH332" s="47"/>
      <x:c r="DI332" s="60"/>
      <x:c r="DJ332" s="58"/>
      <x:c r="DK332" s="47"/>
      <x:c r="DL332" s="60"/>
      <x:c r="DM332" s="58"/>
      <x:c r="DN332" s="11"/>
      <x:c r="DO332" s="61"/>
      <x:c r="DP332" s="62"/>
      <x:c r="DQ332" s="11"/>
      <x:c r="DR332" s="61"/>
      <x:c r="DS332" s="62"/>
      <x:c r="DT332" s="11"/>
      <x:c r="DU332" s="61"/>
      <x:c r="DV332" s="62"/>
    </x:row>
    <x:row r="333" spans="1:126" x14ac:dyDescent="0.3">
      <x:c r="A333" s="47"/>
      <x:c r="B333" s="70"/>
      <x:c r="C333" s="70"/>
      <x:c r="D333" s="70"/>
      <x:c r="E333" s="70"/>
      <x:c r="F333" s="70"/>
      <x:c r="G333" s="70"/>
      <x:c r="H333" s="70"/>
      <x:c r="I333" s="70"/>
      <x:c r="J333" s="70"/>
      <x:c r="K333" s="190"/>
      <x:c r="L333" s="195"/>
      <x:c r="M333" s="192"/>
      <x:c r="N333" s="192"/>
      <x:c r="O333" s="69"/>
      <x:c r="P333" s="47"/>
      <x:c r="Q333" s="60"/>
      <x:c r="R333" s="58"/>
      <x:c r="S333" s="47"/>
      <x:c r="T333" s="60"/>
      <x:c r="U333" s="58"/>
      <x:c r="V333" s="47"/>
      <x:c r="W333" s="60"/>
      <x:c r="X333" s="58"/>
      <x:c r="Y333" s="47"/>
      <x:c r="Z333" s="60"/>
      <x:c r="AA333" s="58"/>
      <x:c r="AB333" s="47"/>
      <x:c r="AC333" s="60"/>
      <x:c r="AD333" s="58"/>
      <x:c r="AE333" s="47"/>
      <x:c r="AF333" s="60"/>
      <x:c r="AG333" s="58"/>
      <x:c r="AH333" s="47"/>
      <x:c r="AI333" s="60"/>
      <x:c r="AJ333" s="58"/>
      <x:c r="AK333" s="47"/>
      <x:c r="AL333" s="60"/>
      <x:c r="AM333" s="58"/>
      <x:c r="AN333" s="47"/>
      <x:c r="AO333" s="60"/>
      <x:c r="AP333" s="58"/>
      <x:c r="AQ333" s="47"/>
      <x:c r="AR333" s="60"/>
      <x:c r="AS333" s="58"/>
      <x:c r="AT333" s="47"/>
      <x:c r="AU333" s="60"/>
      <x:c r="AV333" s="58"/>
      <x:c r="AW333" s="47"/>
      <x:c r="AX333" s="60"/>
      <x:c r="AY333" s="58"/>
      <x:c r="AZ333" s="47"/>
      <x:c r="BA333" s="60"/>
      <x:c r="BB333" s="58"/>
      <x:c r="BC333" s="47"/>
      <x:c r="BD333" s="60"/>
      <x:c r="BE333" s="58"/>
      <x:c r="BF333" s="47"/>
      <x:c r="BG333" s="60"/>
      <x:c r="BH333" s="58"/>
      <x:c r="BI333" s="47"/>
      <x:c r="BJ333" s="60"/>
      <x:c r="BK333" s="58"/>
      <x:c r="BL333" s="47"/>
      <x:c r="BM333" s="60"/>
      <x:c r="BN333" s="58"/>
      <x:c r="BO333" s="47"/>
      <x:c r="BP333" s="60"/>
      <x:c r="BQ333" s="58"/>
      <x:c r="BR333" s="47"/>
      <x:c r="BS333" s="60"/>
      <x:c r="BT333" s="58"/>
      <x:c r="BU333" s="47"/>
      <x:c r="BV333" s="60"/>
      <x:c r="BW333" s="58"/>
      <x:c r="BX333" s="47"/>
      <x:c r="BY333" s="60"/>
      <x:c r="BZ333" s="58"/>
      <x:c r="CA333" s="47"/>
      <x:c r="CB333" s="60"/>
      <x:c r="CC333" s="58"/>
      <x:c r="CD333" s="47"/>
      <x:c r="CE333" s="60"/>
      <x:c r="CF333" s="58"/>
      <x:c r="CG333" s="47"/>
      <x:c r="CH333" s="60"/>
      <x:c r="CI333" s="58"/>
      <x:c r="CJ333" s="47"/>
      <x:c r="CK333" s="60"/>
      <x:c r="CL333" s="58"/>
      <x:c r="CM333" s="47"/>
      <x:c r="CN333" s="60"/>
      <x:c r="CO333" s="58"/>
      <x:c r="CP333" s="47"/>
      <x:c r="CQ333" s="60"/>
      <x:c r="CR333" s="58"/>
      <x:c r="CS333" s="47"/>
      <x:c r="CT333" s="60"/>
      <x:c r="CU333" s="58"/>
      <x:c r="CV333" s="47"/>
      <x:c r="CW333" s="60"/>
      <x:c r="CX333" s="58"/>
      <x:c r="CY333" s="47"/>
      <x:c r="CZ333" s="60"/>
      <x:c r="DA333" s="58"/>
      <x:c r="DB333" s="47"/>
      <x:c r="DC333" s="60"/>
      <x:c r="DD333" s="58"/>
      <x:c r="DE333" s="47"/>
      <x:c r="DF333" s="60"/>
      <x:c r="DG333" s="58"/>
      <x:c r="DH333" s="47"/>
      <x:c r="DI333" s="60"/>
      <x:c r="DJ333" s="58"/>
      <x:c r="DK333" s="47"/>
      <x:c r="DL333" s="60"/>
      <x:c r="DM333" s="58"/>
      <x:c r="DN333" s="11"/>
      <x:c r="DO333" s="61"/>
      <x:c r="DP333" s="62"/>
      <x:c r="DQ333" s="11"/>
      <x:c r="DR333" s="61"/>
      <x:c r="DS333" s="62"/>
      <x:c r="DT333" s="11"/>
      <x:c r="DU333" s="61"/>
      <x:c r="DV333" s="62"/>
    </x:row>
    <x:row r="334" spans="1:126" x14ac:dyDescent="0.3">
      <x:c r="A334" s="47"/>
      <x:c r="B334" s="70"/>
      <x:c r="C334" s="70"/>
      <x:c r="D334" s="70"/>
      <x:c r="E334" s="70"/>
      <x:c r="F334" s="70"/>
      <x:c r="G334" s="70"/>
      <x:c r="H334" s="70"/>
      <x:c r="I334" s="70"/>
      <x:c r="J334" s="70"/>
      <x:c r="K334" s="190"/>
      <x:c r="L334" s="195"/>
      <x:c r="M334" s="192"/>
      <x:c r="N334" s="192"/>
      <x:c r="O334" s="69"/>
      <x:c r="P334" s="47"/>
      <x:c r="Q334" s="60"/>
      <x:c r="R334" s="58"/>
      <x:c r="S334" s="47"/>
      <x:c r="T334" s="60"/>
      <x:c r="U334" s="58"/>
      <x:c r="V334" s="47"/>
      <x:c r="W334" s="60"/>
      <x:c r="X334" s="58"/>
      <x:c r="Y334" s="47"/>
      <x:c r="Z334" s="60"/>
      <x:c r="AA334" s="58"/>
      <x:c r="AB334" s="47"/>
      <x:c r="AC334" s="60"/>
      <x:c r="AD334" s="58"/>
      <x:c r="AE334" s="47"/>
      <x:c r="AF334" s="60"/>
      <x:c r="AG334" s="58"/>
      <x:c r="AH334" s="47"/>
      <x:c r="AI334" s="60"/>
      <x:c r="AJ334" s="58"/>
      <x:c r="AK334" s="47"/>
      <x:c r="AL334" s="60"/>
      <x:c r="AM334" s="58"/>
      <x:c r="AN334" s="47"/>
      <x:c r="AO334" s="60"/>
      <x:c r="AP334" s="58"/>
      <x:c r="AQ334" s="47"/>
      <x:c r="AR334" s="60"/>
      <x:c r="AS334" s="58"/>
      <x:c r="AT334" s="47"/>
      <x:c r="AU334" s="60"/>
      <x:c r="AV334" s="58"/>
      <x:c r="AW334" s="47"/>
      <x:c r="AX334" s="60"/>
      <x:c r="AY334" s="58"/>
      <x:c r="AZ334" s="47"/>
      <x:c r="BA334" s="60"/>
      <x:c r="BB334" s="58"/>
      <x:c r="BC334" s="47"/>
      <x:c r="BD334" s="60"/>
      <x:c r="BE334" s="58"/>
      <x:c r="BF334" s="47"/>
      <x:c r="BG334" s="60"/>
      <x:c r="BH334" s="58"/>
      <x:c r="BI334" s="47"/>
      <x:c r="BJ334" s="60"/>
      <x:c r="BK334" s="58"/>
      <x:c r="BL334" s="47"/>
      <x:c r="BM334" s="60"/>
      <x:c r="BN334" s="58"/>
      <x:c r="BO334" s="47"/>
      <x:c r="BP334" s="60"/>
      <x:c r="BQ334" s="58"/>
      <x:c r="BR334" s="47"/>
      <x:c r="BS334" s="60"/>
      <x:c r="BT334" s="58"/>
      <x:c r="BU334" s="47"/>
      <x:c r="BV334" s="60"/>
      <x:c r="BW334" s="58"/>
      <x:c r="BX334" s="47"/>
      <x:c r="BY334" s="60"/>
      <x:c r="BZ334" s="58"/>
      <x:c r="CA334" s="47"/>
      <x:c r="CB334" s="60"/>
      <x:c r="CC334" s="58"/>
      <x:c r="CD334" s="47"/>
      <x:c r="CE334" s="60"/>
      <x:c r="CF334" s="58"/>
      <x:c r="CG334" s="47"/>
      <x:c r="CH334" s="60"/>
      <x:c r="CI334" s="58"/>
      <x:c r="CJ334" s="47"/>
      <x:c r="CK334" s="60"/>
      <x:c r="CL334" s="58"/>
      <x:c r="CM334" s="47"/>
      <x:c r="CN334" s="60"/>
      <x:c r="CO334" s="58"/>
      <x:c r="CP334" s="47"/>
      <x:c r="CQ334" s="60"/>
      <x:c r="CR334" s="58"/>
      <x:c r="CS334" s="47"/>
      <x:c r="CT334" s="60"/>
      <x:c r="CU334" s="58"/>
      <x:c r="CV334" s="47"/>
      <x:c r="CW334" s="60"/>
      <x:c r="CX334" s="58"/>
      <x:c r="CY334" s="47"/>
      <x:c r="CZ334" s="60"/>
      <x:c r="DA334" s="58"/>
      <x:c r="DB334" s="47"/>
      <x:c r="DC334" s="60"/>
      <x:c r="DD334" s="58"/>
      <x:c r="DE334" s="47"/>
      <x:c r="DF334" s="60"/>
      <x:c r="DG334" s="58"/>
      <x:c r="DH334" s="47"/>
      <x:c r="DI334" s="60"/>
      <x:c r="DJ334" s="58"/>
      <x:c r="DK334" s="47"/>
      <x:c r="DL334" s="60"/>
      <x:c r="DM334" s="58"/>
      <x:c r="DN334" s="11"/>
      <x:c r="DO334" s="61"/>
      <x:c r="DP334" s="62"/>
      <x:c r="DQ334" s="11"/>
      <x:c r="DR334" s="61"/>
      <x:c r="DS334" s="62"/>
      <x:c r="DT334" s="11"/>
      <x:c r="DU334" s="61"/>
      <x:c r="DV334" s="62"/>
    </x:row>
    <x:row r="335" spans="1:126" x14ac:dyDescent="0.3">
      <x:c r="A335" s="47"/>
      <x:c r="B335" s="70"/>
      <x:c r="C335" s="70"/>
      <x:c r="D335" s="70"/>
      <x:c r="E335" s="70"/>
      <x:c r="F335" s="70"/>
      <x:c r="G335" s="70"/>
      <x:c r="H335" s="70"/>
      <x:c r="I335" s="70"/>
      <x:c r="J335" s="70"/>
      <x:c r="K335" s="190"/>
      <x:c r="L335" s="195"/>
      <x:c r="M335" s="192"/>
      <x:c r="N335" s="192"/>
      <x:c r="O335" s="69"/>
      <x:c r="P335" s="47"/>
      <x:c r="Q335" s="60"/>
      <x:c r="R335" s="58"/>
      <x:c r="S335" s="47"/>
      <x:c r="T335" s="60"/>
      <x:c r="U335" s="58"/>
      <x:c r="V335" s="47"/>
      <x:c r="W335" s="60"/>
      <x:c r="X335" s="58"/>
      <x:c r="Y335" s="47"/>
      <x:c r="Z335" s="60"/>
      <x:c r="AA335" s="58"/>
      <x:c r="AB335" s="47"/>
      <x:c r="AC335" s="60"/>
      <x:c r="AD335" s="58"/>
      <x:c r="AE335" s="47"/>
      <x:c r="AF335" s="60"/>
      <x:c r="AG335" s="58"/>
      <x:c r="AH335" s="47"/>
      <x:c r="AI335" s="60"/>
      <x:c r="AJ335" s="58"/>
      <x:c r="AK335" s="47"/>
      <x:c r="AL335" s="60"/>
      <x:c r="AM335" s="58"/>
      <x:c r="AN335" s="47"/>
      <x:c r="AO335" s="60"/>
      <x:c r="AP335" s="58"/>
      <x:c r="AQ335" s="47"/>
      <x:c r="AR335" s="60"/>
      <x:c r="AS335" s="58"/>
      <x:c r="AT335" s="47"/>
      <x:c r="AU335" s="60"/>
      <x:c r="AV335" s="58"/>
      <x:c r="AW335" s="47"/>
      <x:c r="AX335" s="60"/>
      <x:c r="AY335" s="58"/>
      <x:c r="AZ335" s="47"/>
      <x:c r="BA335" s="60"/>
      <x:c r="BB335" s="58"/>
      <x:c r="BC335" s="47"/>
      <x:c r="BD335" s="60"/>
      <x:c r="BE335" s="58"/>
      <x:c r="BF335" s="47"/>
      <x:c r="BG335" s="60"/>
      <x:c r="BH335" s="58"/>
      <x:c r="BI335" s="47"/>
      <x:c r="BJ335" s="60"/>
      <x:c r="BK335" s="58"/>
      <x:c r="BL335" s="47"/>
      <x:c r="BM335" s="60"/>
      <x:c r="BN335" s="58"/>
      <x:c r="BO335" s="47"/>
      <x:c r="BP335" s="60"/>
      <x:c r="BQ335" s="58"/>
      <x:c r="BR335" s="47"/>
      <x:c r="BS335" s="60"/>
      <x:c r="BT335" s="58"/>
      <x:c r="BU335" s="47"/>
      <x:c r="BV335" s="60"/>
      <x:c r="BW335" s="58"/>
      <x:c r="BX335" s="47"/>
      <x:c r="BY335" s="60"/>
      <x:c r="BZ335" s="58"/>
      <x:c r="CA335" s="47"/>
      <x:c r="CB335" s="60"/>
      <x:c r="CC335" s="58"/>
      <x:c r="CD335" s="47"/>
      <x:c r="CE335" s="60"/>
      <x:c r="CF335" s="58"/>
      <x:c r="CG335" s="47"/>
      <x:c r="CH335" s="60"/>
      <x:c r="CI335" s="58"/>
      <x:c r="CJ335" s="47"/>
      <x:c r="CK335" s="60"/>
      <x:c r="CL335" s="58"/>
      <x:c r="CM335" s="47"/>
      <x:c r="CN335" s="60"/>
      <x:c r="CO335" s="58"/>
      <x:c r="CP335" s="47"/>
      <x:c r="CQ335" s="60"/>
      <x:c r="CR335" s="58"/>
      <x:c r="CS335" s="47"/>
      <x:c r="CT335" s="60"/>
      <x:c r="CU335" s="58"/>
      <x:c r="CV335" s="47"/>
      <x:c r="CW335" s="60"/>
      <x:c r="CX335" s="58"/>
      <x:c r="CY335" s="47"/>
      <x:c r="CZ335" s="60"/>
      <x:c r="DA335" s="58"/>
      <x:c r="DB335" s="47"/>
      <x:c r="DC335" s="60"/>
      <x:c r="DD335" s="58"/>
      <x:c r="DE335" s="47"/>
      <x:c r="DF335" s="60"/>
      <x:c r="DG335" s="58"/>
      <x:c r="DH335" s="47"/>
      <x:c r="DI335" s="60"/>
      <x:c r="DJ335" s="58"/>
      <x:c r="DK335" s="47"/>
      <x:c r="DL335" s="60"/>
      <x:c r="DM335" s="58"/>
      <x:c r="DN335" s="11"/>
      <x:c r="DO335" s="61"/>
      <x:c r="DP335" s="62"/>
      <x:c r="DQ335" s="11"/>
      <x:c r="DR335" s="61"/>
      <x:c r="DS335" s="62"/>
      <x:c r="DT335" s="11"/>
      <x:c r="DU335" s="61"/>
      <x:c r="DV335" s="62"/>
    </x:row>
    <x:row r="336" spans="1:126" x14ac:dyDescent="0.3">
      <x:c r="A336" s="47"/>
      <x:c r="B336" s="70"/>
      <x:c r="C336" s="70"/>
      <x:c r="D336" s="70"/>
      <x:c r="E336" s="70"/>
      <x:c r="F336" s="70"/>
      <x:c r="G336" s="70"/>
      <x:c r="H336" s="70"/>
      <x:c r="I336" s="70"/>
      <x:c r="J336" s="70"/>
      <x:c r="K336" s="190"/>
      <x:c r="L336" s="195"/>
      <x:c r="M336" s="192"/>
      <x:c r="N336" s="192"/>
      <x:c r="O336" s="69"/>
      <x:c r="P336" s="47"/>
      <x:c r="Q336" s="60"/>
      <x:c r="R336" s="58"/>
      <x:c r="S336" s="47"/>
      <x:c r="T336" s="60"/>
      <x:c r="U336" s="58"/>
      <x:c r="V336" s="47"/>
      <x:c r="W336" s="60"/>
      <x:c r="X336" s="58"/>
      <x:c r="Y336" s="47"/>
      <x:c r="Z336" s="60"/>
      <x:c r="AA336" s="58"/>
      <x:c r="AB336" s="47"/>
      <x:c r="AC336" s="60"/>
      <x:c r="AD336" s="58"/>
      <x:c r="AE336" s="47"/>
      <x:c r="AF336" s="60"/>
      <x:c r="AG336" s="58"/>
      <x:c r="AH336" s="47"/>
      <x:c r="AI336" s="60"/>
      <x:c r="AJ336" s="58"/>
      <x:c r="AK336" s="47"/>
      <x:c r="AL336" s="60"/>
      <x:c r="AM336" s="58"/>
      <x:c r="AN336" s="47"/>
      <x:c r="AO336" s="60"/>
      <x:c r="AP336" s="58"/>
      <x:c r="AQ336" s="47"/>
      <x:c r="AR336" s="60"/>
      <x:c r="AS336" s="58"/>
      <x:c r="AT336" s="47"/>
      <x:c r="AU336" s="60"/>
      <x:c r="AV336" s="58"/>
      <x:c r="AW336" s="47"/>
      <x:c r="AX336" s="60"/>
      <x:c r="AY336" s="58"/>
      <x:c r="AZ336" s="47"/>
      <x:c r="BA336" s="60"/>
      <x:c r="BB336" s="58"/>
      <x:c r="BC336" s="47"/>
      <x:c r="BD336" s="60"/>
      <x:c r="BE336" s="58"/>
      <x:c r="BF336" s="47"/>
      <x:c r="BG336" s="60"/>
      <x:c r="BH336" s="58"/>
      <x:c r="BI336" s="47"/>
      <x:c r="BJ336" s="60"/>
      <x:c r="BK336" s="58"/>
      <x:c r="BL336" s="47"/>
      <x:c r="BM336" s="60"/>
      <x:c r="BN336" s="58"/>
      <x:c r="BO336" s="47"/>
      <x:c r="BP336" s="60"/>
      <x:c r="BQ336" s="58"/>
      <x:c r="BR336" s="47"/>
      <x:c r="BS336" s="60"/>
      <x:c r="BT336" s="58"/>
      <x:c r="BU336" s="47"/>
      <x:c r="BV336" s="60"/>
      <x:c r="BW336" s="58"/>
      <x:c r="BX336" s="47"/>
      <x:c r="BY336" s="60"/>
      <x:c r="BZ336" s="58"/>
      <x:c r="CA336" s="47"/>
      <x:c r="CB336" s="60"/>
      <x:c r="CC336" s="58"/>
      <x:c r="CD336" s="47"/>
      <x:c r="CE336" s="60"/>
      <x:c r="CF336" s="58"/>
      <x:c r="CG336" s="47"/>
      <x:c r="CH336" s="60"/>
      <x:c r="CI336" s="58"/>
      <x:c r="CJ336" s="47"/>
      <x:c r="CK336" s="60"/>
      <x:c r="CL336" s="58"/>
      <x:c r="CM336" s="47"/>
      <x:c r="CN336" s="60"/>
      <x:c r="CO336" s="58"/>
      <x:c r="CP336" s="47"/>
      <x:c r="CQ336" s="60"/>
      <x:c r="CR336" s="58"/>
      <x:c r="CS336" s="47"/>
      <x:c r="CT336" s="60"/>
      <x:c r="CU336" s="58"/>
      <x:c r="CV336" s="47"/>
      <x:c r="CW336" s="60"/>
      <x:c r="CX336" s="58"/>
      <x:c r="CY336" s="47"/>
      <x:c r="CZ336" s="60"/>
      <x:c r="DA336" s="58"/>
      <x:c r="DB336" s="47"/>
      <x:c r="DC336" s="60"/>
      <x:c r="DD336" s="58"/>
      <x:c r="DE336" s="47"/>
      <x:c r="DF336" s="60"/>
      <x:c r="DG336" s="58"/>
      <x:c r="DH336" s="47"/>
      <x:c r="DI336" s="60"/>
      <x:c r="DJ336" s="58"/>
      <x:c r="DK336" s="47"/>
      <x:c r="DL336" s="60"/>
      <x:c r="DM336" s="58"/>
      <x:c r="DN336" s="11"/>
      <x:c r="DO336" s="61"/>
      <x:c r="DP336" s="62"/>
      <x:c r="DQ336" s="11"/>
      <x:c r="DR336" s="61"/>
      <x:c r="DS336" s="62"/>
      <x:c r="DT336" s="11"/>
      <x:c r="DU336" s="61"/>
      <x:c r="DV336" s="62"/>
    </x:row>
    <x:row r="337" spans="1:126" x14ac:dyDescent="0.3">
      <x:c r="A337" s="47"/>
      <x:c r="B337" s="70"/>
      <x:c r="C337" s="70"/>
      <x:c r="D337" s="70"/>
      <x:c r="E337" s="70"/>
      <x:c r="F337" s="70"/>
      <x:c r="G337" s="70"/>
      <x:c r="H337" s="70"/>
      <x:c r="I337" s="70"/>
      <x:c r="J337" s="70"/>
      <x:c r="K337" s="190"/>
      <x:c r="L337" s="195"/>
      <x:c r="M337" s="192"/>
      <x:c r="N337" s="192"/>
      <x:c r="O337" s="69"/>
      <x:c r="P337" s="47"/>
      <x:c r="Q337" s="60"/>
      <x:c r="R337" s="58"/>
      <x:c r="S337" s="47"/>
      <x:c r="T337" s="60"/>
      <x:c r="U337" s="58"/>
      <x:c r="V337" s="47"/>
      <x:c r="W337" s="60"/>
      <x:c r="X337" s="58"/>
      <x:c r="Y337" s="47"/>
      <x:c r="Z337" s="60"/>
      <x:c r="AA337" s="58"/>
      <x:c r="AB337" s="47"/>
      <x:c r="AC337" s="60"/>
      <x:c r="AD337" s="58"/>
      <x:c r="AE337" s="47"/>
      <x:c r="AF337" s="60"/>
      <x:c r="AG337" s="58"/>
      <x:c r="AH337" s="47"/>
      <x:c r="AI337" s="60"/>
      <x:c r="AJ337" s="58"/>
      <x:c r="AK337" s="47"/>
      <x:c r="AL337" s="60"/>
      <x:c r="AM337" s="58"/>
      <x:c r="AN337" s="47"/>
      <x:c r="AO337" s="60"/>
      <x:c r="AP337" s="58"/>
      <x:c r="AQ337" s="47"/>
      <x:c r="AR337" s="60"/>
      <x:c r="AS337" s="58"/>
      <x:c r="AT337" s="47"/>
      <x:c r="AU337" s="60"/>
      <x:c r="AV337" s="58"/>
      <x:c r="AW337" s="47"/>
      <x:c r="AX337" s="60"/>
      <x:c r="AY337" s="58"/>
      <x:c r="AZ337" s="47"/>
      <x:c r="BA337" s="60"/>
      <x:c r="BB337" s="58"/>
      <x:c r="BC337" s="47"/>
      <x:c r="BD337" s="60"/>
      <x:c r="BE337" s="58"/>
      <x:c r="BF337" s="47"/>
      <x:c r="BG337" s="60"/>
      <x:c r="BH337" s="58"/>
      <x:c r="BI337" s="47"/>
      <x:c r="BJ337" s="60"/>
      <x:c r="BK337" s="58"/>
      <x:c r="BL337" s="47"/>
      <x:c r="BM337" s="60"/>
      <x:c r="BN337" s="58"/>
      <x:c r="BO337" s="47"/>
      <x:c r="BP337" s="60"/>
      <x:c r="BQ337" s="58"/>
      <x:c r="BR337" s="47"/>
      <x:c r="BS337" s="60"/>
      <x:c r="BT337" s="58"/>
      <x:c r="BU337" s="47"/>
      <x:c r="BV337" s="60"/>
      <x:c r="BW337" s="58"/>
      <x:c r="BX337" s="47"/>
      <x:c r="BY337" s="60"/>
      <x:c r="BZ337" s="58"/>
      <x:c r="CA337" s="47"/>
      <x:c r="CB337" s="60"/>
      <x:c r="CC337" s="58"/>
      <x:c r="CD337" s="47"/>
      <x:c r="CE337" s="60"/>
      <x:c r="CF337" s="58"/>
      <x:c r="CG337" s="47"/>
      <x:c r="CH337" s="60"/>
      <x:c r="CI337" s="58"/>
      <x:c r="CJ337" s="47"/>
      <x:c r="CK337" s="60"/>
      <x:c r="CL337" s="58"/>
      <x:c r="CM337" s="47"/>
      <x:c r="CN337" s="60"/>
      <x:c r="CO337" s="58"/>
      <x:c r="CP337" s="47"/>
      <x:c r="CQ337" s="60"/>
      <x:c r="CR337" s="58"/>
      <x:c r="CS337" s="47"/>
      <x:c r="CT337" s="60"/>
      <x:c r="CU337" s="58"/>
      <x:c r="CV337" s="47"/>
      <x:c r="CW337" s="60"/>
      <x:c r="CX337" s="58"/>
      <x:c r="CY337" s="47"/>
      <x:c r="CZ337" s="60"/>
      <x:c r="DA337" s="58"/>
      <x:c r="DB337" s="47"/>
      <x:c r="DC337" s="60"/>
      <x:c r="DD337" s="58"/>
      <x:c r="DE337" s="47"/>
      <x:c r="DF337" s="60"/>
      <x:c r="DG337" s="58"/>
      <x:c r="DH337" s="47"/>
      <x:c r="DI337" s="60"/>
      <x:c r="DJ337" s="58"/>
      <x:c r="DK337" s="47"/>
      <x:c r="DL337" s="60"/>
      <x:c r="DM337" s="58"/>
      <x:c r="DN337" s="11"/>
      <x:c r="DO337" s="61"/>
      <x:c r="DP337" s="62"/>
      <x:c r="DQ337" s="11"/>
      <x:c r="DR337" s="61"/>
      <x:c r="DS337" s="62"/>
      <x:c r="DT337" s="11"/>
      <x:c r="DU337" s="61"/>
      <x:c r="DV337" s="62"/>
    </x:row>
    <x:row r="338" spans="1:126" x14ac:dyDescent="0.3">
      <x:c r="A338" s="47"/>
      <x:c r="B338" s="70"/>
      <x:c r="C338" s="70"/>
      <x:c r="D338" s="70"/>
      <x:c r="E338" s="70"/>
      <x:c r="F338" s="70"/>
      <x:c r="G338" s="70"/>
      <x:c r="H338" s="70"/>
      <x:c r="I338" s="70"/>
      <x:c r="J338" s="70"/>
      <x:c r="K338" s="190"/>
      <x:c r="L338" s="195"/>
      <x:c r="M338" s="192"/>
      <x:c r="N338" s="192"/>
      <x:c r="O338" s="69"/>
      <x:c r="P338" s="47"/>
      <x:c r="Q338" s="60"/>
      <x:c r="R338" s="58"/>
      <x:c r="S338" s="47"/>
      <x:c r="T338" s="60"/>
      <x:c r="U338" s="58"/>
      <x:c r="V338" s="47"/>
      <x:c r="W338" s="60"/>
      <x:c r="X338" s="58"/>
      <x:c r="Y338" s="47"/>
      <x:c r="Z338" s="60"/>
      <x:c r="AA338" s="58"/>
      <x:c r="AB338" s="47"/>
      <x:c r="AC338" s="60"/>
      <x:c r="AD338" s="58"/>
      <x:c r="AE338" s="47"/>
      <x:c r="AF338" s="60"/>
      <x:c r="AG338" s="58"/>
      <x:c r="AH338" s="47"/>
      <x:c r="AI338" s="60"/>
      <x:c r="AJ338" s="58"/>
      <x:c r="AK338" s="47"/>
      <x:c r="AL338" s="60"/>
      <x:c r="AM338" s="58"/>
      <x:c r="AN338" s="47"/>
      <x:c r="AO338" s="60"/>
      <x:c r="AP338" s="58"/>
      <x:c r="AQ338" s="47"/>
      <x:c r="AR338" s="60"/>
      <x:c r="AS338" s="58"/>
      <x:c r="AT338" s="47"/>
      <x:c r="AU338" s="60"/>
      <x:c r="AV338" s="58"/>
      <x:c r="AW338" s="47"/>
      <x:c r="AX338" s="60"/>
      <x:c r="AY338" s="58"/>
      <x:c r="AZ338" s="47"/>
      <x:c r="BA338" s="60"/>
      <x:c r="BB338" s="58"/>
      <x:c r="BC338" s="47"/>
      <x:c r="BD338" s="60"/>
      <x:c r="BE338" s="58"/>
      <x:c r="BF338" s="47"/>
      <x:c r="BG338" s="60"/>
      <x:c r="BH338" s="58"/>
      <x:c r="BI338" s="47"/>
      <x:c r="BJ338" s="60"/>
      <x:c r="BK338" s="58"/>
      <x:c r="BL338" s="47"/>
      <x:c r="BM338" s="60"/>
      <x:c r="BN338" s="58"/>
      <x:c r="BO338" s="47"/>
      <x:c r="BP338" s="60"/>
      <x:c r="BQ338" s="58"/>
      <x:c r="BR338" s="47"/>
      <x:c r="BS338" s="60"/>
      <x:c r="BT338" s="58"/>
      <x:c r="BU338" s="47"/>
      <x:c r="BV338" s="60"/>
      <x:c r="BW338" s="58"/>
      <x:c r="BX338" s="47"/>
      <x:c r="BY338" s="60"/>
      <x:c r="BZ338" s="58"/>
      <x:c r="CA338" s="47"/>
      <x:c r="CB338" s="60"/>
      <x:c r="CC338" s="58"/>
      <x:c r="CD338" s="47"/>
      <x:c r="CE338" s="60"/>
      <x:c r="CF338" s="58"/>
      <x:c r="CG338" s="47"/>
      <x:c r="CH338" s="60"/>
      <x:c r="CI338" s="58"/>
      <x:c r="CJ338" s="47"/>
      <x:c r="CK338" s="60"/>
      <x:c r="CL338" s="58"/>
      <x:c r="CM338" s="47"/>
      <x:c r="CN338" s="60"/>
      <x:c r="CO338" s="58"/>
      <x:c r="CP338" s="47"/>
      <x:c r="CQ338" s="60"/>
      <x:c r="CR338" s="58"/>
      <x:c r="CS338" s="47"/>
      <x:c r="CT338" s="60"/>
      <x:c r="CU338" s="58"/>
      <x:c r="CV338" s="47"/>
      <x:c r="CW338" s="60"/>
      <x:c r="CX338" s="58"/>
      <x:c r="CY338" s="47"/>
      <x:c r="CZ338" s="60"/>
      <x:c r="DA338" s="58"/>
      <x:c r="DB338" s="47"/>
      <x:c r="DC338" s="60"/>
      <x:c r="DD338" s="58"/>
      <x:c r="DE338" s="47"/>
      <x:c r="DF338" s="60"/>
      <x:c r="DG338" s="58"/>
      <x:c r="DH338" s="47"/>
      <x:c r="DI338" s="60"/>
      <x:c r="DJ338" s="58"/>
      <x:c r="DK338" s="47"/>
      <x:c r="DL338" s="60"/>
      <x:c r="DM338" s="58"/>
      <x:c r="DN338" s="11"/>
      <x:c r="DO338" s="61"/>
      <x:c r="DP338" s="62"/>
      <x:c r="DQ338" s="11"/>
      <x:c r="DR338" s="61"/>
      <x:c r="DS338" s="62"/>
      <x:c r="DT338" s="11"/>
      <x:c r="DU338" s="61"/>
      <x:c r="DV338" s="62"/>
    </x:row>
    <x:row r="339" spans="1:126" x14ac:dyDescent="0.3">
      <x:c r="A339" s="47"/>
      <x:c r="B339" s="70"/>
      <x:c r="C339" s="70"/>
      <x:c r="D339" s="70"/>
      <x:c r="E339" s="70"/>
      <x:c r="F339" s="70"/>
      <x:c r="G339" s="70"/>
      <x:c r="H339" s="70"/>
      <x:c r="I339" s="70"/>
      <x:c r="J339" s="70"/>
      <x:c r="K339" s="190"/>
      <x:c r="L339" s="195"/>
      <x:c r="M339" s="192"/>
      <x:c r="N339" s="192"/>
      <x:c r="O339" s="69"/>
      <x:c r="P339" s="47"/>
      <x:c r="Q339" s="60"/>
      <x:c r="R339" s="58"/>
      <x:c r="S339" s="47"/>
      <x:c r="T339" s="60"/>
      <x:c r="U339" s="58"/>
      <x:c r="V339" s="47"/>
      <x:c r="W339" s="60"/>
      <x:c r="X339" s="58"/>
      <x:c r="Y339" s="47"/>
      <x:c r="Z339" s="60"/>
      <x:c r="AA339" s="58"/>
      <x:c r="AB339" s="47"/>
      <x:c r="AC339" s="60"/>
      <x:c r="AD339" s="58"/>
      <x:c r="AE339" s="47"/>
      <x:c r="AF339" s="60"/>
      <x:c r="AG339" s="58"/>
      <x:c r="AH339" s="47"/>
      <x:c r="AI339" s="60"/>
      <x:c r="AJ339" s="58"/>
      <x:c r="AK339" s="47"/>
      <x:c r="AL339" s="60"/>
      <x:c r="AM339" s="58"/>
      <x:c r="AN339" s="47"/>
      <x:c r="AO339" s="60"/>
      <x:c r="AP339" s="58"/>
      <x:c r="AQ339" s="47"/>
      <x:c r="AR339" s="60"/>
      <x:c r="AS339" s="58"/>
      <x:c r="AT339" s="47"/>
      <x:c r="AU339" s="60"/>
      <x:c r="AV339" s="58"/>
      <x:c r="AW339" s="47"/>
      <x:c r="AX339" s="60"/>
      <x:c r="AY339" s="58"/>
      <x:c r="AZ339" s="47"/>
      <x:c r="BA339" s="60"/>
      <x:c r="BB339" s="58"/>
      <x:c r="BC339" s="47"/>
      <x:c r="BD339" s="60"/>
      <x:c r="BE339" s="58"/>
      <x:c r="BF339" s="47"/>
      <x:c r="BG339" s="60"/>
      <x:c r="BH339" s="58"/>
      <x:c r="BI339" s="47"/>
      <x:c r="BJ339" s="60"/>
      <x:c r="BK339" s="58"/>
      <x:c r="BL339" s="47"/>
      <x:c r="BM339" s="60"/>
      <x:c r="BN339" s="58"/>
      <x:c r="BO339" s="47"/>
      <x:c r="BP339" s="60"/>
      <x:c r="BQ339" s="58"/>
      <x:c r="BR339" s="47"/>
      <x:c r="BS339" s="60"/>
      <x:c r="BT339" s="58"/>
      <x:c r="BU339" s="47"/>
      <x:c r="BV339" s="60"/>
      <x:c r="BW339" s="58"/>
      <x:c r="BX339" s="47"/>
      <x:c r="BY339" s="60"/>
      <x:c r="BZ339" s="58"/>
      <x:c r="CA339" s="47"/>
      <x:c r="CB339" s="60"/>
      <x:c r="CC339" s="58"/>
      <x:c r="CD339" s="47"/>
      <x:c r="CE339" s="60"/>
      <x:c r="CF339" s="58"/>
      <x:c r="CG339" s="47"/>
      <x:c r="CH339" s="60"/>
      <x:c r="CI339" s="58"/>
      <x:c r="CJ339" s="47"/>
      <x:c r="CK339" s="60"/>
      <x:c r="CL339" s="58"/>
      <x:c r="CM339" s="47"/>
      <x:c r="CN339" s="60"/>
      <x:c r="CO339" s="58"/>
      <x:c r="CP339" s="47"/>
      <x:c r="CQ339" s="60"/>
      <x:c r="CR339" s="58"/>
      <x:c r="CS339" s="47"/>
      <x:c r="CT339" s="60"/>
      <x:c r="CU339" s="58"/>
      <x:c r="CV339" s="47"/>
      <x:c r="CW339" s="60"/>
      <x:c r="CX339" s="58"/>
      <x:c r="CY339" s="47"/>
      <x:c r="CZ339" s="60"/>
      <x:c r="DA339" s="58"/>
      <x:c r="DB339" s="47"/>
      <x:c r="DC339" s="60"/>
      <x:c r="DD339" s="58"/>
      <x:c r="DE339" s="47"/>
      <x:c r="DF339" s="60"/>
      <x:c r="DG339" s="58"/>
      <x:c r="DH339" s="47"/>
      <x:c r="DI339" s="60"/>
      <x:c r="DJ339" s="58"/>
      <x:c r="DK339" s="47"/>
      <x:c r="DL339" s="60"/>
      <x:c r="DM339" s="58"/>
      <x:c r="DN339" s="11"/>
      <x:c r="DO339" s="61"/>
      <x:c r="DP339" s="62"/>
      <x:c r="DQ339" s="11"/>
      <x:c r="DR339" s="61"/>
      <x:c r="DS339" s="62"/>
      <x:c r="DT339" s="11"/>
      <x:c r="DU339" s="61"/>
      <x:c r="DV339" s="62"/>
    </x:row>
    <x:row r="340" spans="1:126" x14ac:dyDescent="0.3">
      <x:c r="A340" s="47"/>
      <x:c r="B340" s="70"/>
      <x:c r="C340" s="70"/>
      <x:c r="D340" s="70"/>
      <x:c r="E340" s="70"/>
      <x:c r="F340" s="70"/>
      <x:c r="G340" s="70"/>
      <x:c r="H340" s="70"/>
      <x:c r="I340" s="70"/>
      <x:c r="J340" s="70"/>
      <x:c r="K340" s="190"/>
      <x:c r="L340" s="195"/>
      <x:c r="M340" s="192"/>
      <x:c r="N340" s="192"/>
      <x:c r="O340" s="69"/>
      <x:c r="P340" s="47"/>
      <x:c r="Q340" s="60"/>
      <x:c r="R340" s="58"/>
      <x:c r="S340" s="47"/>
      <x:c r="T340" s="60"/>
      <x:c r="U340" s="58"/>
      <x:c r="V340" s="47"/>
      <x:c r="W340" s="60"/>
      <x:c r="X340" s="58"/>
      <x:c r="Y340" s="47"/>
      <x:c r="Z340" s="60"/>
      <x:c r="AA340" s="58"/>
      <x:c r="AB340" s="47"/>
      <x:c r="AC340" s="60"/>
      <x:c r="AD340" s="58"/>
      <x:c r="AE340" s="47"/>
      <x:c r="AF340" s="60"/>
      <x:c r="AG340" s="58"/>
      <x:c r="AH340" s="47"/>
      <x:c r="AI340" s="60"/>
      <x:c r="AJ340" s="58"/>
      <x:c r="AK340" s="47"/>
      <x:c r="AL340" s="60"/>
      <x:c r="AM340" s="58"/>
      <x:c r="AN340" s="47"/>
      <x:c r="AO340" s="60"/>
      <x:c r="AP340" s="58"/>
      <x:c r="AQ340" s="47"/>
      <x:c r="AR340" s="60"/>
      <x:c r="AS340" s="58"/>
      <x:c r="AT340" s="47"/>
      <x:c r="AU340" s="60"/>
      <x:c r="AV340" s="58"/>
      <x:c r="AW340" s="47"/>
      <x:c r="AX340" s="60"/>
      <x:c r="AY340" s="58"/>
      <x:c r="AZ340" s="47"/>
      <x:c r="BA340" s="60"/>
      <x:c r="BB340" s="58"/>
      <x:c r="BC340" s="47"/>
      <x:c r="BD340" s="60"/>
      <x:c r="BE340" s="58"/>
      <x:c r="BF340" s="47"/>
      <x:c r="BG340" s="60"/>
      <x:c r="BH340" s="58"/>
      <x:c r="BI340" s="47"/>
      <x:c r="BJ340" s="60"/>
      <x:c r="BK340" s="58"/>
      <x:c r="BL340" s="47"/>
      <x:c r="BM340" s="60"/>
      <x:c r="BN340" s="58"/>
      <x:c r="BO340" s="47"/>
      <x:c r="BP340" s="60"/>
      <x:c r="BQ340" s="58"/>
      <x:c r="BR340" s="47"/>
      <x:c r="BS340" s="60"/>
      <x:c r="BT340" s="58"/>
      <x:c r="BU340" s="47"/>
      <x:c r="BV340" s="60"/>
      <x:c r="BW340" s="58"/>
      <x:c r="BX340" s="47"/>
      <x:c r="BY340" s="60"/>
      <x:c r="BZ340" s="58"/>
      <x:c r="CA340" s="47"/>
      <x:c r="CB340" s="60"/>
      <x:c r="CC340" s="58"/>
      <x:c r="CD340" s="47"/>
      <x:c r="CE340" s="60"/>
      <x:c r="CF340" s="58"/>
      <x:c r="CG340" s="47"/>
      <x:c r="CH340" s="60"/>
      <x:c r="CI340" s="58"/>
      <x:c r="CJ340" s="47"/>
      <x:c r="CK340" s="60"/>
      <x:c r="CL340" s="58"/>
      <x:c r="CM340" s="47"/>
      <x:c r="CN340" s="60"/>
      <x:c r="CO340" s="58"/>
      <x:c r="CP340" s="47"/>
      <x:c r="CQ340" s="60"/>
      <x:c r="CR340" s="58"/>
      <x:c r="CS340" s="47"/>
      <x:c r="CT340" s="60"/>
      <x:c r="CU340" s="58"/>
      <x:c r="CV340" s="47"/>
      <x:c r="CW340" s="60"/>
      <x:c r="CX340" s="58"/>
      <x:c r="CY340" s="47"/>
      <x:c r="CZ340" s="60"/>
      <x:c r="DA340" s="58"/>
      <x:c r="DB340" s="47"/>
      <x:c r="DC340" s="60"/>
      <x:c r="DD340" s="58"/>
      <x:c r="DE340" s="47"/>
      <x:c r="DF340" s="60"/>
      <x:c r="DG340" s="58"/>
      <x:c r="DH340" s="47"/>
      <x:c r="DI340" s="60"/>
      <x:c r="DJ340" s="58"/>
      <x:c r="DK340" s="47"/>
      <x:c r="DL340" s="60"/>
      <x:c r="DM340" s="58"/>
      <x:c r="DN340" s="11"/>
      <x:c r="DO340" s="61"/>
      <x:c r="DP340" s="62"/>
      <x:c r="DQ340" s="11"/>
      <x:c r="DR340" s="61"/>
      <x:c r="DS340" s="62"/>
      <x:c r="DT340" s="11"/>
      <x:c r="DU340" s="61"/>
      <x:c r="DV340" s="62"/>
    </x:row>
    <x:row r="341" spans="1:126" x14ac:dyDescent="0.3">
      <x:c r="A341" s="47"/>
      <x:c r="B341" s="70"/>
      <x:c r="C341" s="70"/>
      <x:c r="D341" s="70"/>
      <x:c r="E341" s="70"/>
      <x:c r="F341" s="70"/>
      <x:c r="G341" s="70"/>
      <x:c r="H341" s="70"/>
      <x:c r="I341" s="70"/>
      <x:c r="J341" s="70"/>
      <x:c r="K341" s="190"/>
      <x:c r="L341" s="195"/>
      <x:c r="M341" s="192"/>
      <x:c r="N341" s="192"/>
      <x:c r="O341" s="69"/>
      <x:c r="P341" s="47"/>
      <x:c r="Q341" s="60"/>
      <x:c r="R341" s="58"/>
      <x:c r="S341" s="47"/>
      <x:c r="T341" s="60"/>
      <x:c r="U341" s="58"/>
      <x:c r="V341" s="47"/>
      <x:c r="W341" s="60"/>
      <x:c r="X341" s="58"/>
      <x:c r="Y341" s="47"/>
      <x:c r="Z341" s="60"/>
      <x:c r="AA341" s="58"/>
      <x:c r="AB341" s="47"/>
      <x:c r="AC341" s="60"/>
      <x:c r="AD341" s="58"/>
      <x:c r="AE341" s="47"/>
      <x:c r="AF341" s="60"/>
      <x:c r="AG341" s="58"/>
      <x:c r="AH341" s="47"/>
      <x:c r="AI341" s="60"/>
      <x:c r="AJ341" s="58"/>
      <x:c r="AK341" s="47"/>
      <x:c r="AL341" s="60"/>
      <x:c r="AM341" s="58"/>
      <x:c r="AN341" s="47"/>
      <x:c r="AO341" s="60"/>
      <x:c r="AP341" s="58"/>
      <x:c r="AQ341" s="47"/>
      <x:c r="AR341" s="60"/>
      <x:c r="AS341" s="58"/>
      <x:c r="AT341" s="47"/>
      <x:c r="AU341" s="60"/>
      <x:c r="AV341" s="58"/>
      <x:c r="AW341" s="47"/>
      <x:c r="AX341" s="60"/>
      <x:c r="AY341" s="58"/>
      <x:c r="AZ341" s="47"/>
      <x:c r="BA341" s="60"/>
      <x:c r="BB341" s="58"/>
      <x:c r="BC341" s="47"/>
      <x:c r="BD341" s="60"/>
      <x:c r="BE341" s="58"/>
      <x:c r="BF341" s="47"/>
      <x:c r="BG341" s="60"/>
      <x:c r="BH341" s="58"/>
      <x:c r="BI341" s="47"/>
      <x:c r="BJ341" s="60"/>
      <x:c r="BK341" s="58"/>
      <x:c r="BL341" s="47"/>
      <x:c r="BM341" s="60"/>
      <x:c r="BN341" s="58"/>
      <x:c r="BO341" s="47"/>
      <x:c r="BP341" s="60"/>
      <x:c r="BQ341" s="58"/>
      <x:c r="BR341" s="47"/>
      <x:c r="BS341" s="60"/>
      <x:c r="BT341" s="58"/>
      <x:c r="BU341" s="47"/>
      <x:c r="BV341" s="60"/>
      <x:c r="BW341" s="58"/>
      <x:c r="BX341" s="47"/>
      <x:c r="BY341" s="60"/>
      <x:c r="BZ341" s="58"/>
      <x:c r="CA341" s="47"/>
      <x:c r="CB341" s="60"/>
      <x:c r="CC341" s="58"/>
      <x:c r="CD341" s="47"/>
      <x:c r="CE341" s="60"/>
      <x:c r="CF341" s="58"/>
      <x:c r="CG341" s="47"/>
      <x:c r="CH341" s="60"/>
      <x:c r="CI341" s="58"/>
      <x:c r="CJ341" s="47"/>
      <x:c r="CK341" s="60"/>
      <x:c r="CL341" s="58"/>
      <x:c r="CM341" s="47"/>
      <x:c r="CN341" s="60"/>
      <x:c r="CO341" s="58"/>
      <x:c r="CP341" s="47"/>
      <x:c r="CQ341" s="60"/>
      <x:c r="CR341" s="58"/>
      <x:c r="CS341" s="47"/>
      <x:c r="CT341" s="60"/>
      <x:c r="CU341" s="58"/>
      <x:c r="CV341" s="47"/>
      <x:c r="CW341" s="60"/>
      <x:c r="CX341" s="58"/>
      <x:c r="CY341" s="47"/>
      <x:c r="CZ341" s="60"/>
      <x:c r="DA341" s="58"/>
      <x:c r="DB341" s="47"/>
      <x:c r="DC341" s="60"/>
      <x:c r="DD341" s="58"/>
      <x:c r="DE341" s="47"/>
      <x:c r="DF341" s="60"/>
      <x:c r="DG341" s="58"/>
      <x:c r="DH341" s="47"/>
      <x:c r="DI341" s="60"/>
      <x:c r="DJ341" s="58"/>
      <x:c r="DK341" s="47"/>
      <x:c r="DL341" s="60"/>
      <x:c r="DM341" s="58"/>
      <x:c r="DN341" s="11"/>
      <x:c r="DO341" s="61"/>
      <x:c r="DP341" s="62"/>
      <x:c r="DQ341" s="11"/>
      <x:c r="DR341" s="61"/>
      <x:c r="DS341" s="62"/>
      <x:c r="DT341" s="11"/>
      <x:c r="DU341" s="61"/>
      <x:c r="DV341" s="62"/>
    </x:row>
    <x:row r="342" spans="1:126" x14ac:dyDescent="0.3">
      <x:c r="A342" s="47"/>
      <x:c r="B342" s="70"/>
      <x:c r="C342" s="70"/>
      <x:c r="D342" s="70"/>
      <x:c r="E342" s="70"/>
      <x:c r="F342" s="70"/>
      <x:c r="G342" s="70"/>
      <x:c r="H342" s="70"/>
      <x:c r="I342" s="70"/>
      <x:c r="J342" s="70"/>
      <x:c r="K342" s="190"/>
      <x:c r="L342" s="195"/>
      <x:c r="M342" s="192"/>
      <x:c r="N342" s="192"/>
      <x:c r="O342" s="69"/>
      <x:c r="P342" s="47"/>
      <x:c r="Q342" s="60"/>
      <x:c r="R342" s="58"/>
      <x:c r="S342" s="47"/>
      <x:c r="T342" s="60"/>
      <x:c r="U342" s="58"/>
      <x:c r="V342" s="47"/>
      <x:c r="W342" s="60"/>
      <x:c r="X342" s="58"/>
      <x:c r="Y342" s="47"/>
      <x:c r="Z342" s="60"/>
      <x:c r="AA342" s="58"/>
      <x:c r="AB342" s="47"/>
      <x:c r="AC342" s="60"/>
      <x:c r="AD342" s="58"/>
      <x:c r="AE342" s="47"/>
      <x:c r="AF342" s="60"/>
      <x:c r="AG342" s="58"/>
      <x:c r="AH342" s="47"/>
      <x:c r="AI342" s="60"/>
      <x:c r="AJ342" s="58"/>
      <x:c r="AK342" s="47"/>
      <x:c r="AL342" s="60"/>
      <x:c r="AM342" s="58"/>
      <x:c r="AN342" s="47"/>
      <x:c r="AO342" s="60"/>
      <x:c r="AP342" s="58"/>
      <x:c r="AQ342" s="47"/>
      <x:c r="AR342" s="60"/>
      <x:c r="AS342" s="58"/>
      <x:c r="AT342" s="47"/>
      <x:c r="AU342" s="60"/>
      <x:c r="AV342" s="58"/>
      <x:c r="AW342" s="47"/>
      <x:c r="AX342" s="60"/>
      <x:c r="AY342" s="58"/>
      <x:c r="AZ342" s="47"/>
      <x:c r="BA342" s="60"/>
      <x:c r="BB342" s="58"/>
      <x:c r="BC342" s="47"/>
      <x:c r="BD342" s="60"/>
      <x:c r="BE342" s="58"/>
      <x:c r="BF342" s="47"/>
      <x:c r="BG342" s="60"/>
      <x:c r="BH342" s="58"/>
      <x:c r="BI342" s="47"/>
      <x:c r="BJ342" s="60"/>
      <x:c r="BK342" s="58"/>
      <x:c r="BL342" s="47"/>
      <x:c r="BM342" s="60"/>
      <x:c r="BN342" s="58"/>
      <x:c r="BO342" s="47"/>
      <x:c r="BP342" s="60"/>
      <x:c r="BQ342" s="58"/>
      <x:c r="BR342" s="47"/>
      <x:c r="BS342" s="60"/>
      <x:c r="BT342" s="58"/>
      <x:c r="BU342" s="47"/>
      <x:c r="BV342" s="60"/>
      <x:c r="BW342" s="58"/>
      <x:c r="BX342" s="47"/>
      <x:c r="BY342" s="60"/>
      <x:c r="BZ342" s="58"/>
      <x:c r="CA342" s="47"/>
      <x:c r="CB342" s="60"/>
      <x:c r="CC342" s="58"/>
      <x:c r="CD342" s="47"/>
      <x:c r="CE342" s="60"/>
      <x:c r="CF342" s="58"/>
      <x:c r="CG342" s="47"/>
      <x:c r="CH342" s="60"/>
      <x:c r="CI342" s="58"/>
      <x:c r="CJ342" s="47"/>
      <x:c r="CK342" s="60"/>
      <x:c r="CL342" s="58"/>
      <x:c r="CM342" s="47"/>
      <x:c r="CN342" s="60"/>
      <x:c r="CO342" s="58"/>
      <x:c r="CP342" s="47"/>
      <x:c r="CQ342" s="60"/>
      <x:c r="CR342" s="58"/>
      <x:c r="CS342" s="47"/>
      <x:c r="CT342" s="60"/>
      <x:c r="CU342" s="58"/>
      <x:c r="CV342" s="47"/>
      <x:c r="CW342" s="60"/>
      <x:c r="CX342" s="58"/>
      <x:c r="CY342" s="47"/>
      <x:c r="CZ342" s="60"/>
      <x:c r="DA342" s="58"/>
      <x:c r="DB342" s="47"/>
      <x:c r="DC342" s="60"/>
      <x:c r="DD342" s="58"/>
      <x:c r="DE342" s="47"/>
      <x:c r="DF342" s="60"/>
      <x:c r="DG342" s="58"/>
      <x:c r="DH342" s="47"/>
      <x:c r="DI342" s="60"/>
      <x:c r="DJ342" s="58"/>
      <x:c r="DK342" s="47"/>
      <x:c r="DL342" s="60"/>
      <x:c r="DM342" s="58"/>
      <x:c r="DN342" s="11"/>
      <x:c r="DO342" s="61"/>
      <x:c r="DP342" s="62"/>
      <x:c r="DQ342" s="11"/>
      <x:c r="DR342" s="61"/>
      <x:c r="DS342" s="62"/>
      <x:c r="DT342" s="11"/>
      <x:c r="DU342" s="61"/>
      <x:c r="DV342" s="62"/>
    </x:row>
    <x:row r="343" spans="1:126" x14ac:dyDescent="0.3">
      <x:c r="A343" s="47"/>
      <x:c r="B343" s="70"/>
      <x:c r="C343" s="70"/>
      <x:c r="D343" s="70"/>
      <x:c r="E343" s="70"/>
      <x:c r="F343" s="70"/>
      <x:c r="G343" s="70"/>
      <x:c r="H343" s="70"/>
      <x:c r="I343" s="70"/>
      <x:c r="J343" s="70"/>
      <x:c r="K343" s="190"/>
      <x:c r="L343" s="195"/>
      <x:c r="M343" s="192"/>
      <x:c r="N343" s="192"/>
      <x:c r="O343" s="69"/>
      <x:c r="P343" s="47"/>
      <x:c r="Q343" s="60"/>
      <x:c r="R343" s="58"/>
      <x:c r="S343" s="47"/>
      <x:c r="T343" s="60"/>
      <x:c r="U343" s="58"/>
      <x:c r="V343" s="47"/>
      <x:c r="W343" s="60"/>
      <x:c r="X343" s="58"/>
      <x:c r="Y343" s="47"/>
      <x:c r="Z343" s="60"/>
      <x:c r="AA343" s="58"/>
      <x:c r="AB343" s="47"/>
      <x:c r="AC343" s="60"/>
      <x:c r="AD343" s="58"/>
      <x:c r="AE343" s="47"/>
      <x:c r="AF343" s="60"/>
      <x:c r="AG343" s="58"/>
      <x:c r="AH343" s="47"/>
      <x:c r="AI343" s="60"/>
      <x:c r="AJ343" s="58"/>
      <x:c r="AK343" s="47"/>
      <x:c r="AL343" s="60"/>
      <x:c r="AM343" s="58"/>
      <x:c r="AN343" s="47"/>
      <x:c r="AO343" s="60"/>
      <x:c r="AP343" s="58"/>
      <x:c r="AQ343" s="47"/>
      <x:c r="AR343" s="60"/>
      <x:c r="AS343" s="58"/>
      <x:c r="AT343" s="47"/>
      <x:c r="AU343" s="60"/>
      <x:c r="AV343" s="58"/>
      <x:c r="AW343" s="47"/>
      <x:c r="AX343" s="60"/>
      <x:c r="AY343" s="58"/>
      <x:c r="AZ343" s="47"/>
      <x:c r="BA343" s="60"/>
      <x:c r="BB343" s="58"/>
      <x:c r="BC343" s="47"/>
      <x:c r="BD343" s="60"/>
      <x:c r="BE343" s="58"/>
      <x:c r="BF343" s="47"/>
      <x:c r="BG343" s="60"/>
      <x:c r="BH343" s="58"/>
      <x:c r="BI343" s="47"/>
      <x:c r="BJ343" s="60"/>
      <x:c r="BK343" s="58"/>
      <x:c r="BL343" s="47"/>
      <x:c r="BM343" s="60"/>
      <x:c r="BN343" s="58"/>
      <x:c r="BO343" s="47"/>
      <x:c r="BP343" s="60"/>
      <x:c r="BQ343" s="58"/>
      <x:c r="BR343" s="47"/>
      <x:c r="BS343" s="60"/>
      <x:c r="BT343" s="58"/>
      <x:c r="BU343" s="47"/>
      <x:c r="BV343" s="60"/>
      <x:c r="BW343" s="58"/>
      <x:c r="BX343" s="47"/>
      <x:c r="BY343" s="60"/>
      <x:c r="BZ343" s="58"/>
      <x:c r="CA343" s="47"/>
      <x:c r="CB343" s="60"/>
      <x:c r="CC343" s="58"/>
      <x:c r="CD343" s="47"/>
      <x:c r="CE343" s="60"/>
      <x:c r="CF343" s="58"/>
      <x:c r="CG343" s="47"/>
      <x:c r="CH343" s="60"/>
      <x:c r="CI343" s="58"/>
      <x:c r="CJ343" s="47"/>
      <x:c r="CK343" s="60"/>
      <x:c r="CL343" s="58"/>
      <x:c r="CM343" s="47"/>
      <x:c r="CN343" s="60"/>
      <x:c r="CO343" s="58"/>
      <x:c r="CP343" s="47"/>
      <x:c r="CQ343" s="60"/>
      <x:c r="CR343" s="58"/>
      <x:c r="CS343" s="47"/>
      <x:c r="CT343" s="60"/>
      <x:c r="CU343" s="58"/>
      <x:c r="CV343" s="47"/>
      <x:c r="CW343" s="60"/>
      <x:c r="CX343" s="58"/>
      <x:c r="CY343" s="47"/>
      <x:c r="CZ343" s="60"/>
      <x:c r="DA343" s="58"/>
      <x:c r="DB343" s="47"/>
      <x:c r="DC343" s="60"/>
      <x:c r="DD343" s="58"/>
      <x:c r="DE343" s="47"/>
      <x:c r="DF343" s="60"/>
      <x:c r="DG343" s="58"/>
      <x:c r="DH343" s="47"/>
      <x:c r="DI343" s="60"/>
      <x:c r="DJ343" s="58"/>
      <x:c r="DK343" s="47"/>
      <x:c r="DL343" s="60"/>
      <x:c r="DM343" s="58"/>
      <x:c r="DN343" s="11"/>
      <x:c r="DO343" s="61"/>
      <x:c r="DP343" s="62"/>
      <x:c r="DQ343" s="11"/>
      <x:c r="DR343" s="61"/>
      <x:c r="DS343" s="62"/>
      <x:c r="DT343" s="11"/>
      <x:c r="DU343" s="61"/>
      <x:c r="DV343" s="62"/>
    </x:row>
    <x:row r="344" spans="1:126" x14ac:dyDescent="0.3">
      <x:c r="A344" s="47"/>
      <x:c r="B344" s="70"/>
      <x:c r="C344" s="70"/>
      <x:c r="D344" s="70"/>
      <x:c r="E344" s="70"/>
      <x:c r="F344" s="70"/>
      <x:c r="G344" s="70"/>
      <x:c r="H344" s="70"/>
      <x:c r="I344" s="70"/>
      <x:c r="J344" s="70"/>
      <x:c r="K344" s="190"/>
      <x:c r="L344" s="195"/>
      <x:c r="M344" s="192"/>
      <x:c r="N344" s="192"/>
      <x:c r="O344" s="69"/>
      <x:c r="P344" s="47"/>
      <x:c r="Q344" s="60"/>
      <x:c r="R344" s="58"/>
      <x:c r="S344" s="47"/>
      <x:c r="T344" s="60"/>
      <x:c r="U344" s="58"/>
      <x:c r="V344" s="47"/>
      <x:c r="W344" s="60"/>
      <x:c r="X344" s="58"/>
      <x:c r="Y344" s="47"/>
      <x:c r="Z344" s="60"/>
      <x:c r="AA344" s="58"/>
      <x:c r="AB344" s="47"/>
      <x:c r="AC344" s="60"/>
      <x:c r="AD344" s="58"/>
      <x:c r="AE344" s="47"/>
      <x:c r="AF344" s="60"/>
      <x:c r="AG344" s="58"/>
      <x:c r="AH344" s="47"/>
      <x:c r="AI344" s="60"/>
      <x:c r="AJ344" s="58"/>
      <x:c r="AK344" s="47"/>
      <x:c r="AL344" s="60"/>
      <x:c r="AM344" s="58"/>
      <x:c r="AN344" s="47"/>
      <x:c r="AO344" s="60"/>
      <x:c r="AP344" s="58"/>
      <x:c r="AQ344" s="47"/>
      <x:c r="AR344" s="60"/>
      <x:c r="AS344" s="58"/>
      <x:c r="AT344" s="47"/>
      <x:c r="AU344" s="60"/>
      <x:c r="AV344" s="58"/>
      <x:c r="AW344" s="47"/>
      <x:c r="AX344" s="60"/>
      <x:c r="AY344" s="58"/>
      <x:c r="AZ344" s="47"/>
      <x:c r="BA344" s="60"/>
      <x:c r="BB344" s="58"/>
      <x:c r="BC344" s="47"/>
      <x:c r="BD344" s="60"/>
      <x:c r="BE344" s="58"/>
      <x:c r="BF344" s="47"/>
      <x:c r="BG344" s="60"/>
      <x:c r="BH344" s="58"/>
      <x:c r="BI344" s="47"/>
      <x:c r="BJ344" s="60"/>
      <x:c r="BK344" s="58"/>
      <x:c r="BL344" s="47"/>
      <x:c r="BM344" s="60"/>
      <x:c r="BN344" s="58"/>
      <x:c r="BO344" s="47"/>
      <x:c r="BP344" s="60"/>
      <x:c r="BQ344" s="58"/>
      <x:c r="BR344" s="47"/>
      <x:c r="BS344" s="60"/>
      <x:c r="BT344" s="58"/>
      <x:c r="BU344" s="47"/>
      <x:c r="BV344" s="60"/>
      <x:c r="BW344" s="58"/>
      <x:c r="BX344" s="47"/>
      <x:c r="BY344" s="60"/>
      <x:c r="BZ344" s="58"/>
      <x:c r="CA344" s="47"/>
      <x:c r="CB344" s="60"/>
      <x:c r="CC344" s="58"/>
      <x:c r="CD344" s="47"/>
      <x:c r="CE344" s="60"/>
      <x:c r="CF344" s="58"/>
      <x:c r="CG344" s="47"/>
      <x:c r="CH344" s="60"/>
      <x:c r="CI344" s="58"/>
      <x:c r="CJ344" s="47"/>
      <x:c r="CK344" s="60"/>
      <x:c r="CL344" s="58"/>
      <x:c r="CM344" s="47"/>
      <x:c r="CN344" s="60"/>
      <x:c r="CO344" s="58"/>
      <x:c r="CP344" s="47"/>
      <x:c r="CQ344" s="60"/>
      <x:c r="CR344" s="58"/>
      <x:c r="CS344" s="47"/>
      <x:c r="CT344" s="60"/>
      <x:c r="CU344" s="58"/>
      <x:c r="CV344" s="47"/>
      <x:c r="CW344" s="60"/>
      <x:c r="CX344" s="58"/>
      <x:c r="CY344" s="47"/>
      <x:c r="CZ344" s="60"/>
      <x:c r="DA344" s="58"/>
      <x:c r="DB344" s="47"/>
      <x:c r="DC344" s="60"/>
      <x:c r="DD344" s="58"/>
      <x:c r="DE344" s="47"/>
      <x:c r="DF344" s="60"/>
      <x:c r="DG344" s="58"/>
      <x:c r="DH344" s="47"/>
      <x:c r="DI344" s="60"/>
      <x:c r="DJ344" s="58"/>
      <x:c r="DK344" s="47"/>
      <x:c r="DL344" s="60"/>
      <x:c r="DM344" s="58"/>
      <x:c r="DN344" s="11"/>
      <x:c r="DO344" s="61"/>
      <x:c r="DP344" s="62"/>
      <x:c r="DQ344" s="11"/>
      <x:c r="DR344" s="61"/>
      <x:c r="DS344" s="62"/>
      <x:c r="DT344" s="11"/>
      <x:c r="DU344" s="61"/>
      <x:c r="DV344" s="62"/>
    </x:row>
    <x:row r="345" spans="1:126" x14ac:dyDescent="0.3">
      <x:c r="A345" s="47"/>
      <x:c r="B345" s="70"/>
      <x:c r="C345" s="70"/>
      <x:c r="D345" s="70"/>
      <x:c r="E345" s="70"/>
      <x:c r="F345" s="70"/>
      <x:c r="G345" s="70"/>
      <x:c r="H345" s="70"/>
      <x:c r="I345" s="70"/>
      <x:c r="J345" s="70"/>
      <x:c r="K345" s="190"/>
      <x:c r="L345" s="195"/>
      <x:c r="M345" s="192"/>
      <x:c r="N345" s="192"/>
      <x:c r="O345" s="69"/>
      <x:c r="P345" s="47"/>
      <x:c r="Q345" s="60"/>
      <x:c r="R345" s="58"/>
      <x:c r="S345" s="47"/>
      <x:c r="T345" s="60"/>
      <x:c r="U345" s="58"/>
      <x:c r="V345" s="47"/>
      <x:c r="W345" s="60"/>
      <x:c r="X345" s="58"/>
      <x:c r="Y345" s="47"/>
      <x:c r="Z345" s="60"/>
      <x:c r="AA345" s="58"/>
      <x:c r="AB345" s="47"/>
      <x:c r="AC345" s="60"/>
      <x:c r="AD345" s="58"/>
      <x:c r="AE345" s="47"/>
      <x:c r="AF345" s="60"/>
      <x:c r="AG345" s="58"/>
      <x:c r="AH345" s="47"/>
      <x:c r="AI345" s="60"/>
      <x:c r="AJ345" s="58"/>
      <x:c r="AK345" s="47"/>
      <x:c r="AL345" s="60"/>
      <x:c r="AM345" s="58"/>
      <x:c r="AN345" s="47"/>
      <x:c r="AO345" s="60"/>
      <x:c r="AP345" s="58"/>
      <x:c r="AQ345" s="47"/>
      <x:c r="AR345" s="60"/>
      <x:c r="AS345" s="58"/>
      <x:c r="AT345" s="47"/>
      <x:c r="AU345" s="60"/>
      <x:c r="AV345" s="58"/>
      <x:c r="AW345" s="47"/>
      <x:c r="AX345" s="60"/>
      <x:c r="AY345" s="58"/>
      <x:c r="AZ345" s="47"/>
      <x:c r="BA345" s="60"/>
      <x:c r="BB345" s="58"/>
      <x:c r="BC345" s="47"/>
      <x:c r="BD345" s="60"/>
      <x:c r="BE345" s="58"/>
      <x:c r="BF345" s="47"/>
      <x:c r="BG345" s="60"/>
      <x:c r="BH345" s="58"/>
      <x:c r="BI345" s="47"/>
      <x:c r="BJ345" s="60"/>
      <x:c r="BK345" s="58"/>
      <x:c r="BL345" s="47"/>
      <x:c r="BM345" s="60"/>
      <x:c r="BN345" s="58"/>
      <x:c r="BO345" s="47"/>
      <x:c r="BP345" s="60"/>
      <x:c r="BQ345" s="58"/>
      <x:c r="BR345" s="47"/>
      <x:c r="BS345" s="60"/>
      <x:c r="BT345" s="58"/>
      <x:c r="BU345" s="47"/>
      <x:c r="BV345" s="60"/>
      <x:c r="BW345" s="58"/>
      <x:c r="BX345" s="47"/>
      <x:c r="BY345" s="60"/>
      <x:c r="BZ345" s="58"/>
      <x:c r="CA345" s="47"/>
      <x:c r="CB345" s="60"/>
      <x:c r="CC345" s="58"/>
      <x:c r="CD345" s="47"/>
      <x:c r="CE345" s="60"/>
      <x:c r="CF345" s="58"/>
      <x:c r="CG345" s="47"/>
      <x:c r="CH345" s="60"/>
      <x:c r="CI345" s="58"/>
      <x:c r="CJ345" s="47"/>
      <x:c r="CK345" s="60"/>
      <x:c r="CL345" s="58"/>
      <x:c r="CM345" s="47"/>
      <x:c r="CN345" s="60"/>
      <x:c r="CO345" s="58"/>
      <x:c r="CP345" s="47"/>
      <x:c r="CQ345" s="60"/>
      <x:c r="CR345" s="58"/>
      <x:c r="CS345" s="47"/>
      <x:c r="CT345" s="60"/>
      <x:c r="CU345" s="58"/>
      <x:c r="CV345" s="47"/>
      <x:c r="CW345" s="60"/>
      <x:c r="CX345" s="58"/>
      <x:c r="CY345" s="47"/>
      <x:c r="CZ345" s="60"/>
      <x:c r="DA345" s="58"/>
      <x:c r="DB345" s="47"/>
      <x:c r="DC345" s="60"/>
      <x:c r="DD345" s="58"/>
      <x:c r="DE345" s="47"/>
      <x:c r="DF345" s="60"/>
      <x:c r="DG345" s="58"/>
      <x:c r="DH345" s="47"/>
      <x:c r="DI345" s="60"/>
      <x:c r="DJ345" s="58"/>
      <x:c r="DK345" s="47"/>
      <x:c r="DL345" s="60"/>
      <x:c r="DM345" s="58"/>
      <x:c r="DN345" s="11"/>
      <x:c r="DO345" s="61"/>
      <x:c r="DP345" s="62"/>
      <x:c r="DQ345" s="11"/>
      <x:c r="DR345" s="61"/>
      <x:c r="DS345" s="62"/>
      <x:c r="DT345" s="11"/>
      <x:c r="DU345" s="61"/>
      <x:c r="DV345" s="62"/>
    </x:row>
    <x:row r="346" spans="1:126" x14ac:dyDescent="0.3">
      <x:c r="A346" s="47"/>
      <x:c r="B346" s="70"/>
      <x:c r="C346" s="70"/>
      <x:c r="D346" s="70"/>
      <x:c r="E346" s="70"/>
      <x:c r="F346" s="70"/>
      <x:c r="G346" s="70"/>
      <x:c r="H346" s="70"/>
      <x:c r="I346" s="70"/>
      <x:c r="J346" s="70"/>
      <x:c r="K346" s="190"/>
      <x:c r="L346" s="195"/>
      <x:c r="M346" s="192"/>
      <x:c r="N346" s="192"/>
      <x:c r="O346" s="69"/>
      <x:c r="P346" s="47"/>
      <x:c r="Q346" s="60"/>
      <x:c r="R346" s="58"/>
      <x:c r="S346" s="47"/>
      <x:c r="T346" s="60"/>
      <x:c r="U346" s="58"/>
      <x:c r="V346" s="47"/>
      <x:c r="W346" s="60"/>
      <x:c r="X346" s="58"/>
      <x:c r="Y346" s="47"/>
      <x:c r="Z346" s="60"/>
      <x:c r="AA346" s="58"/>
      <x:c r="AB346" s="47"/>
      <x:c r="AC346" s="60"/>
      <x:c r="AD346" s="58"/>
      <x:c r="AE346" s="47"/>
      <x:c r="AF346" s="60"/>
      <x:c r="AG346" s="58"/>
      <x:c r="AH346" s="47"/>
      <x:c r="AI346" s="60"/>
      <x:c r="AJ346" s="58"/>
      <x:c r="AK346" s="47"/>
      <x:c r="AL346" s="60"/>
      <x:c r="AM346" s="58"/>
      <x:c r="AN346" s="47"/>
      <x:c r="AO346" s="60"/>
      <x:c r="AP346" s="58"/>
      <x:c r="AQ346" s="47"/>
      <x:c r="AR346" s="60"/>
      <x:c r="AS346" s="58"/>
      <x:c r="AT346" s="47"/>
      <x:c r="AU346" s="60"/>
      <x:c r="AV346" s="58"/>
      <x:c r="AW346" s="47"/>
      <x:c r="AX346" s="60"/>
      <x:c r="AY346" s="58"/>
      <x:c r="AZ346" s="47"/>
      <x:c r="BA346" s="60"/>
      <x:c r="BB346" s="58"/>
      <x:c r="BC346" s="47"/>
      <x:c r="BD346" s="60"/>
      <x:c r="BE346" s="58"/>
      <x:c r="BF346" s="47"/>
      <x:c r="BG346" s="60"/>
      <x:c r="BH346" s="58"/>
      <x:c r="BI346" s="47"/>
      <x:c r="BJ346" s="60"/>
      <x:c r="BK346" s="58"/>
      <x:c r="BL346" s="47"/>
      <x:c r="BM346" s="60"/>
      <x:c r="BN346" s="58"/>
      <x:c r="BO346" s="47"/>
      <x:c r="BP346" s="60"/>
      <x:c r="BQ346" s="58"/>
      <x:c r="BR346" s="47"/>
      <x:c r="BS346" s="60"/>
      <x:c r="BT346" s="58"/>
      <x:c r="BU346" s="47"/>
      <x:c r="BV346" s="60"/>
      <x:c r="BW346" s="58"/>
      <x:c r="BX346" s="47"/>
      <x:c r="BY346" s="60"/>
      <x:c r="BZ346" s="58"/>
      <x:c r="CA346" s="47"/>
      <x:c r="CB346" s="60"/>
      <x:c r="CC346" s="58"/>
      <x:c r="CD346" s="47"/>
      <x:c r="CE346" s="60"/>
      <x:c r="CF346" s="58"/>
      <x:c r="CG346" s="47"/>
      <x:c r="CH346" s="60"/>
      <x:c r="CI346" s="58"/>
      <x:c r="CJ346" s="47"/>
      <x:c r="CK346" s="60"/>
      <x:c r="CL346" s="58"/>
      <x:c r="CM346" s="47"/>
      <x:c r="CN346" s="60"/>
      <x:c r="CO346" s="58"/>
      <x:c r="CP346" s="47"/>
      <x:c r="CQ346" s="60"/>
      <x:c r="CR346" s="58"/>
      <x:c r="CS346" s="47"/>
      <x:c r="CT346" s="60"/>
      <x:c r="CU346" s="58"/>
      <x:c r="CV346" s="47"/>
      <x:c r="CW346" s="60"/>
      <x:c r="CX346" s="58"/>
      <x:c r="CY346" s="47"/>
      <x:c r="CZ346" s="60"/>
      <x:c r="DA346" s="58"/>
      <x:c r="DB346" s="47"/>
      <x:c r="DC346" s="60"/>
      <x:c r="DD346" s="58"/>
      <x:c r="DE346" s="47"/>
      <x:c r="DF346" s="60"/>
      <x:c r="DG346" s="58"/>
      <x:c r="DH346" s="47"/>
      <x:c r="DI346" s="60"/>
      <x:c r="DJ346" s="58"/>
      <x:c r="DK346" s="47"/>
      <x:c r="DL346" s="60"/>
      <x:c r="DM346" s="58"/>
      <x:c r="DN346" s="11"/>
      <x:c r="DO346" s="61"/>
      <x:c r="DP346" s="62"/>
      <x:c r="DQ346" s="11"/>
      <x:c r="DR346" s="61"/>
      <x:c r="DS346" s="62"/>
      <x:c r="DT346" s="11"/>
      <x:c r="DU346" s="61"/>
      <x:c r="DV346" s="62"/>
    </x:row>
    <x:row r="347" spans="1:126" x14ac:dyDescent="0.3">
      <x:c r="A347" s="47"/>
      <x:c r="B347" s="70"/>
      <x:c r="C347" s="70"/>
      <x:c r="D347" s="70"/>
      <x:c r="E347" s="70"/>
      <x:c r="F347" s="70"/>
      <x:c r="G347" s="70"/>
      <x:c r="H347" s="70"/>
      <x:c r="I347" s="70"/>
      <x:c r="J347" s="70"/>
      <x:c r="K347" s="190"/>
      <x:c r="L347" s="195"/>
      <x:c r="M347" s="192"/>
      <x:c r="N347" s="192"/>
      <x:c r="O347" s="69"/>
      <x:c r="P347" s="47"/>
      <x:c r="Q347" s="60"/>
      <x:c r="R347" s="58"/>
      <x:c r="S347" s="47"/>
      <x:c r="T347" s="60"/>
      <x:c r="U347" s="58"/>
      <x:c r="V347" s="47"/>
      <x:c r="W347" s="60"/>
      <x:c r="X347" s="58"/>
      <x:c r="Y347" s="47"/>
      <x:c r="Z347" s="60"/>
      <x:c r="AA347" s="58"/>
      <x:c r="AB347" s="47"/>
      <x:c r="AC347" s="60"/>
      <x:c r="AD347" s="58"/>
      <x:c r="AE347" s="47"/>
      <x:c r="AF347" s="60"/>
      <x:c r="AG347" s="58"/>
      <x:c r="AH347" s="47"/>
      <x:c r="AI347" s="60"/>
      <x:c r="AJ347" s="58"/>
      <x:c r="AK347" s="47"/>
      <x:c r="AL347" s="60"/>
      <x:c r="AM347" s="58"/>
      <x:c r="AN347" s="47"/>
      <x:c r="AO347" s="60"/>
      <x:c r="AP347" s="58"/>
      <x:c r="AQ347" s="47"/>
      <x:c r="AR347" s="60"/>
      <x:c r="AS347" s="58"/>
      <x:c r="AT347" s="47"/>
      <x:c r="AU347" s="60"/>
      <x:c r="AV347" s="58"/>
      <x:c r="AW347" s="47"/>
      <x:c r="AX347" s="60"/>
      <x:c r="AY347" s="58"/>
      <x:c r="AZ347" s="47"/>
      <x:c r="BA347" s="60"/>
      <x:c r="BB347" s="58"/>
      <x:c r="BC347" s="47"/>
      <x:c r="BD347" s="60"/>
      <x:c r="BE347" s="58"/>
      <x:c r="BF347" s="47"/>
      <x:c r="BG347" s="60"/>
      <x:c r="BH347" s="58"/>
      <x:c r="BI347" s="47"/>
      <x:c r="BJ347" s="60"/>
      <x:c r="BK347" s="58"/>
      <x:c r="BL347" s="47"/>
      <x:c r="BM347" s="60"/>
      <x:c r="BN347" s="58"/>
      <x:c r="BO347" s="47"/>
      <x:c r="BP347" s="60"/>
      <x:c r="BQ347" s="58"/>
      <x:c r="BR347" s="47"/>
      <x:c r="BS347" s="60"/>
      <x:c r="BT347" s="58"/>
      <x:c r="BU347" s="47"/>
      <x:c r="BV347" s="60"/>
      <x:c r="BW347" s="58"/>
      <x:c r="BX347" s="47"/>
      <x:c r="BY347" s="60"/>
      <x:c r="BZ347" s="58"/>
      <x:c r="CA347" s="47"/>
      <x:c r="CB347" s="60"/>
      <x:c r="CC347" s="58"/>
      <x:c r="CD347" s="47"/>
      <x:c r="CE347" s="60"/>
      <x:c r="CF347" s="58"/>
      <x:c r="CG347" s="47"/>
      <x:c r="CH347" s="60"/>
      <x:c r="CI347" s="58"/>
      <x:c r="CJ347" s="47"/>
      <x:c r="CK347" s="60"/>
      <x:c r="CL347" s="58"/>
      <x:c r="CM347" s="47"/>
      <x:c r="CN347" s="60"/>
      <x:c r="CO347" s="58"/>
      <x:c r="CP347" s="47"/>
      <x:c r="CQ347" s="60"/>
      <x:c r="CR347" s="58"/>
      <x:c r="CS347" s="47"/>
      <x:c r="CT347" s="60"/>
      <x:c r="CU347" s="58"/>
      <x:c r="CV347" s="47"/>
      <x:c r="CW347" s="60"/>
      <x:c r="CX347" s="58"/>
      <x:c r="CY347" s="47"/>
      <x:c r="CZ347" s="60"/>
      <x:c r="DA347" s="58"/>
      <x:c r="DB347" s="47"/>
      <x:c r="DC347" s="60"/>
      <x:c r="DD347" s="58"/>
      <x:c r="DE347" s="47"/>
      <x:c r="DF347" s="60"/>
      <x:c r="DG347" s="58"/>
      <x:c r="DH347" s="47"/>
      <x:c r="DI347" s="60"/>
      <x:c r="DJ347" s="58"/>
      <x:c r="DK347" s="47"/>
      <x:c r="DL347" s="60"/>
      <x:c r="DM347" s="58"/>
      <x:c r="DN347" s="11"/>
      <x:c r="DO347" s="61"/>
      <x:c r="DP347" s="62"/>
      <x:c r="DQ347" s="11"/>
      <x:c r="DR347" s="61"/>
      <x:c r="DS347" s="62"/>
      <x:c r="DT347" s="11"/>
      <x:c r="DU347" s="61"/>
      <x:c r="DV347" s="62"/>
    </x:row>
    <x:row r="348" spans="1:126" x14ac:dyDescent="0.3">
      <x:c r="A348" s="47"/>
      <x:c r="B348" s="70"/>
      <x:c r="C348" s="70"/>
      <x:c r="D348" s="70"/>
      <x:c r="E348" s="70"/>
      <x:c r="F348" s="70"/>
      <x:c r="G348" s="70"/>
      <x:c r="H348" s="70"/>
      <x:c r="I348" s="70"/>
      <x:c r="J348" s="70"/>
      <x:c r="K348" s="190"/>
      <x:c r="L348" s="195"/>
      <x:c r="M348" s="192"/>
      <x:c r="N348" s="192"/>
      <x:c r="O348" s="69"/>
      <x:c r="P348" s="47"/>
      <x:c r="Q348" s="60"/>
      <x:c r="R348" s="58"/>
      <x:c r="S348" s="47"/>
      <x:c r="T348" s="60"/>
      <x:c r="U348" s="58"/>
      <x:c r="V348" s="47"/>
      <x:c r="W348" s="60"/>
      <x:c r="X348" s="58"/>
      <x:c r="Y348" s="47"/>
      <x:c r="Z348" s="60"/>
      <x:c r="AA348" s="58"/>
      <x:c r="AB348" s="47"/>
      <x:c r="AC348" s="60"/>
      <x:c r="AD348" s="58"/>
      <x:c r="AE348" s="47"/>
      <x:c r="AF348" s="60"/>
      <x:c r="AG348" s="58"/>
      <x:c r="AH348" s="47"/>
      <x:c r="AI348" s="60"/>
      <x:c r="AJ348" s="58"/>
      <x:c r="AK348" s="47"/>
      <x:c r="AL348" s="60"/>
      <x:c r="AM348" s="58"/>
      <x:c r="AN348" s="47"/>
      <x:c r="AO348" s="60"/>
      <x:c r="AP348" s="58"/>
      <x:c r="AQ348" s="47"/>
      <x:c r="AR348" s="60"/>
      <x:c r="AS348" s="58"/>
      <x:c r="AT348" s="47"/>
      <x:c r="AU348" s="60"/>
      <x:c r="AV348" s="58"/>
      <x:c r="AW348" s="47"/>
      <x:c r="AX348" s="60"/>
      <x:c r="AY348" s="58"/>
      <x:c r="AZ348" s="47"/>
      <x:c r="BA348" s="60"/>
      <x:c r="BB348" s="58"/>
      <x:c r="BC348" s="47"/>
      <x:c r="BD348" s="60"/>
      <x:c r="BE348" s="58"/>
      <x:c r="BF348" s="47"/>
      <x:c r="BG348" s="60"/>
      <x:c r="BH348" s="58"/>
      <x:c r="BI348" s="47"/>
      <x:c r="BJ348" s="60"/>
      <x:c r="BK348" s="58"/>
      <x:c r="BL348" s="47"/>
      <x:c r="BM348" s="60"/>
      <x:c r="BN348" s="58"/>
      <x:c r="BO348" s="47"/>
      <x:c r="BP348" s="60"/>
      <x:c r="BQ348" s="58"/>
      <x:c r="BR348" s="47"/>
      <x:c r="BS348" s="60"/>
      <x:c r="BT348" s="58"/>
      <x:c r="BU348" s="47"/>
      <x:c r="BV348" s="60"/>
      <x:c r="BW348" s="58"/>
      <x:c r="BX348" s="47"/>
      <x:c r="BY348" s="60"/>
      <x:c r="BZ348" s="58"/>
      <x:c r="CA348" s="47"/>
      <x:c r="CB348" s="60"/>
      <x:c r="CC348" s="58"/>
      <x:c r="CD348" s="47"/>
      <x:c r="CE348" s="60"/>
      <x:c r="CF348" s="58"/>
      <x:c r="CG348" s="47"/>
      <x:c r="CH348" s="60"/>
      <x:c r="CI348" s="58"/>
      <x:c r="CJ348" s="47"/>
      <x:c r="CK348" s="60"/>
      <x:c r="CL348" s="58"/>
      <x:c r="CM348" s="47"/>
      <x:c r="CN348" s="60"/>
      <x:c r="CO348" s="58"/>
      <x:c r="CP348" s="47"/>
      <x:c r="CQ348" s="60"/>
      <x:c r="CR348" s="58"/>
      <x:c r="CS348" s="47"/>
      <x:c r="CT348" s="60"/>
      <x:c r="CU348" s="58"/>
      <x:c r="CV348" s="47"/>
      <x:c r="CW348" s="60"/>
      <x:c r="CX348" s="58"/>
      <x:c r="CY348" s="47"/>
      <x:c r="CZ348" s="60"/>
      <x:c r="DA348" s="58"/>
      <x:c r="DB348" s="47"/>
      <x:c r="DC348" s="60"/>
      <x:c r="DD348" s="58"/>
      <x:c r="DE348" s="47"/>
      <x:c r="DF348" s="60"/>
      <x:c r="DG348" s="58"/>
      <x:c r="DH348" s="47"/>
      <x:c r="DI348" s="60"/>
      <x:c r="DJ348" s="58"/>
      <x:c r="DK348" s="47"/>
      <x:c r="DL348" s="60"/>
      <x:c r="DM348" s="58"/>
      <x:c r="DN348" s="11"/>
      <x:c r="DO348" s="61"/>
      <x:c r="DP348" s="62"/>
      <x:c r="DQ348" s="11"/>
      <x:c r="DR348" s="61"/>
      <x:c r="DS348" s="62"/>
      <x:c r="DT348" s="11"/>
      <x:c r="DU348" s="61"/>
      <x:c r="DV348" s="62"/>
    </x:row>
    <x:row r="349" spans="1:126" x14ac:dyDescent="0.3">
      <x:c r="A349" s="47"/>
      <x:c r="B349" s="70"/>
      <x:c r="C349" s="70"/>
      <x:c r="D349" s="70"/>
      <x:c r="E349" s="70"/>
      <x:c r="F349" s="70"/>
      <x:c r="G349" s="70"/>
      <x:c r="H349" s="70"/>
      <x:c r="I349" s="70"/>
      <x:c r="J349" s="70"/>
      <x:c r="K349" s="190"/>
      <x:c r="L349" s="195"/>
      <x:c r="M349" s="192"/>
      <x:c r="N349" s="192"/>
      <x:c r="O349" s="69"/>
      <x:c r="P349" s="47"/>
      <x:c r="Q349" s="60"/>
      <x:c r="R349" s="58"/>
      <x:c r="S349" s="47"/>
      <x:c r="T349" s="60"/>
      <x:c r="U349" s="58"/>
      <x:c r="V349" s="47"/>
      <x:c r="W349" s="60"/>
      <x:c r="X349" s="58"/>
      <x:c r="Y349" s="47"/>
      <x:c r="Z349" s="60"/>
      <x:c r="AA349" s="58"/>
      <x:c r="AB349" s="47"/>
      <x:c r="AC349" s="60"/>
      <x:c r="AD349" s="58"/>
      <x:c r="AE349" s="47"/>
      <x:c r="AF349" s="60"/>
      <x:c r="AG349" s="58"/>
      <x:c r="AH349" s="47"/>
      <x:c r="AI349" s="60"/>
      <x:c r="AJ349" s="58"/>
      <x:c r="AK349" s="47"/>
      <x:c r="AL349" s="60"/>
      <x:c r="AM349" s="58"/>
      <x:c r="AN349" s="47"/>
      <x:c r="AO349" s="60"/>
      <x:c r="AP349" s="58"/>
      <x:c r="AQ349" s="47"/>
      <x:c r="AR349" s="60"/>
      <x:c r="AS349" s="58"/>
      <x:c r="AT349" s="47"/>
      <x:c r="AU349" s="60"/>
      <x:c r="AV349" s="58"/>
      <x:c r="AW349" s="47"/>
      <x:c r="AX349" s="60"/>
      <x:c r="AY349" s="58"/>
      <x:c r="AZ349" s="47"/>
      <x:c r="BA349" s="60"/>
      <x:c r="BB349" s="58"/>
      <x:c r="BC349" s="47"/>
      <x:c r="BD349" s="60"/>
      <x:c r="BE349" s="58"/>
      <x:c r="BF349" s="47"/>
      <x:c r="BG349" s="60"/>
      <x:c r="BH349" s="58"/>
      <x:c r="BI349" s="47"/>
      <x:c r="BJ349" s="60"/>
      <x:c r="BK349" s="58"/>
      <x:c r="BL349" s="47"/>
      <x:c r="BM349" s="60"/>
      <x:c r="BN349" s="58"/>
      <x:c r="BO349" s="47"/>
      <x:c r="BP349" s="60"/>
      <x:c r="BQ349" s="58"/>
      <x:c r="BR349" s="47"/>
      <x:c r="BS349" s="60"/>
      <x:c r="BT349" s="58"/>
      <x:c r="BU349" s="47"/>
      <x:c r="BV349" s="60"/>
      <x:c r="BW349" s="58"/>
      <x:c r="BX349" s="47"/>
      <x:c r="BY349" s="60"/>
      <x:c r="BZ349" s="58"/>
      <x:c r="CA349" s="47"/>
      <x:c r="CB349" s="60"/>
      <x:c r="CC349" s="58"/>
      <x:c r="CD349" s="47"/>
      <x:c r="CE349" s="60"/>
      <x:c r="CF349" s="58"/>
      <x:c r="CG349" s="47"/>
      <x:c r="CH349" s="60"/>
      <x:c r="CI349" s="58"/>
      <x:c r="CJ349" s="47"/>
      <x:c r="CK349" s="60"/>
      <x:c r="CL349" s="58"/>
      <x:c r="CM349" s="47"/>
      <x:c r="CN349" s="60"/>
      <x:c r="CO349" s="58"/>
      <x:c r="CP349" s="47"/>
      <x:c r="CQ349" s="60"/>
      <x:c r="CR349" s="58"/>
      <x:c r="CS349" s="47"/>
      <x:c r="CT349" s="60"/>
      <x:c r="CU349" s="58"/>
      <x:c r="CV349" s="47"/>
      <x:c r="CW349" s="60"/>
      <x:c r="CX349" s="58"/>
      <x:c r="CY349" s="47"/>
      <x:c r="CZ349" s="60"/>
      <x:c r="DA349" s="58"/>
      <x:c r="DB349" s="47"/>
      <x:c r="DC349" s="60"/>
      <x:c r="DD349" s="58"/>
      <x:c r="DE349" s="47"/>
      <x:c r="DF349" s="60"/>
      <x:c r="DG349" s="58"/>
      <x:c r="DH349" s="47"/>
      <x:c r="DI349" s="60"/>
      <x:c r="DJ349" s="58"/>
      <x:c r="DK349" s="47"/>
      <x:c r="DL349" s="60"/>
      <x:c r="DM349" s="58"/>
      <x:c r="DN349" s="11"/>
      <x:c r="DO349" s="61"/>
      <x:c r="DP349" s="62"/>
      <x:c r="DQ349" s="11"/>
      <x:c r="DR349" s="61"/>
      <x:c r="DS349" s="62"/>
      <x:c r="DT349" s="11"/>
      <x:c r="DU349" s="61"/>
      <x:c r="DV349" s="62"/>
    </x:row>
    <x:row r="350" spans="1:126" x14ac:dyDescent="0.3">
      <x:c r="A350" s="47"/>
      <x:c r="B350" s="70"/>
      <x:c r="C350" s="70"/>
      <x:c r="D350" s="70"/>
      <x:c r="E350" s="70"/>
      <x:c r="F350" s="70"/>
      <x:c r="G350" s="70"/>
      <x:c r="H350" s="70"/>
      <x:c r="I350" s="70"/>
      <x:c r="J350" s="70"/>
      <x:c r="K350" s="190"/>
      <x:c r="L350" s="195"/>
      <x:c r="M350" s="192"/>
      <x:c r="N350" s="192"/>
      <x:c r="O350" s="69"/>
      <x:c r="P350" s="47"/>
      <x:c r="Q350" s="60"/>
      <x:c r="R350" s="58"/>
      <x:c r="S350" s="47"/>
      <x:c r="T350" s="60"/>
      <x:c r="U350" s="58"/>
      <x:c r="V350" s="47"/>
      <x:c r="W350" s="60"/>
      <x:c r="X350" s="58"/>
      <x:c r="Y350" s="47"/>
      <x:c r="Z350" s="60"/>
      <x:c r="AA350" s="58"/>
      <x:c r="AB350" s="47"/>
      <x:c r="AC350" s="60"/>
      <x:c r="AD350" s="58"/>
      <x:c r="AE350" s="47"/>
      <x:c r="AF350" s="60"/>
      <x:c r="AG350" s="58"/>
      <x:c r="AH350" s="47"/>
      <x:c r="AI350" s="60"/>
      <x:c r="AJ350" s="58"/>
      <x:c r="AK350" s="47"/>
      <x:c r="AL350" s="60"/>
      <x:c r="AM350" s="58"/>
      <x:c r="AN350" s="47"/>
      <x:c r="AO350" s="60"/>
      <x:c r="AP350" s="58"/>
      <x:c r="AQ350" s="47"/>
      <x:c r="AR350" s="60"/>
      <x:c r="AS350" s="58"/>
      <x:c r="AT350" s="47"/>
      <x:c r="AU350" s="60"/>
      <x:c r="AV350" s="58"/>
      <x:c r="AW350" s="47"/>
      <x:c r="AX350" s="60"/>
      <x:c r="AY350" s="58"/>
      <x:c r="AZ350" s="47"/>
      <x:c r="BA350" s="60"/>
      <x:c r="BB350" s="58"/>
      <x:c r="BC350" s="47"/>
      <x:c r="BD350" s="60"/>
      <x:c r="BE350" s="58"/>
      <x:c r="BF350" s="47"/>
      <x:c r="BG350" s="60"/>
      <x:c r="BH350" s="58"/>
      <x:c r="BI350" s="47"/>
      <x:c r="BJ350" s="60"/>
      <x:c r="BK350" s="58"/>
      <x:c r="BL350" s="47"/>
      <x:c r="BM350" s="60"/>
      <x:c r="BN350" s="58"/>
      <x:c r="BO350" s="47"/>
      <x:c r="BP350" s="60"/>
      <x:c r="BQ350" s="58"/>
      <x:c r="BR350" s="47"/>
      <x:c r="BS350" s="60"/>
      <x:c r="BT350" s="58"/>
      <x:c r="BU350" s="47"/>
      <x:c r="BV350" s="60"/>
      <x:c r="BW350" s="58"/>
      <x:c r="BX350" s="47"/>
      <x:c r="BY350" s="60"/>
      <x:c r="BZ350" s="58"/>
      <x:c r="CA350" s="47"/>
      <x:c r="CB350" s="60"/>
      <x:c r="CC350" s="58"/>
      <x:c r="CD350" s="47"/>
      <x:c r="CE350" s="60"/>
      <x:c r="CF350" s="58"/>
      <x:c r="CG350" s="47"/>
      <x:c r="CH350" s="60"/>
      <x:c r="CI350" s="58"/>
      <x:c r="CJ350" s="47"/>
      <x:c r="CK350" s="60"/>
      <x:c r="CL350" s="58"/>
      <x:c r="CM350" s="47"/>
      <x:c r="CN350" s="60"/>
      <x:c r="CO350" s="58"/>
      <x:c r="CP350" s="47"/>
      <x:c r="CQ350" s="60"/>
      <x:c r="CR350" s="58"/>
      <x:c r="CS350" s="47"/>
      <x:c r="CT350" s="60"/>
      <x:c r="CU350" s="58"/>
      <x:c r="CV350" s="47"/>
      <x:c r="CW350" s="60"/>
      <x:c r="CX350" s="58"/>
      <x:c r="CY350" s="47"/>
      <x:c r="CZ350" s="60"/>
      <x:c r="DA350" s="58"/>
      <x:c r="DB350" s="47"/>
      <x:c r="DC350" s="60"/>
      <x:c r="DD350" s="58"/>
      <x:c r="DE350" s="47"/>
      <x:c r="DF350" s="60"/>
      <x:c r="DG350" s="58"/>
      <x:c r="DH350" s="47"/>
      <x:c r="DI350" s="60"/>
      <x:c r="DJ350" s="58"/>
      <x:c r="DK350" s="47"/>
      <x:c r="DL350" s="60"/>
      <x:c r="DM350" s="58"/>
      <x:c r="DN350" s="11"/>
      <x:c r="DO350" s="61"/>
      <x:c r="DP350" s="62"/>
      <x:c r="DQ350" s="11"/>
      <x:c r="DR350" s="61"/>
      <x:c r="DS350" s="62"/>
      <x:c r="DT350" s="11"/>
      <x:c r="DU350" s="61"/>
      <x:c r="DV350" s="62"/>
    </x:row>
    <x:row r="351" spans="1:126" x14ac:dyDescent="0.3">
      <x:c r="A351" s="47"/>
      <x:c r="B351" s="70"/>
      <x:c r="C351" s="70"/>
      <x:c r="D351" s="70"/>
      <x:c r="E351" s="70"/>
      <x:c r="F351" s="70"/>
      <x:c r="G351" s="70"/>
      <x:c r="H351" s="70"/>
      <x:c r="I351" s="70"/>
      <x:c r="J351" s="70"/>
      <x:c r="K351" s="190"/>
      <x:c r="L351" s="195"/>
      <x:c r="M351" s="192"/>
      <x:c r="N351" s="192"/>
      <x:c r="O351" s="69"/>
      <x:c r="P351" s="47"/>
      <x:c r="Q351" s="60"/>
      <x:c r="R351" s="58"/>
      <x:c r="S351" s="47"/>
      <x:c r="T351" s="60"/>
      <x:c r="U351" s="58"/>
      <x:c r="V351" s="47"/>
      <x:c r="W351" s="60"/>
      <x:c r="X351" s="58"/>
      <x:c r="Y351" s="47"/>
      <x:c r="Z351" s="60"/>
      <x:c r="AA351" s="58"/>
      <x:c r="AB351" s="47"/>
      <x:c r="AC351" s="60"/>
      <x:c r="AD351" s="58"/>
      <x:c r="AE351" s="47"/>
      <x:c r="AF351" s="60"/>
      <x:c r="AG351" s="58"/>
      <x:c r="AH351" s="47"/>
      <x:c r="AI351" s="60"/>
      <x:c r="AJ351" s="58"/>
      <x:c r="AK351" s="47"/>
      <x:c r="AL351" s="60"/>
      <x:c r="AM351" s="58"/>
      <x:c r="AN351" s="47"/>
      <x:c r="AO351" s="60"/>
      <x:c r="AP351" s="58"/>
      <x:c r="AQ351" s="47"/>
      <x:c r="AR351" s="60"/>
      <x:c r="AS351" s="58"/>
      <x:c r="AT351" s="47"/>
      <x:c r="AU351" s="60"/>
      <x:c r="AV351" s="58"/>
      <x:c r="AW351" s="47"/>
      <x:c r="AX351" s="60"/>
      <x:c r="AY351" s="58"/>
      <x:c r="AZ351" s="47"/>
      <x:c r="BA351" s="60"/>
      <x:c r="BB351" s="58"/>
      <x:c r="BC351" s="47"/>
      <x:c r="BD351" s="60"/>
      <x:c r="BE351" s="58"/>
      <x:c r="BF351" s="47"/>
      <x:c r="BG351" s="60"/>
      <x:c r="BH351" s="58"/>
      <x:c r="BI351" s="47"/>
      <x:c r="BJ351" s="60"/>
      <x:c r="BK351" s="58"/>
      <x:c r="BL351" s="47"/>
      <x:c r="BM351" s="60"/>
      <x:c r="BN351" s="58"/>
      <x:c r="BO351" s="47"/>
      <x:c r="BP351" s="60"/>
      <x:c r="BQ351" s="58"/>
      <x:c r="BR351" s="47"/>
      <x:c r="BS351" s="60"/>
      <x:c r="BT351" s="58"/>
      <x:c r="BU351" s="47"/>
      <x:c r="BV351" s="60"/>
      <x:c r="BW351" s="58"/>
      <x:c r="BX351" s="47"/>
      <x:c r="BY351" s="60"/>
      <x:c r="BZ351" s="58"/>
      <x:c r="CA351" s="47"/>
      <x:c r="CB351" s="60"/>
      <x:c r="CC351" s="58"/>
      <x:c r="CD351" s="47"/>
      <x:c r="CE351" s="60"/>
      <x:c r="CF351" s="58"/>
      <x:c r="CG351" s="47"/>
      <x:c r="CH351" s="60"/>
      <x:c r="CI351" s="58"/>
      <x:c r="CJ351" s="47"/>
      <x:c r="CK351" s="60"/>
      <x:c r="CL351" s="58"/>
      <x:c r="CM351" s="47"/>
      <x:c r="CN351" s="60"/>
      <x:c r="CO351" s="58"/>
      <x:c r="CP351" s="47"/>
      <x:c r="CQ351" s="60"/>
      <x:c r="CR351" s="58"/>
      <x:c r="CS351" s="47"/>
      <x:c r="CT351" s="60"/>
      <x:c r="CU351" s="58"/>
      <x:c r="CV351" s="47"/>
      <x:c r="CW351" s="60"/>
      <x:c r="CX351" s="58"/>
      <x:c r="CY351" s="47"/>
      <x:c r="CZ351" s="60"/>
      <x:c r="DA351" s="58"/>
      <x:c r="DB351" s="47"/>
      <x:c r="DC351" s="60"/>
      <x:c r="DD351" s="58"/>
      <x:c r="DE351" s="47"/>
      <x:c r="DF351" s="60"/>
      <x:c r="DG351" s="58"/>
      <x:c r="DH351" s="47"/>
      <x:c r="DI351" s="60"/>
      <x:c r="DJ351" s="58"/>
      <x:c r="DK351" s="47"/>
      <x:c r="DL351" s="60"/>
      <x:c r="DM351" s="58"/>
      <x:c r="DN351" s="11"/>
      <x:c r="DO351" s="61"/>
      <x:c r="DP351" s="62"/>
      <x:c r="DQ351" s="11"/>
      <x:c r="DR351" s="61"/>
      <x:c r="DS351" s="62"/>
      <x:c r="DT351" s="11"/>
      <x:c r="DU351" s="61"/>
      <x:c r="DV351" s="62"/>
    </x:row>
    <x:row r="352" spans="1:126" x14ac:dyDescent="0.3">
      <x:c r="A352" s="47"/>
      <x:c r="B352" s="70"/>
      <x:c r="C352" s="70"/>
      <x:c r="D352" s="70"/>
      <x:c r="E352" s="70"/>
      <x:c r="F352" s="70"/>
      <x:c r="G352" s="70"/>
      <x:c r="H352" s="70"/>
      <x:c r="I352" s="70"/>
      <x:c r="J352" s="70"/>
      <x:c r="K352" s="190"/>
      <x:c r="L352" s="195"/>
      <x:c r="M352" s="192"/>
      <x:c r="N352" s="192"/>
      <x:c r="O352" s="69"/>
      <x:c r="P352" s="47"/>
      <x:c r="Q352" s="60"/>
      <x:c r="R352" s="58"/>
      <x:c r="S352" s="47"/>
      <x:c r="T352" s="60"/>
      <x:c r="U352" s="58"/>
      <x:c r="V352" s="47"/>
      <x:c r="W352" s="60"/>
      <x:c r="X352" s="58"/>
      <x:c r="Y352" s="47"/>
      <x:c r="Z352" s="60"/>
      <x:c r="AA352" s="58"/>
      <x:c r="AB352" s="47"/>
      <x:c r="AC352" s="60"/>
      <x:c r="AD352" s="58"/>
      <x:c r="AE352" s="47"/>
      <x:c r="AF352" s="60"/>
      <x:c r="AG352" s="58"/>
      <x:c r="AH352" s="47"/>
      <x:c r="AI352" s="60"/>
      <x:c r="AJ352" s="58"/>
      <x:c r="AK352" s="47"/>
      <x:c r="AL352" s="60"/>
      <x:c r="AM352" s="58"/>
      <x:c r="AN352" s="47"/>
      <x:c r="AO352" s="60"/>
      <x:c r="AP352" s="58"/>
      <x:c r="AQ352" s="47"/>
      <x:c r="AR352" s="60"/>
      <x:c r="AS352" s="58"/>
      <x:c r="AT352" s="47"/>
      <x:c r="AU352" s="60"/>
      <x:c r="AV352" s="58"/>
      <x:c r="AW352" s="47"/>
      <x:c r="AX352" s="60"/>
      <x:c r="AY352" s="58"/>
      <x:c r="AZ352" s="47"/>
      <x:c r="BA352" s="60"/>
      <x:c r="BB352" s="58"/>
      <x:c r="BC352" s="47"/>
      <x:c r="BD352" s="60"/>
      <x:c r="BE352" s="58"/>
      <x:c r="BF352" s="47"/>
      <x:c r="BG352" s="60"/>
      <x:c r="BH352" s="58"/>
      <x:c r="BI352" s="47"/>
      <x:c r="BJ352" s="60"/>
      <x:c r="BK352" s="58"/>
      <x:c r="BL352" s="47"/>
      <x:c r="BM352" s="60"/>
      <x:c r="BN352" s="58"/>
      <x:c r="BO352" s="47"/>
      <x:c r="BP352" s="60"/>
      <x:c r="BQ352" s="58"/>
      <x:c r="BR352" s="47"/>
      <x:c r="BS352" s="60"/>
      <x:c r="BT352" s="58"/>
      <x:c r="BU352" s="47"/>
      <x:c r="BV352" s="60"/>
      <x:c r="BW352" s="58"/>
      <x:c r="BX352" s="47"/>
      <x:c r="BY352" s="60"/>
      <x:c r="BZ352" s="58"/>
      <x:c r="CA352" s="47"/>
      <x:c r="CB352" s="60"/>
      <x:c r="CC352" s="58"/>
      <x:c r="CD352" s="47"/>
      <x:c r="CE352" s="60"/>
      <x:c r="CF352" s="58"/>
      <x:c r="CG352" s="47"/>
      <x:c r="CH352" s="60"/>
      <x:c r="CI352" s="58"/>
      <x:c r="CJ352" s="47"/>
      <x:c r="CK352" s="60"/>
      <x:c r="CL352" s="58"/>
      <x:c r="CM352" s="47"/>
      <x:c r="CN352" s="60"/>
      <x:c r="CO352" s="58"/>
      <x:c r="CP352" s="47"/>
      <x:c r="CQ352" s="60"/>
      <x:c r="CR352" s="58"/>
      <x:c r="CS352" s="47"/>
      <x:c r="CT352" s="60"/>
      <x:c r="CU352" s="58"/>
      <x:c r="CV352" s="47"/>
      <x:c r="CW352" s="60"/>
      <x:c r="CX352" s="58"/>
      <x:c r="CY352" s="47"/>
      <x:c r="CZ352" s="60"/>
      <x:c r="DA352" s="58"/>
      <x:c r="DB352" s="47"/>
      <x:c r="DC352" s="60"/>
      <x:c r="DD352" s="58"/>
      <x:c r="DE352" s="47"/>
      <x:c r="DF352" s="60"/>
      <x:c r="DG352" s="58"/>
      <x:c r="DH352" s="47"/>
      <x:c r="DI352" s="60"/>
      <x:c r="DJ352" s="58"/>
      <x:c r="DK352" s="47"/>
      <x:c r="DL352" s="60"/>
      <x:c r="DM352" s="58"/>
      <x:c r="DN352" s="11"/>
      <x:c r="DO352" s="61"/>
      <x:c r="DP352" s="62"/>
      <x:c r="DQ352" s="11"/>
      <x:c r="DR352" s="61"/>
      <x:c r="DS352" s="62"/>
      <x:c r="DT352" s="11"/>
      <x:c r="DU352" s="61"/>
      <x:c r="DV352" s="62"/>
    </x:row>
    <x:row r="353" spans="1:126" x14ac:dyDescent="0.3">
      <x:c r="A353" s="47"/>
      <x:c r="B353" s="70"/>
      <x:c r="C353" s="70"/>
      <x:c r="D353" s="70"/>
      <x:c r="E353" s="70"/>
      <x:c r="F353" s="70"/>
      <x:c r="G353" s="70"/>
      <x:c r="H353" s="70"/>
      <x:c r="I353" s="70"/>
      <x:c r="J353" s="70"/>
      <x:c r="K353" s="190"/>
      <x:c r="L353" s="195"/>
      <x:c r="M353" s="192"/>
      <x:c r="N353" s="192"/>
      <x:c r="O353" s="69"/>
      <x:c r="P353" s="47"/>
      <x:c r="Q353" s="60"/>
      <x:c r="R353" s="58"/>
      <x:c r="S353" s="47"/>
      <x:c r="T353" s="60"/>
      <x:c r="U353" s="58"/>
      <x:c r="V353" s="47"/>
      <x:c r="W353" s="60"/>
      <x:c r="X353" s="58"/>
      <x:c r="Y353" s="47"/>
      <x:c r="Z353" s="60"/>
      <x:c r="AA353" s="58"/>
      <x:c r="AB353" s="47"/>
      <x:c r="AC353" s="60"/>
      <x:c r="AD353" s="58"/>
      <x:c r="AE353" s="47"/>
      <x:c r="AF353" s="60"/>
      <x:c r="AG353" s="58"/>
      <x:c r="AH353" s="47"/>
      <x:c r="AI353" s="60"/>
      <x:c r="AJ353" s="58"/>
      <x:c r="AK353" s="47"/>
      <x:c r="AL353" s="60"/>
      <x:c r="AM353" s="58"/>
      <x:c r="AN353" s="47"/>
      <x:c r="AO353" s="60"/>
      <x:c r="AP353" s="58"/>
      <x:c r="AQ353" s="47"/>
      <x:c r="AR353" s="60"/>
      <x:c r="AS353" s="58"/>
      <x:c r="AT353" s="47"/>
      <x:c r="AU353" s="60"/>
      <x:c r="AV353" s="58"/>
      <x:c r="AW353" s="47"/>
      <x:c r="AX353" s="60"/>
      <x:c r="AY353" s="58"/>
      <x:c r="AZ353" s="47"/>
      <x:c r="BA353" s="60"/>
      <x:c r="BB353" s="58"/>
      <x:c r="BC353" s="47"/>
      <x:c r="BD353" s="60"/>
      <x:c r="BE353" s="58"/>
      <x:c r="BF353" s="47"/>
      <x:c r="BG353" s="60"/>
      <x:c r="BH353" s="58"/>
      <x:c r="BI353" s="47"/>
      <x:c r="BJ353" s="60"/>
      <x:c r="BK353" s="58"/>
      <x:c r="BL353" s="47"/>
      <x:c r="BM353" s="60"/>
      <x:c r="BN353" s="58"/>
      <x:c r="BO353" s="47"/>
      <x:c r="BP353" s="60"/>
      <x:c r="BQ353" s="58"/>
      <x:c r="BR353" s="47"/>
      <x:c r="BS353" s="60"/>
      <x:c r="BT353" s="58"/>
      <x:c r="BU353" s="47"/>
      <x:c r="BV353" s="60"/>
      <x:c r="BW353" s="58"/>
      <x:c r="BX353" s="47"/>
      <x:c r="BY353" s="60"/>
      <x:c r="BZ353" s="58"/>
      <x:c r="CA353" s="47"/>
      <x:c r="CB353" s="60"/>
      <x:c r="CC353" s="58"/>
      <x:c r="CD353" s="47"/>
      <x:c r="CE353" s="60"/>
      <x:c r="CF353" s="58"/>
      <x:c r="CG353" s="47"/>
      <x:c r="CH353" s="60"/>
      <x:c r="CI353" s="58"/>
      <x:c r="CJ353" s="47"/>
      <x:c r="CK353" s="60"/>
      <x:c r="CL353" s="58"/>
      <x:c r="CM353" s="47"/>
      <x:c r="CN353" s="60"/>
      <x:c r="CO353" s="58"/>
      <x:c r="CP353" s="47"/>
      <x:c r="CQ353" s="60"/>
      <x:c r="CR353" s="58"/>
      <x:c r="CS353" s="47"/>
      <x:c r="CT353" s="60"/>
      <x:c r="CU353" s="58"/>
      <x:c r="CV353" s="47"/>
      <x:c r="CW353" s="60"/>
      <x:c r="CX353" s="58"/>
      <x:c r="CY353" s="47"/>
      <x:c r="CZ353" s="60"/>
      <x:c r="DA353" s="58"/>
      <x:c r="DB353" s="47"/>
      <x:c r="DC353" s="60"/>
      <x:c r="DD353" s="58"/>
      <x:c r="DE353" s="47"/>
      <x:c r="DF353" s="60"/>
      <x:c r="DG353" s="58"/>
      <x:c r="DH353" s="47"/>
      <x:c r="DI353" s="60"/>
      <x:c r="DJ353" s="58"/>
      <x:c r="DK353" s="47"/>
      <x:c r="DL353" s="60"/>
      <x:c r="DM353" s="58"/>
      <x:c r="DN353" s="11"/>
      <x:c r="DO353" s="61"/>
      <x:c r="DP353" s="62"/>
      <x:c r="DQ353" s="11"/>
      <x:c r="DR353" s="61"/>
      <x:c r="DS353" s="62"/>
      <x:c r="DT353" s="11"/>
      <x:c r="DU353" s="61"/>
      <x:c r="DV353" s="62"/>
    </x:row>
    <x:row r="354" spans="1:126" x14ac:dyDescent="0.3">
      <x:c r="A354" s="47"/>
      <x:c r="B354" s="70"/>
      <x:c r="C354" s="70"/>
      <x:c r="D354" s="70"/>
      <x:c r="E354" s="70"/>
      <x:c r="F354" s="70"/>
      <x:c r="G354" s="70"/>
      <x:c r="H354" s="70"/>
      <x:c r="I354" s="70"/>
      <x:c r="J354" s="70"/>
      <x:c r="K354" s="190"/>
      <x:c r="L354" s="195"/>
      <x:c r="M354" s="192"/>
      <x:c r="N354" s="192"/>
      <x:c r="O354" s="69"/>
      <x:c r="P354" s="47"/>
      <x:c r="Q354" s="60"/>
      <x:c r="R354" s="58"/>
      <x:c r="S354" s="47"/>
      <x:c r="T354" s="60"/>
      <x:c r="U354" s="58"/>
      <x:c r="V354" s="47"/>
      <x:c r="W354" s="60"/>
      <x:c r="X354" s="58"/>
      <x:c r="Y354" s="47"/>
      <x:c r="Z354" s="60"/>
      <x:c r="AA354" s="58"/>
      <x:c r="AB354" s="47"/>
      <x:c r="AC354" s="60"/>
      <x:c r="AD354" s="58"/>
      <x:c r="AE354" s="47"/>
      <x:c r="AF354" s="60"/>
      <x:c r="AG354" s="58"/>
      <x:c r="AH354" s="47"/>
      <x:c r="AI354" s="60"/>
      <x:c r="AJ354" s="58"/>
      <x:c r="AK354" s="47"/>
      <x:c r="AL354" s="60"/>
      <x:c r="AM354" s="58"/>
      <x:c r="AN354" s="47"/>
      <x:c r="AO354" s="60"/>
      <x:c r="AP354" s="58"/>
      <x:c r="AQ354" s="47"/>
      <x:c r="AR354" s="60"/>
      <x:c r="AS354" s="58"/>
      <x:c r="AT354" s="47"/>
      <x:c r="AU354" s="60"/>
      <x:c r="AV354" s="58"/>
      <x:c r="AW354" s="47"/>
      <x:c r="AX354" s="60"/>
      <x:c r="AY354" s="58"/>
      <x:c r="AZ354" s="47"/>
      <x:c r="BA354" s="60"/>
      <x:c r="BB354" s="58"/>
      <x:c r="BC354" s="47"/>
      <x:c r="BD354" s="60"/>
      <x:c r="BE354" s="58"/>
      <x:c r="BF354" s="47"/>
      <x:c r="BG354" s="60"/>
      <x:c r="BH354" s="58"/>
      <x:c r="BI354" s="47"/>
      <x:c r="BJ354" s="60"/>
      <x:c r="BK354" s="58"/>
      <x:c r="BL354" s="47"/>
      <x:c r="BM354" s="60"/>
      <x:c r="BN354" s="58"/>
      <x:c r="BO354" s="47"/>
      <x:c r="BP354" s="60"/>
      <x:c r="BQ354" s="58"/>
      <x:c r="BR354" s="47"/>
      <x:c r="BS354" s="60"/>
      <x:c r="BT354" s="58"/>
      <x:c r="BU354" s="47"/>
      <x:c r="BV354" s="60"/>
      <x:c r="BW354" s="58"/>
      <x:c r="BX354" s="47"/>
      <x:c r="BY354" s="60"/>
      <x:c r="BZ354" s="58"/>
      <x:c r="CA354" s="47"/>
      <x:c r="CB354" s="60"/>
      <x:c r="CC354" s="58"/>
      <x:c r="CD354" s="47"/>
      <x:c r="CE354" s="60"/>
      <x:c r="CF354" s="58"/>
      <x:c r="CG354" s="47"/>
      <x:c r="CH354" s="60"/>
      <x:c r="CI354" s="58"/>
      <x:c r="CJ354" s="47"/>
      <x:c r="CK354" s="60"/>
      <x:c r="CL354" s="58"/>
      <x:c r="CM354" s="47"/>
      <x:c r="CN354" s="60"/>
      <x:c r="CO354" s="58"/>
      <x:c r="CP354" s="47"/>
      <x:c r="CQ354" s="60"/>
      <x:c r="CR354" s="58"/>
      <x:c r="CS354" s="47"/>
      <x:c r="CT354" s="60"/>
      <x:c r="CU354" s="58"/>
      <x:c r="CV354" s="47"/>
      <x:c r="CW354" s="60"/>
      <x:c r="CX354" s="58"/>
      <x:c r="CY354" s="47"/>
      <x:c r="CZ354" s="60"/>
      <x:c r="DA354" s="58"/>
      <x:c r="DB354" s="47"/>
      <x:c r="DC354" s="60"/>
      <x:c r="DD354" s="58"/>
      <x:c r="DE354" s="47"/>
      <x:c r="DF354" s="60"/>
      <x:c r="DG354" s="58"/>
      <x:c r="DH354" s="47"/>
      <x:c r="DI354" s="60"/>
      <x:c r="DJ354" s="58"/>
      <x:c r="DK354" s="47"/>
      <x:c r="DL354" s="60"/>
      <x:c r="DM354" s="58"/>
      <x:c r="DN354" s="11"/>
      <x:c r="DO354" s="61"/>
      <x:c r="DP354" s="62"/>
      <x:c r="DQ354" s="11"/>
      <x:c r="DR354" s="61"/>
      <x:c r="DS354" s="62"/>
      <x:c r="DT354" s="11"/>
      <x:c r="DU354" s="61"/>
      <x:c r="DV354" s="62"/>
    </x:row>
    <x:row r="355" spans="1:126" x14ac:dyDescent="0.3">
      <x:c r="A355" s="47"/>
      <x:c r="B355" s="70"/>
      <x:c r="C355" s="70"/>
      <x:c r="D355" s="70"/>
      <x:c r="E355" s="70"/>
      <x:c r="F355" s="70"/>
      <x:c r="G355" s="70"/>
      <x:c r="H355" s="70"/>
      <x:c r="I355" s="70"/>
      <x:c r="J355" s="70"/>
      <x:c r="K355" s="190"/>
      <x:c r="L355" s="195"/>
      <x:c r="M355" s="192"/>
      <x:c r="N355" s="192"/>
      <x:c r="O355" s="69"/>
      <x:c r="P355" s="47"/>
      <x:c r="Q355" s="60"/>
      <x:c r="R355" s="58"/>
      <x:c r="S355" s="47"/>
      <x:c r="T355" s="60"/>
      <x:c r="U355" s="58"/>
      <x:c r="V355" s="47"/>
      <x:c r="W355" s="60"/>
      <x:c r="X355" s="58"/>
      <x:c r="Y355" s="47"/>
      <x:c r="Z355" s="60"/>
      <x:c r="AA355" s="58"/>
      <x:c r="AB355" s="47"/>
      <x:c r="AC355" s="60"/>
      <x:c r="AD355" s="58"/>
      <x:c r="AE355" s="47"/>
      <x:c r="AF355" s="60"/>
      <x:c r="AG355" s="58"/>
      <x:c r="AH355" s="47"/>
      <x:c r="AI355" s="60"/>
      <x:c r="AJ355" s="58"/>
      <x:c r="AK355" s="47"/>
      <x:c r="AL355" s="60"/>
      <x:c r="AM355" s="58"/>
      <x:c r="AN355" s="47"/>
      <x:c r="AO355" s="60"/>
      <x:c r="AP355" s="58"/>
      <x:c r="AQ355" s="47"/>
      <x:c r="AR355" s="60"/>
      <x:c r="AS355" s="58"/>
      <x:c r="AT355" s="47"/>
      <x:c r="AU355" s="60"/>
      <x:c r="AV355" s="58"/>
      <x:c r="AW355" s="47"/>
      <x:c r="AX355" s="60"/>
      <x:c r="AY355" s="58"/>
      <x:c r="AZ355" s="47"/>
      <x:c r="BA355" s="60"/>
      <x:c r="BB355" s="58"/>
      <x:c r="BC355" s="47"/>
      <x:c r="BD355" s="60"/>
      <x:c r="BE355" s="58"/>
      <x:c r="BF355" s="47"/>
      <x:c r="BG355" s="60"/>
      <x:c r="BH355" s="58"/>
      <x:c r="BI355" s="47"/>
      <x:c r="BJ355" s="60"/>
      <x:c r="BK355" s="58"/>
      <x:c r="BL355" s="47"/>
      <x:c r="BM355" s="60"/>
      <x:c r="BN355" s="58"/>
      <x:c r="BO355" s="47"/>
      <x:c r="BP355" s="60"/>
      <x:c r="BQ355" s="58"/>
      <x:c r="BR355" s="47"/>
      <x:c r="BS355" s="60"/>
      <x:c r="BT355" s="58"/>
      <x:c r="BU355" s="47"/>
      <x:c r="BV355" s="60"/>
      <x:c r="BW355" s="58"/>
      <x:c r="BX355" s="47"/>
      <x:c r="BY355" s="60"/>
      <x:c r="BZ355" s="58"/>
      <x:c r="CA355" s="47"/>
      <x:c r="CB355" s="60"/>
      <x:c r="CC355" s="58"/>
      <x:c r="CD355" s="47"/>
      <x:c r="CE355" s="60"/>
      <x:c r="CF355" s="58"/>
      <x:c r="CG355" s="47"/>
      <x:c r="CH355" s="60"/>
      <x:c r="CI355" s="58"/>
      <x:c r="CJ355" s="47"/>
      <x:c r="CK355" s="60"/>
      <x:c r="CL355" s="58"/>
      <x:c r="CM355" s="47"/>
      <x:c r="CN355" s="60"/>
      <x:c r="CO355" s="58"/>
      <x:c r="CP355" s="47"/>
      <x:c r="CQ355" s="60"/>
      <x:c r="CR355" s="58"/>
      <x:c r="CS355" s="47"/>
      <x:c r="CT355" s="60"/>
      <x:c r="CU355" s="58"/>
      <x:c r="CV355" s="47"/>
      <x:c r="CW355" s="60"/>
      <x:c r="CX355" s="58"/>
      <x:c r="CY355" s="47"/>
      <x:c r="CZ355" s="60"/>
      <x:c r="DA355" s="58"/>
      <x:c r="DB355" s="47"/>
      <x:c r="DC355" s="60"/>
      <x:c r="DD355" s="58"/>
      <x:c r="DE355" s="47"/>
      <x:c r="DF355" s="60"/>
      <x:c r="DG355" s="58"/>
      <x:c r="DH355" s="47"/>
      <x:c r="DI355" s="60"/>
      <x:c r="DJ355" s="58"/>
      <x:c r="DK355" s="47"/>
      <x:c r="DL355" s="60"/>
      <x:c r="DM355" s="58"/>
      <x:c r="DN355" s="11"/>
      <x:c r="DO355" s="61"/>
      <x:c r="DP355" s="62"/>
      <x:c r="DQ355" s="11"/>
      <x:c r="DR355" s="61"/>
      <x:c r="DS355" s="62"/>
      <x:c r="DT355" s="11"/>
      <x:c r="DU355" s="61"/>
      <x:c r="DV355" s="62"/>
    </x:row>
    <x:row r="356" spans="1:126" x14ac:dyDescent="0.3">
      <x:c r="A356" s="47"/>
      <x:c r="B356" s="70"/>
      <x:c r="C356" s="70"/>
      <x:c r="D356" s="70"/>
      <x:c r="E356" s="70"/>
      <x:c r="F356" s="70"/>
      <x:c r="G356" s="70"/>
      <x:c r="H356" s="70"/>
      <x:c r="I356" s="70"/>
      <x:c r="J356" s="70"/>
      <x:c r="K356" s="190"/>
      <x:c r="L356" s="195"/>
      <x:c r="M356" s="192"/>
      <x:c r="N356" s="192"/>
      <x:c r="O356" s="69"/>
      <x:c r="P356" s="47"/>
      <x:c r="Q356" s="60"/>
      <x:c r="R356" s="58"/>
      <x:c r="S356" s="47"/>
      <x:c r="T356" s="60"/>
      <x:c r="U356" s="58"/>
      <x:c r="V356" s="47"/>
      <x:c r="W356" s="60"/>
      <x:c r="X356" s="58"/>
      <x:c r="Y356" s="47"/>
      <x:c r="Z356" s="60"/>
      <x:c r="AA356" s="58"/>
      <x:c r="AB356" s="47"/>
      <x:c r="AC356" s="60"/>
      <x:c r="AD356" s="58"/>
      <x:c r="AE356" s="47"/>
      <x:c r="AF356" s="60"/>
      <x:c r="AG356" s="58"/>
      <x:c r="AH356" s="47"/>
      <x:c r="AI356" s="60"/>
      <x:c r="AJ356" s="58"/>
      <x:c r="AK356" s="47"/>
      <x:c r="AL356" s="60"/>
      <x:c r="AM356" s="58"/>
      <x:c r="AN356" s="47"/>
      <x:c r="AO356" s="60"/>
      <x:c r="AP356" s="58"/>
      <x:c r="AQ356" s="47"/>
      <x:c r="AR356" s="60"/>
      <x:c r="AS356" s="58"/>
      <x:c r="AT356" s="47"/>
      <x:c r="AU356" s="60"/>
      <x:c r="AV356" s="58"/>
      <x:c r="AW356" s="47"/>
      <x:c r="AX356" s="60"/>
      <x:c r="AY356" s="58"/>
      <x:c r="AZ356" s="47"/>
      <x:c r="BA356" s="60"/>
      <x:c r="BB356" s="58"/>
      <x:c r="BC356" s="47"/>
      <x:c r="BD356" s="60"/>
      <x:c r="BE356" s="58"/>
      <x:c r="BF356" s="47"/>
      <x:c r="BG356" s="60"/>
      <x:c r="BH356" s="58"/>
      <x:c r="BI356" s="47"/>
      <x:c r="BJ356" s="60"/>
      <x:c r="BK356" s="58"/>
      <x:c r="BL356" s="47"/>
      <x:c r="BM356" s="60"/>
      <x:c r="BN356" s="58"/>
      <x:c r="BO356" s="47"/>
      <x:c r="BP356" s="60"/>
      <x:c r="BQ356" s="58"/>
      <x:c r="BR356" s="47"/>
      <x:c r="BS356" s="60"/>
      <x:c r="BT356" s="58"/>
      <x:c r="BU356" s="47"/>
      <x:c r="BV356" s="60"/>
      <x:c r="BW356" s="58"/>
      <x:c r="BX356" s="47"/>
      <x:c r="BY356" s="60"/>
      <x:c r="BZ356" s="58"/>
      <x:c r="CA356" s="47"/>
      <x:c r="CB356" s="60"/>
      <x:c r="CC356" s="58"/>
      <x:c r="CD356" s="47"/>
      <x:c r="CE356" s="60"/>
      <x:c r="CF356" s="58"/>
      <x:c r="CG356" s="47"/>
      <x:c r="CH356" s="60"/>
      <x:c r="CI356" s="58"/>
      <x:c r="CJ356" s="47"/>
      <x:c r="CK356" s="60"/>
      <x:c r="CL356" s="58"/>
      <x:c r="CM356" s="47"/>
      <x:c r="CN356" s="60"/>
      <x:c r="CO356" s="58"/>
      <x:c r="CP356" s="47"/>
      <x:c r="CQ356" s="60"/>
      <x:c r="CR356" s="58"/>
      <x:c r="CS356" s="47"/>
      <x:c r="CT356" s="60"/>
      <x:c r="CU356" s="58"/>
      <x:c r="CV356" s="47"/>
      <x:c r="CW356" s="60"/>
      <x:c r="CX356" s="58"/>
      <x:c r="CY356" s="47"/>
      <x:c r="CZ356" s="60"/>
      <x:c r="DA356" s="58"/>
      <x:c r="DB356" s="47"/>
      <x:c r="DC356" s="60"/>
      <x:c r="DD356" s="58"/>
      <x:c r="DE356" s="47"/>
      <x:c r="DF356" s="60"/>
      <x:c r="DG356" s="58"/>
      <x:c r="DH356" s="47"/>
      <x:c r="DI356" s="60"/>
      <x:c r="DJ356" s="58"/>
      <x:c r="DK356" s="47"/>
      <x:c r="DL356" s="60"/>
      <x:c r="DM356" s="58"/>
      <x:c r="DN356" s="11"/>
      <x:c r="DO356" s="61"/>
      <x:c r="DP356" s="62"/>
      <x:c r="DQ356" s="11"/>
      <x:c r="DR356" s="61"/>
      <x:c r="DS356" s="62"/>
      <x:c r="DT356" s="11"/>
      <x:c r="DU356" s="61"/>
      <x:c r="DV356" s="62"/>
    </x:row>
    <x:row r="357" spans="1:126" x14ac:dyDescent="0.3">
      <x:c r="A357" s="47"/>
      <x:c r="B357" s="70"/>
      <x:c r="C357" s="70"/>
      <x:c r="D357" s="70"/>
      <x:c r="E357" s="70"/>
      <x:c r="F357" s="70"/>
      <x:c r="G357" s="70"/>
      <x:c r="H357" s="70"/>
      <x:c r="I357" s="70"/>
      <x:c r="J357" s="70"/>
      <x:c r="K357" s="190"/>
      <x:c r="L357" s="195"/>
      <x:c r="M357" s="192"/>
      <x:c r="N357" s="192"/>
      <x:c r="O357" s="69"/>
      <x:c r="P357" s="47"/>
      <x:c r="Q357" s="60"/>
      <x:c r="R357" s="58"/>
      <x:c r="S357" s="47"/>
      <x:c r="T357" s="60"/>
      <x:c r="U357" s="58"/>
      <x:c r="V357" s="47"/>
      <x:c r="W357" s="60"/>
      <x:c r="X357" s="58"/>
      <x:c r="Y357" s="47"/>
      <x:c r="Z357" s="60"/>
      <x:c r="AA357" s="58"/>
      <x:c r="AB357" s="47"/>
      <x:c r="AC357" s="60"/>
      <x:c r="AD357" s="58"/>
      <x:c r="AE357" s="47"/>
      <x:c r="AF357" s="60"/>
      <x:c r="AG357" s="58"/>
      <x:c r="AH357" s="47"/>
      <x:c r="AI357" s="60"/>
      <x:c r="AJ357" s="58"/>
      <x:c r="AK357" s="47"/>
      <x:c r="AL357" s="60"/>
      <x:c r="AM357" s="58"/>
      <x:c r="AN357" s="47"/>
      <x:c r="AO357" s="60"/>
      <x:c r="AP357" s="58"/>
      <x:c r="AQ357" s="47"/>
      <x:c r="AR357" s="60"/>
      <x:c r="AS357" s="58"/>
      <x:c r="AT357" s="47"/>
      <x:c r="AU357" s="60"/>
      <x:c r="AV357" s="58"/>
      <x:c r="AW357" s="47"/>
      <x:c r="AX357" s="60"/>
      <x:c r="AY357" s="58"/>
      <x:c r="AZ357" s="47"/>
      <x:c r="BA357" s="60"/>
      <x:c r="BB357" s="58"/>
      <x:c r="BC357" s="47"/>
      <x:c r="BD357" s="60"/>
      <x:c r="BE357" s="58"/>
      <x:c r="BF357" s="47"/>
      <x:c r="BG357" s="60"/>
      <x:c r="BH357" s="58"/>
      <x:c r="BI357" s="47"/>
      <x:c r="BJ357" s="60"/>
      <x:c r="BK357" s="58"/>
      <x:c r="BL357" s="47"/>
      <x:c r="BM357" s="60"/>
      <x:c r="BN357" s="58"/>
      <x:c r="BO357" s="47"/>
      <x:c r="BP357" s="60"/>
      <x:c r="BQ357" s="58"/>
      <x:c r="BR357" s="47"/>
      <x:c r="BS357" s="60"/>
      <x:c r="BT357" s="58"/>
      <x:c r="BU357" s="47"/>
      <x:c r="BV357" s="60"/>
      <x:c r="BW357" s="58"/>
      <x:c r="BX357" s="47"/>
      <x:c r="BY357" s="60"/>
      <x:c r="BZ357" s="58"/>
      <x:c r="CA357" s="47"/>
      <x:c r="CB357" s="60"/>
      <x:c r="CC357" s="58"/>
      <x:c r="CD357" s="47"/>
      <x:c r="CE357" s="60"/>
      <x:c r="CF357" s="58"/>
      <x:c r="CG357" s="47"/>
      <x:c r="CH357" s="60"/>
      <x:c r="CI357" s="58"/>
      <x:c r="CJ357" s="47"/>
      <x:c r="CK357" s="60"/>
      <x:c r="CL357" s="58"/>
      <x:c r="CM357" s="47"/>
      <x:c r="CN357" s="60"/>
      <x:c r="CO357" s="58"/>
      <x:c r="CP357" s="47"/>
      <x:c r="CQ357" s="60"/>
      <x:c r="CR357" s="58"/>
      <x:c r="CS357" s="47"/>
      <x:c r="CT357" s="60"/>
      <x:c r="CU357" s="58"/>
      <x:c r="CV357" s="47"/>
      <x:c r="CW357" s="60"/>
      <x:c r="CX357" s="58"/>
      <x:c r="CY357" s="47"/>
      <x:c r="CZ357" s="60"/>
      <x:c r="DA357" s="58"/>
      <x:c r="DB357" s="47"/>
      <x:c r="DC357" s="60"/>
      <x:c r="DD357" s="58"/>
      <x:c r="DE357" s="47"/>
      <x:c r="DF357" s="60"/>
      <x:c r="DG357" s="58"/>
      <x:c r="DH357" s="47"/>
      <x:c r="DI357" s="60"/>
      <x:c r="DJ357" s="58"/>
      <x:c r="DK357" s="47"/>
      <x:c r="DL357" s="60"/>
      <x:c r="DM357" s="58"/>
      <x:c r="DN357" s="11"/>
      <x:c r="DO357" s="61"/>
      <x:c r="DP357" s="62"/>
      <x:c r="DQ357" s="11"/>
      <x:c r="DR357" s="61"/>
      <x:c r="DS357" s="62"/>
      <x:c r="DT357" s="11"/>
      <x:c r="DU357" s="61"/>
      <x:c r="DV357" s="62"/>
    </x:row>
    <x:row r="358" spans="1:126" x14ac:dyDescent="0.3">
      <x:c r="A358" s="47"/>
      <x:c r="B358" s="70"/>
      <x:c r="C358" s="70"/>
      <x:c r="D358" s="70"/>
      <x:c r="E358" s="70"/>
      <x:c r="F358" s="70"/>
      <x:c r="G358" s="70"/>
      <x:c r="H358" s="70"/>
      <x:c r="I358" s="70"/>
      <x:c r="J358" s="70"/>
      <x:c r="K358" s="190"/>
      <x:c r="L358" s="195"/>
      <x:c r="M358" s="192"/>
      <x:c r="N358" s="192"/>
      <x:c r="O358" s="69"/>
      <x:c r="P358" s="47"/>
      <x:c r="Q358" s="60"/>
      <x:c r="R358" s="58"/>
      <x:c r="S358" s="47"/>
      <x:c r="T358" s="60"/>
      <x:c r="U358" s="58"/>
      <x:c r="V358" s="47"/>
      <x:c r="W358" s="60"/>
      <x:c r="X358" s="58"/>
      <x:c r="Y358" s="47"/>
      <x:c r="Z358" s="60"/>
      <x:c r="AA358" s="58"/>
      <x:c r="AB358" s="47"/>
      <x:c r="AC358" s="60"/>
      <x:c r="AD358" s="58"/>
      <x:c r="AE358" s="47"/>
      <x:c r="AF358" s="60"/>
      <x:c r="AG358" s="58"/>
      <x:c r="AH358" s="47"/>
      <x:c r="AI358" s="60"/>
      <x:c r="AJ358" s="58"/>
      <x:c r="AK358" s="47"/>
      <x:c r="AL358" s="60"/>
      <x:c r="AM358" s="58"/>
      <x:c r="AN358" s="47"/>
      <x:c r="AO358" s="60"/>
      <x:c r="AP358" s="58"/>
      <x:c r="AQ358" s="47"/>
      <x:c r="AR358" s="60"/>
      <x:c r="AS358" s="58"/>
      <x:c r="AT358" s="47"/>
      <x:c r="AU358" s="60"/>
      <x:c r="AV358" s="58"/>
      <x:c r="AW358" s="47"/>
      <x:c r="AX358" s="60"/>
      <x:c r="AY358" s="58"/>
      <x:c r="AZ358" s="47"/>
      <x:c r="BA358" s="60"/>
      <x:c r="BB358" s="58"/>
      <x:c r="BC358" s="47"/>
      <x:c r="BD358" s="60"/>
      <x:c r="BE358" s="58"/>
      <x:c r="BF358" s="47"/>
      <x:c r="BG358" s="60"/>
      <x:c r="BH358" s="58"/>
      <x:c r="BI358" s="47"/>
      <x:c r="BJ358" s="60"/>
      <x:c r="BK358" s="58"/>
      <x:c r="BL358" s="47"/>
      <x:c r="BM358" s="60"/>
      <x:c r="BN358" s="58"/>
      <x:c r="BO358" s="47"/>
      <x:c r="BP358" s="60"/>
      <x:c r="BQ358" s="58"/>
      <x:c r="BR358" s="47"/>
      <x:c r="BS358" s="60"/>
      <x:c r="BT358" s="58"/>
      <x:c r="BU358" s="47"/>
      <x:c r="BV358" s="60"/>
      <x:c r="BW358" s="58"/>
      <x:c r="BX358" s="47"/>
      <x:c r="BY358" s="60"/>
      <x:c r="BZ358" s="58"/>
      <x:c r="CA358" s="47"/>
      <x:c r="CB358" s="60"/>
      <x:c r="CC358" s="58"/>
      <x:c r="CD358" s="47"/>
      <x:c r="CE358" s="60"/>
      <x:c r="CF358" s="58"/>
      <x:c r="CG358" s="47"/>
      <x:c r="CH358" s="60"/>
      <x:c r="CI358" s="58"/>
      <x:c r="CJ358" s="47"/>
      <x:c r="CK358" s="60"/>
      <x:c r="CL358" s="58"/>
      <x:c r="CM358" s="47"/>
      <x:c r="CN358" s="60"/>
      <x:c r="CO358" s="58"/>
      <x:c r="CP358" s="47"/>
      <x:c r="CQ358" s="60"/>
      <x:c r="CR358" s="58"/>
      <x:c r="CS358" s="47"/>
      <x:c r="CT358" s="60"/>
      <x:c r="CU358" s="58"/>
      <x:c r="CV358" s="47"/>
      <x:c r="CW358" s="60"/>
      <x:c r="CX358" s="58"/>
      <x:c r="CY358" s="47"/>
      <x:c r="CZ358" s="60"/>
      <x:c r="DA358" s="58"/>
      <x:c r="DB358" s="47"/>
      <x:c r="DC358" s="60"/>
      <x:c r="DD358" s="58"/>
      <x:c r="DE358" s="47"/>
      <x:c r="DF358" s="60"/>
      <x:c r="DG358" s="58"/>
      <x:c r="DH358" s="47"/>
      <x:c r="DI358" s="60"/>
      <x:c r="DJ358" s="58"/>
      <x:c r="DK358" s="47"/>
      <x:c r="DL358" s="60"/>
      <x:c r="DM358" s="58"/>
      <x:c r="DN358" s="11"/>
      <x:c r="DO358" s="61"/>
      <x:c r="DP358" s="62"/>
      <x:c r="DQ358" s="11"/>
      <x:c r="DR358" s="61"/>
      <x:c r="DS358" s="62"/>
      <x:c r="DT358" s="11"/>
      <x:c r="DU358" s="61"/>
      <x:c r="DV358" s="62"/>
    </x:row>
    <x:row r="359" spans="1:126" x14ac:dyDescent="0.3">
      <x:c r="A359" s="47"/>
      <x:c r="B359" s="70"/>
      <x:c r="C359" s="70"/>
      <x:c r="D359" s="70"/>
      <x:c r="E359" s="70"/>
      <x:c r="F359" s="70"/>
      <x:c r="G359" s="70"/>
      <x:c r="H359" s="70"/>
      <x:c r="I359" s="70"/>
      <x:c r="J359" s="70"/>
      <x:c r="K359" s="190"/>
      <x:c r="L359" s="195"/>
      <x:c r="M359" s="192"/>
      <x:c r="N359" s="192"/>
      <x:c r="O359" s="69"/>
      <x:c r="P359" s="47"/>
      <x:c r="Q359" s="60"/>
      <x:c r="R359" s="58"/>
      <x:c r="S359" s="47"/>
      <x:c r="T359" s="60"/>
      <x:c r="U359" s="58"/>
      <x:c r="V359" s="47"/>
      <x:c r="W359" s="60"/>
      <x:c r="X359" s="58"/>
      <x:c r="Y359" s="47"/>
      <x:c r="Z359" s="60"/>
      <x:c r="AA359" s="58"/>
      <x:c r="AB359" s="47"/>
      <x:c r="AC359" s="60"/>
      <x:c r="AD359" s="58"/>
      <x:c r="AE359" s="47"/>
      <x:c r="AF359" s="60"/>
      <x:c r="AG359" s="58"/>
      <x:c r="AH359" s="47"/>
      <x:c r="AI359" s="60"/>
      <x:c r="AJ359" s="58"/>
      <x:c r="AK359" s="47"/>
      <x:c r="AL359" s="60"/>
      <x:c r="AM359" s="58"/>
      <x:c r="AN359" s="47"/>
      <x:c r="AO359" s="60"/>
      <x:c r="AP359" s="58"/>
      <x:c r="AQ359" s="47"/>
      <x:c r="AR359" s="60"/>
      <x:c r="AS359" s="58"/>
      <x:c r="AT359" s="47"/>
      <x:c r="AU359" s="60"/>
      <x:c r="AV359" s="58"/>
      <x:c r="AW359" s="47"/>
      <x:c r="AX359" s="60"/>
      <x:c r="AY359" s="58"/>
      <x:c r="AZ359" s="47"/>
      <x:c r="BA359" s="60"/>
      <x:c r="BB359" s="58"/>
      <x:c r="BC359" s="47"/>
      <x:c r="BD359" s="60"/>
      <x:c r="BE359" s="58"/>
      <x:c r="BF359" s="47"/>
      <x:c r="BG359" s="60"/>
      <x:c r="BH359" s="58"/>
      <x:c r="BI359" s="47"/>
      <x:c r="BJ359" s="60"/>
      <x:c r="BK359" s="58"/>
      <x:c r="BL359" s="47"/>
      <x:c r="BM359" s="60"/>
      <x:c r="BN359" s="58"/>
      <x:c r="BO359" s="47"/>
      <x:c r="BP359" s="60"/>
      <x:c r="BQ359" s="58"/>
      <x:c r="BR359" s="47"/>
      <x:c r="BS359" s="60"/>
      <x:c r="BT359" s="58"/>
      <x:c r="BU359" s="47"/>
      <x:c r="BV359" s="60"/>
      <x:c r="BW359" s="58"/>
      <x:c r="BX359" s="47"/>
      <x:c r="BY359" s="60"/>
      <x:c r="BZ359" s="58"/>
      <x:c r="CA359" s="47"/>
      <x:c r="CB359" s="60"/>
      <x:c r="CC359" s="58"/>
      <x:c r="CD359" s="47"/>
      <x:c r="CE359" s="60"/>
      <x:c r="CF359" s="58"/>
      <x:c r="CG359" s="47"/>
      <x:c r="CH359" s="60"/>
      <x:c r="CI359" s="58"/>
      <x:c r="CJ359" s="47"/>
      <x:c r="CK359" s="60"/>
      <x:c r="CL359" s="58"/>
      <x:c r="CM359" s="47"/>
      <x:c r="CN359" s="60"/>
      <x:c r="CO359" s="58"/>
      <x:c r="CP359" s="47"/>
      <x:c r="CQ359" s="60"/>
      <x:c r="CR359" s="58"/>
      <x:c r="CS359" s="47"/>
      <x:c r="CT359" s="60"/>
      <x:c r="CU359" s="58"/>
      <x:c r="CV359" s="47"/>
      <x:c r="CW359" s="60"/>
      <x:c r="CX359" s="58"/>
      <x:c r="CY359" s="47"/>
      <x:c r="CZ359" s="60"/>
      <x:c r="DA359" s="58"/>
      <x:c r="DB359" s="47"/>
      <x:c r="DC359" s="60"/>
      <x:c r="DD359" s="58"/>
      <x:c r="DE359" s="47"/>
      <x:c r="DF359" s="60"/>
      <x:c r="DG359" s="58"/>
      <x:c r="DH359" s="47"/>
      <x:c r="DI359" s="60"/>
      <x:c r="DJ359" s="58"/>
      <x:c r="DK359" s="47"/>
      <x:c r="DL359" s="60"/>
      <x:c r="DM359" s="58"/>
      <x:c r="DN359" s="11"/>
      <x:c r="DO359" s="61"/>
      <x:c r="DP359" s="62"/>
      <x:c r="DQ359" s="11"/>
      <x:c r="DR359" s="61"/>
      <x:c r="DS359" s="62"/>
      <x:c r="DT359" s="11"/>
      <x:c r="DU359" s="61"/>
      <x:c r="DV359" s="62"/>
    </x:row>
    <x:row r="360" spans="1:126" x14ac:dyDescent="0.3">
      <x:c r="A360" s="47"/>
      <x:c r="B360" s="70"/>
      <x:c r="C360" s="70"/>
      <x:c r="D360" s="70"/>
      <x:c r="E360" s="70"/>
      <x:c r="F360" s="70"/>
      <x:c r="G360" s="70"/>
      <x:c r="H360" s="70"/>
      <x:c r="I360" s="70"/>
      <x:c r="J360" s="70"/>
      <x:c r="K360" s="190"/>
      <x:c r="L360" s="195"/>
      <x:c r="M360" s="192"/>
      <x:c r="N360" s="192"/>
      <x:c r="O360" s="69"/>
      <x:c r="P360" s="47"/>
      <x:c r="Q360" s="60"/>
      <x:c r="R360" s="58"/>
      <x:c r="S360" s="47"/>
      <x:c r="T360" s="60"/>
      <x:c r="U360" s="58"/>
      <x:c r="V360" s="47"/>
      <x:c r="W360" s="60"/>
      <x:c r="X360" s="58"/>
      <x:c r="Y360" s="47"/>
      <x:c r="Z360" s="60"/>
      <x:c r="AA360" s="58"/>
      <x:c r="AB360" s="47"/>
      <x:c r="AC360" s="60"/>
      <x:c r="AD360" s="58"/>
      <x:c r="AE360" s="47"/>
      <x:c r="AF360" s="60"/>
      <x:c r="AG360" s="58"/>
      <x:c r="AH360" s="47"/>
      <x:c r="AI360" s="60"/>
      <x:c r="AJ360" s="58"/>
      <x:c r="AK360" s="47"/>
      <x:c r="AL360" s="60"/>
      <x:c r="AM360" s="58"/>
      <x:c r="AN360" s="47"/>
      <x:c r="AO360" s="60"/>
      <x:c r="AP360" s="58"/>
      <x:c r="AQ360" s="47"/>
      <x:c r="AR360" s="60"/>
      <x:c r="AS360" s="58"/>
      <x:c r="AT360" s="47"/>
      <x:c r="AU360" s="60"/>
      <x:c r="AV360" s="58"/>
      <x:c r="AW360" s="47"/>
      <x:c r="AX360" s="60"/>
      <x:c r="AY360" s="58"/>
      <x:c r="AZ360" s="47"/>
      <x:c r="BA360" s="60"/>
      <x:c r="BB360" s="58"/>
      <x:c r="BC360" s="47"/>
      <x:c r="BD360" s="60"/>
      <x:c r="BE360" s="58"/>
      <x:c r="BF360" s="47"/>
      <x:c r="BG360" s="60"/>
      <x:c r="BH360" s="58"/>
      <x:c r="BI360" s="47"/>
      <x:c r="BJ360" s="60"/>
      <x:c r="BK360" s="58"/>
      <x:c r="BL360" s="47"/>
      <x:c r="BM360" s="60"/>
      <x:c r="BN360" s="58"/>
      <x:c r="BO360" s="47"/>
      <x:c r="BP360" s="60"/>
      <x:c r="BQ360" s="58"/>
      <x:c r="BR360" s="47"/>
      <x:c r="BS360" s="60"/>
      <x:c r="BT360" s="58"/>
      <x:c r="BU360" s="47"/>
      <x:c r="BV360" s="60"/>
      <x:c r="BW360" s="58"/>
      <x:c r="BX360" s="47"/>
      <x:c r="BY360" s="60"/>
      <x:c r="BZ360" s="58"/>
      <x:c r="CA360" s="47"/>
      <x:c r="CB360" s="60"/>
      <x:c r="CC360" s="58"/>
      <x:c r="CD360" s="47"/>
      <x:c r="CE360" s="60"/>
      <x:c r="CF360" s="58"/>
      <x:c r="CG360" s="47"/>
      <x:c r="CH360" s="60"/>
      <x:c r="CI360" s="58"/>
      <x:c r="CJ360" s="47"/>
      <x:c r="CK360" s="60"/>
      <x:c r="CL360" s="58"/>
      <x:c r="CM360" s="47"/>
      <x:c r="CN360" s="60"/>
      <x:c r="CO360" s="58"/>
      <x:c r="CP360" s="47"/>
      <x:c r="CQ360" s="60"/>
      <x:c r="CR360" s="58"/>
      <x:c r="CS360" s="47"/>
      <x:c r="CT360" s="60"/>
      <x:c r="CU360" s="58"/>
      <x:c r="CV360" s="47"/>
      <x:c r="CW360" s="60"/>
      <x:c r="CX360" s="58"/>
      <x:c r="CY360" s="47"/>
      <x:c r="CZ360" s="60"/>
      <x:c r="DA360" s="58"/>
      <x:c r="DB360" s="47"/>
      <x:c r="DC360" s="60"/>
      <x:c r="DD360" s="58"/>
      <x:c r="DE360" s="47"/>
      <x:c r="DF360" s="60"/>
      <x:c r="DG360" s="58"/>
      <x:c r="DH360" s="47"/>
      <x:c r="DI360" s="60"/>
      <x:c r="DJ360" s="58"/>
      <x:c r="DK360" s="47"/>
      <x:c r="DL360" s="60"/>
      <x:c r="DM360" s="58"/>
      <x:c r="DN360" s="11"/>
      <x:c r="DO360" s="61"/>
      <x:c r="DP360" s="62"/>
      <x:c r="DQ360" s="11"/>
      <x:c r="DR360" s="61"/>
      <x:c r="DS360" s="62"/>
      <x:c r="DT360" s="11"/>
      <x:c r="DU360" s="61"/>
      <x:c r="DV360" s="62"/>
    </x:row>
    <x:row r="361" spans="1:126" x14ac:dyDescent="0.3">
      <x:c r="A361" s="47"/>
      <x:c r="B361" s="70"/>
      <x:c r="C361" s="70"/>
      <x:c r="D361" s="70"/>
      <x:c r="E361" s="70"/>
      <x:c r="F361" s="70"/>
      <x:c r="G361" s="70"/>
      <x:c r="H361" s="70"/>
      <x:c r="I361" s="70"/>
      <x:c r="J361" s="70"/>
      <x:c r="K361" s="190"/>
      <x:c r="L361" s="195"/>
      <x:c r="M361" s="192"/>
      <x:c r="N361" s="192"/>
      <x:c r="O361" s="69"/>
      <x:c r="P361" s="47"/>
      <x:c r="Q361" s="60"/>
      <x:c r="R361" s="58"/>
      <x:c r="S361" s="47"/>
      <x:c r="T361" s="60"/>
      <x:c r="U361" s="58"/>
      <x:c r="V361" s="47"/>
      <x:c r="W361" s="60"/>
      <x:c r="X361" s="58"/>
      <x:c r="Y361" s="47"/>
      <x:c r="Z361" s="60"/>
      <x:c r="AA361" s="58"/>
      <x:c r="AB361" s="47"/>
      <x:c r="AC361" s="60"/>
      <x:c r="AD361" s="58"/>
      <x:c r="AE361" s="47"/>
      <x:c r="AF361" s="60"/>
      <x:c r="AG361" s="58"/>
      <x:c r="AH361" s="47"/>
      <x:c r="AI361" s="60"/>
      <x:c r="AJ361" s="58"/>
      <x:c r="AK361" s="47"/>
      <x:c r="AL361" s="60"/>
      <x:c r="AM361" s="58"/>
      <x:c r="AN361" s="47"/>
      <x:c r="AO361" s="60"/>
      <x:c r="AP361" s="58"/>
      <x:c r="AQ361" s="47"/>
      <x:c r="AR361" s="60"/>
      <x:c r="AS361" s="58"/>
      <x:c r="AT361" s="47"/>
      <x:c r="AU361" s="60"/>
      <x:c r="AV361" s="58"/>
      <x:c r="AW361" s="47"/>
      <x:c r="AX361" s="60"/>
      <x:c r="AY361" s="58"/>
      <x:c r="AZ361" s="47"/>
      <x:c r="BA361" s="60"/>
      <x:c r="BB361" s="58"/>
      <x:c r="BC361" s="47"/>
      <x:c r="BD361" s="60"/>
      <x:c r="BE361" s="58"/>
      <x:c r="BF361" s="47"/>
      <x:c r="BG361" s="60"/>
      <x:c r="BH361" s="58"/>
      <x:c r="BI361" s="47"/>
      <x:c r="BJ361" s="60"/>
      <x:c r="BK361" s="58"/>
      <x:c r="BL361" s="47"/>
      <x:c r="BM361" s="60"/>
      <x:c r="BN361" s="58"/>
      <x:c r="BO361" s="47"/>
      <x:c r="BP361" s="60"/>
      <x:c r="BQ361" s="58"/>
      <x:c r="BR361" s="47"/>
      <x:c r="BS361" s="60"/>
      <x:c r="BT361" s="58"/>
      <x:c r="BU361" s="47"/>
      <x:c r="BV361" s="60"/>
      <x:c r="BW361" s="58"/>
      <x:c r="BX361" s="47"/>
      <x:c r="BY361" s="60"/>
      <x:c r="BZ361" s="58"/>
      <x:c r="CA361" s="47"/>
      <x:c r="CB361" s="60"/>
      <x:c r="CC361" s="58"/>
      <x:c r="CD361" s="47"/>
      <x:c r="CE361" s="60"/>
      <x:c r="CF361" s="58"/>
      <x:c r="CG361" s="47"/>
      <x:c r="CH361" s="60"/>
      <x:c r="CI361" s="58"/>
      <x:c r="CJ361" s="47"/>
      <x:c r="CK361" s="60"/>
      <x:c r="CL361" s="58"/>
      <x:c r="CM361" s="47"/>
      <x:c r="CN361" s="60"/>
      <x:c r="CO361" s="58"/>
      <x:c r="CP361" s="47"/>
      <x:c r="CQ361" s="60"/>
      <x:c r="CR361" s="58"/>
      <x:c r="CS361" s="47"/>
      <x:c r="CT361" s="60"/>
      <x:c r="CU361" s="58"/>
      <x:c r="CV361" s="47"/>
      <x:c r="CW361" s="60"/>
      <x:c r="CX361" s="58"/>
      <x:c r="CY361" s="47"/>
      <x:c r="CZ361" s="60"/>
      <x:c r="DA361" s="58"/>
      <x:c r="DB361" s="47"/>
      <x:c r="DC361" s="60"/>
      <x:c r="DD361" s="58"/>
      <x:c r="DE361" s="47"/>
      <x:c r="DF361" s="60"/>
      <x:c r="DG361" s="58"/>
      <x:c r="DH361" s="47"/>
      <x:c r="DI361" s="60"/>
      <x:c r="DJ361" s="58"/>
      <x:c r="DK361" s="47"/>
      <x:c r="DL361" s="60"/>
      <x:c r="DM361" s="58"/>
      <x:c r="DN361" s="11"/>
      <x:c r="DO361" s="61"/>
      <x:c r="DP361" s="62"/>
      <x:c r="DQ361" s="11"/>
      <x:c r="DR361" s="61"/>
      <x:c r="DS361" s="62"/>
      <x:c r="DT361" s="11"/>
      <x:c r="DU361" s="61"/>
      <x:c r="DV361" s="62"/>
    </x:row>
    <x:row r="362" spans="1:126" x14ac:dyDescent="0.3">
      <x:c r="A362" s="47"/>
      <x:c r="B362" s="70"/>
      <x:c r="C362" s="70"/>
      <x:c r="D362" s="70"/>
      <x:c r="E362" s="70"/>
      <x:c r="F362" s="70"/>
      <x:c r="G362" s="70"/>
      <x:c r="H362" s="70"/>
      <x:c r="I362" s="70"/>
      <x:c r="J362" s="70"/>
      <x:c r="K362" s="190"/>
      <x:c r="L362" s="195"/>
      <x:c r="M362" s="192"/>
      <x:c r="N362" s="192"/>
      <x:c r="O362" s="69"/>
      <x:c r="P362" s="47"/>
      <x:c r="Q362" s="60"/>
      <x:c r="R362" s="58"/>
      <x:c r="S362" s="47"/>
      <x:c r="T362" s="60"/>
      <x:c r="U362" s="58"/>
      <x:c r="V362" s="47"/>
      <x:c r="W362" s="60"/>
      <x:c r="X362" s="58"/>
      <x:c r="Y362" s="47"/>
      <x:c r="Z362" s="60"/>
      <x:c r="AA362" s="58"/>
      <x:c r="AB362" s="47"/>
      <x:c r="AC362" s="60"/>
      <x:c r="AD362" s="58"/>
      <x:c r="AE362" s="47"/>
      <x:c r="AF362" s="60"/>
      <x:c r="AG362" s="58"/>
      <x:c r="AH362" s="47"/>
      <x:c r="AI362" s="60"/>
      <x:c r="AJ362" s="58"/>
      <x:c r="AK362" s="47"/>
      <x:c r="AL362" s="60"/>
      <x:c r="AM362" s="58"/>
      <x:c r="AN362" s="47"/>
      <x:c r="AO362" s="60"/>
      <x:c r="AP362" s="58"/>
      <x:c r="AQ362" s="47"/>
      <x:c r="AR362" s="60"/>
      <x:c r="AS362" s="58"/>
      <x:c r="AT362" s="47"/>
      <x:c r="AU362" s="60"/>
      <x:c r="AV362" s="58"/>
      <x:c r="AW362" s="47"/>
      <x:c r="AX362" s="60"/>
      <x:c r="AY362" s="58"/>
      <x:c r="AZ362" s="47"/>
      <x:c r="BA362" s="60"/>
      <x:c r="BB362" s="58"/>
      <x:c r="BC362" s="47"/>
      <x:c r="BD362" s="60"/>
      <x:c r="BE362" s="58"/>
      <x:c r="BF362" s="47"/>
      <x:c r="BG362" s="60"/>
      <x:c r="BH362" s="58"/>
      <x:c r="BI362" s="47"/>
      <x:c r="BJ362" s="60"/>
      <x:c r="BK362" s="58"/>
      <x:c r="BL362" s="47"/>
      <x:c r="BM362" s="60"/>
      <x:c r="BN362" s="58"/>
      <x:c r="BO362" s="47"/>
      <x:c r="BP362" s="60"/>
      <x:c r="BQ362" s="58"/>
      <x:c r="BR362" s="47"/>
      <x:c r="BS362" s="60"/>
      <x:c r="BT362" s="58"/>
      <x:c r="BU362" s="47"/>
      <x:c r="BV362" s="60"/>
      <x:c r="BW362" s="58"/>
      <x:c r="BX362" s="47"/>
      <x:c r="BY362" s="60"/>
      <x:c r="BZ362" s="58"/>
      <x:c r="CA362" s="47"/>
      <x:c r="CB362" s="60"/>
      <x:c r="CC362" s="58"/>
      <x:c r="CD362" s="47"/>
      <x:c r="CE362" s="60"/>
      <x:c r="CF362" s="58"/>
      <x:c r="CG362" s="47"/>
      <x:c r="CH362" s="60"/>
      <x:c r="CI362" s="58"/>
      <x:c r="CJ362" s="47"/>
      <x:c r="CK362" s="60"/>
      <x:c r="CL362" s="58"/>
      <x:c r="CM362" s="47"/>
      <x:c r="CN362" s="60"/>
      <x:c r="CO362" s="58"/>
      <x:c r="CP362" s="47"/>
      <x:c r="CQ362" s="60"/>
      <x:c r="CR362" s="58"/>
      <x:c r="CS362" s="47"/>
      <x:c r="CT362" s="60"/>
      <x:c r="CU362" s="58"/>
      <x:c r="CV362" s="47"/>
      <x:c r="CW362" s="60"/>
      <x:c r="CX362" s="58"/>
      <x:c r="CY362" s="47"/>
      <x:c r="CZ362" s="60"/>
      <x:c r="DA362" s="58"/>
      <x:c r="DB362" s="47"/>
      <x:c r="DC362" s="60"/>
      <x:c r="DD362" s="58"/>
      <x:c r="DE362" s="47"/>
      <x:c r="DF362" s="60"/>
      <x:c r="DG362" s="58"/>
      <x:c r="DH362" s="47"/>
      <x:c r="DI362" s="60"/>
      <x:c r="DJ362" s="58"/>
      <x:c r="DK362" s="47"/>
      <x:c r="DL362" s="60"/>
      <x:c r="DM362" s="58"/>
      <x:c r="DN362" s="11"/>
      <x:c r="DO362" s="61"/>
      <x:c r="DP362" s="62"/>
      <x:c r="DQ362" s="11"/>
      <x:c r="DR362" s="61"/>
      <x:c r="DS362" s="62"/>
      <x:c r="DT362" s="11"/>
      <x:c r="DU362" s="61"/>
      <x:c r="DV362" s="62"/>
    </x:row>
    <x:row r="363" spans="1:126" x14ac:dyDescent="0.3">
      <x:c r="A363" s="47"/>
      <x:c r="B363" s="70"/>
      <x:c r="C363" s="70"/>
      <x:c r="D363" s="70"/>
      <x:c r="E363" s="70"/>
      <x:c r="F363" s="70"/>
      <x:c r="G363" s="70"/>
      <x:c r="H363" s="70"/>
      <x:c r="I363" s="70"/>
      <x:c r="J363" s="70"/>
      <x:c r="K363" s="190"/>
      <x:c r="L363" s="195"/>
      <x:c r="M363" s="192"/>
      <x:c r="N363" s="192"/>
      <x:c r="O363" s="69"/>
      <x:c r="P363" s="47"/>
      <x:c r="Q363" s="60"/>
      <x:c r="R363" s="58"/>
      <x:c r="S363" s="47"/>
      <x:c r="T363" s="60"/>
      <x:c r="U363" s="58"/>
      <x:c r="V363" s="47"/>
      <x:c r="W363" s="60"/>
      <x:c r="X363" s="58"/>
      <x:c r="Y363" s="47"/>
      <x:c r="Z363" s="60"/>
      <x:c r="AA363" s="58"/>
      <x:c r="AB363" s="47"/>
      <x:c r="AC363" s="60"/>
      <x:c r="AD363" s="58"/>
      <x:c r="AE363" s="47"/>
      <x:c r="AF363" s="60"/>
      <x:c r="AG363" s="58"/>
      <x:c r="AH363" s="47"/>
      <x:c r="AI363" s="60"/>
      <x:c r="AJ363" s="58"/>
      <x:c r="AK363" s="47"/>
      <x:c r="AL363" s="60"/>
      <x:c r="AM363" s="58"/>
      <x:c r="AN363" s="47"/>
      <x:c r="AO363" s="60"/>
      <x:c r="AP363" s="58"/>
      <x:c r="AQ363" s="47"/>
      <x:c r="AR363" s="60"/>
      <x:c r="AS363" s="58"/>
      <x:c r="AT363" s="47"/>
      <x:c r="AU363" s="60"/>
      <x:c r="AV363" s="58"/>
      <x:c r="AW363" s="47"/>
      <x:c r="AX363" s="60"/>
      <x:c r="AY363" s="58"/>
      <x:c r="AZ363" s="47"/>
      <x:c r="BA363" s="60"/>
      <x:c r="BB363" s="58"/>
      <x:c r="BC363" s="47"/>
      <x:c r="BD363" s="60"/>
      <x:c r="BE363" s="58"/>
      <x:c r="BF363" s="47"/>
      <x:c r="BG363" s="60"/>
      <x:c r="BH363" s="58"/>
      <x:c r="BI363" s="47"/>
      <x:c r="BJ363" s="60"/>
      <x:c r="BK363" s="58"/>
      <x:c r="BL363" s="47"/>
      <x:c r="BM363" s="60"/>
      <x:c r="BN363" s="58"/>
      <x:c r="BO363" s="47"/>
      <x:c r="BP363" s="60"/>
      <x:c r="BQ363" s="58"/>
      <x:c r="BR363" s="47"/>
      <x:c r="BS363" s="60"/>
      <x:c r="BT363" s="58"/>
      <x:c r="BU363" s="47"/>
      <x:c r="BV363" s="60"/>
      <x:c r="BW363" s="58"/>
      <x:c r="BX363" s="47"/>
      <x:c r="BY363" s="60"/>
      <x:c r="BZ363" s="58"/>
      <x:c r="CA363" s="47"/>
      <x:c r="CB363" s="60"/>
      <x:c r="CC363" s="58"/>
      <x:c r="CD363" s="47"/>
      <x:c r="CE363" s="60"/>
      <x:c r="CF363" s="58"/>
      <x:c r="CG363" s="47"/>
      <x:c r="CH363" s="60"/>
      <x:c r="CI363" s="58"/>
      <x:c r="CJ363" s="47"/>
      <x:c r="CK363" s="60"/>
      <x:c r="CL363" s="58"/>
      <x:c r="CM363" s="47"/>
      <x:c r="CN363" s="60"/>
      <x:c r="CO363" s="58"/>
      <x:c r="CP363" s="47"/>
      <x:c r="CQ363" s="60"/>
      <x:c r="CR363" s="58"/>
      <x:c r="CS363" s="47"/>
      <x:c r="CT363" s="60"/>
      <x:c r="CU363" s="58"/>
      <x:c r="CV363" s="47"/>
      <x:c r="CW363" s="60"/>
      <x:c r="CX363" s="58"/>
      <x:c r="CY363" s="47"/>
      <x:c r="CZ363" s="60"/>
      <x:c r="DA363" s="58"/>
      <x:c r="DB363" s="47"/>
      <x:c r="DC363" s="60"/>
      <x:c r="DD363" s="58"/>
      <x:c r="DE363" s="47"/>
      <x:c r="DF363" s="60"/>
      <x:c r="DG363" s="58"/>
      <x:c r="DH363" s="47"/>
      <x:c r="DI363" s="60"/>
      <x:c r="DJ363" s="58"/>
      <x:c r="DK363" s="47"/>
      <x:c r="DL363" s="60"/>
      <x:c r="DM363" s="58"/>
      <x:c r="DN363" s="11"/>
      <x:c r="DO363" s="61"/>
      <x:c r="DP363" s="62"/>
      <x:c r="DQ363" s="11"/>
      <x:c r="DR363" s="61"/>
      <x:c r="DS363" s="62"/>
      <x:c r="DT363" s="11"/>
      <x:c r="DU363" s="61"/>
      <x:c r="DV363" s="62"/>
    </x:row>
    <x:row r="364" spans="1:126" x14ac:dyDescent="0.3">
      <x:c r="A364" s="47"/>
      <x:c r="B364" s="70"/>
      <x:c r="C364" s="70"/>
      <x:c r="D364" s="70"/>
      <x:c r="E364" s="70"/>
      <x:c r="F364" s="70"/>
      <x:c r="G364" s="70"/>
      <x:c r="H364" s="70"/>
      <x:c r="I364" s="70"/>
      <x:c r="J364" s="70"/>
      <x:c r="K364" s="190"/>
      <x:c r="L364" s="195"/>
      <x:c r="M364" s="192"/>
      <x:c r="N364" s="192"/>
      <x:c r="O364" s="69"/>
      <x:c r="P364" s="47"/>
      <x:c r="Q364" s="60"/>
      <x:c r="R364" s="58"/>
      <x:c r="S364" s="47"/>
      <x:c r="T364" s="60"/>
      <x:c r="U364" s="58"/>
      <x:c r="V364" s="47"/>
      <x:c r="W364" s="60"/>
      <x:c r="X364" s="58"/>
      <x:c r="Y364" s="47"/>
      <x:c r="Z364" s="60"/>
      <x:c r="AA364" s="58"/>
      <x:c r="AB364" s="47"/>
      <x:c r="AC364" s="60"/>
      <x:c r="AD364" s="58"/>
      <x:c r="AE364" s="47"/>
      <x:c r="AF364" s="60"/>
      <x:c r="AG364" s="58"/>
      <x:c r="AH364" s="47"/>
      <x:c r="AI364" s="60"/>
      <x:c r="AJ364" s="58"/>
      <x:c r="AK364" s="47"/>
      <x:c r="AL364" s="60"/>
      <x:c r="AM364" s="58"/>
      <x:c r="AN364" s="47"/>
      <x:c r="AO364" s="60"/>
      <x:c r="AP364" s="58"/>
      <x:c r="AQ364" s="47"/>
      <x:c r="AR364" s="60"/>
      <x:c r="AS364" s="58"/>
      <x:c r="AT364" s="47"/>
      <x:c r="AU364" s="60"/>
      <x:c r="AV364" s="58"/>
      <x:c r="AW364" s="47"/>
      <x:c r="AX364" s="60"/>
      <x:c r="AY364" s="58"/>
      <x:c r="AZ364" s="47"/>
      <x:c r="BA364" s="60"/>
      <x:c r="BB364" s="58"/>
      <x:c r="BC364" s="47"/>
      <x:c r="BD364" s="60"/>
      <x:c r="BE364" s="58"/>
      <x:c r="BF364" s="47"/>
      <x:c r="BG364" s="60"/>
      <x:c r="BH364" s="58"/>
      <x:c r="BI364" s="47"/>
      <x:c r="BJ364" s="60"/>
      <x:c r="BK364" s="58"/>
      <x:c r="BL364" s="47"/>
      <x:c r="BM364" s="60"/>
      <x:c r="BN364" s="58"/>
      <x:c r="BO364" s="47"/>
      <x:c r="BP364" s="60"/>
      <x:c r="BQ364" s="58"/>
      <x:c r="BR364" s="47"/>
      <x:c r="BS364" s="60"/>
      <x:c r="BT364" s="58"/>
      <x:c r="BU364" s="47"/>
      <x:c r="BV364" s="60"/>
      <x:c r="BW364" s="58"/>
      <x:c r="BX364" s="47"/>
      <x:c r="BY364" s="60"/>
      <x:c r="BZ364" s="58"/>
      <x:c r="CA364" s="47"/>
      <x:c r="CB364" s="60"/>
      <x:c r="CC364" s="58"/>
      <x:c r="CD364" s="47"/>
      <x:c r="CE364" s="60"/>
      <x:c r="CF364" s="58"/>
      <x:c r="CG364" s="47"/>
      <x:c r="CH364" s="60"/>
      <x:c r="CI364" s="58"/>
      <x:c r="CJ364" s="47"/>
      <x:c r="CK364" s="60"/>
      <x:c r="CL364" s="58"/>
      <x:c r="CM364" s="47"/>
      <x:c r="CN364" s="60"/>
      <x:c r="CO364" s="58"/>
      <x:c r="CP364" s="47"/>
      <x:c r="CQ364" s="60"/>
      <x:c r="CR364" s="58"/>
      <x:c r="CS364" s="47"/>
      <x:c r="CT364" s="60"/>
      <x:c r="CU364" s="58"/>
      <x:c r="CV364" s="47"/>
      <x:c r="CW364" s="60"/>
      <x:c r="CX364" s="58"/>
      <x:c r="CY364" s="47"/>
      <x:c r="CZ364" s="60"/>
      <x:c r="DA364" s="58"/>
      <x:c r="DB364" s="47"/>
      <x:c r="DC364" s="60"/>
      <x:c r="DD364" s="58"/>
      <x:c r="DE364" s="47"/>
      <x:c r="DF364" s="60"/>
      <x:c r="DG364" s="58"/>
      <x:c r="DH364" s="47"/>
      <x:c r="DI364" s="60"/>
      <x:c r="DJ364" s="58"/>
      <x:c r="DK364" s="47"/>
      <x:c r="DL364" s="60"/>
      <x:c r="DM364" s="58"/>
      <x:c r="DN364" s="11"/>
      <x:c r="DO364" s="61"/>
      <x:c r="DP364" s="62"/>
      <x:c r="DQ364" s="11"/>
      <x:c r="DR364" s="61"/>
      <x:c r="DS364" s="62"/>
      <x:c r="DT364" s="11"/>
      <x:c r="DU364" s="61"/>
      <x:c r="DV364" s="62"/>
    </x:row>
    <x:row r="365" spans="1:126" x14ac:dyDescent="0.3">
      <x:c r="A365" s="47"/>
      <x:c r="B365" s="70"/>
      <x:c r="C365" s="70"/>
      <x:c r="D365" s="70"/>
      <x:c r="E365" s="70"/>
      <x:c r="F365" s="70"/>
      <x:c r="G365" s="70"/>
      <x:c r="H365" s="70"/>
      <x:c r="I365" s="70"/>
      <x:c r="J365" s="70"/>
      <x:c r="K365" s="190"/>
      <x:c r="L365" s="195"/>
      <x:c r="M365" s="192"/>
      <x:c r="N365" s="192"/>
      <x:c r="O365" s="69"/>
      <x:c r="P365" s="47"/>
      <x:c r="Q365" s="60"/>
      <x:c r="R365" s="58"/>
      <x:c r="S365" s="47"/>
      <x:c r="T365" s="60"/>
      <x:c r="U365" s="58"/>
      <x:c r="V365" s="47"/>
      <x:c r="W365" s="60"/>
      <x:c r="X365" s="58"/>
      <x:c r="Y365" s="47"/>
      <x:c r="Z365" s="60"/>
      <x:c r="AA365" s="58"/>
      <x:c r="AB365" s="47"/>
      <x:c r="AC365" s="60"/>
      <x:c r="AD365" s="58"/>
      <x:c r="AE365" s="47"/>
      <x:c r="AF365" s="60"/>
      <x:c r="AG365" s="58"/>
      <x:c r="AH365" s="47"/>
      <x:c r="AI365" s="60"/>
      <x:c r="AJ365" s="58"/>
      <x:c r="AK365" s="47"/>
      <x:c r="AL365" s="60"/>
      <x:c r="AM365" s="58"/>
      <x:c r="AN365" s="47"/>
      <x:c r="AO365" s="60"/>
      <x:c r="AP365" s="58"/>
      <x:c r="AQ365" s="47"/>
      <x:c r="AR365" s="60"/>
      <x:c r="AS365" s="58"/>
      <x:c r="AT365" s="47"/>
      <x:c r="AU365" s="60"/>
      <x:c r="AV365" s="58"/>
      <x:c r="AW365" s="47"/>
      <x:c r="AX365" s="60"/>
      <x:c r="AY365" s="58"/>
      <x:c r="AZ365" s="47"/>
      <x:c r="BA365" s="60"/>
      <x:c r="BB365" s="58"/>
      <x:c r="BC365" s="47"/>
      <x:c r="BD365" s="60"/>
      <x:c r="BE365" s="58"/>
      <x:c r="BF365" s="47"/>
      <x:c r="BG365" s="60"/>
      <x:c r="BH365" s="58"/>
      <x:c r="BI365" s="47"/>
      <x:c r="BJ365" s="60"/>
      <x:c r="BK365" s="58"/>
      <x:c r="BL365" s="47"/>
      <x:c r="BM365" s="60"/>
      <x:c r="BN365" s="58"/>
      <x:c r="BO365" s="47"/>
      <x:c r="BP365" s="60"/>
      <x:c r="BQ365" s="58"/>
      <x:c r="BR365" s="47"/>
      <x:c r="BS365" s="60"/>
      <x:c r="BT365" s="58"/>
      <x:c r="BU365" s="47"/>
      <x:c r="BV365" s="60"/>
      <x:c r="BW365" s="58"/>
      <x:c r="BX365" s="47"/>
      <x:c r="BY365" s="60"/>
      <x:c r="BZ365" s="58"/>
      <x:c r="CA365" s="47"/>
      <x:c r="CB365" s="60"/>
      <x:c r="CC365" s="58"/>
      <x:c r="CD365" s="47"/>
      <x:c r="CE365" s="60"/>
      <x:c r="CF365" s="58"/>
      <x:c r="CG365" s="47"/>
      <x:c r="CH365" s="60"/>
      <x:c r="CI365" s="58"/>
      <x:c r="CJ365" s="47"/>
      <x:c r="CK365" s="60"/>
      <x:c r="CL365" s="58"/>
      <x:c r="CM365" s="47"/>
      <x:c r="CN365" s="60"/>
      <x:c r="CO365" s="58"/>
      <x:c r="CP365" s="47"/>
      <x:c r="CQ365" s="60"/>
      <x:c r="CR365" s="58"/>
      <x:c r="CS365" s="47"/>
      <x:c r="CT365" s="60"/>
      <x:c r="CU365" s="58"/>
      <x:c r="CV365" s="47"/>
      <x:c r="CW365" s="60"/>
      <x:c r="CX365" s="58"/>
      <x:c r="CY365" s="47"/>
      <x:c r="CZ365" s="60"/>
      <x:c r="DA365" s="58"/>
      <x:c r="DB365" s="47"/>
      <x:c r="DC365" s="60"/>
      <x:c r="DD365" s="58"/>
      <x:c r="DE365" s="47"/>
      <x:c r="DF365" s="60"/>
      <x:c r="DG365" s="58"/>
      <x:c r="DH365" s="47"/>
      <x:c r="DI365" s="60"/>
      <x:c r="DJ365" s="58"/>
      <x:c r="DK365" s="47"/>
      <x:c r="DL365" s="60"/>
      <x:c r="DM365" s="58"/>
      <x:c r="DN365" s="11"/>
      <x:c r="DO365" s="61"/>
      <x:c r="DP365" s="62"/>
      <x:c r="DQ365" s="11"/>
      <x:c r="DR365" s="61"/>
      <x:c r="DS365" s="62"/>
      <x:c r="DT365" s="11"/>
      <x:c r="DU365" s="61"/>
      <x:c r="DV365" s="62"/>
    </x:row>
    <x:row r="366" spans="1:126" x14ac:dyDescent="0.3">
      <x:c r="A366" s="47"/>
      <x:c r="B366" s="70"/>
      <x:c r="C366" s="70"/>
      <x:c r="D366" s="70"/>
      <x:c r="E366" s="70"/>
      <x:c r="F366" s="70"/>
      <x:c r="G366" s="70"/>
      <x:c r="H366" s="70"/>
      <x:c r="I366" s="70"/>
      <x:c r="J366" s="70"/>
      <x:c r="K366" s="190"/>
      <x:c r="L366" s="195"/>
      <x:c r="M366" s="192"/>
      <x:c r="N366" s="192"/>
      <x:c r="O366" s="69"/>
      <x:c r="P366" s="47"/>
      <x:c r="Q366" s="60"/>
      <x:c r="R366" s="58"/>
      <x:c r="S366" s="47"/>
      <x:c r="T366" s="60"/>
      <x:c r="U366" s="58"/>
      <x:c r="V366" s="47"/>
      <x:c r="W366" s="60"/>
      <x:c r="X366" s="58"/>
      <x:c r="Y366" s="47"/>
      <x:c r="Z366" s="60"/>
      <x:c r="AA366" s="58"/>
      <x:c r="AB366" s="47"/>
      <x:c r="AC366" s="60"/>
      <x:c r="AD366" s="58"/>
      <x:c r="AE366" s="47"/>
      <x:c r="AF366" s="60"/>
      <x:c r="AG366" s="58"/>
      <x:c r="AH366" s="47"/>
      <x:c r="AI366" s="60"/>
      <x:c r="AJ366" s="58"/>
      <x:c r="AK366" s="47"/>
      <x:c r="AL366" s="60"/>
      <x:c r="AM366" s="58"/>
      <x:c r="AN366" s="47"/>
      <x:c r="AO366" s="60"/>
      <x:c r="AP366" s="58"/>
      <x:c r="AQ366" s="47"/>
      <x:c r="AR366" s="60"/>
      <x:c r="AS366" s="58"/>
      <x:c r="AT366" s="47"/>
      <x:c r="AU366" s="60"/>
      <x:c r="AV366" s="58"/>
      <x:c r="AW366" s="47"/>
      <x:c r="AX366" s="60"/>
      <x:c r="AY366" s="58"/>
      <x:c r="AZ366" s="47"/>
      <x:c r="BA366" s="60"/>
      <x:c r="BB366" s="58"/>
      <x:c r="BC366" s="47"/>
      <x:c r="BD366" s="60"/>
      <x:c r="BE366" s="58"/>
      <x:c r="BF366" s="47"/>
      <x:c r="BG366" s="60"/>
      <x:c r="BH366" s="58"/>
      <x:c r="BI366" s="47"/>
      <x:c r="BJ366" s="60"/>
      <x:c r="BK366" s="58"/>
      <x:c r="BL366" s="47"/>
      <x:c r="BM366" s="60"/>
      <x:c r="BN366" s="58"/>
      <x:c r="BO366" s="47"/>
      <x:c r="BP366" s="60"/>
      <x:c r="BQ366" s="58"/>
      <x:c r="BR366" s="47"/>
      <x:c r="BS366" s="60"/>
      <x:c r="BT366" s="58"/>
      <x:c r="BU366" s="47"/>
      <x:c r="BV366" s="60"/>
      <x:c r="BW366" s="58"/>
      <x:c r="BX366" s="47"/>
      <x:c r="BY366" s="60"/>
      <x:c r="BZ366" s="58"/>
      <x:c r="CA366" s="47"/>
      <x:c r="CB366" s="60"/>
      <x:c r="CC366" s="58"/>
      <x:c r="CD366" s="47"/>
      <x:c r="CE366" s="60"/>
      <x:c r="CF366" s="58"/>
      <x:c r="CG366" s="47"/>
      <x:c r="CH366" s="60"/>
      <x:c r="CI366" s="58"/>
      <x:c r="CJ366" s="47"/>
      <x:c r="CK366" s="60"/>
      <x:c r="CL366" s="58"/>
      <x:c r="CM366" s="47"/>
      <x:c r="CN366" s="60"/>
      <x:c r="CO366" s="58"/>
      <x:c r="CP366" s="47"/>
      <x:c r="CQ366" s="60"/>
      <x:c r="CR366" s="58"/>
      <x:c r="CS366" s="47"/>
      <x:c r="CT366" s="60"/>
      <x:c r="CU366" s="58"/>
      <x:c r="CV366" s="47"/>
      <x:c r="CW366" s="60"/>
      <x:c r="CX366" s="58"/>
      <x:c r="CY366" s="47"/>
      <x:c r="CZ366" s="60"/>
      <x:c r="DA366" s="58"/>
      <x:c r="DB366" s="47"/>
      <x:c r="DC366" s="60"/>
      <x:c r="DD366" s="58"/>
      <x:c r="DE366" s="47"/>
      <x:c r="DF366" s="60"/>
      <x:c r="DG366" s="58"/>
      <x:c r="DH366" s="47"/>
      <x:c r="DI366" s="60"/>
      <x:c r="DJ366" s="58"/>
      <x:c r="DK366" s="47"/>
      <x:c r="DL366" s="60"/>
      <x:c r="DM366" s="58"/>
      <x:c r="DN366" s="11"/>
      <x:c r="DO366" s="61"/>
      <x:c r="DP366" s="62"/>
      <x:c r="DQ366" s="11"/>
      <x:c r="DR366" s="61"/>
      <x:c r="DS366" s="62"/>
      <x:c r="DT366" s="11"/>
      <x:c r="DU366" s="61"/>
      <x:c r="DV366" s="62"/>
    </x:row>
    <x:row r="367" spans="1:126" x14ac:dyDescent="0.3">
      <x:c r="A367" s="47"/>
      <x:c r="B367" s="70"/>
      <x:c r="C367" s="70"/>
      <x:c r="D367" s="70"/>
      <x:c r="E367" s="70"/>
      <x:c r="F367" s="70"/>
      <x:c r="G367" s="70"/>
      <x:c r="H367" s="70"/>
      <x:c r="I367" s="70"/>
      <x:c r="J367" s="70"/>
      <x:c r="K367" s="190"/>
      <x:c r="L367" s="195"/>
      <x:c r="M367" s="192"/>
      <x:c r="N367" s="192"/>
      <x:c r="O367" s="69"/>
      <x:c r="P367" s="47"/>
      <x:c r="Q367" s="60"/>
      <x:c r="R367" s="58"/>
      <x:c r="S367" s="47"/>
      <x:c r="T367" s="60"/>
      <x:c r="U367" s="58"/>
      <x:c r="V367" s="47"/>
      <x:c r="W367" s="60"/>
      <x:c r="X367" s="58"/>
      <x:c r="Y367" s="47"/>
      <x:c r="Z367" s="60"/>
      <x:c r="AA367" s="58"/>
      <x:c r="AB367" s="47"/>
      <x:c r="AC367" s="60"/>
      <x:c r="AD367" s="58"/>
      <x:c r="AE367" s="47"/>
      <x:c r="AF367" s="60"/>
      <x:c r="AG367" s="58"/>
      <x:c r="AH367" s="47"/>
      <x:c r="AI367" s="60"/>
      <x:c r="AJ367" s="58"/>
      <x:c r="AK367" s="47"/>
      <x:c r="AL367" s="60"/>
      <x:c r="AM367" s="58"/>
      <x:c r="AN367" s="47"/>
      <x:c r="AO367" s="60"/>
      <x:c r="AP367" s="58"/>
      <x:c r="AQ367" s="47"/>
      <x:c r="AR367" s="60"/>
      <x:c r="AS367" s="58"/>
      <x:c r="AT367" s="47"/>
      <x:c r="AU367" s="60"/>
      <x:c r="AV367" s="58"/>
      <x:c r="AW367" s="47"/>
      <x:c r="AX367" s="60"/>
      <x:c r="AY367" s="58"/>
      <x:c r="AZ367" s="47"/>
      <x:c r="BA367" s="60"/>
      <x:c r="BB367" s="58"/>
      <x:c r="BC367" s="47"/>
      <x:c r="BD367" s="60"/>
      <x:c r="BE367" s="58"/>
      <x:c r="BF367" s="47"/>
      <x:c r="BG367" s="60"/>
      <x:c r="BH367" s="58"/>
      <x:c r="BI367" s="47"/>
      <x:c r="BJ367" s="60"/>
      <x:c r="BK367" s="58"/>
      <x:c r="BL367" s="47"/>
      <x:c r="BM367" s="60"/>
      <x:c r="BN367" s="58"/>
      <x:c r="BO367" s="47"/>
      <x:c r="BP367" s="60"/>
      <x:c r="BQ367" s="58"/>
      <x:c r="BR367" s="47"/>
      <x:c r="BS367" s="60"/>
      <x:c r="BT367" s="58"/>
      <x:c r="BU367" s="47"/>
      <x:c r="BV367" s="60"/>
      <x:c r="BW367" s="58"/>
      <x:c r="BX367" s="47"/>
      <x:c r="BY367" s="60"/>
      <x:c r="BZ367" s="58"/>
      <x:c r="CA367" s="47"/>
      <x:c r="CB367" s="60"/>
      <x:c r="CC367" s="58"/>
      <x:c r="CD367" s="47"/>
      <x:c r="CE367" s="60"/>
      <x:c r="CF367" s="58"/>
      <x:c r="CG367" s="47"/>
      <x:c r="CH367" s="60"/>
      <x:c r="CI367" s="58"/>
      <x:c r="CJ367" s="47"/>
      <x:c r="CK367" s="60"/>
      <x:c r="CL367" s="58"/>
      <x:c r="CM367" s="47"/>
      <x:c r="CN367" s="60"/>
      <x:c r="CO367" s="58"/>
      <x:c r="CP367" s="47"/>
      <x:c r="CQ367" s="60"/>
      <x:c r="CR367" s="58"/>
      <x:c r="CS367" s="47"/>
      <x:c r="CT367" s="60"/>
      <x:c r="CU367" s="58"/>
      <x:c r="CV367" s="47"/>
      <x:c r="CW367" s="60"/>
      <x:c r="CX367" s="58"/>
      <x:c r="CY367" s="47"/>
      <x:c r="CZ367" s="60"/>
      <x:c r="DA367" s="58"/>
      <x:c r="DB367" s="47"/>
      <x:c r="DC367" s="60"/>
      <x:c r="DD367" s="58"/>
      <x:c r="DE367" s="47"/>
      <x:c r="DF367" s="60"/>
      <x:c r="DG367" s="58"/>
      <x:c r="DH367" s="47"/>
      <x:c r="DI367" s="60"/>
      <x:c r="DJ367" s="58"/>
      <x:c r="DK367" s="47"/>
      <x:c r="DL367" s="60"/>
      <x:c r="DM367" s="58"/>
      <x:c r="DN367" s="11"/>
      <x:c r="DO367" s="61"/>
      <x:c r="DP367" s="62"/>
      <x:c r="DQ367" s="11"/>
      <x:c r="DR367" s="61"/>
      <x:c r="DS367" s="62"/>
      <x:c r="DT367" s="11"/>
      <x:c r="DU367" s="61"/>
      <x:c r="DV367" s="62"/>
    </x:row>
    <x:row r="368" spans="1:126" x14ac:dyDescent="0.3">
      <x:c r="A368" s="47"/>
      <x:c r="B368" s="70"/>
      <x:c r="C368" s="70"/>
      <x:c r="D368" s="70"/>
      <x:c r="E368" s="70"/>
      <x:c r="F368" s="70"/>
      <x:c r="G368" s="70"/>
      <x:c r="H368" s="70"/>
      <x:c r="I368" s="70"/>
      <x:c r="J368" s="70"/>
      <x:c r="K368" s="190"/>
      <x:c r="L368" s="195"/>
      <x:c r="M368" s="192"/>
      <x:c r="N368" s="192"/>
      <x:c r="O368" s="69"/>
      <x:c r="P368" s="47"/>
      <x:c r="Q368" s="60"/>
      <x:c r="R368" s="58"/>
      <x:c r="S368" s="47"/>
      <x:c r="T368" s="60"/>
      <x:c r="U368" s="58"/>
      <x:c r="V368" s="47"/>
      <x:c r="W368" s="60"/>
      <x:c r="X368" s="58"/>
      <x:c r="Y368" s="47"/>
      <x:c r="Z368" s="60"/>
      <x:c r="AA368" s="58"/>
      <x:c r="AB368" s="47"/>
      <x:c r="AC368" s="60"/>
      <x:c r="AD368" s="58"/>
      <x:c r="AE368" s="47"/>
      <x:c r="AF368" s="60"/>
      <x:c r="AG368" s="58"/>
      <x:c r="AH368" s="47"/>
      <x:c r="AI368" s="60"/>
      <x:c r="AJ368" s="58"/>
      <x:c r="AK368" s="47"/>
      <x:c r="AL368" s="60"/>
      <x:c r="AM368" s="58"/>
      <x:c r="AN368" s="47"/>
      <x:c r="AO368" s="60"/>
      <x:c r="AP368" s="58"/>
      <x:c r="AQ368" s="47"/>
      <x:c r="AR368" s="60"/>
      <x:c r="AS368" s="58"/>
      <x:c r="AT368" s="47"/>
      <x:c r="AU368" s="60"/>
      <x:c r="AV368" s="58"/>
      <x:c r="AW368" s="47"/>
      <x:c r="AX368" s="60"/>
      <x:c r="AY368" s="58"/>
      <x:c r="AZ368" s="47"/>
      <x:c r="BA368" s="60"/>
      <x:c r="BB368" s="58"/>
      <x:c r="BC368" s="47"/>
      <x:c r="BD368" s="60"/>
      <x:c r="BE368" s="58"/>
      <x:c r="BF368" s="47"/>
      <x:c r="BG368" s="60"/>
      <x:c r="BH368" s="58"/>
      <x:c r="BI368" s="47"/>
      <x:c r="BJ368" s="60"/>
      <x:c r="BK368" s="58"/>
      <x:c r="BL368" s="47"/>
      <x:c r="BM368" s="60"/>
      <x:c r="BN368" s="58"/>
      <x:c r="BO368" s="47"/>
      <x:c r="BP368" s="60"/>
      <x:c r="BQ368" s="58"/>
      <x:c r="BR368" s="47"/>
      <x:c r="BS368" s="60"/>
      <x:c r="BT368" s="58"/>
      <x:c r="BU368" s="47"/>
      <x:c r="BV368" s="60"/>
      <x:c r="BW368" s="58"/>
      <x:c r="BX368" s="47"/>
      <x:c r="BY368" s="60"/>
      <x:c r="BZ368" s="58"/>
      <x:c r="CA368" s="47"/>
      <x:c r="CB368" s="60"/>
      <x:c r="CC368" s="58"/>
      <x:c r="CD368" s="47"/>
      <x:c r="CE368" s="60"/>
      <x:c r="CF368" s="58"/>
      <x:c r="CG368" s="47"/>
      <x:c r="CH368" s="60"/>
      <x:c r="CI368" s="58"/>
      <x:c r="CJ368" s="47"/>
      <x:c r="CK368" s="60"/>
      <x:c r="CL368" s="58"/>
      <x:c r="CM368" s="47"/>
      <x:c r="CN368" s="60"/>
      <x:c r="CO368" s="58"/>
      <x:c r="CP368" s="47"/>
      <x:c r="CQ368" s="60"/>
      <x:c r="CR368" s="58"/>
      <x:c r="CS368" s="47"/>
      <x:c r="CT368" s="60"/>
      <x:c r="CU368" s="58"/>
      <x:c r="CV368" s="47"/>
      <x:c r="CW368" s="60"/>
      <x:c r="CX368" s="58"/>
      <x:c r="CY368" s="47"/>
      <x:c r="CZ368" s="60"/>
      <x:c r="DA368" s="58"/>
      <x:c r="DB368" s="47"/>
      <x:c r="DC368" s="60"/>
      <x:c r="DD368" s="58"/>
      <x:c r="DE368" s="47"/>
      <x:c r="DF368" s="60"/>
      <x:c r="DG368" s="58"/>
      <x:c r="DH368" s="47"/>
      <x:c r="DI368" s="60"/>
      <x:c r="DJ368" s="58"/>
      <x:c r="DK368" s="47"/>
      <x:c r="DL368" s="60"/>
      <x:c r="DM368" s="58"/>
      <x:c r="DN368" s="11"/>
      <x:c r="DO368" s="61"/>
      <x:c r="DP368" s="62"/>
      <x:c r="DQ368" s="11"/>
      <x:c r="DR368" s="61"/>
      <x:c r="DS368" s="62"/>
      <x:c r="DT368" s="11"/>
      <x:c r="DU368" s="61"/>
      <x:c r="DV368" s="62"/>
    </x:row>
    <x:row r="369" spans="1:126" x14ac:dyDescent="0.3">
      <x:c r="A369" s="47"/>
      <x:c r="B369" s="70"/>
      <x:c r="C369" s="70"/>
      <x:c r="D369" s="70"/>
      <x:c r="E369" s="70"/>
      <x:c r="F369" s="70"/>
      <x:c r="G369" s="70"/>
      <x:c r="H369" s="70"/>
      <x:c r="I369" s="70"/>
      <x:c r="J369" s="70"/>
      <x:c r="K369" s="190"/>
      <x:c r="L369" s="195"/>
      <x:c r="M369" s="192"/>
      <x:c r="N369" s="192"/>
      <x:c r="O369" s="69"/>
      <x:c r="P369" s="47"/>
      <x:c r="Q369" s="60"/>
      <x:c r="R369" s="58"/>
      <x:c r="S369" s="47"/>
      <x:c r="T369" s="60"/>
      <x:c r="U369" s="58"/>
      <x:c r="V369" s="47"/>
      <x:c r="W369" s="60"/>
      <x:c r="X369" s="58"/>
      <x:c r="Y369" s="47"/>
      <x:c r="Z369" s="60"/>
      <x:c r="AA369" s="58"/>
      <x:c r="AB369" s="47"/>
      <x:c r="AC369" s="60"/>
      <x:c r="AD369" s="58"/>
      <x:c r="AE369" s="47"/>
      <x:c r="AF369" s="60"/>
      <x:c r="AG369" s="58"/>
      <x:c r="AH369" s="47"/>
      <x:c r="AI369" s="60"/>
      <x:c r="AJ369" s="58"/>
      <x:c r="AK369" s="47"/>
      <x:c r="AL369" s="60"/>
      <x:c r="AM369" s="58"/>
      <x:c r="AN369" s="47"/>
      <x:c r="AO369" s="60"/>
      <x:c r="AP369" s="58"/>
      <x:c r="AQ369" s="47"/>
      <x:c r="AR369" s="60"/>
      <x:c r="AS369" s="58"/>
      <x:c r="AT369" s="47"/>
      <x:c r="AU369" s="60"/>
      <x:c r="AV369" s="58"/>
      <x:c r="AW369" s="47"/>
      <x:c r="AX369" s="60"/>
      <x:c r="AY369" s="58"/>
      <x:c r="AZ369" s="47"/>
      <x:c r="BA369" s="60"/>
      <x:c r="BB369" s="58"/>
      <x:c r="BC369" s="47"/>
      <x:c r="BD369" s="60"/>
      <x:c r="BE369" s="58"/>
      <x:c r="BF369" s="47"/>
      <x:c r="BG369" s="60"/>
      <x:c r="BH369" s="58"/>
      <x:c r="BI369" s="47"/>
      <x:c r="BJ369" s="60"/>
      <x:c r="BK369" s="58"/>
      <x:c r="BL369" s="47"/>
      <x:c r="BM369" s="60"/>
      <x:c r="BN369" s="58"/>
      <x:c r="BO369" s="47"/>
      <x:c r="BP369" s="60"/>
      <x:c r="BQ369" s="58"/>
      <x:c r="BR369" s="47"/>
      <x:c r="BS369" s="60"/>
      <x:c r="BT369" s="58"/>
      <x:c r="BU369" s="47"/>
      <x:c r="BV369" s="60"/>
      <x:c r="BW369" s="58"/>
      <x:c r="BX369" s="47"/>
      <x:c r="BY369" s="60"/>
      <x:c r="BZ369" s="58"/>
      <x:c r="CA369" s="47"/>
      <x:c r="CB369" s="60"/>
      <x:c r="CC369" s="58"/>
      <x:c r="CD369" s="47"/>
      <x:c r="CE369" s="60"/>
      <x:c r="CF369" s="58"/>
      <x:c r="CG369" s="47"/>
      <x:c r="CH369" s="60"/>
      <x:c r="CI369" s="58"/>
      <x:c r="CJ369" s="47"/>
      <x:c r="CK369" s="60"/>
      <x:c r="CL369" s="58"/>
      <x:c r="CM369" s="47"/>
      <x:c r="CN369" s="60"/>
      <x:c r="CO369" s="58"/>
      <x:c r="CP369" s="47"/>
      <x:c r="CQ369" s="60"/>
      <x:c r="CR369" s="58"/>
      <x:c r="CS369" s="47"/>
      <x:c r="CT369" s="60"/>
      <x:c r="CU369" s="58"/>
      <x:c r="CV369" s="47"/>
      <x:c r="CW369" s="60"/>
      <x:c r="CX369" s="58"/>
      <x:c r="CY369" s="47"/>
      <x:c r="CZ369" s="60"/>
      <x:c r="DA369" s="58"/>
      <x:c r="DB369" s="47"/>
      <x:c r="DC369" s="60"/>
      <x:c r="DD369" s="58"/>
      <x:c r="DE369" s="47"/>
      <x:c r="DF369" s="60"/>
      <x:c r="DG369" s="58"/>
      <x:c r="DH369" s="47"/>
      <x:c r="DI369" s="60"/>
      <x:c r="DJ369" s="58"/>
      <x:c r="DK369" s="47"/>
      <x:c r="DL369" s="60"/>
      <x:c r="DM369" s="58"/>
      <x:c r="DN369" s="11"/>
      <x:c r="DO369" s="61"/>
      <x:c r="DP369" s="62"/>
      <x:c r="DQ369" s="11"/>
      <x:c r="DR369" s="61"/>
      <x:c r="DS369" s="62"/>
      <x:c r="DT369" s="11"/>
      <x:c r="DU369" s="61"/>
      <x:c r="DV369" s="62"/>
    </x:row>
    <x:row r="370" spans="1:126" x14ac:dyDescent="0.3">
      <x:c r="A370" s="47"/>
      <x:c r="B370" s="70"/>
      <x:c r="C370" s="70"/>
      <x:c r="D370" s="70"/>
      <x:c r="E370" s="70"/>
      <x:c r="F370" s="70"/>
      <x:c r="G370" s="70"/>
      <x:c r="H370" s="70"/>
      <x:c r="I370" s="70"/>
      <x:c r="J370" s="70"/>
      <x:c r="K370" s="190"/>
      <x:c r="L370" s="195"/>
      <x:c r="M370" s="192"/>
      <x:c r="N370" s="192"/>
      <x:c r="O370" s="69"/>
      <x:c r="P370" s="47"/>
      <x:c r="Q370" s="60"/>
      <x:c r="R370" s="58"/>
      <x:c r="S370" s="47"/>
      <x:c r="T370" s="60"/>
      <x:c r="U370" s="58"/>
      <x:c r="V370" s="47"/>
      <x:c r="W370" s="60"/>
      <x:c r="X370" s="58"/>
      <x:c r="Y370" s="47"/>
      <x:c r="Z370" s="60"/>
      <x:c r="AA370" s="58"/>
      <x:c r="AB370" s="47"/>
      <x:c r="AC370" s="60"/>
      <x:c r="AD370" s="58"/>
      <x:c r="AE370" s="47"/>
      <x:c r="AF370" s="60"/>
      <x:c r="AG370" s="58"/>
      <x:c r="AH370" s="47"/>
      <x:c r="AI370" s="60"/>
      <x:c r="AJ370" s="58"/>
      <x:c r="AK370" s="47"/>
      <x:c r="AL370" s="60"/>
      <x:c r="AM370" s="58"/>
      <x:c r="AN370" s="47"/>
      <x:c r="AO370" s="60"/>
      <x:c r="AP370" s="58"/>
      <x:c r="AQ370" s="47"/>
      <x:c r="AR370" s="60"/>
      <x:c r="AS370" s="58"/>
      <x:c r="AT370" s="47"/>
      <x:c r="AU370" s="60"/>
      <x:c r="AV370" s="58"/>
      <x:c r="AW370" s="47"/>
      <x:c r="AX370" s="60"/>
      <x:c r="AY370" s="58"/>
      <x:c r="AZ370" s="47"/>
      <x:c r="BA370" s="60"/>
      <x:c r="BB370" s="58"/>
      <x:c r="BC370" s="47"/>
      <x:c r="BD370" s="60"/>
      <x:c r="BE370" s="58"/>
      <x:c r="BF370" s="47"/>
      <x:c r="BG370" s="60"/>
      <x:c r="BH370" s="58"/>
      <x:c r="BI370" s="47"/>
      <x:c r="BJ370" s="60"/>
      <x:c r="BK370" s="58"/>
      <x:c r="BL370" s="47"/>
      <x:c r="BM370" s="60"/>
      <x:c r="BN370" s="58"/>
      <x:c r="BO370" s="47"/>
      <x:c r="BP370" s="60"/>
      <x:c r="BQ370" s="58"/>
      <x:c r="BR370" s="47"/>
      <x:c r="BS370" s="60"/>
      <x:c r="BT370" s="58"/>
      <x:c r="BU370" s="47"/>
      <x:c r="BV370" s="60"/>
      <x:c r="BW370" s="58"/>
      <x:c r="BX370" s="47"/>
      <x:c r="BY370" s="60"/>
      <x:c r="BZ370" s="58"/>
      <x:c r="CA370" s="47"/>
      <x:c r="CB370" s="60"/>
      <x:c r="CC370" s="58"/>
      <x:c r="CD370" s="47"/>
      <x:c r="CE370" s="60"/>
      <x:c r="CF370" s="58"/>
      <x:c r="CG370" s="47"/>
      <x:c r="CH370" s="60"/>
      <x:c r="CI370" s="58"/>
      <x:c r="CJ370" s="47"/>
      <x:c r="CK370" s="60"/>
      <x:c r="CL370" s="58"/>
      <x:c r="CM370" s="47"/>
      <x:c r="CN370" s="60"/>
      <x:c r="CO370" s="58"/>
      <x:c r="CP370" s="47"/>
      <x:c r="CQ370" s="60"/>
      <x:c r="CR370" s="58"/>
      <x:c r="CS370" s="47"/>
      <x:c r="CT370" s="60"/>
      <x:c r="CU370" s="58"/>
      <x:c r="CV370" s="47"/>
      <x:c r="CW370" s="60"/>
      <x:c r="CX370" s="58"/>
      <x:c r="CY370" s="47"/>
      <x:c r="CZ370" s="60"/>
      <x:c r="DA370" s="58"/>
      <x:c r="DB370" s="47"/>
      <x:c r="DC370" s="60"/>
      <x:c r="DD370" s="58"/>
      <x:c r="DE370" s="47"/>
      <x:c r="DF370" s="60"/>
      <x:c r="DG370" s="58"/>
      <x:c r="DH370" s="47"/>
      <x:c r="DI370" s="60"/>
      <x:c r="DJ370" s="58"/>
      <x:c r="DK370" s="47"/>
      <x:c r="DL370" s="60"/>
      <x:c r="DM370" s="58"/>
      <x:c r="DN370" s="11"/>
      <x:c r="DO370" s="61"/>
      <x:c r="DP370" s="62"/>
      <x:c r="DQ370" s="11"/>
      <x:c r="DR370" s="61"/>
      <x:c r="DS370" s="62"/>
      <x:c r="DT370" s="11"/>
      <x:c r="DU370" s="61"/>
      <x:c r="DV370" s="62"/>
    </x:row>
    <x:row r="371" spans="1:126" x14ac:dyDescent="0.3">
      <x:c r="A371" s="47"/>
      <x:c r="B371" s="70"/>
      <x:c r="C371" s="70"/>
      <x:c r="D371" s="70"/>
      <x:c r="E371" s="70"/>
      <x:c r="F371" s="70"/>
      <x:c r="G371" s="70"/>
      <x:c r="H371" s="70"/>
      <x:c r="I371" s="70"/>
      <x:c r="J371" s="70"/>
      <x:c r="K371" s="190"/>
      <x:c r="L371" s="195"/>
      <x:c r="M371" s="192"/>
      <x:c r="N371" s="192"/>
      <x:c r="O371" s="69"/>
      <x:c r="P371" s="47"/>
      <x:c r="Q371" s="60"/>
      <x:c r="R371" s="58"/>
      <x:c r="S371" s="47"/>
      <x:c r="T371" s="60"/>
      <x:c r="U371" s="58"/>
      <x:c r="V371" s="47"/>
      <x:c r="W371" s="60"/>
      <x:c r="X371" s="58"/>
      <x:c r="Y371" s="47"/>
      <x:c r="Z371" s="60"/>
      <x:c r="AA371" s="58"/>
      <x:c r="AB371" s="47"/>
      <x:c r="AC371" s="60"/>
      <x:c r="AD371" s="58"/>
      <x:c r="AE371" s="47"/>
      <x:c r="AF371" s="60"/>
      <x:c r="AG371" s="58"/>
      <x:c r="AH371" s="47"/>
      <x:c r="AI371" s="60"/>
      <x:c r="AJ371" s="58"/>
      <x:c r="AK371" s="47"/>
      <x:c r="AL371" s="60"/>
      <x:c r="AM371" s="58"/>
      <x:c r="AN371" s="47"/>
      <x:c r="AO371" s="60"/>
      <x:c r="AP371" s="58"/>
      <x:c r="AQ371" s="47"/>
      <x:c r="AR371" s="60"/>
      <x:c r="AS371" s="58"/>
      <x:c r="AT371" s="47"/>
      <x:c r="AU371" s="60"/>
      <x:c r="AV371" s="58"/>
      <x:c r="AW371" s="47"/>
      <x:c r="AX371" s="60"/>
      <x:c r="AY371" s="58"/>
      <x:c r="AZ371" s="47"/>
      <x:c r="BA371" s="60"/>
      <x:c r="BB371" s="58"/>
      <x:c r="BC371" s="47"/>
      <x:c r="BD371" s="60"/>
      <x:c r="BE371" s="58"/>
      <x:c r="BF371" s="47"/>
      <x:c r="BG371" s="60"/>
      <x:c r="BH371" s="58"/>
      <x:c r="BI371" s="47"/>
      <x:c r="BJ371" s="60"/>
      <x:c r="BK371" s="58"/>
      <x:c r="BL371" s="47"/>
      <x:c r="BM371" s="60"/>
      <x:c r="BN371" s="58"/>
      <x:c r="BO371" s="47"/>
      <x:c r="BP371" s="60"/>
      <x:c r="BQ371" s="58"/>
      <x:c r="BR371" s="47"/>
      <x:c r="BS371" s="60"/>
      <x:c r="BT371" s="58"/>
      <x:c r="BU371" s="47"/>
      <x:c r="BV371" s="60"/>
      <x:c r="BW371" s="58"/>
      <x:c r="BX371" s="47"/>
      <x:c r="BY371" s="60"/>
      <x:c r="BZ371" s="58"/>
      <x:c r="CA371" s="47"/>
      <x:c r="CB371" s="60"/>
      <x:c r="CC371" s="58"/>
      <x:c r="CD371" s="47"/>
      <x:c r="CE371" s="60"/>
      <x:c r="CF371" s="58"/>
      <x:c r="CG371" s="47"/>
      <x:c r="CH371" s="60"/>
      <x:c r="CI371" s="58"/>
      <x:c r="CJ371" s="47"/>
      <x:c r="CK371" s="60"/>
      <x:c r="CL371" s="58"/>
      <x:c r="CM371" s="47"/>
      <x:c r="CN371" s="60"/>
      <x:c r="CO371" s="58"/>
      <x:c r="CP371" s="47"/>
      <x:c r="CQ371" s="60"/>
      <x:c r="CR371" s="58"/>
      <x:c r="CS371" s="47"/>
      <x:c r="CT371" s="60"/>
      <x:c r="CU371" s="58"/>
      <x:c r="CV371" s="47"/>
      <x:c r="CW371" s="60"/>
      <x:c r="CX371" s="58"/>
      <x:c r="CY371" s="47"/>
      <x:c r="CZ371" s="60"/>
      <x:c r="DA371" s="58"/>
      <x:c r="DB371" s="47"/>
      <x:c r="DC371" s="60"/>
      <x:c r="DD371" s="58"/>
      <x:c r="DE371" s="47"/>
      <x:c r="DF371" s="60"/>
      <x:c r="DG371" s="58"/>
      <x:c r="DH371" s="47"/>
      <x:c r="DI371" s="60"/>
      <x:c r="DJ371" s="58"/>
      <x:c r="DK371" s="47"/>
      <x:c r="DL371" s="60"/>
      <x:c r="DM371" s="58"/>
      <x:c r="DN371" s="11"/>
      <x:c r="DO371" s="61"/>
      <x:c r="DP371" s="62"/>
      <x:c r="DQ371" s="11"/>
      <x:c r="DR371" s="61"/>
      <x:c r="DS371" s="62"/>
      <x:c r="DT371" s="11"/>
      <x:c r="DU371" s="61"/>
      <x:c r="DV371" s="62"/>
    </x:row>
    <x:row r="372" spans="1:126" x14ac:dyDescent="0.3">
      <x:c r="A372" s="47"/>
      <x:c r="B372" s="70"/>
      <x:c r="C372" s="70"/>
      <x:c r="D372" s="70"/>
      <x:c r="E372" s="70"/>
      <x:c r="F372" s="70"/>
      <x:c r="G372" s="70"/>
      <x:c r="H372" s="70"/>
      <x:c r="I372" s="70"/>
      <x:c r="J372" s="70"/>
      <x:c r="K372" s="190"/>
      <x:c r="L372" s="195"/>
      <x:c r="M372" s="192"/>
      <x:c r="N372" s="192"/>
      <x:c r="O372" s="69"/>
      <x:c r="P372" s="47"/>
      <x:c r="Q372" s="60"/>
      <x:c r="R372" s="58"/>
      <x:c r="S372" s="47"/>
      <x:c r="T372" s="60"/>
      <x:c r="U372" s="58"/>
      <x:c r="V372" s="47"/>
      <x:c r="W372" s="60"/>
      <x:c r="X372" s="58"/>
      <x:c r="Y372" s="47"/>
      <x:c r="Z372" s="60"/>
      <x:c r="AA372" s="58"/>
      <x:c r="AB372" s="47"/>
      <x:c r="AC372" s="60"/>
      <x:c r="AD372" s="58"/>
      <x:c r="AE372" s="47"/>
      <x:c r="AF372" s="60"/>
      <x:c r="AG372" s="58"/>
      <x:c r="AH372" s="47"/>
      <x:c r="AI372" s="60"/>
      <x:c r="AJ372" s="58"/>
      <x:c r="AK372" s="47"/>
      <x:c r="AL372" s="60"/>
      <x:c r="AM372" s="58"/>
      <x:c r="AN372" s="47"/>
      <x:c r="AO372" s="60"/>
      <x:c r="AP372" s="58"/>
      <x:c r="AQ372" s="47"/>
      <x:c r="AR372" s="60"/>
      <x:c r="AS372" s="58"/>
      <x:c r="AT372" s="47"/>
      <x:c r="AU372" s="60"/>
      <x:c r="AV372" s="58"/>
      <x:c r="AW372" s="47"/>
      <x:c r="AX372" s="60"/>
      <x:c r="AY372" s="58"/>
      <x:c r="AZ372" s="47"/>
      <x:c r="BA372" s="60"/>
      <x:c r="BB372" s="58"/>
      <x:c r="BC372" s="47"/>
      <x:c r="BD372" s="60"/>
      <x:c r="BE372" s="58"/>
      <x:c r="BF372" s="47"/>
      <x:c r="BG372" s="60"/>
      <x:c r="BH372" s="58"/>
      <x:c r="BI372" s="47"/>
      <x:c r="BJ372" s="60"/>
      <x:c r="BK372" s="58"/>
      <x:c r="BL372" s="47"/>
      <x:c r="BM372" s="60"/>
      <x:c r="BN372" s="58"/>
      <x:c r="BO372" s="47"/>
      <x:c r="BP372" s="60"/>
      <x:c r="BQ372" s="58"/>
      <x:c r="BR372" s="47"/>
      <x:c r="BS372" s="60"/>
      <x:c r="BT372" s="58"/>
      <x:c r="BU372" s="47"/>
      <x:c r="BV372" s="60"/>
      <x:c r="BW372" s="58"/>
      <x:c r="BX372" s="47"/>
      <x:c r="BY372" s="60"/>
      <x:c r="BZ372" s="58"/>
      <x:c r="CA372" s="47"/>
      <x:c r="CB372" s="60"/>
      <x:c r="CC372" s="58"/>
      <x:c r="CD372" s="47"/>
      <x:c r="CE372" s="60"/>
      <x:c r="CF372" s="58"/>
      <x:c r="CG372" s="47"/>
      <x:c r="CH372" s="60"/>
      <x:c r="CI372" s="58"/>
      <x:c r="CJ372" s="47"/>
      <x:c r="CK372" s="60"/>
      <x:c r="CL372" s="58"/>
      <x:c r="CM372" s="47"/>
      <x:c r="CN372" s="60"/>
      <x:c r="CO372" s="58"/>
      <x:c r="CP372" s="47"/>
      <x:c r="CQ372" s="60"/>
      <x:c r="CR372" s="58"/>
      <x:c r="CS372" s="47"/>
      <x:c r="CT372" s="60"/>
      <x:c r="CU372" s="58"/>
      <x:c r="CV372" s="47"/>
      <x:c r="CW372" s="60"/>
      <x:c r="CX372" s="58"/>
      <x:c r="CY372" s="47"/>
      <x:c r="CZ372" s="60"/>
      <x:c r="DA372" s="58"/>
      <x:c r="DB372" s="47"/>
      <x:c r="DC372" s="60"/>
      <x:c r="DD372" s="58"/>
      <x:c r="DE372" s="47"/>
      <x:c r="DF372" s="60"/>
      <x:c r="DG372" s="58"/>
      <x:c r="DH372" s="47"/>
      <x:c r="DI372" s="60"/>
      <x:c r="DJ372" s="58"/>
      <x:c r="DK372" s="47"/>
      <x:c r="DL372" s="60"/>
      <x:c r="DM372" s="58"/>
      <x:c r="DN372" s="11"/>
      <x:c r="DO372" s="61"/>
      <x:c r="DP372" s="62"/>
      <x:c r="DQ372" s="11"/>
      <x:c r="DR372" s="61"/>
      <x:c r="DS372" s="62"/>
      <x:c r="DT372" s="11"/>
      <x:c r="DU372" s="61"/>
      <x:c r="DV372" s="62"/>
    </x:row>
    <x:row r="373" spans="1:126" x14ac:dyDescent="0.3">
      <x:c r="A373" s="47"/>
      <x:c r="B373" s="70"/>
      <x:c r="C373" s="70"/>
      <x:c r="D373" s="70"/>
      <x:c r="E373" s="70"/>
      <x:c r="F373" s="70"/>
      <x:c r="G373" s="70"/>
      <x:c r="H373" s="70"/>
      <x:c r="I373" s="70"/>
      <x:c r="J373" s="70"/>
      <x:c r="K373" s="190"/>
      <x:c r="L373" s="195"/>
      <x:c r="M373" s="192"/>
      <x:c r="N373" s="192"/>
      <x:c r="O373" s="69"/>
      <x:c r="P373" s="47"/>
      <x:c r="Q373" s="60"/>
      <x:c r="R373" s="58"/>
      <x:c r="S373" s="47"/>
      <x:c r="T373" s="60"/>
      <x:c r="U373" s="58"/>
      <x:c r="V373" s="47"/>
      <x:c r="W373" s="60"/>
      <x:c r="X373" s="58"/>
      <x:c r="Y373" s="47"/>
      <x:c r="Z373" s="60"/>
      <x:c r="AA373" s="58"/>
      <x:c r="AB373" s="47"/>
      <x:c r="AC373" s="60"/>
      <x:c r="AD373" s="58"/>
      <x:c r="AE373" s="47"/>
      <x:c r="AF373" s="60"/>
      <x:c r="AG373" s="58"/>
      <x:c r="AH373" s="47"/>
      <x:c r="AI373" s="60"/>
      <x:c r="AJ373" s="58"/>
      <x:c r="AK373" s="47"/>
      <x:c r="AL373" s="60"/>
      <x:c r="AM373" s="58"/>
      <x:c r="AN373" s="47"/>
      <x:c r="AO373" s="60"/>
      <x:c r="AP373" s="58"/>
      <x:c r="AQ373" s="47"/>
      <x:c r="AR373" s="60"/>
      <x:c r="AS373" s="58"/>
      <x:c r="AT373" s="47"/>
      <x:c r="AU373" s="60"/>
      <x:c r="AV373" s="58"/>
      <x:c r="AW373" s="47"/>
      <x:c r="AX373" s="60"/>
      <x:c r="AY373" s="58"/>
      <x:c r="AZ373" s="47"/>
      <x:c r="BA373" s="60"/>
      <x:c r="BB373" s="58"/>
      <x:c r="BC373" s="47"/>
      <x:c r="BD373" s="60"/>
      <x:c r="BE373" s="58"/>
      <x:c r="BF373" s="47"/>
      <x:c r="BG373" s="60"/>
      <x:c r="BH373" s="58"/>
      <x:c r="BI373" s="47"/>
      <x:c r="BJ373" s="60"/>
      <x:c r="BK373" s="58"/>
      <x:c r="BL373" s="47"/>
      <x:c r="BM373" s="60"/>
      <x:c r="BN373" s="58"/>
      <x:c r="BO373" s="47"/>
      <x:c r="BP373" s="60"/>
      <x:c r="BQ373" s="58"/>
      <x:c r="BR373" s="47"/>
      <x:c r="BS373" s="60"/>
      <x:c r="BT373" s="58"/>
      <x:c r="BU373" s="47"/>
      <x:c r="BV373" s="60"/>
      <x:c r="BW373" s="58"/>
      <x:c r="BX373" s="47"/>
      <x:c r="BY373" s="60"/>
      <x:c r="BZ373" s="58"/>
      <x:c r="CA373" s="47"/>
      <x:c r="CB373" s="60"/>
      <x:c r="CC373" s="58"/>
      <x:c r="CD373" s="47"/>
      <x:c r="CE373" s="60"/>
      <x:c r="CF373" s="58"/>
      <x:c r="CG373" s="47"/>
      <x:c r="CH373" s="60"/>
      <x:c r="CI373" s="58"/>
      <x:c r="CJ373" s="47"/>
      <x:c r="CK373" s="60"/>
      <x:c r="CL373" s="58"/>
      <x:c r="CM373" s="47"/>
      <x:c r="CN373" s="60"/>
      <x:c r="CO373" s="58"/>
      <x:c r="CP373" s="47"/>
      <x:c r="CQ373" s="60"/>
      <x:c r="CR373" s="58"/>
      <x:c r="CS373" s="47"/>
      <x:c r="CT373" s="60"/>
      <x:c r="CU373" s="58"/>
      <x:c r="CV373" s="47"/>
      <x:c r="CW373" s="60"/>
      <x:c r="CX373" s="58"/>
      <x:c r="CY373" s="47"/>
      <x:c r="CZ373" s="60"/>
      <x:c r="DA373" s="58"/>
      <x:c r="DB373" s="47"/>
      <x:c r="DC373" s="60"/>
      <x:c r="DD373" s="58"/>
      <x:c r="DE373" s="47"/>
      <x:c r="DF373" s="60"/>
      <x:c r="DG373" s="58"/>
      <x:c r="DH373" s="47"/>
      <x:c r="DI373" s="60"/>
      <x:c r="DJ373" s="58"/>
      <x:c r="DK373" s="47"/>
      <x:c r="DL373" s="60"/>
      <x:c r="DM373" s="58"/>
      <x:c r="DN373" s="11"/>
      <x:c r="DO373" s="61"/>
      <x:c r="DP373" s="62"/>
      <x:c r="DQ373" s="11"/>
      <x:c r="DR373" s="61"/>
      <x:c r="DS373" s="62"/>
      <x:c r="DT373" s="11"/>
      <x:c r="DU373" s="61"/>
      <x:c r="DV373" s="62"/>
    </x:row>
    <x:row r="374" spans="1:126" x14ac:dyDescent="0.3">
      <x:c r="A374" s="47"/>
      <x:c r="B374" s="70"/>
      <x:c r="C374" s="70"/>
      <x:c r="D374" s="70"/>
      <x:c r="E374" s="70"/>
      <x:c r="F374" s="70"/>
      <x:c r="G374" s="70"/>
      <x:c r="H374" s="70"/>
      <x:c r="I374" s="70"/>
      <x:c r="J374" s="70"/>
      <x:c r="K374" s="190"/>
      <x:c r="L374" s="195"/>
      <x:c r="M374" s="192"/>
      <x:c r="N374" s="192"/>
      <x:c r="O374" s="69"/>
      <x:c r="P374" s="47"/>
      <x:c r="Q374" s="60"/>
      <x:c r="R374" s="58"/>
      <x:c r="S374" s="47"/>
      <x:c r="T374" s="60"/>
      <x:c r="U374" s="58"/>
      <x:c r="V374" s="47"/>
      <x:c r="W374" s="60"/>
      <x:c r="X374" s="58"/>
      <x:c r="Y374" s="47"/>
      <x:c r="Z374" s="60"/>
      <x:c r="AA374" s="58"/>
      <x:c r="AB374" s="47"/>
      <x:c r="AC374" s="60"/>
      <x:c r="AD374" s="58"/>
      <x:c r="AE374" s="47"/>
      <x:c r="AF374" s="60"/>
      <x:c r="AG374" s="58"/>
      <x:c r="AH374" s="47"/>
      <x:c r="AI374" s="60"/>
      <x:c r="AJ374" s="58"/>
      <x:c r="AK374" s="47"/>
      <x:c r="AL374" s="60"/>
      <x:c r="AM374" s="58"/>
      <x:c r="AN374" s="47"/>
      <x:c r="AO374" s="60"/>
      <x:c r="AP374" s="58"/>
      <x:c r="AQ374" s="47"/>
      <x:c r="AR374" s="60"/>
      <x:c r="AS374" s="58"/>
      <x:c r="AT374" s="47"/>
      <x:c r="AU374" s="60"/>
      <x:c r="AV374" s="58"/>
      <x:c r="AW374" s="47"/>
      <x:c r="AX374" s="60"/>
      <x:c r="AY374" s="58"/>
      <x:c r="AZ374" s="47"/>
      <x:c r="BA374" s="60"/>
      <x:c r="BB374" s="58"/>
      <x:c r="BC374" s="47"/>
      <x:c r="BD374" s="60"/>
      <x:c r="BE374" s="58"/>
      <x:c r="BF374" s="47"/>
      <x:c r="BG374" s="60"/>
      <x:c r="BH374" s="58"/>
      <x:c r="BI374" s="47"/>
      <x:c r="BJ374" s="60"/>
      <x:c r="BK374" s="58"/>
      <x:c r="BL374" s="47"/>
      <x:c r="BM374" s="60"/>
      <x:c r="BN374" s="58"/>
      <x:c r="BO374" s="47"/>
      <x:c r="BP374" s="60"/>
      <x:c r="BQ374" s="58"/>
      <x:c r="BR374" s="47"/>
      <x:c r="BS374" s="60"/>
      <x:c r="BT374" s="58"/>
      <x:c r="BU374" s="47"/>
      <x:c r="BV374" s="60"/>
      <x:c r="BW374" s="58"/>
      <x:c r="BX374" s="47"/>
      <x:c r="BY374" s="60"/>
      <x:c r="BZ374" s="58"/>
      <x:c r="CA374" s="47"/>
      <x:c r="CB374" s="60"/>
      <x:c r="CC374" s="58"/>
      <x:c r="CD374" s="47"/>
      <x:c r="CE374" s="60"/>
      <x:c r="CF374" s="58"/>
      <x:c r="CG374" s="47"/>
      <x:c r="CH374" s="60"/>
      <x:c r="CI374" s="58"/>
      <x:c r="CJ374" s="47"/>
      <x:c r="CK374" s="60"/>
      <x:c r="CL374" s="58"/>
      <x:c r="CM374" s="47"/>
      <x:c r="CN374" s="60"/>
      <x:c r="CO374" s="58"/>
      <x:c r="CP374" s="47"/>
      <x:c r="CQ374" s="60"/>
      <x:c r="CR374" s="58"/>
      <x:c r="CS374" s="47"/>
      <x:c r="CT374" s="60"/>
      <x:c r="CU374" s="58"/>
      <x:c r="CV374" s="47"/>
      <x:c r="CW374" s="60"/>
      <x:c r="CX374" s="58"/>
      <x:c r="CY374" s="47"/>
      <x:c r="CZ374" s="60"/>
      <x:c r="DA374" s="58"/>
      <x:c r="DB374" s="47"/>
      <x:c r="DC374" s="60"/>
      <x:c r="DD374" s="58"/>
      <x:c r="DE374" s="47"/>
      <x:c r="DF374" s="60"/>
      <x:c r="DG374" s="58"/>
      <x:c r="DH374" s="47"/>
      <x:c r="DI374" s="60"/>
      <x:c r="DJ374" s="58"/>
      <x:c r="DK374" s="47"/>
      <x:c r="DL374" s="60"/>
      <x:c r="DM374" s="58"/>
      <x:c r="DN374" s="11"/>
      <x:c r="DO374" s="61"/>
      <x:c r="DP374" s="62"/>
      <x:c r="DQ374" s="11"/>
      <x:c r="DR374" s="61"/>
      <x:c r="DS374" s="62"/>
      <x:c r="DT374" s="11"/>
      <x:c r="DU374" s="61"/>
      <x:c r="DV374" s="62"/>
    </x:row>
    <x:row r="375" spans="1:126" x14ac:dyDescent="0.3">
      <x:c r="A375" s="47"/>
      <x:c r="B375" s="70"/>
      <x:c r="C375" s="70"/>
      <x:c r="D375" s="70"/>
      <x:c r="E375" s="70"/>
      <x:c r="F375" s="70"/>
      <x:c r="G375" s="70"/>
      <x:c r="H375" s="70"/>
      <x:c r="I375" s="70"/>
      <x:c r="J375" s="70"/>
      <x:c r="K375" s="190"/>
      <x:c r="L375" s="195"/>
      <x:c r="M375" s="192"/>
      <x:c r="N375" s="192"/>
      <x:c r="O375" s="69"/>
      <x:c r="P375" s="47"/>
      <x:c r="Q375" s="60"/>
      <x:c r="R375" s="58"/>
      <x:c r="S375" s="47"/>
      <x:c r="T375" s="60"/>
      <x:c r="U375" s="58"/>
      <x:c r="V375" s="47"/>
      <x:c r="W375" s="60"/>
      <x:c r="X375" s="58"/>
      <x:c r="Y375" s="47"/>
      <x:c r="Z375" s="60"/>
      <x:c r="AA375" s="58"/>
      <x:c r="AB375" s="47"/>
      <x:c r="AC375" s="60"/>
      <x:c r="AD375" s="58"/>
      <x:c r="AE375" s="47"/>
      <x:c r="AF375" s="60"/>
      <x:c r="AG375" s="58"/>
      <x:c r="AH375" s="47"/>
      <x:c r="AI375" s="60"/>
      <x:c r="AJ375" s="58"/>
      <x:c r="AK375" s="47"/>
      <x:c r="AL375" s="60"/>
      <x:c r="AM375" s="58"/>
      <x:c r="AN375" s="47"/>
      <x:c r="AO375" s="60"/>
      <x:c r="AP375" s="58"/>
      <x:c r="AQ375" s="47"/>
      <x:c r="AR375" s="60"/>
      <x:c r="AS375" s="58"/>
      <x:c r="AT375" s="47"/>
      <x:c r="AU375" s="60"/>
      <x:c r="AV375" s="58"/>
      <x:c r="AW375" s="47"/>
      <x:c r="AX375" s="60"/>
      <x:c r="AY375" s="58"/>
      <x:c r="AZ375" s="47"/>
      <x:c r="BA375" s="60"/>
      <x:c r="BB375" s="58"/>
      <x:c r="BC375" s="47"/>
      <x:c r="BD375" s="60"/>
      <x:c r="BE375" s="58"/>
      <x:c r="BF375" s="47"/>
      <x:c r="BG375" s="60"/>
      <x:c r="BH375" s="58"/>
      <x:c r="BI375" s="47"/>
      <x:c r="BJ375" s="60"/>
      <x:c r="BK375" s="58"/>
      <x:c r="BL375" s="47"/>
      <x:c r="BM375" s="60"/>
      <x:c r="BN375" s="58"/>
      <x:c r="BO375" s="47"/>
      <x:c r="BP375" s="60"/>
      <x:c r="BQ375" s="58"/>
      <x:c r="BR375" s="47"/>
      <x:c r="BS375" s="60"/>
      <x:c r="BT375" s="58"/>
      <x:c r="BU375" s="47"/>
      <x:c r="BV375" s="60"/>
      <x:c r="BW375" s="58"/>
      <x:c r="BX375" s="47"/>
      <x:c r="BY375" s="60"/>
      <x:c r="BZ375" s="58"/>
      <x:c r="CA375" s="47"/>
      <x:c r="CB375" s="60"/>
      <x:c r="CC375" s="58"/>
      <x:c r="CD375" s="47"/>
      <x:c r="CE375" s="60"/>
      <x:c r="CF375" s="58"/>
      <x:c r="CG375" s="47"/>
      <x:c r="CH375" s="60"/>
      <x:c r="CI375" s="58"/>
      <x:c r="CJ375" s="47"/>
      <x:c r="CK375" s="60"/>
      <x:c r="CL375" s="58"/>
      <x:c r="CM375" s="47"/>
      <x:c r="CN375" s="60"/>
      <x:c r="CO375" s="58"/>
      <x:c r="CP375" s="47"/>
      <x:c r="CQ375" s="60"/>
      <x:c r="CR375" s="58"/>
      <x:c r="CS375" s="47"/>
      <x:c r="CT375" s="60"/>
      <x:c r="CU375" s="58"/>
      <x:c r="CV375" s="47"/>
      <x:c r="CW375" s="60"/>
      <x:c r="CX375" s="58"/>
      <x:c r="CY375" s="47"/>
      <x:c r="CZ375" s="60"/>
      <x:c r="DA375" s="58"/>
      <x:c r="DB375" s="47"/>
      <x:c r="DC375" s="60"/>
      <x:c r="DD375" s="58"/>
      <x:c r="DE375" s="47"/>
      <x:c r="DF375" s="60"/>
      <x:c r="DG375" s="58"/>
      <x:c r="DH375" s="47"/>
      <x:c r="DI375" s="60"/>
      <x:c r="DJ375" s="58"/>
      <x:c r="DK375" s="47"/>
      <x:c r="DL375" s="60"/>
      <x:c r="DM375" s="58"/>
      <x:c r="DN375" s="11"/>
      <x:c r="DO375" s="61"/>
      <x:c r="DP375" s="62"/>
      <x:c r="DQ375" s="11"/>
      <x:c r="DR375" s="61"/>
      <x:c r="DS375" s="62"/>
      <x:c r="DT375" s="11"/>
      <x:c r="DU375" s="61"/>
      <x:c r="DV375" s="62"/>
    </x:row>
    <x:row r="376" spans="1:126" x14ac:dyDescent="0.3">
      <x:c r="A376" s="47"/>
      <x:c r="B376" s="70"/>
      <x:c r="C376" s="70"/>
      <x:c r="D376" s="70"/>
      <x:c r="E376" s="70"/>
      <x:c r="F376" s="70"/>
      <x:c r="G376" s="70"/>
      <x:c r="H376" s="70"/>
      <x:c r="I376" s="70"/>
      <x:c r="J376" s="70"/>
      <x:c r="K376" s="190"/>
      <x:c r="L376" s="195"/>
      <x:c r="M376" s="192"/>
      <x:c r="N376" s="192"/>
      <x:c r="O376" s="69"/>
      <x:c r="P376" s="47"/>
      <x:c r="Q376" s="60"/>
      <x:c r="R376" s="58"/>
      <x:c r="S376" s="47"/>
      <x:c r="T376" s="60"/>
      <x:c r="U376" s="58"/>
      <x:c r="V376" s="47"/>
      <x:c r="W376" s="60"/>
      <x:c r="X376" s="58"/>
      <x:c r="Y376" s="47"/>
      <x:c r="Z376" s="60"/>
      <x:c r="AA376" s="58"/>
      <x:c r="AB376" s="47"/>
      <x:c r="AC376" s="60"/>
      <x:c r="AD376" s="58"/>
      <x:c r="AE376" s="47"/>
      <x:c r="AF376" s="60"/>
      <x:c r="AG376" s="58"/>
      <x:c r="AH376" s="47"/>
      <x:c r="AI376" s="60"/>
      <x:c r="AJ376" s="58"/>
      <x:c r="AK376" s="47"/>
      <x:c r="AL376" s="60"/>
      <x:c r="AM376" s="58"/>
      <x:c r="AN376" s="47"/>
      <x:c r="AO376" s="60"/>
      <x:c r="AP376" s="58"/>
      <x:c r="AQ376" s="47"/>
      <x:c r="AR376" s="60"/>
      <x:c r="AS376" s="58"/>
      <x:c r="AT376" s="47"/>
      <x:c r="AU376" s="60"/>
      <x:c r="AV376" s="58"/>
      <x:c r="AW376" s="47"/>
      <x:c r="AX376" s="60"/>
      <x:c r="AY376" s="58"/>
      <x:c r="AZ376" s="47"/>
      <x:c r="BA376" s="60"/>
      <x:c r="BB376" s="58"/>
      <x:c r="BC376" s="47"/>
      <x:c r="BD376" s="60"/>
      <x:c r="BE376" s="58"/>
      <x:c r="BF376" s="47"/>
      <x:c r="BG376" s="60"/>
      <x:c r="BH376" s="58"/>
      <x:c r="BI376" s="47"/>
      <x:c r="BJ376" s="60"/>
      <x:c r="BK376" s="58"/>
      <x:c r="BL376" s="47"/>
      <x:c r="BM376" s="60"/>
      <x:c r="BN376" s="58"/>
      <x:c r="BO376" s="47"/>
      <x:c r="BP376" s="60"/>
      <x:c r="BQ376" s="58"/>
      <x:c r="BR376" s="47"/>
      <x:c r="BS376" s="60"/>
      <x:c r="BT376" s="58"/>
      <x:c r="BU376" s="47"/>
      <x:c r="BV376" s="60"/>
      <x:c r="BW376" s="58"/>
      <x:c r="BX376" s="47"/>
      <x:c r="BY376" s="60"/>
      <x:c r="BZ376" s="58"/>
      <x:c r="CA376" s="47"/>
      <x:c r="CB376" s="60"/>
      <x:c r="CC376" s="58"/>
      <x:c r="CD376" s="47"/>
      <x:c r="CE376" s="60"/>
      <x:c r="CF376" s="58"/>
      <x:c r="CG376" s="47"/>
      <x:c r="CH376" s="60"/>
      <x:c r="CI376" s="58"/>
      <x:c r="CJ376" s="47"/>
      <x:c r="CK376" s="60"/>
      <x:c r="CL376" s="58"/>
      <x:c r="CM376" s="47"/>
      <x:c r="CN376" s="60"/>
      <x:c r="CO376" s="58"/>
      <x:c r="CP376" s="47"/>
      <x:c r="CQ376" s="60"/>
      <x:c r="CR376" s="58"/>
      <x:c r="CS376" s="47"/>
      <x:c r="CT376" s="60"/>
      <x:c r="CU376" s="58"/>
      <x:c r="CV376" s="47"/>
      <x:c r="CW376" s="60"/>
      <x:c r="CX376" s="58"/>
      <x:c r="CY376" s="47"/>
      <x:c r="CZ376" s="60"/>
      <x:c r="DA376" s="58"/>
      <x:c r="DB376" s="47"/>
      <x:c r="DC376" s="60"/>
      <x:c r="DD376" s="58"/>
      <x:c r="DE376" s="47"/>
      <x:c r="DF376" s="60"/>
      <x:c r="DG376" s="58"/>
      <x:c r="DH376" s="47"/>
      <x:c r="DI376" s="60"/>
      <x:c r="DJ376" s="58"/>
      <x:c r="DK376" s="47"/>
      <x:c r="DL376" s="60"/>
      <x:c r="DM376" s="58"/>
      <x:c r="DN376" s="11"/>
      <x:c r="DO376" s="61"/>
      <x:c r="DP376" s="62"/>
      <x:c r="DQ376" s="11"/>
      <x:c r="DR376" s="61"/>
      <x:c r="DS376" s="62"/>
      <x:c r="DT376" s="11"/>
      <x:c r="DU376" s="61"/>
      <x:c r="DV376" s="62"/>
    </x:row>
    <x:row r="377" spans="1:126" x14ac:dyDescent="0.3">
      <x:c r="A377" s="47"/>
      <x:c r="B377" s="70"/>
      <x:c r="C377" s="70"/>
      <x:c r="D377" s="70"/>
      <x:c r="E377" s="70"/>
      <x:c r="F377" s="70"/>
      <x:c r="G377" s="70"/>
      <x:c r="H377" s="70"/>
      <x:c r="I377" s="70"/>
      <x:c r="J377" s="70"/>
      <x:c r="K377" s="190"/>
      <x:c r="L377" s="195"/>
      <x:c r="M377" s="192"/>
      <x:c r="N377" s="192"/>
      <x:c r="O377" s="69"/>
      <x:c r="P377" s="47"/>
      <x:c r="Q377" s="60"/>
      <x:c r="R377" s="58"/>
      <x:c r="S377" s="47"/>
      <x:c r="T377" s="60"/>
      <x:c r="U377" s="58"/>
      <x:c r="V377" s="47"/>
      <x:c r="W377" s="60"/>
      <x:c r="X377" s="58"/>
      <x:c r="Y377" s="47"/>
      <x:c r="Z377" s="60"/>
      <x:c r="AA377" s="58"/>
      <x:c r="AB377" s="47"/>
      <x:c r="AC377" s="60"/>
      <x:c r="AD377" s="58"/>
      <x:c r="AE377" s="47"/>
      <x:c r="AF377" s="60"/>
      <x:c r="AG377" s="58"/>
      <x:c r="AH377" s="47"/>
      <x:c r="AI377" s="60"/>
      <x:c r="AJ377" s="58"/>
      <x:c r="AK377" s="47"/>
      <x:c r="AL377" s="60"/>
      <x:c r="AM377" s="58"/>
      <x:c r="AN377" s="47"/>
      <x:c r="AO377" s="60"/>
      <x:c r="AP377" s="58"/>
      <x:c r="AQ377" s="47"/>
      <x:c r="AR377" s="60"/>
      <x:c r="AS377" s="58"/>
      <x:c r="AT377" s="47"/>
      <x:c r="AU377" s="60"/>
      <x:c r="AV377" s="58"/>
      <x:c r="AW377" s="47"/>
      <x:c r="AX377" s="60"/>
      <x:c r="AY377" s="58"/>
      <x:c r="AZ377" s="47"/>
      <x:c r="BA377" s="60"/>
      <x:c r="BB377" s="58"/>
      <x:c r="BC377" s="47"/>
      <x:c r="BD377" s="60"/>
      <x:c r="BE377" s="58"/>
      <x:c r="BF377" s="47"/>
      <x:c r="BG377" s="60"/>
      <x:c r="BH377" s="58"/>
      <x:c r="BI377" s="47"/>
      <x:c r="BJ377" s="60"/>
      <x:c r="BK377" s="58"/>
      <x:c r="BL377" s="47"/>
      <x:c r="BM377" s="60"/>
      <x:c r="BN377" s="58"/>
      <x:c r="BO377" s="47"/>
      <x:c r="BP377" s="60"/>
      <x:c r="BQ377" s="58"/>
      <x:c r="BR377" s="47"/>
      <x:c r="BS377" s="60"/>
      <x:c r="BT377" s="58"/>
      <x:c r="BU377" s="47"/>
      <x:c r="BV377" s="60"/>
      <x:c r="BW377" s="58"/>
      <x:c r="BX377" s="47"/>
      <x:c r="BY377" s="60"/>
      <x:c r="BZ377" s="58"/>
      <x:c r="CA377" s="47"/>
      <x:c r="CB377" s="60"/>
      <x:c r="CC377" s="58"/>
      <x:c r="CD377" s="47"/>
      <x:c r="CE377" s="60"/>
      <x:c r="CF377" s="58"/>
      <x:c r="CG377" s="47"/>
      <x:c r="CH377" s="60"/>
      <x:c r="CI377" s="58"/>
      <x:c r="CJ377" s="47"/>
      <x:c r="CK377" s="60"/>
      <x:c r="CL377" s="58"/>
      <x:c r="CM377" s="47"/>
      <x:c r="CN377" s="60"/>
      <x:c r="CO377" s="58"/>
      <x:c r="CP377" s="47"/>
      <x:c r="CQ377" s="60"/>
      <x:c r="CR377" s="58"/>
      <x:c r="CS377" s="47"/>
      <x:c r="CT377" s="60"/>
      <x:c r="CU377" s="58"/>
      <x:c r="CV377" s="47"/>
      <x:c r="CW377" s="60"/>
      <x:c r="CX377" s="58"/>
      <x:c r="CY377" s="47"/>
      <x:c r="CZ377" s="60"/>
      <x:c r="DA377" s="58"/>
      <x:c r="DB377" s="47"/>
      <x:c r="DC377" s="60"/>
      <x:c r="DD377" s="58"/>
      <x:c r="DE377" s="47"/>
      <x:c r="DF377" s="60"/>
      <x:c r="DG377" s="58"/>
      <x:c r="DH377" s="47"/>
      <x:c r="DI377" s="60"/>
      <x:c r="DJ377" s="58"/>
      <x:c r="DK377" s="47"/>
      <x:c r="DL377" s="60"/>
      <x:c r="DM377" s="58"/>
      <x:c r="DN377" s="11"/>
      <x:c r="DO377" s="61"/>
      <x:c r="DP377" s="62"/>
      <x:c r="DQ377" s="11"/>
      <x:c r="DR377" s="61"/>
      <x:c r="DS377" s="62"/>
      <x:c r="DT377" s="11"/>
      <x:c r="DU377" s="61"/>
      <x:c r="DV377" s="62"/>
    </x:row>
    <x:row r="378" spans="1:126" x14ac:dyDescent="0.3">
      <x:c r="A378" s="47"/>
      <x:c r="B378" s="70"/>
      <x:c r="C378" s="70"/>
      <x:c r="D378" s="70"/>
      <x:c r="E378" s="70"/>
      <x:c r="F378" s="70"/>
      <x:c r="G378" s="70"/>
      <x:c r="H378" s="70"/>
      <x:c r="I378" s="70"/>
      <x:c r="J378" s="70"/>
      <x:c r="K378" s="190"/>
      <x:c r="L378" s="195"/>
      <x:c r="M378" s="192"/>
      <x:c r="N378" s="192"/>
      <x:c r="O378" s="69"/>
      <x:c r="P378" s="47"/>
      <x:c r="Q378" s="60"/>
      <x:c r="R378" s="58"/>
      <x:c r="S378" s="47"/>
      <x:c r="T378" s="60"/>
      <x:c r="U378" s="58"/>
      <x:c r="V378" s="47"/>
      <x:c r="W378" s="60"/>
      <x:c r="X378" s="58"/>
      <x:c r="Y378" s="47"/>
      <x:c r="Z378" s="60"/>
      <x:c r="AA378" s="58"/>
      <x:c r="AB378" s="47"/>
      <x:c r="AC378" s="60"/>
      <x:c r="AD378" s="58"/>
      <x:c r="AE378" s="47"/>
      <x:c r="AF378" s="60"/>
      <x:c r="AG378" s="58"/>
      <x:c r="AH378" s="47"/>
      <x:c r="AI378" s="60"/>
      <x:c r="AJ378" s="58"/>
      <x:c r="AK378" s="47"/>
      <x:c r="AL378" s="60"/>
      <x:c r="AM378" s="58"/>
      <x:c r="AN378" s="47"/>
      <x:c r="AO378" s="60"/>
      <x:c r="AP378" s="58"/>
      <x:c r="AQ378" s="47"/>
      <x:c r="AR378" s="60"/>
      <x:c r="AS378" s="58"/>
      <x:c r="AT378" s="47"/>
      <x:c r="AU378" s="60"/>
      <x:c r="AV378" s="58"/>
      <x:c r="AW378" s="47"/>
      <x:c r="AX378" s="60"/>
      <x:c r="AY378" s="58"/>
      <x:c r="AZ378" s="47"/>
      <x:c r="BA378" s="60"/>
      <x:c r="BB378" s="58"/>
      <x:c r="BC378" s="47"/>
      <x:c r="BD378" s="60"/>
      <x:c r="BE378" s="58"/>
      <x:c r="BF378" s="47"/>
      <x:c r="BG378" s="60"/>
      <x:c r="BH378" s="58"/>
      <x:c r="BI378" s="47"/>
      <x:c r="BJ378" s="60"/>
      <x:c r="BK378" s="58"/>
      <x:c r="BL378" s="47"/>
      <x:c r="BM378" s="60"/>
      <x:c r="BN378" s="58"/>
      <x:c r="BO378" s="47"/>
      <x:c r="BP378" s="60"/>
      <x:c r="BQ378" s="58"/>
      <x:c r="BR378" s="47"/>
      <x:c r="BS378" s="60"/>
      <x:c r="BT378" s="58"/>
      <x:c r="BU378" s="47"/>
      <x:c r="BV378" s="60"/>
      <x:c r="BW378" s="58"/>
      <x:c r="BX378" s="47"/>
      <x:c r="BY378" s="60"/>
      <x:c r="BZ378" s="58"/>
      <x:c r="CA378" s="47"/>
      <x:c r="CB378" s="60"/>
      <x:c r="CC378" s="58"/>
      <x:c r="CD378" s="47"/>
      <x:c r="CE378" s="60"/>
      <x:c r="CF378" s="58"/>
      <x:c r="CG378" s="47"/>
      <x:c r="CH378" s="60"/>
      <x:c r="CI378" s="58"/>
      <x:c r="CJ378" s="47"/>
      <x:c r="CK378" s="60"/>
      <x:c r="CL378" s="58"/>
      <x:c r="CM378" s="47"/>
      <x:c r="CN378" s="60"/>
      <x:c r="CO378" s="58"/>
      <x:c r="CP378" s="47"/>
      <x:c r="CQ378" s="60"/>
      <x:c r="CR378" s="58"/>
      <x:c r="CS378" s="47"/>
      <x:c r="CT378" s="60"/>
      <x:c r="CU378" s="58"/>
      <x:c r="CV378" s="47"/>
      <x:c r="CW378" s="60"/>
      <x:c r="CX378" s="58"/>
      <x:c r="CY378" s="47"/>
      <x:c r="CZ378" s="60"/>
      <x:c r="DA378" s="58"/>
      <x:c r="DB378" s="47"/>
      <x:c r="DC378" s="60"/>
      <x:c r="DD378" s="58"/>
      <x:c r="DE378" s="47"/>
      <x:c r="DF378" s="60"/>
      <x:c r="DG378" s="58"/>
      <x:c r="DH378" s="47"/>
      <x:c r="DI378" s="60"/>
      <x:c r="DJ378" s="58"/>
      <x:c r="DK378" s="47"/>
      <x:c r="DL378" s="60"/>
      <x:c r="DM378" s="58"/>
      <x:c r="DN378" s="11"/>
      <x:c r="DO378" s="61"/>
      <x:c r="DP378" s="62"/>
      <x:c r="DQ378" s="11"/>
      <x:c r="DR378" s="61"/>
      <x:c r="DS378" s="62"/>
      <x:c r="DT378" s="11"/>
      <x:c r="DU378" s="61"/>
      <x:c r="DV378" s="62"/>
    </x:row>
    <x:row r="379" spans="1:126" x14ac:dyDescent="0.3">
      <x:c r="A379" s="47"/>
      <x:c r="B379" s="70"/>
      <x:c r="C379" s="70"/>
      <x:c r="D379" s="70"/>
      <x:c r="E379" s="70"/>
      <x:c r="F379" s="70"/>
      <x:c r="G379" s="70"/>
      <x:c r="H379" s="70"/>
      <x:c r="I379" s="70"/>
      <x:c r="J379" s="70"/>
      <x:c r="K379" s="190"/>
      <x:c r="L379" s="195"/>
      <x:c r="M379" s="192"/>
      <x:c r="N379" s="192"/>
      <x:c r="O379" s="69"/>
      <x:c r="P379" s="47"/>
      <x:c r="Q379" s="60"/>
      <x:c r="R379" s="58"/>
      <x:c r="S379" s="47"/>
      <x:c r="T379" s="60"/>
      <x:c r="U379" s="58"/>
      <x:c r="V379" s="47"/>
      <x:c r="W379" s="60"/>
      <x:c r="X379" s="58"/>
      <x:c r="Y379" s="47"/>
      <x:c r="Z379" s="60"/>
      <x:c r="AA379" s="58"/>
      <x:c r="AB379" s="47"/>
      <x:c r="AC379" s="60"/>
      <x:c r="AD379" s="58"/>
      <x:c r="AE379" s="47"/>
      <x:c r="AF379" s="60"/>
      <x:c r="AG379" s="58"/>
      <x:c r="AH379" s="47"/>
      <x:c r="AI379" s="60"/>
      <x:c r="AJ379" s="58"/>
      <x:c r="AK379" s="47"/>
      <x:c r="AL379" s="60"/>
      <x:c r="AM379" s="58"/>
      <x:c r="AN379" s="47"/>
      <x:c r="AO379" s="60"/>
      <x:c r="AP379" s="58"/>
      <x:c r="AQ379" s="47"/>
      <x:c r="AR379" s="60"/>
      <x:c r="AS379" s="58"/>
      <x:c r="AT379" s="47"/>
      <x:c r="AU379" s="60"/>
      <x:c r="AV379" s="58"/>
      <x:c r="AW379" s="47"/>
      <x:c r="AX379" s="60"/>
      <x:c r="AY379" s="58"/>
      <x:c r="AZ379" s="47"/>
      <x:c r="BA379" s="60"/>
      <x:c r="BB379" s="58"/>
      <x:c r="BC379" s="47"/>
      <x:c r="BD379" s="60"/>
      <x:c r="BE379" s="58"/>
      <x:c r="BF379" s="47"/>
      <x:c r="BG379" s="60"/>
      <x:c r="BH379" s="58"/>
      <x:c r="BI379" s="47"/>
      <x:c r="BJ379" s="60"/>
      <x:c r="BK379" s="58"/>
      <x:c r="BL379" s="47"/>
      <x:c r="BM379" s="60"/>
      <x:c r="BN379" s="58"/>
      <x:c r="BO379" s="47"/>
      <x:c r="BP379" s="60"/>
      <x:c r="BQ379" s="58"/>
      <x:c r="BR379" s="47"/>
      <x:c r="BS379" s="60"/>
      <x:c r="BT379" s="58"/>
      <x:c r="BU379" s="47"/>
      <x:c r="BV379" s="60"/>
      <x:c r="BW379" s="58"/>
      <x:c r="BX379" s="47"/>
      <x:c r="BY379" s="60"/>
      <x:c r="BZ379" s="58"/>
      <x:c r="CA379" s="47"/>
      <x:c r="CB379" s="60"/>
      <x:c r="CC379" s="58"/>
      <x:c r="CD379" s="47"/>
      <x:c r="CE379" s="60"/>
      <x:c r="CF379" s="58"/>
      <x:c r="CG379" s="47"/>
      <x:c r="CH379" s="60"/>
      <x:c r="CI379" s="58"/>
      <x:c r="CJ379" s="47"/>
      <x:c r="CK379" s="60"/>
      <x:c r="CL379" s="58"/>
      <x:c r="CM379" s="47"/>
      <x:c r="CN379" s="60"/>
      <x:c r="CO379" s="58"/>
      <x:c r="CP379" s="47"/>
      <x:c r="CQ379" s="60"/>
      <x:c r="CR379" s="58"/>
      <x:c r="CS379" s="47"/>
      <x:c r="CT379" s="60"/>
      <x:c r="CU379" s="58"/>
      <x:c r="CV379" s="47"/>
      <x:c r="CW379" s="60"/>
      <x:c r="CX379" s="58"/>
      <x:c r="CY379" s="47"/>
      <x:c r="CZ379" s="60"/>
      <x:c r="DA379" s="58"/>
      <x:c r="DB379" s="47"/>
      <x:c r="DC379" s="60"/>
      <x:c r="DD379" s="58"/>
      <x:c r="DE379" s="47"/>
      <x:c r="DF379" s="60"/>
      <x:c r="DG379" s="58"/>
      <x:c r="DH379" s="47"/>
      <x:c r="DI379" s="60"/>
      <x:c r="DJ379" s="58"/>
      <x:c r="DK379" s="47"/>
      <x:c r="DL379" s="60"/>
      <x:c r="DM379" s="58"/>
      <x:c r="DN379" s="11"/>
      <x:c r="DO379" s="61"/>
      <x:c r="DP379" s="62"/>
      <x:c r="DQ379" s="11"/>
      <x:c r="DR379" s="61"/>
      <x:c r="DS379" s="62"/>
      <x:c r="DT379" s="11"/>
      <x:c r="DU379" s="61"/>
      <x:c r="DV379" s="62"/>
    </x:row>
    <x:row r="380" spans="1:126" x14ac:dyDescent="0.3">
      <x:c r="A380" s="47"/>
      <x:c r="B380" s="70"/>
      <x:c r="C380" s="70"/>
      <x:c r="D380" s="70"/>
      <x:c r="E380" s="70"/>
      <x:c r="F380" s="70"/>
      <x:c r="G380" s="70"/>
      <x:c r="H380" s="70"/>
      <x:c r="I380" s="70"/>
      <x:c r="J380" s="70"/>
      <x:c r="K380" s="190"/>
      <x:c r="L380" s="195"/>
      <x:c r="M380" s="192"/>
      <x:c r="N380" s="192"/>
      <x:c r="O380" s="69"/>
      <x:c r="P380" s="47"/>
      <x:c r="Q380" s="60"/>
      <x:c r="R380" s="58"/>
      <x:c r="S380" s="47"/>
      <x:c r="T380" s="60"/>
      <x:c r="U380" s="58"/>
      <x:c r="V380" s="47"/>
      <x:c r="W380" s="60"/>
      <x:c r="X380" s="58"/>
      <x:c r="Y380" s="47"/>
      <x:c r="Z380" s="60"/>
      <x:c r="AA380" s="58"/>
      <x:c r="AB380" s="47"/>
      <x:c r="AC380" s="60"/>
      <x:c r="AD380" s="58"/>
      <x:c r="AE380" s="47"/>
      <x:c r="AF380" s="60"/>
      <x:c r="AG380" s="58"/>
      <x:c r="AH380" s="47"/>
      <x:c r="AI380" s="60"/>
      <x:c r="AJ380" s="58"/>
      <x:c r="AK380" s="47"/>
      <x:c r="AL380" s="60"/>
      <x:c r="AM380" s="58"/>
      <x:c r="AN380" s="47"/>
      <x:c r="AO380" s="60"/>
      <x:c r="AP380" s="58"/>
      <x:c r="AQ380" s="47"/>
      <x:c r="AR380" s="60"/>
      <x:c r="AS380" s="58"/>
      <x:c r="AT380" s="47"/>
      <x:c r="AU380" s="60"/>
      <x:c r="AV380" s="58"/>
      <x:c r="AW380" s="47"/>
      <x:c r="AX380" s="60"/>
      <x:c r="AY380" s="58"/>
      <x:c r="AZ380" s="47"/>
      <x:c r="BA380" s="60"/>
      <x:c r="BB380" s="58"/>
      <x:c r="BC380" s="47"/>
      <x:c r="BD380" s="60"/>
      <x:c r="BE380" s="58"/>
      <x:c r="BF380" s="47"/>
      <x:c r="BG380" s="60"/>
      <x:c r="BH380" s="58"/>
      <x:c r="BI380" s="47"/>
      <x:c r="BJ380" s="60"/>
      <x:c r="BK380" s="58"/>
      <x:c r="BL380" s="47"/>
      <x:c r="BM380" s="60"/>
      <x:c r="BN380" s="58"/>
      <x:c r="BO380" s="47"/>
      <x:c r="BP380" s="60"/>
      <x:c r="BQ380" s="58"/>
      <x:c r="BR380" s="47"/>
      <x:c r="BS380" s="60"/>
      <x:c r="BT380" s="58"/>
      <x:c r="BU380" s="47"/>
      <x:c r="BV380" s="60"/>
      <x:c r="BW380" s="58"/>
      <x:c r="BX380" s="47"/>
      <x:c r="BY380" s="60"/>
      <x:c r="BZ380" s="58"/>
      <x:c r="CA380" s="47"/>
      <x:c r="CB380" s="60"/>
      <x:c r="CC380" s="58"/>
      <x:c r="CD380" s="47"/>
      <x:c r="CE380" s="60"/>
      <x:c r="CF380" s="58"/>
      <x:c r="CG380" s="47"/>
      <x:c r="CH380" s="60"/>
      <x:c r="CI380" s="58"/>
      <x:c r="CJ380" s="47"/>
      <x:c r="CK380" s="60"/>
      <x:c r="CL380" s="58"/>
      <x:c r="CM380" s="47"/>
      <x:c r="CN380" s="60"/>
      <x:c r="CO380" s="58"/>
      <x:c r="CP380" s="47"/>
      <x:c r="CQ380" s="60"/>
      <x:c r="CR380" s="58"/>
      <x:c r="CS380" s="47"/>
      <x:c r="CT380" s="60"/>
      <x:c r="CU380" s="58"/>
      <x:c r="CV380" s="47"/>
      <x:c r="CW380" s="60"/>
      <x:c r="CX380" s="58"/>
      <x:c r="CY380" s="47"/>
      <x:c r="CZ380" s="60"/>
      <x:c r="DA380" s="58"/>
      <x:c r="DB380" s="47"/>
      <x:c r="DC380" s="60"/>
      <x:c r="DD380" s="58"/>
      <x:c r="DE380" s="47"/>
      <x:c r="DF380" s="60"/>
      <x:c r="DG380" s="58"/>
      <x:c r="DH380" s="47"/>
      <x:c r="DI380" s="60"/>
      <x:c r="DJ380" s="58"/>
      <x:c r="DK380" s="47"/>
      <x:c r="DL380" s="60"/>
      <x:c r="DM380" s="58"/>
      <x:c r="DN380" s="11"/>
      <x:c r="DO380" s="61"/>
      <x:c r="DP380" s="62"/>
      <x:c r="DQ380" s="11"/>
      <x:c r="DR380" s="61"/>
      <x:c r="DS380" s="62"/>
      <x:c r="DT380" s="11"/>
      <x:c r="DU380" s="61"/>
      <x:c r="DV380" s="62"/>
    </x:row>
    <x:row r="381" spans="1:126" x14ac:dyDescent="0.3">
      <x:c r="A381" s="47"/>
      <x:c r="B381" s="70"/>
      <x:c r="C381" s="70"/>
      <x:c r="D381" s="70"/>
      <x:c r="E381" s="70"/>
      <x:c r="F381" s="70"/>
      <x:c r="G381" s="70"/>
      <x:c r="H381" s="70"/>
      <x:c r="I381" s="70"/>
      <x:c r="J381" s="70"/>
      <x:c r="K381" s="190"/>
      <x:c r="L381" s="195"/>
      <x:c r="M381" s="192"/>
      <x:c r="N381" s="192"/>
      <x:c r="O381" s="69"/>
      <x:c r="P381" s="47"/>
      <x:c r="Q381" s="60"/>
      <x:c r="R381" s="58"/>
      <x:c r="S381" s="47"/>
      <x:c r="T381" s="60"/>
      <x:c r="U381" s="58"/>
      <x:c r="V381" s="47"/>
      <x:c r="W381" s="60"/>
      <x:c r="X381" s="58"/>
      <x:c r="Y381" s="47"/>
      <x:c r="Z381" s="60"/>
      <x:c r="AA381" s="58"/>
      <x:c r="AB381" s="47"/>
      <x:c r="AC381" s="60"/>
      <x:c r="AD381" s="58"/>
      <x:c r="AE381" s="47"/>
      <x:c r="AF381" s="60"/>
      <x:c r="AG381" s="58"/>
      <x:c r="AH381" s="47"/>
      <x:c r="AI381" s="60"/>
      <x:c r="AJ381" s="58"/>
      <x:c r="AK381" s="47"/>
      <x:c r="AL381" s="60"/>
      <x:c r="AM381" s="58"/>
      <x:c r="AN381" s="47"/>
      <x:c r="AO381" s="60"/>
      <x:c r="AP381" s="58"/>
      <x:c r="AQ381" s="47"/>
      <x:c r="AR381" s="60"/>
      <x:c r="AS381" s="58"/>
      <x:c r="AT381" s="47"/>
      <x:c r="AU381" s="60"/>
      <x:c r="AV381" s="58"/>
      <x:c r="AW381" s="47"/>
      <x:c r="AX381" s="60"/>
      <x:c r="AY381" s="58"/>
      <x:c r="AZ381" s="47"/>
      <x:c r="BA381" s="60"/>
      <x:c r="BB381" s="58"/>
      <x:c r="BC381" s="47"/>
      <x:c r="BD381" s="60"/>
      <x:c r="BE381" s="58"/>
      <x:c r="BF381" s="47"/>
      <x:c r="BG381" s="60"/>
      <x:c r="BH381" s="58"/>
      <x:c r="BI381" s="47"/>
      <x:c r="BJ381" s="60"/>
      <x:c r="BK381" s="58"/>
      <x:c r="BL381" s="47"/>
      <x:c r="BM381" s="60"/>
      <x:c r="BN381" s="58"/>
      <x:c r="BO381" s="47"/>
      <x:c r="BP381" s="60"/>
      <x:c r="BQ381" s="58"/>
      <x:c r="BR381" s="47"/>
      <x:c r="BS381" s="60"/>
      <x:c r="BT381" s="58"/>
      <x:c r="BU381" s="47"/>
      <x:c r="BV381" s="60"/>
      <x:c r="BW381" s="58"/>
      <x:c r="BX381" s="47"/>
      <x:c r="BY381" s="60"/>
      <x:c r="BZ381" s="58"/>
      <x:c r="CA381" s="47"/>
      <x:c r="CB381" s="60"/>
      <x:c r="CC381" s="58"/>
      <x:c r="CD381" s="47"/>
      <x:c r="CE381" s="60"/>
      <x:c r="CF381" s="58"/>
      <x:c r="CG381" s="47"/>
      <x:c r="CH381" s="60"/>
      <x:c r="CI381" s="58"/>
      <x:c r="CJ381" s="47"/>
      <x:c r="CK381" s="60"/>
      <x:c r="CL381" s="58"/>
      <x:c r="CM381" s="47"/>
      <x:c r="CN381" s="60"/>
      <x:c r="CO381" s="58"/>
      <x:c r="CP381" s="47"/>
      <x:c r="CQ381" s="60"/>
      <x:c r="CR381" s="58"/>
      <x:c r="CS381" s="47"/>
      <x:c r="CT381" s="60"/>
      <x:c r="CU381" s="58"/>
      <x:c r="CV381" s="47"/>
      <x:c r="CW381" s="60"/>
      <x:c r="CX381" s="58"/>
      <x:c r="CY381" s="47"/>
      <x:c r="CZ381" s="60"/>
      <x:c r="DA381" s="58"/>
      <x:c r="DB381" s="47"/>
      <x:c r="DC381" s="60"/>
      <x:c r="DD381" s="58"/>
      <x:c r="DE381" s="47"/>
      <x:c r="DF381" s="60"/>
      <x:c r="DG381" s="58"/>
      <x:c r="DH381" s="47"/>
      <x:c r="DI381" s="60"/>
      <x:c r="DJ381" s="58"/>
      <x:c r="DK381" s="47"/>
      <x:c r="DL381" s="60"/>
      <x:c r="DM381" s="58"/>
      <x:c r="DN381" s="11"/>
      <x:c r="DO381" s="61"/>
      <x:c r="DP381" s="62"/>
      <x:c r="DQ381" s="11"/>
      <x:c r="DR381" s="61"/>
      <x:c r="DS381" s="62"/>
      <x:c r="DT381" s="11"/>
      <x:c r="DU381" s="61"/>
      <x:c r="DV381" s="62"/>
    </x:row>
    <x:row r="382" spans="1:126" x14ac:dyDescent="0.3">
      <x:c r="A382" s="47"/>
      <x:c r="B382" s="70"/>
      <x:c r="C382" s="70"/>
      <x:c r="D382" s="70"/>
      <x:c r="E382" s="70"/>
      <x:c r="F382" s="70"/>
      <x:c r="G382" s="70"/>
      <x:c r="H382" s="70"/>
      <x:c r="I382" s="70"/>
      <x:c r="J382" s="70"/>
      <x:c r="K382" s="190"/>
      <x:c r="L382" s="195"/>
      <x:c r="M382" s="192"/>
      <x:c r="N382" s="192"/>
      <x:c r="O382" s="69"/>
      <x:c r="P382" s="47"/>
      <x:c r="Q382" s="60"/>
      <x:c r="R382" s="58"/>
      <x:c r="S382" s="47"/>
      <x:c r="T382" s="60"/>
      <x:c r="U382" s="58"/>
      <x:c r="V382" s="47"/>
      <x:c r="W382" s="60"/>
      <x:c r="X382" s="58"/>
      <x:c r="Y382" s="47"/>
      <x:c r="Z382" s="60"/>
      <x:c r="AA382" s="58"/>
      <x:c r="AB382" s="47"/>
      <x:c r="AC382" s="60"/>
      <x:c r="AD382" s="58"/>
      <x:c r="AE382" s="47"/>
      <x:c r="AF382" s="60"/>
      <x:c r="AG382" s="58"/>
      <x:c r="AH382" s="47"/>
      <x:c r="AI382" s="60"/>
      <x:c r="AJ382" s="58"/>
      <x:c r="AK382" s="47"/>
      <x:c r="AL382" s="60"/>
      <x:c r="AM382" s="58"/>
      <x:c r="AN382" s="47"/>
      <x:c r="AO382" s="60"/>
      <x:c r="AP382" s="58"/>
      <x:c r="AQ382" s="47"/>
      <x:c r="AR382" s="60"/>
      <x:c r="AS382" s="58"/>
      <x:c r="AT382" s="47"/>
      <x:c r="AU382" s="60"/>
      <x:c r="AV382" s="58"/>
      <x:c r="AW382" s="47"/>
      <x:c r="AX382" s="60"/>
      <x:c r="AY382" s="58"/>
      <x:c r="AZ382" s="47"/>
      <x:c r="BA382" s="60"/>
      <x:c r="BB382" s="58"/>
      <x:c r="BC382" s="47"/>
      <x:c r="BD382" s="60"/>
      <x:c r="BE382" s="58"/>
      <x:c r="BF382" s="47"/>
      <x:c r="BG382" s="60"/>
      <x:c r="BH382" s="58"/>
      <x:c r="BI382" s="47"/>
      <x:c r="BJ382" s="60"/>
      <x:c r="BK382" s="58"/>
      <x:c r="BL382" s="47"/>
      <x:c r="BM382" s="60"/>
      <x:c r="BN382" s="58"/>
      <x:c r="BO382" s="47"/>
      <x:c r="BP382" s="60"/>
      <x:c r="BQ382" s="58"/>
      <x:c r="BR382" s="47"/>
      <x:c r="BS382" s="60"/>
      <x:c r="BT382" s="58"/>
      <x:c r="BU382" s="47"/>
      <x:c r="BV382" s="60"/>
      <x:c r="BW382" s="58"/>
      <x:c r="BX382" s="47"/>
      <x:c r="BY382" s="60"/>
      <x:c r="BZ382" s="58"/>
      <x:c r="CA382" s="47"/>
      <x:c r="CB382" s="60"/>
      <x:c r="CC382" s="58"/>
      <x:c r="CD382" s="47"/>
      <x:c r="CE382" s="60"/>
      <x:c r="CF382" s="58"/>
      <x:c r="CG382" s="47"/>
      <x:c r="CH382" s="60"/>
      <x:c r="CI382" s="58"/>
      <x:c r="CJ382" s="47"/>
      <x:c r="CK382" s="60"/>
      <x:c r="CL382" s="58"/>
      <x:c r="CM382" s="47"/>
      <x:c r="CN382" s="60"/>
      <x:c r="CO382" s="58"/>
      <x:c r="CP382" s="47"/>
      <x:c r="CQ382" s="60"/>
      <x:c r="CR382" s="58"/>
      <x:c r="CS382" s="47"/>
      <x:c r="CT382" s="60"/>
      <x:c r="CU382" s="58"/>
      <x:c r="CV382" s="47"/>
      <x:c r="CW382" s="60"/>
      <x:c r="CX382" s="58"/>
      <x:c r="CY382" s="47"/>
      <x:c r="CZ382" s="60"/>
      <x:c r="DA382" s="58"/>
      <x:c r="DB382" s="47"/>
      <x:c r="DC382" s="60"/>
      <x:c r="DD382" s="58"/>
      <x:c r="DE382" s="47"/>
      <x:c r="DF382" s="60"/>
      <x:c r="DG382" s="58"/>
      <x:c r="DH382" s="47"/>
      <x:c r="DI382" s="60"/>
      <x:c r="DJ382" s="58"/>
      <x:c r="DK382" s="47"/>
      <x:c r="DL382" s="60"/>
      <x:c r="DM382" s="58"/>
      <x:c r="DN382" s="11"/>
      <x:c r="DO382" s="61"/>
      <x:c r="DP382" s="62"/>
      <x:c r="DQ382" s="11"/>
      <x:c r="DR382" s="61"/>
      <x:c r="DS382" s="62"/>
      <x:c r="DT382" s="11"/>
      <x:c r="DU382" s="61"/>
      <x:c r="DV382" s="62"/>
    </x:row>
    <x:row r="383" spans="1:126" x14ac:dyDescent="0.3">
      <x:c r="A383" s="47"/>
      <x:c r="B383" s="70"/>
      <x:c r="C383" s="70"/>
      <x:c r="D383" s="70"/>
      <x:c r="E383" s="70"/>
      <x:c r="F383" s="70"/>
      <x:c r="G383" s="70"/>
      <x:c r="H383" s="70"/>
      <x:c r="I383" s="70"/>
      <x:c r="J383" s="70"/>
      <x:c r="K383" s="190"/>
      <x:c r="L383" s="195"/>
      <x:c r="M383" s="192"/>
      <x:c r="N383" s="192"/>
      <x:c r="O383" s="69"/>
      <x:c r="P383" s="47"/>
      <x:c r="Q383" s="60"/>
      <x:c r="R383" s="58"/>
      <x:c r="S383" s="47"/>
      <x:c r="T383" s="60"/>
      <x:c r="U383" s="58"/>
      <x:c r="V383" s="47"/>
      <x:c r="W383" s="60"/>
      <x:c r="X383" s="58"/>
      <x:c r="Y383" s="47"/>
      <x:c r="Z383" s="60"/>
      <x:c r="AA383" s="58"/>
      <x:c r="AB383" s="47"/>
      <x:c r="AC383" s="60"/>
      <x:c r="AD383" s="58"/>
      <x:c r="AE383" s="47"/>
      <x:c r="AF383" s="60"/>
      <x:c r="AG383" s="58"/>
      <x:c r="AH383" s="47"/>
      <x:c r="AI383" s="60"/>
      <x:c r="AJ383" s="58"/>
      <x:c r="AK383" s="47"/>
      <x:c r="AL383" s="60"/>
      <x:c r="AM383" s="58"/>
      <x:c r="AN383" s="47"/>
      <x:c r="AO383" s="60"/>
      <x:c r="AP383" s="58"/>
      <x:c r="AQ383" s="47"/>
      <x:c r="AR383" s="60"/>
      <x:c r="AS383" s="58"/>
      <x:c r="AT383" s="47"/>
      <x:c r="AU383" s="60"/>
      <x:c r="AV383" s="58"/>
      <x:c r="AW383" s="47"/>
      <x:c r="AX383" s="60"/>
      <x:c r="AY383" s="58"/>
      <x:c r="AZ383" s="47"/>
      <x:c r="BA383" s="60"/>
      <x:c r="BB383" s="58"/>
      <x:c r="BC383" s="47"/>
      <x:c r="BD383" s="60"/>
      <x:c r="BE383" s="58"/>
      <x:c r="BF383" s="47"/>
      <x:c r="BG383" s="60"/>
      <x:c r="BH383" s="58"/>
      <x:c r="BI383" s="47"/>
      <x:c r="BJ383" s="60"/>
      <x:c r="BK383" s="58"/>
      <x:c r="BL383" s="47"/>
      <x:c r="BM383" s="60"/>
      <x:c r="BN383" s="58"/>
      <x:c r="BO383" s="47"/>
      <x:c r="BP383" s="60"/>
      <x:c r="BQ383" s="58"/>
      <x:c r="BR383" s="47"/>
      <x:c r="BS383" s="60"/>
      <x:c r="BT383" s="58"/>
      <x:c r="BU383" s="47"/>
      <x:c r="BV383" s="60"/>
      <x:c r="BW383" s="58"/>
      <x:c r="BX383" s="47"/>
      <x:c r="BY383" s="60"/>
      <x:c r="BZ383" s="58"/>
      <x:c r="CA383" s="47"/>
      <x:c r="CB383" s="60"/>
      <x:c r="CC383" s="58"/>
      <x:c r="CD383" s="47"/>
      <x:c r="CE383" s="60"/>
      <x:c r="CF383" s="58"/>
      <x:c r="CG383" s="47"/>
      <x:c r="CH383" s="60"/>
      <x:c r="CI383" s="58"/>
      <x:c r="CJ383" s="47"/>
      <x:c r="CK383" s="60"/>
      <x:c r="CL383" s="58"/>
      <x:c r="CM383" s="47"/>
      <x:c r="CN383" s="60"/>
      <x:c r="CO383" s="58"/>
      <x:c r="CP383" s="47"/>
      <x:c r="CQ383" s="60"/>
      <x:c r="CR383" s="58"/>
      <x:c r="CS383" s="47"/>
      <x:c r="CT383" s="60"/>
      <x:c r="CU383" s="58"/>
      <x:c r="CV383" s="47"/>
      <x:c r="CW383" s="60"/>
      <x:c r="CX383" s="58"/>
      <x:c r="CY383" s="47"/>
      <x:c r="CZ383" s="60"/>
      <x:c r="DA383" s="58"/>
      <x:c r="DB383" s="47"/>
      <x:c r="DC383" s="60"/>
      <x:c r="DD383" s="58"/>
      <x:c r="DE383" s="47"/>
      <x:c r="DF383" s="60"/>
      <x:c r="DG383" s="58"/>
      <x:c r="DH383" s="47"/>
      <x:c r="DI383" s="60"/>
      <x:c r="DJ383" s="58"/>
      <x:c r="DK383" s="47"/>
      <x:c r="DL383" s="60"/>
      <x:c r="DM383" s="58"/>
      <x:c r="DN383" s="11"/>
      <x:c r="DO383" s="61"/>
      <x:c r="DP383" s="62"/>
      <x:c r="DQ383" s="11"/>
      <x:c r="DR383" s="61"/>
      <x:c r="DS383" s="62"/>
      <x:c r="DT383" s="11"/>
      <x:c r="DU383" s="61"/>
      <x:c r="DV383" s="62"/>
    </x:row>
    <x:row r="384" spans="1:126" x14ac:dyDescent="0.3">
      <x:c r="A384" s="47"/>
      <x:c r="B384" s="70"/>
      <x:c r="C384" s="70"/>
      <x:c r="D384" s="70"/>
      <x:c r="E384" s="70"/>
      <x:c r="F384" s="70"/>
      <x:c r="G384" s="70"/>
      <x:c r="H384" s="70"/>
      <x:c r="I384" s="70"/>
      <x:c r="J384" s="70"/>
      <x:c r="K384" s="190"/>
      <x:c r="L384" s="195"/>
      <x:c r="M384" s="192"/>
      <x:c r="N384" s="192"/>
      <x:c r="O384" s="69"/>
      <x:c r="P384" s="47"/>
      <x:c r="Q384" s="60"/>
      <x:c r="R384" s="58"/>
      <x:c r="S384" s="47"/>
      <x:c r="T384" s="60"/>
      <x:c r="U384" s="58"/>
      <x:c r="V384" s="47"/>
      <x:c r="W384" s="60"/>
      <x:c r="X384" s="58"/>
      <x:c r="Y384" s="47"/>
      <x:c r="Z384" s="60"/>
      <x:c r="AA384" s="58"/>
      <x:c r="AB384" s="47"/>
      <x:c r="AC384" s="60"/>
      <x:c r="AD384" s="58"/>
      <x:c r="AE384" s="47"/>
      <x:c r="AF384" s="60"/>
      <x:c r="AG384" s="58"/>
      <x:c r="AH384" s="47"/>
      <x:c r="AI384" s="60"/>
      <x:c r="AJ384" s="58"/>
      <x:c r="AK384" s="47"/>
      <x:c r="AL384" s="60"/>
      <x:c r="AM384" s="58"/>
      <x:c r="AN384" s="47"/>
      <x:c r="AO384" s="60"/>
      <x:c r="AP384" s="58"/>
      <x:c r="AQ384" s="47"/>
      <x:c r="AR384" s="60"/>
      <x:c r="AS384" s="58"/>
      <x:c r="AT384" s="47"/>
      <x:c r="AU384" s="60"/>
      <x:c r="AV384" s="58"/>
      <x:c r="AW384" s="47"/>
      <x:c r="AX384" s="60"/>
      <x:c r="AY384" s="58"/>
      <x:c r="AZ384" s="47"/>
      <x:c r="BA384" s="60"/>
      <x:c r="BB384" s="58"/>
      <x:c r="BC384" s="47"/>
      <x:c r="BD384" s="60"/>
      <x:c r="BE384" s="58"/>
      <x:c r="BF384" s="47"/>
      <x:c r="BG384" s="60"/>
      <x:c r="BH384" s="58"/>
      <x:c r="BI384" s="47"/>
      <x:c r="BJ384" s="60"/>
      <x:c r="BK384" s="58"/>
      <x:c r="BL384" s="47"/>
      <x:c r="BM384" s="60"/>
      <x:c r="BN384" s="58"/>
      <x:c r="BO384" s="47"/>
      <x:c r="BP384" s="60"/>
      <x:c r="BQ384" s="58"/>
      <x:c r="BR384" s="47"/>
      <x:c r="BS384" s="60"/>
      <x:c r="BT384" s="58"/>
      <x:c r="BU384" s="47"/>
      <x:c r="BV384" s="60"/>
      <x:c r="BW384" s="58"/>
      <x:c r="BX384" s="47"/>
      <x:c r="BY384" s="60"/>
      <x:c r="BZ384" s="58"/>
      <x:c r="CA384" s="47"/>
      <x:c r="CB384" s="60"/>
      <x:c r="CC384" s="58"/>
      <x:c r="CD384" s="47"/>
      <x:c r="CE384" s="60"/>
      <x:c r="CF384" s="58"/>
      <x:c r="CG384" s="47"/>
      <x:c r="CH384" s="60"/>
      <x:c r="CI384" s="58"/>
      <x:c r="CJ384" s="47"/>
      <x:c r="CK384" s="60"/>
      <x:c r="CL384" s="58"/>
      <x:c r="CM384" s="47"/>
      <x:c r="CN384" s="60"/>
      <x:c r="CO384" s="58"/>
      <x:c r="CP384" s="47"/>
      <x:c r="CQ384" s="60"/>
      <x:c r="CR384" s="58"/>
      <x:c r="CS384" s="47"/>
      <x:c r="CT384" s="60"/>
      <x:c r="CU384" s="58"/>
      <x:c r="CV384" s="47"/>
      <x:c r="CW384" s="60"/>
      <x:c r="CX384" s="58"/>
      <x:c r="CY384" s="47"/>
      <x:c r="CZ384" s="60"/>
      <x:c r="DA384" s="58"/>
      <x:c r="DB384" s="47"/>
      <x:c r="DC384" s="60"/>
      <x:c r="DD384" s="58"/>
      <x:c r="DE384" s="47"/>
      <x:c r="DF384" s="60"/>
      <x:c r="DG384" s="58"/>
      <x:c r="DH384" s="47"/>
      <x:c r="DI384" s="60"/>
      <x:c r="DJ384" s="58"/>
      <x:c r="DK384" s="47"/>
      <x:c r="DL384" s="60"/>
      <x:c r="DM384" s="58"/>
      <x:c r="DN384" s="11"/>
      <x:c r="DO384" s="61"/>
      <x:c r="DP384" s="62"/>
      <x:c r="DQ384" s="11"/>
      <x:c r="DR384" s="61"/>
      <x:c r="DS384" s="62"/>
      <x:c r="DT384" s="11"/>
      <x:c r="DU384" s="61"/>
      <x:c r="DV384" s="62"/>
    </x:row>
    <x:row r="385" spans="1:126" x14ac:dyDescent="0.3">
      <x:c r="A385" s="47"/>
      <x:c r="B385" s="70"/>
      <x:c r="C385" s="70"/>
      <x:c r="D385" s="70"/>
      <x:c r="E385" s="70"/>
      <x:c r="F385" s="70"/>
      <x:c r="G385" s="70"/>
      <x:c r="H385" s="70"/>
      <x:c r="I385" s="70"/>
      <x:c r="J385" s="70"/>
      <x:c r="K385" s="190"/>
      <x:c r="L385" s="195"/>
      <x:c r="M385" s="192"/>
      <x:c r="N385" s="192"/>
      <x:c r="O385" s="69"/>
      <x:c r="P385" s="47"/>
      <x:c r="Q385" s="60"/>
      <x:c r="R385" s="58"/>
      <x:c r="S385" s="47"/>
      <x:c r="T385" s="60"/>
      <x:c r="U385" s="58"/>
      <x:c r="V385" s="47"/>
      <x:c r="W385" s="60"/>
      <x:c r="X385" s="58"/>
      <x:c r="Y385" s="47"/>
      <x:c r="Z385" s="60"/>
      <x:c r="AA385" s="58"/>
      <x:c r="AB385" s="47"/>
      <x:c r="AC385" s="60"/>
      <x:c r="AD385" s="58"/>
      <x:c r="AE385" s="47"/>
      <x:c r="AF385" s="60"/>
      <x:c r="AG385" s="58"/>
      <x:c r="AH385" s="47"/>
      <x:c r="AI385" s="60"/>
      <x:c r="AJ385" s="58"/>
      <x:c r="AK385" s="47"/>
      <x:c r="AL385" s="60"/>
      <x:c r="AM385" s="58"/>
      <x:c r="AN385" s="47"/>
      <x:c r="AO385" s="60"/>
      <x:c r="AP385" s="58"/>
      <x:c r="AQ385" s="47"/>
      <x:c r="AR385" s="60"/>
      <x:c r="AS385" s="58"/>
      <x:c r="AT385" s="47"/>
      <x:c r="AU385" s="60"/>
      <x:c r="AV385" s="58"/>
      <x:c r="AW385" s="47"/>
      <x:c r="AX385" s="60"/>
      <x:c r="AY385" s="58"/>
      <x:c r="AZ385" s="47"/>
      <x:c r="BA385" s="60"/>
      <x:c r="BB385" s="58"/>
      <x:c r="BC385" s="47"/>
      <x:c r="BD385" s="60"/>
      <x:c r="BE385" s="58"/>
      <x:c r="BF385" s="47"/>
      <x:c r="BG385" s="60"/>
      <x:c r="BH385" s="58"/>
      <x:c r="BI385" s="47"/>
      <x:c r="BJ385" s="60"/>
      <x:c r="BK385" s="58"/>
      <x:c r="BL385" s="47"/>
      <x:c r="BM385" s="60"/>
      <x:c r="BN385" s="58"/>
      <x:c r="BO385" s="47"/>
      <x:c r="BP385" s="60"/>
      <x:c r="BQ385" s="58"/>
      <x:c r="BR385" s="47"/>
      <x:c r="BS385" s="60"/>
      <x:c r="BT385" s="58"/>
      <x:c r="BU385" s="47"/>
      <x:c r="BV385" s="60"/>
      <x:c r="BW385" s="58"/>
      <x:c r="BX385" s="47"/>
      <x:c r="BY385" s="60"/>
      <x:c r="BZ385" s="58"/>
      <x:c r="CA385" s="47"/>
      <x:c r="CB385" s="60"/>
      <x:c r="CC385" s="58"/>
      <x:c r="CD385" s="47"/>
      <x:c r="CE385" s="60"/>
      <x:c r="CF385" s="58"/>
      <x:c r="CG385" s="47"/>
      <x:c r="CH385" s="60"/>
      <x:c r="CI385" s="58"/>
      <x:c r="CJ385" s="47"/>
      <x:c r="CK385" s="60"/>
      <x:c r="CL385" s="58"/>
      <x:c r="CM385" s="47"/>
      <x:c r="CN385" s="60"/>
      <x:c r="CO385" s="58"/>
      <x:c r="CP385" s="47"/>
      <x:c r="CQ385" s="60"/>
      <x:c r="CR385" s="58"/>
      <x:c r="CS385" s="47"/>
      <x:c r="CT385" s="60"/>
      <x:c r="CU385" s="58"/>
      <x:c r="CV385" s="47"/>
      <x:c r="CW385" s="60"/>
      <x:c r="CX385" s="58"/>
      <x:c r="CY385" s="47"/>
      <x:c r="CZ385" s="60"/>
      <x:c r="DA385" s="58"/>
      <x:c r="DB385" s="47"/>
      <x:c r="DC385" s="60"/>
      <x:c r="DD385" s="58"/>
      <x:c r="DE385" s="47"/>
      <x:c r="DF385" s="60"/>
      <x:c r="DG385" s="58"/>
      <x:c r="DH385" s="47"/>
      <x:c r="DI385" s="60"/>
      <x:c r="DJ385" s="58"/>
      <x:c r="DK385" s="47"/>
      <x:c r="DL385" s="60"/>
      <x:c r="DM385" s="58"/>
      <x:c r="DN385" s="11"/>
      <x:c r="DO385" s="61"/>
      <x:c r="DP385" s="62"/>
      <x:c r="DQ385" s="11"/>
      <x:c r="DR385" s="61"/>
      <x:c r="DS385" s="62"/>
      <x:c r="DT385" s="11"/>
      <x:c r="DU385" s="61"/>
      <x:c r="DV385" s="62"/>
    </x:row>
    <x:row r="386" spans="1:126" x14ac:dyDescent="0.3">
      <x:c r="A386" s="47"/>
      <x:c r="B386" s="70"/>
      <x:c r="C386" s="70"/>
      <x:c r="D386" s="70"/>
      <x:c r="E386" s="70"/>
      <x:c r="F386" s="70"/>
      <x:c r="G386" s="70"/>
      <x:c r="H386" s="70"/>
      <x:c r="I386" s="70"/>
      <x:c r="J386" s="70"/>
      <x:c r="K386" s="190"/>
      <x:c r="L386" s="195"/>
      <x:c r="M386" s="192"/>
      <x:c r="N386" s="192"/>
      <x:c r="O386" s="69"/>
      <x:c r="P386" s="47"/>
      <x:c r="Q386" s="60"/>
      <x:c r="R386" s="58"/>
      <x:c r="S386" s="47"/>
      <x:c r="T386" s="60"/>
      <x:c r="U386" s="58"/>
      <x:c r="V386" s="47"/>
      <x:c r="W386" s="60"/>
      <x:c r="X386" s="58"/>
      <x:c r="Y386" s="47"/>
      <x:c r="Z386" s="60"/>
      <x:c r="AA386" s="58"/>
      <x:c r="AB386" s="47"/>
      <x:c r="AC386" s="60"/>
      <x:c r="AD386" s="58"/>
      <x:c r="AE386" s="47"/>
      <x:c r="AF386" s="60"/>
      <x:c r="AG386" s="58"/>
      <x:c r="AH386" s="47"/>
      <x:c r="AI386" s="60"/>
      <x:c r="AJ386" s="58"/>
      <x:c r="AK386" s="47"/>
      <x:c r="AL386" s="60"/>
      <x:c r="AM386" s="58"/>
      <x:c r="AN386" s="47"/>
      <x:c r="AO386" s="60"/>
      <x:c r="AP386" s="58"/>
      <x:c r="AQ386" s="47"/>
      <x:c r="AR386" s="60"/>
      <x:c r="AS386" s="58"/>
      <x:c r="AT386" s="47"/>
      <x:c r="AU386" s="60"/>
      <x:c r="AV386" s="58"/>
      <x:c r="AW386" s="47"/>
      <x:c r="AX386" s="60"/>
      <x:c r="AY386" s="58"/>
      <x:c r="AZ386" s="47"/>
      <x:c r="BA386" s="60"/>
      <x:c r="BB386" s="58"/>
      <x:c r="BC386" s="47"/>
      <x:c r="BD386" s="60"/>
      <x:c r="BE386" s="58"/>
      <x:c r="BF386" s="47"/>
      <x:c r="BG386" s="60"/>
      <x:c r="BH386" s="58"/>
      <x:c r="BI386" s="47"/>
      <x:c r="BJ386" s="60"/>
      <x:c r="BK386" s="58"/>
      <x:c r="BL386" s="47"/>
      <x:c r="BM386" s="60"/>
      <x:c r="BN386" s="58"/>
      <x:c r="BO386" s="47"/>
      <x:c r="BP386" s="60"/>
      <x:c r="BQ386" s="58"/>
      <x:c r="BR386" s="47"/>
      <x:c r="BS386" s="60"/>
      <x:c r="BT386" s="58"/>
      <x:c r="BU386" s="47"/>
      <x:c r="BV386" s="60"/>
      <x:c r="BW386" s="58"/>
      <x:c r="BX386" s="47"/>
      <x:c r="BY386" s="60"/>
      <x:c r="BZ386" s="58"/>
      <x:c r="CA386" s="47"/>
      <x:c r="CB386" s="60"/>
      <x:c r="CC386" s="58"/>
      <x:c r="CD386" s="47"/>
      <x:c r="CE386" s="60"/>
      <x:c r="CF386" s="58"/>
      <x:c r="CG386" s="47"/>
      <x:c r="CH386" s="60"/>
      <x:c r="CI386" s="58"/>
      <x:c r="CJ386" s="47"/>
      <x:c r="CK386" s="60"/>
      <x:c r="CL386" s="58"/>
      <x:c r="CM386" s="47"/>
      <x:c r="CN386" s="60"/>
      <x:c r="CO386" s="58"/>
      <x:c r="CP386" s="47"/>
      <x:c r="CQ386" s="60"/>
      <x:c r="CR386" s="58"/>
      <x:c r="CS386" s="47"/>
      <x:c r="CT386" s="60"/>
      <x:c r="CU386" s="58"/>
      <x:c r="CV386" s="47"/>
      <x:c r="CW386" s="60"/>
      <x:c r="CX386" s="58"/>
      <x:c r="CY386" s="47"/>
      <x:c r="CZ386" s="60"/>
      <x:c r="DA386" s="58"/>
      <x:c r="DB386" s="47"/>
      <x:c r="DC386" s="60"/>
      <x:c r="DD386" s="58"/>
      <x:c r="DE386" s="47"/>
      <x:c r="DF386" s="60"/>
      <x:c r="DG386" s="58"/>
      <x:c r="DH386" s="47"/>
      <x:c r="DI386" s="60"/>
      <x:c r="DJ386" s="58"/>
      <x:c r="DK386" s="47"/>
      <x:c r="DL386" s="60"/>
      <x:c r="DM386" s="58"/>
      <x:c r="DN386" s="11"/>
      <x:c r="DO386" s="61"/>
      <x:c r="DP386" s="62"/>
      <x:c r="DQ386" s="11"/>
      <x:c r="DR386" s="61"/>
      <x:c r="DS386" s="62"/>
      <x:c r="DT386" s="11"/>
      <x:c r="DU386" s="61"/>
      <x:c r="DV386" s="62"/>
    </x:row>
    <x:row r="387" spans="1:126" x14ac:dyDescent="0.3">
      <x:c r="A387" s="47"/>
      <x:c r="B387" s="70"/>
      <x:c r="C387" s="70"/>
      <x:c r="D387" s="70"/>
      <x:c r="E387" s="70"/>
      <x:c r="F387" s="70"/>
      <x:c r="G387" s="70"/>
      <x:c r="H387" s="70"/>
      <x:c r="I387" s="70"/>
      <x:c r="J387" s="70"/>
      <x:c r="K387" s="190"/>
      <x:c r="L387" s="195"/>
      <x:c r="M387" s="192"/>
      <x:c r="N387" s="192"/>
      <x:c r="O387" s="69"/>
      <x:c r="P387" s="47"/>
      <x:c r="Q387" s="60"/>
      <x:c r="R387" s="58"/>
      <x:c r="S387" s="47"/>
      <x:c r="T387" s="60"/>
      <x:c r="U387" s="58"/>
      <x:c r="V387" s="47"/>
      <x:c r="W387" s="60"/>
      <x:c r="X387" s="58"/>
      <x:c r="Y387" s="47"/>
      <x:c r="Z387" s="60"/>
      <x:c r="AA387" s="58"/>
      <x:c r="AB387" s="47"/>
      <x:c r="AC387" s="60"/>
      <x:c r="AD387" s="58"/>
      <x:c r="AE387" s="47"/>
      <x:c r="AF387" s="60"/>
      <x:c r="AG387" s="58"/>
      <x:c r="AH387" s="47"/>
      <x:c r="AI387" s="60"/>
      <x:c r="AJ387" s="58"/>
      <x:c r="AK387" s="47"/>
      <x:c r="AL387" s="60"/>
      <x:c r="AM387" s="58"/>
      <x:c r="AN387" s="47"/>
      <x:c r="AO387" s="60"/>
      <x:c r="AP387" s="58"/>
      <x:c r="AQ387" s="47"/>
      <x:c r="AR387" s="60"/>
      <x:c r="AS387" s="58"/>
      <x:c r="AT387" s="47"/>
      <x:c r="AU387" s="60"/>
      <x:c r="AV387" s="58"/>
      <x:c r="AW387" s="47"/>
      <x:c r="AX387" s="60"/>
      <x:c r="AY387" s="58"/>
      <x:c r="AZ387" s="47"/>
      <x:c r="BA387" s="60"/>
      <x:c r="BB387" s="58"/>
      <x:c r="BC387" s="47"/>
      <x:c r="BD387" s="60"/>
      <x:c r="BE387" s="58"/>
      <x:c r="BF387" s="47"/>
      <x:c r="BG387" s="60"/>
      <x:c r="BH387" s="58"/>
      <x:c r="BI387" s="47"/>
      <x:c r="BJ387" s="60"/>
      <x:c r="BK387" s="58"/>
      <x:c r="BL387" s="47"/>
      <x:c r="BM387" s="60"/>
      <x:c r="BN387" s="58"/>
      <x:c r="BO387" s="47"/>
      <x:c r="BP387" s="60"/>
      <x:c r="BQ387" s="58"/>
      <x:c r="BR387" s="47"/>
      <x:c r="BS387" s="60"/>
      <x:c r="BT387" s="58"/>
      <x:c r="BU387" s="47"/>
      <x:c r="BV387" s="60"/>
      <x:c r="BW387" s="58"/>
      <x:c r="BX387" s="47"/>
      <x:c r="BY387" s="60"/>
      <x:c r="BZ387" s="58"/>
      <x:c r="CA387" s="47"/>
      <x:c r="CB387" s="60"/>
      <x:c r="CC387" s="58"/>
      <x:c r="CD387" s="47"/>
      <x:c r="CE387" s="60"/>
      <x:c r="CF387" s="58"/>
      <x:c r="CG387" s="47"/>
      <x:c r="CH387" s="60"/>
      <x:c r="CI387" s="58"/>
      <x:c r="CJ387" s="47"/>
      <x:c r="CK387" s="60"/>
      <x:c r="CL387" s="58"/>
      <x:c r="CM387" s="47"/>
      <x:c r="CN387" s="60"/>
      <x:c r="CO387" s="58"/>
      <x:c r="CP387" s="47"/>
      <x:c r="CQ387" s="60"/>
      <x:c r="CR387" s="58"/>
      <x:c r="CS387" s="47"/>
      <x:c r="CT387" s="60"/>
      <x:c r="CU387" s="58"/>
      <x:c r="CV387" s="47"/>
      <x:c r="CW387" s="60"/>
      <x:c r="CX387" s="58"/>
      <x:c r="CY387" s="47"/>
      <x:c r="CZ387" s="60"/>
      <x:c r="DA387" s="58"/>
      <x:c r="DB387" s="47"/>
      <x:c r="DC387" s="60"/>
      <x:c r="DD387" s="58"/>
      <x:c r="DE387" s="47"/>
      <x:c r="DF387" s="60"/>
      <x:c r="DG387" s="58"/>
      <x:c r="DH387" s="47"/>
      <x:c r="DI387" s="60"/>
      <x:c r="DJ387" s="58"/>
      <x:c r="DK387" s="47"/>
      <x:c r="DL387" s="60"/>
      <x:c r="DM387" s="58"/>
      <x:c r="DN387" s="11"/>
      <x:c r="DO387" s="61"/>
      <x:c r="DP387" s="62"/>
      <x:c r="DQ387" s="11"/>
      <x:c r="DR387" s="61"/>
      <x:c r="DS387" s="62"/>
      <x:c r="DT387" s="11"/>
      <x:c r="DU387" s="61"/>
      <x:c r="DV387" s="62"/>
    </x:row>
    <x:row r="388" spans="1:126" x14ac:dyDescent="0.3">
      <x:c r="A388" s="47"/>
      <x:c r="B388" s="70"/>
      <x:c r="C388" s="70"/>
      <x:c r="D388" s="70"/>
      <x:c r="E388" s="70"/>
      <x:c r="F388" s="70"/>
      <x:c r="G388" s="70"/>
      <x:c r="H388" s="70"/>
      <x:c r="I388" s="70"/>
      <x:c r="J388" s="70"/>
      <x:c r="K388" s="190"/>
      <x:c r="L388" s="195"/>
      <x:c r="M388" s="192"/>
      <x:c r="N388" s="192"/>
      <x:c r="O388" s="69"/>
      <x:c r="P388" s="47"/>
      <x:c r="Q388" s="60"/>
      <x:c r="R388" s="58"/>
      <x:c r="S388" s="47"/>
      <x:c r="T388" s="60"/>
      <x:c r="U388" s="58"/>
      <x:c r="V388" s="47"/>
      <x:c r="W388" s="60"/>
      <x:c r="X388" s="58"/>
      <x:c r="Y388" s="47"/>
      <x:c r="Z388" s="60"/>
      <x:c r="AA388" s="58"/>
      <x:c r="AB388" s="47"/>
      <x:c r="AC388" s="60"/>
      <x:c r="AD388" s="58"/>
      <x:c r="AE388" s="47"/>
      <x:c r="AF388" s="60"/>
      <x:c r="AG388" s="58"/>
      <x:c r="AH388" s="47"/>
      <x:c r="AI388" s="60"/>
      <x:c r="AJ388" s="58"/>
      <x:c r="AK388" s="47"/>
      <x:c r="AL388" s="60"/>
      <x:c r="AM388" s="58"/>
      <x:c r="AN388" s="47"/>
      <x:c r="AO388" s="60"/>
      <x:c r="AP388" s="58"/>
      <x:c r="AQ388" s="47"/>
      <x:c r="AR388" s="60"/>
      <x:c r="AS388" s="58"/>
      <x:c r="AT388" s="47"/>
      <x:c r="AU388" s="60"/>
      <x:c r="AV388" s="58"/>
      <x:c r="AW388" s="47"/>
      <x:c r="AX388" s="60"/>
      <x:c r="AY388" s="58"/>
      <x:c r="AZ388" s="47"/>
      <x:c r="BA388" s="60"/>
      <x:c r="BB388" s="58"/>
      <x:c r="BC388" s="47"/>
      <x:c r="BD388" s="60"/>
      <x:c r="BE388" s="58"/>
      <x:c r="BF388" s="47"/>
      <x:c r="BG388" s="60"/>
      <x:c r="BH388" s="58"/>
      <x:c r="BI388" s="47"/>
      <x:c r="BJ388" s="60"/>
      <x:c r="BK388" s="58"/>
      <x:c r="BL388" s="47"/>
      <x:c r="BM388" s="60"/>
      <x:c r="BN388" s="58"/>
      <x:c r="BO388" s="47"/>
      <x:c r="BP388" s="60"/>
      <x:c r="BQ388" s="58"/>
      <x:c r="BR388" s="47"/>
      <x:c r="BS388" s="60"/>
      <x:c r="BT388" s="58"/>
      <x:c r="BU388" s="47"/>
      <x:c r="BV388" s="60"/>
      <x:c r="BW388" s="58"/>
      <x:c r="BX388" s="47"/>
      <x:c r="BY388" s="60"/>
      <x:c r="BZ388" s="58"/>
      <x:c r="CA388" s="47"/>
      <x:c r="CB388" s="60"/>
      <x:c r="CC388" s="58"/>
      <x:c r="CD388" s="47"/>
      <x:c r="CE388" s="60"/>
      <x:c r="CF388" s="58"/>
      <x:c r="CG388" s="47"/>
      <x:c r="CH388" s="60"/>
      <x:c r="CI388" s="58"/>
      <x:c r="CJ388" s="47"/>
      <x:c r="CK388" s="60"/>
      <x:c r="CL388" s="58"/>
      <x:c r="CM388" s="47"/>
      <x:c r="CN388" s="60"/>
      <x:c r="CO388" s="58"/>
      <x:c r="CP388" s="47"/>
      <x:c r="CQ388" s="60"/>
      <x:c r="CR388" s="58"/>
      <x:c r="CS388" s="47"/>
      <x:c r="CT388" s="60"/>
      <x:c r="CU388" s="58"/>
      <x:c r="CV388" s="47"/>
      <x:c r="CW388" s="60"/>
      <x:c r="CX388" s="58"/>
      <x:c r="CY388" s="47"/>
      <x:c r="CZ388" s="60"/>
      <x:c r="DA388" s="58"/>
      <x:c r="DB388" s="47"/>
      <x:c r="DC388" s="60"/>
      <x:c r="DD388" s="58"/>
      <x:c r="DE388" s="47"/>
      <x:c r="DF388" s="60"/>
      <x:c r="DG388" s="58"/>
      <x:c r="DH388" s="47"/>
      <x:c r="DI388" s="60"/>
      <x:c r="DJ388" s="58"/>
      <x:c r="DK388" s="47"/>
      <x:c r="DL388" s="60"/>
      <x:c r="DM388" s="58"/>
      <x:c r="DN388" s="11"/>
      <x:c r="DO388" s="61"/>
      <x:c r="DP388" s="62"/>
      <x:c r="DQ388" s="11"/>
      <x:c r="DR388" s="61"/>
      <x:c r="DS388" s="62"/>
      <x:c r="DT388" s="11"/>
      <x:c r="DU388" s="61"/>
      <x:c r="DV388" s="62"/>
    </x:row>
    <x:row r="389" spans="1:126" x14ac:dyDescent="0.3">
      <x:c r="A389" s="47"/>
      <x:c r="B389" s="70"/>
      <x:c r="C389" s="70"/>
      <x:c r="D389" s="70"/>
      <x:c r="E389" s="70"/>
      <x:c r="F389" s="70"/>
      <x:c r="G389" s="70"/>
      <x:c r="H389" s="70"/>
      <x:c r="I389" s="70"/>
      <x:c r="J389" s="70"/>
      <x:c r="K389" s="190"/>
      <x:c r="L389" s="195"/>
      <x:c r="M389" s="192"/>
      <x:c r="N389" s="192"/>
      <x:c r="O389" s="69"/>
      <x:c r="P389" s="47"/>
      <x:c r="Q389" s="60"/>
      <x:c r="R389" s="58"/>
      <x:c r="S389" s="47"/>
      <x:c r="T389" s="60"/>
      <x:c r="U389" s="58"/>
      <x:c r="V389" s="47"/>
      <x:c r="W389" s="60"/>
      <x:c r="X389" s="58"/>
      <x:c r="Y389" s="47"/>
      <x:c r="Z389" s="60"/>
      <x:c r="AA389" s="58"/>
      <x:c r="AB389" s="47"/>
      <x:c r="AC389" s="60"/>
      <x:c r="AD389" s="58"/>
      <x:c r="AE389" s="47"/>
      <x:c r="AF389" s="60"/>
      <x:c r="AG389" s="58"/>
      <x:c r="AH389" s="47"/>
      <x:c r="AI389" s="60"/>
      <x:c r="AJ389" s="58"/>
      <x:c r="AK389" s="47"/>
      <x:c r="AL389" s="60"/>
      <x:c r="AM389" s="58"/>
      <x:c r="AN389" s="47"/>
      <x:c r="AO389" s="60"/>
      <x:c r="AP389" s="58"/>
      <x:c r="AQ389" s="47"/>
      <x:c r="AR389" s="60"/>
      <x:c r="AS389" s="58"/>
      <x:c r="AT389" s="47"/>
      <x:c r="AU389" s="60"/>
      <x:c r="AV389" s="58"/>
      <x:c r="AW389" s="47"/>
      <x:c r="AX389" s="60"/>
      <x:c r="AY389" s="58"/>
      <x:c r="AZ389" s="47"/>
      <x:c r="BA389" s="60"/>
      <x:c r="BB389" s="58"/>
      <x:c r="BC389" s="47"/>
      <x:c r="BD389" s="60"/>
      <x:c r="BE389" s="58"/>
      <x:c r="BF389" s="47"/>
      <x:c r="BG389" s="60"/>
      <x:c r="BH389" s="58"/>
      <x:c r="BI389" s="47"/>
      <x:c r="BJ389" s="60"/>
      <x:c r="BK389" s="58"/>
      <x:c r="BL389" s="47"/>
      <x:c r="BM389" s="60"/>
      <x:c r="BN389" s="58"/>
      <x:c r="BO389" s="47"/>
      <x:c r="BP389" s="60"/>
      <x:c r="BQ389" s="58"/>
      <x:c r="BR389" s="47"/>
      <x:c r="BS389" s="60"/>
      <x:c r="BT389" s="58"/>
      <x:c r="BU389" s="47"/>
      <x:c r="BV389" s="60"/>
      <x:c r="BW389" s="58"/>
      <x:c r="BX389" s="47"/>
      <x:c r="BY389" s="60"/>
      <x:c r="BZ389" s="58"/>
      <x:c r="CA389" s="47"/>
      <x:c r="CB389" s="60"/>
      <x:c r="CC389" s="58"/>
      <x:c r="CD389" s="47"/>
      <x:c r="CE389" s="60"/>
      <x:c r="CF389" s="58"/>
      <x:c r="CG389" s="47"/>
      <x:c r="CH389" s="60"/>
      <x:c r="CI389" s="58"/>
      <x:c r="CJ389" s="47"/>
      <x:c r="CK389" s="60"/>
      <x:c r="CL389" s="58"/>
      <x:c r="CM389" s="47"/>
      <x:c r="CN389" s="60"/>
      <x:c r="CO389" s="58"/>
      <x:c r="CP389" s="47"/>
      <x:c r="CQ389" s="60"/>
      <x:c r="CR389" s="58"/>
      <x:c r="CS389" s="47"/>
      <x:c r="CT389" s="60"/>
      <x:c r="CU389" s="58"/>
      <x:c r="CV389" s="47"/>
      <x:c r="CW389" s="60"/>
      <x:c r="CX389" s="58"/>
      <x:c r="CY389" s="47"/>
      <x:c r="CZ389" s="60"/>
      <x:c r="DA389" s="58"/>
      <x:c r="DB389" s="47"/>
      <x:c r="DC389" s="60"/>
      <x:c r="DD389" s="58"/>
      <x:c r="DE389" s="47"/>
      <x:c r="DF389" s="60"/>
      <x:c r="DG389" s="58"/>
      <x:c r="DH389" s="47"/>
      <x:c r="DI389" s="60"/>
      <x:c r="DJ389" s="58"/>
      <x:c r="DK389" s="47"/>
      <x:c r="DL389" s="60"/>
      <x:c r="DM389" s="58"/>
      <x:c r="DN389" s="11"/>
      <x:c r="DO389" s="61"/>
      <x:c r="DP389" s="62"/>
      <x:c r="DQ389" s="11"/>
      <x:c r="DR389" s="61"/>
      <x:c r="DS389" s="62"/>
      <x:c r="DT389" s="11"/>
      <x:c r="DU389" s="61"/>
      <x:c r="DV389" s="62"/>
    </x:row>
    <x:row r="390" spans="1:126" x14ac:dyDescent="0.3">
      <x:c r="A390" s="47"/>
      <x:c r="B390" s="70"/>
      <x:c r="C390" s="70"/>
      <x:c r="D390" s="70"/>
      <x:c r="E390" s="70"/>
      <x:c r="F390" s="70"/>
      <x:c r="G390" s="70"/>
      <x:c r="H390" s="70"/>
      <x:c r="I390" s="70"/>
      <x:c r="J390" s="70"/>
      <x:c r="K390" s="190"/>
      <x:c r="L390" s="195"/>
      <x:c r="M390" s="192"/>
      <x:c r="N390" s="192"/>
      <x:c r="O390" s="69"/>
      <x:c r="P390" s="47"/>
      <x:c r="Q390" s="60"/>
      <x:c r="R390" s="58"/>
      <x:c r="S390" s="47"/>
      <x:c r="T390" s="60"/>
      <x:c r="U390" s="58"/>
      <x:c r="V390" s="47"/>
      <x:c r="W390" s="60"/>
      <x:c r="X390" s="58"/>
      <x:c r="Y390" s="47"/>
      <x:c r="Z390" s="60"/>
      <x:c r="AA390" s="58"/>
      <x:c r="AB390" s="47"/>
      <x:c r="AC390" s="60"/>
      <x:c r="AD390" s="58"/>
      <x:c r="AE390" s="47"/>
      <x:c r="AF390" s="60"/>
      <x:c r="AG390" s="58"/>
      <x:c r="AH390" s="47"/>
      <x:c r="AI390" s="60"/>
      <x:c r="AJ390" s="58"/>
      <x:c r="AK390" s="47"/>
      <x:c r="AL390" s="60"/>
      <x:c r="AM390" s="58"/>
      <x:c r="AN390" s="47"/>
      <x:c r="AO390" s="60"/>
      <x:c r="AP390" s="58"/>
      <x:c r="AQ390" s="47"/>
      <x:c r="AR390" s="60"/>
      <x:c r="AS390" s="58"/>
      <x:c r="AT390" s="47"/>
      <x:c r="AU390" s="60"/>
      <x:c r="AV390" s="58"/>
      <x:c r="AW390" s="47"/>
      <x:c r="AX390" s="60"/>
      <x:c r="AY390" s="58"/>
      <x:c r="AZ390" s="47"/>
      <x:c r="BA390" s="60"/>
      <x:c r="BB390" s="58"/>
      <x:c r="BC390" s="47"/>
      <x:c r="BD390" s="60"/>
      <x:c r="BE390" s="58"/>
      <x:c r="BF390" s="47"/>
      <x:c r="BG390" s="60"/>
      <x:c r="BH390" s="58"/>
      <x:c r="BI390" s="47"/>
      <x:c r="BJ390" s="60"/>
      <x:c r="BK390" s="58"/>
      <x:c r="BL390" s="47"/>
      <x:c r="BM390" s="60"/>
      <x:c r="BN390" s="58"/>
      <x:c r="BO390" s="47"/>
      <x:c r="BP390" s="60"/>
      <x:c r="BQ390" s="58"/>
      <x:c r="BR390" s="47"/>
      <x:c r="BS390" s="60"/>
      <x:c r="BT390" s="58"/>
      <x:c r="BU390" s="47"/>
      <x:c r="BV390" s="60"/>
      <x:c r="BW390" s="58"/>
      <x:c r="BX390" s="47"/>
      <x:c r="BY390" s="60"/>
      <x:c r="BZ390" s="58"/>
      <x:c r="CA390" s="47"/>
      <x:c r="CB390" s="60"/>
      <x:c r="CC390" s="58"/>
      <x:c r="CD390" s="47"/>
      <x:c r="CE390" s="60"/>
      <x:c r="CF390" s="58"/>
      <x:c r="CG390" s="47"/>
      <x:c r="CH390" s="60"/>
      <x:c r="CI390" s="58"/>
      <x:c r="CJ390" s="47"/>
      <x:c r="CK390" s="60"/>
      <x:c r="CL390" s="58"/>
      <x:c r="CM390" s="47"/>
      <x:c r="CN390" s="60"/>
      <x:c r="CO390" s="58"/>
      <x:c r="CP390" s="47"/>
      <x:c r="CQ390" s="60"/>
      <x:c r="CR390" s="58"/>
      <x:c r="CS390" s="47"/>
      <x:c r="CT390" s="60"/>
      <x:c r="CU390" s="58"/>
      <x:c r="CV390" s="47"/>
      <x:c r="CW390" s="60"/>
      <x:c r="CX390" s="58"/>
      <x:c r="CY390" s="47"/>
      <x:c r="CZ390" s="60"/>
      <x:c r="DA390" s="58"/>
      <x:c r="DB390" s="47"/>
      <x:c r="DC390" s="60"/>
      <x:c r="DD390" s="58"/>
      <x:c r="DE390" s="47"/>
      <x:c r="DF390" s="60"/>
      <x:c r="DG390" s="58"/>
      <x:c r="DH390" s="47"/>
      <x:c r="DI390" s="60"/>
      <x:c r="DJ390" s="58"/>
      <x:c r="DK390" s="47"/>
      <x:c r="DL390" s="60"/>
      <x:c r="DM390" s="58"/>
      <x:c r="DN390" s="11"/>
      <x:c r="DO390" s="61"/>
      <x:c r="DP390" s="62"/>
      <x:c r="DQ390" s="11"/>
      <x:c r="DR390" s="61"/>
      <x:c r="DS390" s="62"/>
      <x:c r="DT390" s="11"/>
      <x:c r="DU390" s="61"/>
      <x:c r="DV390" s="62"/>
    </x:row>
    <x:row r="391" spans="1:126" x14ac:dyDescent="0.3">
      <x:c r="A391" s="47"/>
      <x:c r="B391" s="70"/>
      <x:c r="C391" s="70"/>
      <x:c r="D391" s="70"/>
      <x:c r="E391" s="70"/>
      <x:c r="F391" s="70"/>
      <x:c r="G391" s="70"/>
      <x:c r="H391" s="70"/>
      <x:c r="I391" s="70"/>
      <x:c r="J391" s="70"/>
      <x:c r="K391" s="190"/>
      <x:c r="L391" s="195"/>
      <x:c r="M391" s="192"/>
      <x:c r="N391" s="192"/>
      <x:c r="O391" s="69"/>
      <x:c r="P391" s="47"/>
      <x:c r="Q391" s="60"/>
      <x:c r="R391" s="58"/>
      <x:c r="S391" s="47"/>
      <x:c r="T391" s="60"/>
      <x:c r="U391" s="58"/>
      <x:c r="V391" s="47"/>
      <x:c r="W391" s="60"/>
      <x:c r="X391" s="58"/>
      <x:c r="Y391" s="47"/>
      <x:c r="Z391" s="60"/>
      <x:c r="AA391" s="58"/>
      <x:c r="AB391" s="47"/>
      <x:c r="AC391" s="60"/>
      <x:c r="AD391" s="58"/>
      <x:c r="AE391" s="47"/>
      <x:c r="AF391" s="60"/>
      <x:c r="AG391" s="58"/>
      <x:c r="AH391" s="47"/>
      <x:c r="AI391" s="60"/>
      <x:c r="AJ391" s="58"/>
      <x:c r="AK391" s="47"/>
      <x:c r="AL391" s="60"/>
      <x:c r="AM391" s="58"/>
      <x:c r="AN391" s="47"/>
      <x:c r="AO391" s="60"/>
      <x:c r="AP391" s="58"/>
      <x:c r="AQ391" s="47"/>
      <x:c r="AR391" s="60"/>
      <x:c r="AS391" s="58"/>
      <x:c r="AT391" s="47"/>
      <x:c r="AU391" s="60"/>
      <x:c r="AV391" s="58"/>
      <x:c r="AW391" s="47"/>
      <x:c r="AX391" s="60"/>
      <x:c r="AY391" s="58"/>
      <x:c r="AZ391" s="47"/>
      <x:c r="BA391" s="60"/>
      <x:c r="BB391" s="58"/>
      <x:c r="BC391" s="47"/>
      <x:c r="BD391" s="60"/>
      <x:c r="BE391" s="58"/>
      <x:c r="BF391" s="47"/>
      <x:c r="BG391" s="60"/>
      <x:c r="BH391" s="58"/>
      <x:c r="BI391" s="47"/>
      <x:c r="BJ391" s="60"/>
      <x:c r="BK391" s="58"/>
      <x:c r="BL391" s="47"/>
      <x:c r="BM391" s="60"/>
      <x:c r="BN391" s="58"/>
      <x:c r="BO391" s="47"/>
      <x:c r="BP391" s="60"/>
      <x:c r="BQ391" s="58"/>
      <x:c r="BR391" s="47"/>
      <x:c r="BS391" s="60"/>
      <x:c r="BT391" s="58"/>
      <x:c r="BU391" s="47"/>
      <x:c r="BV391" s="60"/>
      <x:c r="BW391" s="58"/>
      <x:c r="BX391" s="47"/>
      <x:c r="BY391" s="60"/>
      <x:c r="BZ391" s="58"/>
      <x:c r="CA391" s="47"/>
      <x:c r="CB391" s="60"/>
      <x:c r="CC391" s="58"/>
      <x:c r="CD391" s="47"/>
      <x:c r="CE391" s="60"/>
      <x:c r="CF391" s="58"/>
      <x:c r="CG391" s="47"/>
      <x:c r="CH391" s="60"/>
      <x:c r="CI391" s="58"/>
      <x:c r="CJ391" s="47"/>
      <x:c r="CK391" s="60"/>
      <x:c r="CL391" s="58"/>
      <x:c r="CM391" s="47"/>
      <x:c r="CN391" s="60"/>
      <x:c r="CO391" s="58"/>
      <x:c r="CP391" s="47"/>
      <x:c r="CQ391" s="60"/>
      <x:c r="CR391" s="58"/>
      <x:c r="CS391" s="47"/>
      <x:c r="CT391" s="60"/>
      <x:c r="CU391" s="58"/>
      <x:c r="CV391" s="47"/>
      <x:c r="CW391" s="60"/>
      <x:c r="CX391" s="58"/>
      <x:c r="CY391" s="47"/>
      <x:c r="CZ391" s="60"/>
      <x:c r="DA391" s="58"/>
      <x:c r="DB391" s="47"/>
      <x:c r="DC391" s="60"/>
      <x:c r="DD391" s="58"/>
      <x:c r="DE391" s="47"/>
      <x:c r="DF391" s="60"/>
      <x:c r="DG391" s="58"/>
      <x:c r="DH391" s="47"/>
      <x:c r="DI391" s="60"/>
      <x:c r="DJ391" s="58"/>
      <x:c r="DK391" s="47"/>
      <x:c r="DL391" s="60"/>
      <x:c r="DM391" s="58"/>
      <x:c r="DN391" s="11"/>
      <x:c r="DO391" s="61"/>
      <x:c r="DP391" s="62"/>
      <x:c r="DQ391" s="11"/>
      <x:c r="DR391" s="61"/>
      <x:c r="DS391" s="62"/>
      <x:c r="DT391" s="11"/>
      <x:c r="DU391" s="61"/>
      <x:c r="DV391" s="62"/>
    </x:row>
    <x:row r="392" spans="1:126" x14ac:dyDescent="0.3">
      <x:c r="A392" s="47"/>
      <x:c r="B392" s="70"/>
      <x:c r="C392" s="70"/>
      <x:c r="D392" s="70"/>
      <x:c r="E392" s="70"/>
      <x:c r="F392" s="70"/>
      <x:c r="G392" s="70"/>
      <x:c r="H392" s="70"/>
      <x:c r="I392" s="70"/>
      <x:c r="J392" s="70"/>
      <x:c r="K392" s="190"/>
      <x:c r="L392" s="195"/>
      <x:c r="M392" s="192"/>
      <x:c r="N392" s="192"/>
      <x:c r="O392" s="69"/>
      <x:c r="P392" s="47"/>
      <x:c r="Q392" s="60"/>
      <x:c r="R392" s="58"/>
      <x:c r="S392" s="47"/>
      <x:c r="T392" s="60"/>
      <x:c r="U392" s="58"/>
      <x:c r="V392" s="47"/>
      <x:c r="W392" s="60"/>
      <x:c r="X392" s="58"/>
      <x:c r="Y392" s="47"/>
      <x:c r="Z392" s="60"/>
      <x:c r="AA392" s="58"/>
      <x:c r="AB392" s="47"/>
      <x:c r="AC392" s="60"/>
      <x:c r="AD392" s="58"/>
      <x:c r="AE392" s="47"/>
      <x:c r="AF392" s="60"/>
      <x:c r="AG392" s="58"/>
      <x:c r="AH392" s="47"/>
      <x:c r="AI392" s="60"/>
      <x:c r="AJ392" s="58"/>
      <x:c r="AK392" s="47"/>
      <x:c r="AL392" s="60"/>
      <x:c r="AM392" s="58"/>
      <x:c r="AN392" s="47"/>
      <x:c r="AO392" s="60"/>
      <x:c r="AP392" s="58"/>
      <x:c r="AQ392" s="47"/>
      <x:c r="AR392" s="60"/>
      <x:c r="AS392" s="58"/>
      <x:c r="AT392" s="47"/>
      <x:c r="AU392" s="60"/>
      <x:c r="AV392" s="58"/>
      <x:c r="AW392" s="47"/>
      <x:c r="AX392" s="60"/>
      <x:c r="AY392" s="58"/>
      <x:c r="AZ392" s="47"/>
      <x:c r="BA392" s="60"/>
      <x:c r="BB392" s="58"/>
      <x:c r="BC392" s="47"/>
      <x:c r="BD392" s="60"/>
      <x:c r="BE392" s="58"/>
      <x:c r="BF392" s="47"/>
      <x:c r="BG392" s="60"/>
      <x:c r="BH392" s="58"/>
      <x:c r="BI392" s="47"/>
      <x:c r="BJ392" s="60"/>
      <x:c r="BK392" s="58"/>
      <x:c r="BL392" s="47"/>
      <x:c r="BM392" s="60"/>
      <x:c r="BN392" s="58"/>
      <x:c r="BO392" s="47"/>
      <x:c r="BP392" s="60"/>
      <x:c r="BQ392" s="58"/>
      <x:c r="BR392" s="47"/>
      <x:c r="BS392" s="60"/>
      <x:c r="BT392" s="58"/>
      <x:c r="BU392" s="47"/>
      <x:c r="BV392" s="60"/>
      <x:c r="BW392" s="58"/>
      <x:c r="BX392" s="47"/>
      <x:c r="BY392" s="60"/>
      <x:c r="BZ392" s="58"/>
      <x:c r="CA392" s="47"/>
      <x:c r="CB392" s="60"/>
      <x:c r="CC392" s="58"/>
      <x:c r="CD392" s="47"/>
      <x:c r="CE392" s="60"/>
      <x:c r="CF392" s="58"/>
      <x:c r="CG392" s="47"/>
      <x:c r="CH392" s="60"/>
      <x:c r="CI392" s="58"/>
      <x:c r="CJ392" s="47"/>
      <x:c r="CK392" s="60"/>
      <x:c r="CL392" s="58"/>
      <x:c r="CM392" s="47"/>
      <x:c r="CN392" s="60"/>
      <x:c r="CO392" s="58"/>
      <x:c r="CP392" s="47"/>
      <x:c r="CQ392" s="60"/>
      <x:c r="CR392" s="58"/>
      <x:c r="CS392" s="47"/>
      <x:c r="CT392" s="60"/>
      <x:c r="CU392" s="58"/>
      <x:c r="CV392" s="47"/>
      <x:c r="CW392" s="60"/>
      <x:c r="CX392" s="58"/>
      <x:c r="CY392" s="47"/>
      <x:c r="CZ392" s="60"/>
      <x:c r="DA392" s="58"/>
      <x:c r="DB392" s="47"/>
      <x:c r="DC392" s="60"/>
      <x:c r="DD392" s="58"/>
      <x:c r="DE392" s="47"/>
      <x:c r="DF392" s="60"/>
      <x:c r="DG392" s="58"/>
      <x:c r="DH392" s="47"/>
      <x:c r="DI392" s="60"/>
      <x:c r="DJ392" s="58"/>
      <x:c r="DK392" s="47"/>
      <x:c r="DL392" s="60"/>
      <x:c r="DM392" s="58"/>
      <x:c r="DN392" s="11"/>
      <x:c r="DO392" s="61"/>
      <x:c r="DP392" s="62"/>
      <x:c r="DQ392" s="11"/>
      <x:c r="DR392" s="61"/>
      <x:c r="DS392" s="62"/>
      <x:c r="DT392" s="11"/>
      <x:c r="DU392" s="61"/>
      <x:c r="DV392" s="62"/>
    </x:row>
    <x:row r="393" spans="1:126" x14ac:dyDescent="0.3">
      <x:c r="A393" s="47"/>
      <x:c r="B393" s="70"/>
      <x:c r="C393" s="70"/>
      <x:c r="D393" s="70"/>
      <x:c r="E393" s="70"/>
      <x:c r="F393" s="70"/>
      <x:c r="G393" s="70"/>
      <x:c r="H393" s="70"/>
      <x:c r="I393" s="70"/>
      <x:c r="J393" s="70"/>
      <x:c r="K393" s="190"/>
      <x:c r="L393" s="195"/>
      <x:c r="M393" s="192"/>
      <x:c r="N393" s="192"/>
      <x:c r="O393" s="69"/>
      <x:c r="P393" s="47"/>
      <x:c r="Q393" s="60"/>
      <x:c r="R393" s="58"/>
      <x:c r="S393" s="47"/>
      <x:c r="T393" s="60"/>
      <x:c r="U393" s="58"/>
      <x:c r="V393" s="47"/>
      <x:c r="W393" s="60"/>
      <x:c r="X393" s="58"/>
      <x:c r="Y393" s="47"/>
      <x:c r="Z393" s="60"/>
      <x:c r="AA393" s="58"/>
      <x:c r="AB393" s="47"/>
      <x:c r="AC393" s="60"/>
      <x:c r="AD393" s="58"/>
      <x:c r="AE393" s="47"/>
      <x:c r="AF393" s="60"/>
      <x:c r="AG393" s="58"/>
      <x:c r="AH393" s="47"/>
      <x:c r="AI393" s="60"/>
      <x:c r="AJ393" s="58"/>
      <x:c r="AK393" s="47"/>
      <x:c r="AL393" s="60"/>
      <x:c r="AM393" s="58"/>
      <x:c r="AN393" s="47"/>
      <x:c r="AO393" s="60"/>
      <x:c r="AP393" s="58"/>
      <x:c r="AQ393" s="47"/>
      <x:c r="AR393" s="60"/>
      <x:c r="AS393" s="58"/>
      <x:c r="AT393" s="47"/>
      <x:c r="AU393" s="60"/>
      <x:c r="AV393" s="58"/>
      <x:c r="AW393" s="47"/>
      <x:c r="AX393" s="60"/>
      <x:c r="AY393" s="58"/>
      <x:c r="AZ393" s="47"/>
      <x:c r="BA393" s="60"/>
      <x:c r="BB393" s="58"/>
      <x:c r="BC393" s="47"/>
      <x:c r="BD393" s="60"/>
      <x:c r="BE393" s="58"/>
      <x:c r="BF393" s="47"/>
      <x:c r="BG393" s="60"/>
      <x:c r="BH393" s="58"/>
      <x:c r="BI393" s="47"/>
      <x:c r="BJ393" s="60"/>
      <x:c r="BK393" s="58"/>
      <x:c r="BL393" s="47"/>
      <x:c r="BM393" s="60"/>
      <x:c r="BN393" s="58"/>
      <x:c r="BO393" s="47"/>
      <x:c r="BP393" s="60"/>
      <x:c r="BQ393" s="58"/>
      <x:c r="BR393" s="47"/>
      <x:c r="BS393" s="60"/>
      <x:c r="BT393" s="58"/>
      <x:c r="BU393" s="47"/>
      <x:c r="BV393" s="60"/>
      <x:c r="BW393" s="58"/>
      <x:c r="BX393" s="47"/>
      <x:c r="BY393" s="60"/>
      <x:c r="BZ393" s="58"/>
      <x:c r="CA393" s="47"/>
      <x:c r="CB393" s="60"/>
      <x:c r="CC393" s="58"/>
      <x:c r="CD393" s="47"/>
      <x:c r="CE393" s="60"/>
      <x:c r="CF393" s="58"/>
      <x:c r="CG393" s="47"/>
      <x:c r="CH393" s="60"/>
      <x:c r="CI393" s="58"/>
      <x:c r="CJ393" s="47"/>
      <x:c r="CK393" s="60"/>
      <x:c r="CL393" s="58"/>
      <x:c r="CM393" s="47"/>
      <x:c r="CN393" s="60"/>
      <x:c r="CO393" s="58"/>
      <x:c r="CP393" s="47"/>
      <x:c r="CQ393" s="60"/>
      <x:c r="CR393" s="58"/>
      <x:c r="CS393" s="47"/>
      <x:c r="CT393" s="60"/>
      <x:c r="CU393" s="58"/>
      <x:c r="CV393" s="47"/>
      <x:c r="CW393" s="60"/>
      <x:c r="CX393" s="58"/>
      <x:c r="CY393" s="47"/>
      <x:c r="CZ393" s="60"/>
      <x:c r="DA393" s="58"/>
      <x:c r="DB393" s="47"/>
      <x:c r="DC393" s="60"/>
      <x:c r="DD393" s="58"/>
      <x:c r="DE393" s="47"/>
      <x:c r="DF393" s="60"/>
      <x:c r="DG393" s="58"/>
      <x:c r="DH393" s="47"/>
      <x:c r="DI393" s="60"/>
      <x:c r="DJ393" s="58"/>
      <x:c r="DK393" s="47"/>
      <x:c r="DL393" s="60"/>
      <x:c r="DM393" s="58"/>
      <x:c r="DN393" s="11"/>
      <x:c r="DO393" s="61"/>
      <x:c r="DP393" s="62"/>
      <x:c r="DQ393" s="11"/>
      <x:c r="DR393" s="61"/>
      <x:c r="DS393" s="62"/>
      <x:c r="DT393" s="11"/>
      <x:c r="DU393" s="61"/>
      <x:c r="DV393" s="62"/>
    </x:row>
    <x:row r="394" spans="1:126" x14ac:dyDescent="0.3">
      <x:c r="A394" s="47"/>
      <x:c r="B394" s="70"/>
      <x:c r="C394" s="70"/>
      <x:c r="D394" s="70"/>
      <x:c r="E394" s="70"/>
      <x:c r="F394" s="70"/>
      <x:c r="G394" s="70"/>
      <x:c r="H394" s="70"/>
      <x:c r="I394" s="70"/>
      <x:c r="J394" s="70"/>
      <x:c r="K394" s="190"/>
      <x:c r="L394" s="195"/>
      <x:c r="M394" s="192"/>
      <x:c r="N394" s="192"/>
      <x:c r="O394" s="69"/>
      <x:c r="P394" s="47"/>
      <x:c r="Q394" s="60"/>
      <x:c r="R394" s="58"/>
      <x:c r="S394" s="47"/>
      <x:c r="T394" s="60"/>
      <x:c r="U394" s="58"/>
      <x:c r="V394" s="47"/>
      <x:c r="W394" s="60"/>
      <x:c r="X394" s="58"/>
      <x:c r="Y394" s="47"/>
      <x:c r="Z394" s="60"/>
      <x:c r="AA394" s="58"/>
      <x:c r="AB394" s="47"/>
      <x:c r="AC394" s="60"/>
      <x:c r="AD394" s="58"/>
      <x:c r="AE394" s="47"/>
      <x:c r="AF394" s="60"/>
      <x:c r="AG394" s="58"/>
      <x:c r="AH394" s="47"/>
      <x:c r="AI394" s="60"/>
      <x:c r="AJ394" s="58"/>
      <x:c r="AK394" s="47"/>
      <x:c r="AL394" s="60"/>
      <x:c r="AM394" s="58"/>
      <x:c r="AN394" s="47"/>
      <x:c r="AO394" s="60"/>
      <x:c r="AP394" s="58"/>
      <x:c r="AQ394" s="47"/>
      <x:c r="AR394" s="60"/>
      <x:c r="AS394" s="58"/>
      <x:c r="AT394" s="47"/>
      <x:c r="AU394" s="60"/>
      <x:c r="AV394" s="58"/>
      <x:c r="AW394" s="47"/>
      <x:c r="AX394" s="60"/>
      <x:c r="AY394" s="58"/>
      <x:c r="AZ394" s="47"/>
      <x:c r="BA394" s="60"/>
      <x:c r="BB394" s="58"/>
      <x:c r="BC394" s="47"/>
      <x:c r="BD394" s="60"/>
      <x:c r="BE394" s="58"/>
      <x:c r="BF394" s="47"/>
      <x:c r="BG394" s="60"/>
      <x:c r="BH394" s="58"/>
      <x:c r="BI394" s="47"/>
      <x:c r="BJ394" s="60"/>
      <x:c r="BK394" s="58"/>
      <x:c r="BL394" s="47"/>
      <x:c r="BM394" s="60"/>
      <x:c r="BN394" s="58"/>
      <x:c r="BO394" s="47"/>
      <x:c r="BP394" s="60"/>
      <x:c r="BQ394" s="58"/>
      <x:c r="BR394" s="47"/>
      <x:c r="BS394" s="60"/>
      <x:c r="BT394" s="58"/>
      <x:c r="BU394" s="47"/>
      <x:c r="BV394" s="60"/>
      <x:c r="BW394" s="58"/>
      <x:c r="BX394" s="47"/>
      <x:c r="BY394" s="60"/>
      <x:c r="BZ394" s="58"/>
      <x:c r="CA394" s="47"/>
      <x:c r="CB394" s="60"/>
      <x:c r="CC394" s="58"/>
      <x:c r="CD394" s="47"/>
      <x:c r="CE394" s="60"/>
      <x:c r="CF394" s="58"/>
      <x:c r="CG394" s="47"/>
      <x:c r="CH394" s="60"/>
      <x:c r="CI394" s="58"/>
      <x:c r="CJ394" s="47"/>
      <x:c r="CK394" s="60"/>
      <x:c r="CL394" s="58"/>
      <x:c r="CM394" s="47"/>
      <x:c r="CN394" s="60"/>
      <x:c r="CO394" s="58"/>
      <x:c r="CP394" s="47"/>
      <x:c r="CQ394" s="60"/>
      <x:c r="CR394" s="58"/>
      <x:c r="CS394" s="47"/>
      <x:c r="CT394" s="60"/>
      <x:c r="CU394" s="58"/>
      <x:c r="CV394" s="47"/>
      <x:c r="CW394" s="60"/>
      <x:c r="CX394" s="58"/>
      <x:c r="CY394" s="47"/>
      <x:c r="CZ394" s="60"/>
      <x:c r="DA394" s="58"/>
      <x:c r="DB394" s="47"/>
      <x:c r="DC394" s="60"/>
      <x:c r="DD394" s="58"/>
      <x:c r="DE394" s="47"/>
      <x:c r="DF394" s="60"/>
      <x:c r="DG394" s="58"/>
      <x:c r="DH394" s="47"/>
      <x:c r="DI394" s="60"/>
      <x:c r="DJ394" s="58"/>
      <x:c r="DK394" s="47"/>
      <x:c r="DL394" s="60"/>
      <x:c r="DM394" s="58"/>
      <x:c r="DN394" s="11"/>
      <x:c r="DO394" s="61"/>
      <x:c r="DP394" s="62"/>
      <x:c r="DQ394" s="11"/>
      <x:c r="DR394" s="61"/>
      <x:c r="DS394" s="62"/>
      <x:c r="DT394" s="11"/>
      <x:c r="DU394" s="61"/>
      <x:c r="DV394" s="62"/>
    </x:row>
    <x:row r="395" spans="1:126" x14ac:dyDescent="0.3">
      <x:c r="A395" s="47"/>
      <x:c r="B395" s="70"/>
      <x:c r="C395" s="70"/>
      <x:c r="D395" s="70"/>
      <x:c r="E395" s="70"/>
      <x:c r="F395" s="70"/>
      <x:c r="G395" s="70"/>
      <x:c r="H395" s="70"/>
      <x:c r="I395" s="70"/>
      <x:c r="J395" s="70"/>
      <x:c r="K395" s="190"/>
      <x:c r="L395" s="195"/>
      <x:c r="M395" s="192"/>
      <x:c r="N395" s="192"/>
      <x:c r="O395" s="69"/>
      <x:c r="P395" s="47"/>
      <x:c r="Q395" s="60"/>
      <x:c r="R395" s="58"/>
      <x:c r="S395" s="47"/>
      <x:c r="T395" s="60"/>
      <x:c r="U395" s="58"/>
      <x:c r="V395" s="47"/>
      <x:c r="W395" s="60"/>
      <x:c r="X395" s="58"/>
      <x:c r="Y395" s="47"/>
      <x:c r="Z395" s="60"/>
      <x:c r="AA395" s="58"/>
      <x:c r="AB395" s="47"/>
      <x:c r="AC395" s="60"/>
      <x:c r="AD395" s="58"/>
      <x:c r="AE395" s="47"/>
      <x:c r="AF395" s="60"/>
      <x:c r="AG395" s="58"/>
      <x:c r="AH395" s="47"/>
      <x:c r="AI395" s="60"/>
      <x:c r="AJ395" s="58"/>
      <x:c r="AK395" s="47"/>
      <x:c r="AL395" s="60"/>
      <x:c r="AM395" s="58"/>
      <x:c r="AN395" s="47"/>
      <x:c r="AO395" s="60"/>
      <x:c r="AP395" s="58"/>
      <x:c r="AQ395" s="47"/>
      <x:c r="AR395" s="60"/>
      <x:c r="AS395" s="58"/>
      <x:c r="AT395" s="47"/>
      <x:c r="AU395" s="60"/>
      <x:c r="AV395" s="58"/>
      <x:c r="AW395" s="47"/>
      <x:c r="AX395" s="60"/>
      <x:c r="AY395" s="58"/>
      <x:c r="AZ395" s="47"/>
      <x:c r="BA395" s="60"/>
      <x:c r="BB395" s="58"/>
      <x:c r="BC395" s="47"/>
      <x:c r="BD395" s="60"/>
      <x:c r="BE395" s="58"/>
      <x:c r="BF395" s="47"/>
      <x:c r="BG395" s="60"/>
      <x:c r="BH395" s="58"/>
      <x:c r="BI395" s="47"/>
      <x:c r="BJ395" s="60"/>
      <x:c r="BK395" s="58"/>
      <x:c r="BL395" s="47"/>
      <x:c r="BM395" s="60"/>
      <x:c r="BN395" s="58"/>
      <x:c r="BO395" s="47"/>
      <x:c r="BP395" s="60"/>
      <x:c r="BQ395" s="58"/>
      <x:c r="BR395" s="47"/>
      <x:c r="BS395" s="60"/>
      <x:c r="BT395" s="58"/>
      <x:c r="BU395" s="47"/>
      <x:c r="BV395" s="60"/>
      <x:c r="BW395" s="58"/>
      <x:c r="BX395" s="47"/>
      <x:c r="BY395" s="60"/>
      <x:c r="BZ395" s="58"/>
      <x:c r="CA395" s="47"/>
      <x:c r="CB395" s="60"/>
      <x:c r="CC395" s="58"/>
      <x:c r="CD395" s="47"/>
      <x:c r="CE395" s="60"/>
      <x:c r="CF395" s="58"/>
      <x:c r="CG395" s="47"/>
      <x:c r="CH395" s="60"/>
      <x:c r="CI395" s="58"/>
      <x:c r="CJ395" s="47"/>
      <x:c r="CK395" s="60"/>
      <x:c r="CL395" s="58"/>
      <x:c r="CM395" s="47"/>
      <x:c r="CN395" s="60"/>
      <x:c r="CO395" s="58"/>
      <x:c r="CP395" s="47"/>
      <x:c r="CQ395" s="60"/>
      <x:c r="CR395" s="58"/>
      <x:c r="CS395" s="47"/>
      <x:c r="CT395" s="60"/>
      <x:c r="CU395" s="58"/>
      <x:c r="CV395" s="47"/>
      <x:c r="CW395" s="60"/>
      <x:c r="CX395" s="58"/>
      <x:c r="CY395" s="47"/>
      <x:c r="CZ395" s="60"/>
      <x:c r="DA395" s="58"/>
      <x:c r="DB395" s="47"/>
      <x:c r="DC395" s="60"/>
      <x:c r="DD395" s="58"/>
      <x:c r="DE395" s="47"/>
      <x:c r="DF395" s="60"/>
      <x:c r="DG395" s="58"/>
      <x:c r="DH395" s="47"/>
      <x:c r="DI395" s="60"/>
      <x:c r="DJ395" s="58"/>
      <x:c r="DK395" s="47"/>
      <x:c r="DL395" s="60"/>
      <x:c r="DM395" s="58"/>
      <x:c r="DN395" s="11"/>
      <x:c r="DO395" s="61"/>
      <x:c r="DP395" s="62"/>
      <x:c r="DQ395" s="11"/>
      <x:c r="DR395" s="61"/>
      <x:c r="DS395" s="62"/>
      <x:c r="DT395" s="11"/>
      <x:c r="DU395" s="61"/>
      <x:c r="DV395" s="62"/>
    </x:row>
    <x:row r="396" spans="1:126" x14ac:dyDescent="0.3">
      <x:c r="A396" s="47"/>
      <x:c r="B396" s="70"/>
      <x:c r="C396" s="70"/>
      <x:c r="D396" s="70"/>
      <x:c r="E396" s="70"/>
      <x:c r="F396" s="70"/>
      <x:c r="G396" s="70"/>
      <x:c r="H396" s="70"/>
      <x:c r="I396" s="70"/>
      <x:c r="J396" s="70"/>
      <x:c r="K396" s="190"/>
      <x:c r="L396" s="195"/>
      <x:c r="M396" s="192"/>
      <x:c r="N396" s="192"/>
      <x:c r="O396" s="69"/>
      <x:c r="P396" s="47"/>
      <x:c r="Q396" s="60"/>
      <x:c r="R396" s="58"/>
      <x:c r="S396" s="47"/>
      <x:c r="T396" s="60"/>
      <x:c r="U396" s="58"/>
      <x:c r="V396" s="47"/>
      <x:c r="W396" s="60"/>
      <x:c r="X396" s="58"/>
      <x:c r="Y396" s="47"/>
      <x:c r="Z396" s="60"/>
      <x:c r="AA396" s="58"/>
      <x:c r="AB396" s="47"/>
      <x:c r="AC396" s="60"/>
      <x:c r="AD396" s="58"/>
      <x:c r="AE396" s="47"/>
      <x:c r="AF396" s="60"/>
      <x:c r="AG396" s="58"/>
      <x:c r="AH396" s="47"/>
      <x:c r="AI396" s="60"/>
      <x:c r="AJ396" s="58"/>
      <x:c r="AK396" s="47"/>
      <x:c r="AL396" s="60"/>
      <x:c r="AM396" s="58"/>
      <x:c r="AN396" s="47"/>
      <x:c r="AO396" s="60"/>
      <x:c r="AP396" s="58"/>
      <x:c r="AQ396" s="47"/>
      <x:c r="AR396" s="60"/>
      <x:c r="AS396" s="58"/>
      <x:c r="AT396" s="47"/>
      <x:c r="AU396" s="60"/>
      <x:c r="AV396" s="58"/>
      <x:c r="AW396" s="47"/>
      <x:c r="AX396" s="60"/>
      <x:c r="AY396" s="58"/>
      <x:c r="AZ396" s="47"/>
      <x:c r="BA396" s="60"/>
      <x:c r="BB396" s="58"/>
      <x:c r="BC396" s="47"/>
      <x:c r="BD396" s="60"/>
      <x:c r="BE396" s="58"/>
      <x:c r="BF396" s="47"/>
      <x:c r="BG396" s="60"/>
      <x:c r="BH396" s="58"/>
      <x:c r="BI396" s="47"/>
      <x:c r="BJ396" s="60"/>
      <x:c r="BK396" s="58"/>
      <x:c r="BL396" s="47"/>
      <x:c r="BM396" s="60"/>
      <x:c r="BN396" s="58"/>
      <x:c r="BO396" s="47"/>
      <x:c r="BP396" s="60"/>
      <x:c r="BQ396" s="58"/>
      <x:c r="BR396" s="47"/>
      <x:c r="BS396" s="60"/>
      <x:c r="BT396" s="58"/>
      <x:c r="BU396" s="47"/>
      <x:c r="BV396" s="60"/>
      <x:c r="BW396" s="58"/>
      <x:c r="BX396" s="47"/>
      <x:c r="BY396" s="60"/>
      <x:c r="BZ396" s="58"/>
      <x:c r="CA396" s="47"/>
      <x:c r="CB396" s="60"/>
      <x:c r="CC396" s="58"/>
      <x:c r="CD396" s="47"/>
      <x:c r="CE396" s="60"/>
      <x:c r="CF396" s="58"/>
      <x:c r="CG396" s="47"/>
      <x:c r="CH396" s="60"/>
      <x:c r="CI396" s="58"/>
      <x:c r="CJ396" s="47"/>
      <x:c r="CK396" s="60"/>
      <x:c r="CL396" s="58"/>
      <x:c r="CM396" s="47"/>
      <x:c r="CN396" s="60"/>
      <x:c r="CO396" s="58"/>
      <x:c r="CP396" s="47"/>
      <x:c r="CQ396" s="60"/>
      <x:c r="CR396" s="58"/>
      <x:c r="CS396" s="47"/>
      <x:c r="CT396" s="60"/>
      <x:c r="CU396" s="58"/>
      <x:c r="CV396" s="47"/>
      <x:c r="CW396" s="60"/>
      <x:c r="CX396" s="58"/>
      <x:c r="CY396" s="47"/>
      <x:c r="CZ396" s="60"/>
      <x:c r="DA396" s="58"/>
      <x:c r="DB396" s="47"/>
      <x:c r="DC396" s="60"/>
      <x:c r="DD396" s="58"/>
      <x:c r="DE396" s="47"/>
      <x:c r="DF396" s="60"/>
      <x:c r="DG396" s="58"/>
      <x:c r="DH396" s="47"/>
      <x:c r="DI396" s="60"/>
      <x:c r="DJ396" s="58"/>
      <x:c r="DK396" s="47"/>
      <x:c r="DL396" s="60"/>
      <x:c r="DM396" s="58"/>
      <x:c r="DN396" s="11"/>
      <x:c r="DO396" s="61"/>
      <x:c r="DP396" s="62"/>
      <x:c r="DQ396" s="11"/>
      <x:c r="DR396" s="61"/>
      <x:c r="DS396" s="62"/>
      <x:c r="DT396" s="11"/>
      <x:c r="DU396" s="61"/>
      <x:c r="DV396" s="62"/>
    </x:row>
    <x:row r="397" spans="1:126" x14ac:dyDescent="0.3">
      <x:c r="A397" s="47"/>
      <x:c r="B397" s="70"/>
      <x:c r="C397" s="70"/>
      <x:c r="D397" s="70"/>
      <x:c r="E397" s="70"/>
      <x:c r="F397" s="70"/>
      <x:c r="G397" s="70"/>
      <x:c r="H397" s="70"/>
      <x:c r="I397" s="70"/>
      <x:c r="J397" s="70"/>
      <x:c r="K397" s="190"/>
      <x:c r="L397" s="195"/>
      <x:c r="M397" s="192"/>
      <x:c r="N397" s="192"/>
      <x:c r="O397" s="69"/>
      <x:c r="P397" s="47"/>
      <x:c r="Q397" s="60"/>
      <x:c r="R397" s="58"/>
      <x:c r="S397" s="47"/>
      <x:c r="T397" s="60"/>
      <x:c r="U397" s="58"/>
      <x:c r="V397" s="47"/>
      <x:c r="W397" s="60"/>
      <x:c r="X397" s="58"/>
      <x:c r="Y397" s="47"/>
      <x:c r="Z397" s="60"/>
      <x:c r="AA397" s="58"/>
      <x:c r="AB397" s="47"/>
      <x:c r="AC397" s="60"/>
      <x:c r="AD397" s="58"/>
      <x:c r="AE397" s="47"/>
      <x:c r="AF397" s="60"/>
      <x:c r="AG397" s="58"/>
      <x:c r="AH397" s="47"/>
      <x:c r="AI397" s="60"/>
      <x:c r="AJ397" s="58"/>
      <x:c r="AK397" s="47"/>
      <x:c r="AL397" s="60"/>
      <x:c r="AM397" s="58"/>
      <x:c r="AN397" s="47"/>
      <x:c r="AO397" s="60"/>
      <x:c r="AP397" s="58"/>
      <x:c r="AQ397" s="47"/>
      <x:c r="AR397" s="60"/>
      <x:c r="AS397" s="58"/>
      <x:c r="AT397" s="47"/>
      <x:c r="AU397" s="60"/>
      <x:c r="AV397" s="58"/>
      <x:c r="AW397" s="47"/>
      <x:c r="AX397" s="60"/>
      <x:c r="AY397" s="58"/>
      <x:c r="AZ397" s="47"/>
      <x:c r="BA397" s="60"/>
      <x:c r="BB397" s="58"/>
      <x:c r="BC397" s="47"/>
      <x:c r="BD397" s="60"/>
      <x:c r="BE397" s="58"/>
      <x:c r="BF397" s="47"/>
      <x:c r="BG397" s="60"/>
      <x:c r="BH397" s="58"/>
      <x:c r="BI397" s="47"/>
      <x:c r="BJ397" s="60"/>
      <x:c r="BK397" s="58"/>
      <x:c r="BL397" s="47"/>
      <x:c r="BM397" s="60"/>
      <x:c r="BN397" s="58"/>
      <x:c r="BO397" s="47"/>
      <x:c r="BP397" s="60"/>
      <x:c r="BQ397" s="58"/>
      <x:c r="BR397" s="47"/>
      <x:c r="BS397" s="60"/>
      <x:c r="BT397" s="58"/>
      <x:c r="BU397" s="47"/>
      <x:c r="BV397" s="60"/>
      <x:c r="BW397" s="58"/>
      <x:c r="BX397" s="47"/>
      <x:c r="BY397" s="60"/>
      <x:c r="BZ397" s="58"/>
      <x:c r="CA397" s="47"/>
      <x:c r="CB397" s="60"/>
      <x:c r="CC397" s="58"/>
      <x:c r="CD397" s="47"/>
      <x:c r="CE397" s="60"/>
      <x:c r="CF397" s="58"/>
      <x:c r="CG397" s="47"/>
      <x:c r="CH397" s="60"/>
      <x:c r="CI397" s="58"/>
      <x:c r="CJ397" s="47"/>
      <x:c r="CK397" s="60"/>
      <x:c r="CL397" s="58"/>
      <x:c r="CM397" s="47"/>
      <x:c r="CN397" s="60"/>
      <x:c r="CO397" s="58"/>
      <x:c r="CP397" s="47"/>
      <x:c r="CQ397" s="60"/>
      <x:c r="CR397" s="58"/>
      <x:c r="CS397" s="47"/>
      <x:c r="CT397" s="60"/>
      <x:c r="CU397" s="58"/>
      <x:c r="CV397" s="47"/>
      <x:c r="CW397" s="60"/>
      <x:c r="CX397" s="58"/>
      <x:c r="CY397" s="47"/>
      <x:c r="CZ397" s="60"/>
      <x:c r="DA397" s="58"/>
      <x:c r="DB397" s="47"/>
      <x:c r="DC397" s="60"/>
      <x:c r="DD397" s="58"/>
      <x:c r="DE397" s="47"/>
      <x:c r="DF397" s="60"/>
      <x:c r="DG397" s="58"/>
      <x:c r="DH397" s="47"/>
      <x:c r="DI397" s="60"/>
      <x:c r="DJ397" s="58"/>
      <x:c r="DK397" s="47"/>
      <x:c r="DL397" s="60"/>
      <x:c r="DM397" s="58"/>
      <x:c r="DN397" s="11"/>
      <x:c r="DO397" s="61"/>
      <x:c r="DP397" s="62"/>
      <x:c r="DQ397" s="11"/>
      <x:c r="DR397" s="61"/>
      <x:c r="DS397" s="62"/>
      <x:c r="DT397" s="11"/>
      <x:c r="DU397" s="61"/>
      <x:c r="DV397" s="62"/>
    </x:row>
    <x:row r="398" spans="1:126" x14ac:dyDescent="0.3">
      <x:c r="A398" s="47"/>
      <x:c r="B398" s="70"/>
      <x:c r="C398" s="70"/>
      <x:c r="D398" s="70"/>
      <x:c r="E398" s="70"/>
      <x:c r="F398" s="70"/>
      <x:c r="G398" s="70"/>
      <x:c r="H398" s="70"/>
      <x:c r="I398" s="70"/>
      <x:c r="J398" s="70"/>
      <x:c r="K398" s="190"/>
      <x:c r="L398" s="195"/>
      <x:c r="M398" s="192"/>
      <x:c r="N398" s="192"/>
      <x:c r="O398" s="69"/>
      <x:c r="P398" s="47"/>
      <x:c r="Q398" s="60"/>
      <x:c r="R398" s="58"/>
      <x:c r="S398" s="47"/>
      <x:c r="T398" s="60"/>
      <x:c r="U398" s="58"/>
      <x:c r="V398" s="47"/>
      <x:c r="W398" s="60"/>
      <x:c r="X398" s="58"/>
      <x:c r="Y398" s="47"/>
      <x:c r="Z398" s="60"/>
      <x:c r="AA398" s="58"/>
      <x:c r="AB398" s="47"/>
      <x:c r="AC398" s="60"/>
      <x:c r="AD398" s="58"/>
      <x:c r="AE398" s="47"/>
      <x:c r="AF398" s="60"/>
      <x:c r="AG398" s="58"/>
      <x:c r="AH398" s="47"/>
      <x:c r="AI398" s="60"/>
      <x:c r="AJ398" s="58"/>
      <x:c r="AK398" s="47"/>
      <x:c r="AL398" s="60"/>
      <x:c r="AM398" s="58"/>
      <x:c r="AN398" s="47"/>
      <x:c r="AO398" s="60"/>
      <x:c r="AP398" s="58"/>
      <x:c r="AQ398" s="47"/>
      <x:c r="AR398" s="60"/>
      <x:c r="AS398" s="58"/>
      <x:c r="AT398" s="47"/>
      <x:c r="AU398" s="60"/>
      <x:c r="AV398" s="58"/>
      <x:c r="AW398" s="47"/>
      <x:c r="AX398" s="60"/>
      <x:c r="AY398" s="58"/>
      <x:c r="AZ398" s="47"/>
      <x:c r="BA398" s="60"/>
      <x:c r="BB398" s="58"/>
      <x:c r="BC398" s="47"/>
      <x:c r="BD398" s="60"/>
      <x:c r="BE398" s="58"/>
      <x:c r="BF398" s="47"/>
      <x:c r="BG398" s="60"/>
      <x:c r="BH398" s="58"/>
      <x:c r="BI398" s="47"/>
      <x:c r="BJ398" s="60"/>
      <x:c r="BK398" s="58"/>
      <x:c r="BL398" s="47"/>
      <x:c r="BM398" s="60"/>
      <x:c r="BN398" s="58"/>
      <x:c r="BO398" s="47"/>
      <x:c r="BP398" s="60"/>
      <x:c r="BQ398" s="58"/>
      <x:c r="BR398" s="47"/>
      <x:c r="BS398" s="60"/>
      <x:c r="BT398" s="58"/>
      <x:c r="BU398" s="47"/>
      <x:c r="BV398" s="60"/>
      <x:c r="BW398" s="58"/>
      <x:c r="BX398" s="47"/>
      <x:c r="BY398" s="60"/>
      <x:c r="BZ398" s="58"/>
      <x:c r="CA398" s="47"/>
      <x:c r="CB398" s="60"/>
      <x:c r="CC398" s="58"/>
      <x:c r="CD398" s="47"/>
      <x:c r="CE398" s="60"/>
      <x:c r="CF398" s="58"/>
      <x:c r="CG398" s="47"/>
      <x:c r="CH398" s="60"/>
      <x:c r="CI398" s="58"/>
      <x:c r="CJ398" s="47"/>
      <x:c r="CK398" s="60"/>
      <x:c r="CL398" s="58"/>
      <x:c r="CM398" s="47"/>
      <x:c r="CN398" s="60"/>
      <x:c r="CO398" s="58"/>
      <x:c r="CP398" s="47"/>
      <x:c r="CQ398" s="60"/>
      <x:c r="CR398" s="58"/>
      <x:c r="CS398" s="47"/>
      <x:c r="CT398" s="60"/>
      <x:c r="CU398" s="58"/>
      <x:c r="CV398" s="47"/>
      <x:c r="CW398" s="60"/>
      <x:c r="CX398" s="58"/>
      <x:c r="CY398" s="47"/>
      <x:c r="CZ398" s="60"/>
      <x:c r="DA398" s="58"/>
      <x:c r="DB398" s="47"/>
      <x:c r="DC398" s="60"/>
      <x:c r="DD398" s="58"/>
      <x:c r="DE398" s="47"/>
      <x:c r="DF398" s="60"/>
      <x:c r="DG398" s="58"/>
      <x:c r="DH398" s="47"/>
      <x:c r="DI398" s="60"/>
      <x:c r="DJ398" s="58"/>
      <x:c r="DK398" s="47"/>
      <x:c r="DL398" s="60"/>
      <x:c r="DM398" s="58"/>
      <x:c r="DN398" s="11"/>
      <x:c r="DO398" s="61"/>
      <x:c r="DP398" s="62"/>
      <x:c r="DQ398" s="11"/>
      <x:c r="DR398" s="61"/>
      <x:c r="DS398" s="62"/>
      <x:c r="DT398" s="11"/>
      <x:c r="DU398" s="61"/>
      <x:c r="DV398" s="62"/>
    </x:row>
    <x:row r="399" spans="1:126" x14ac:dyDescent="0.3">
      <x:c r="A399" s="47"/>
      <x:c r="B399" s="70"/>
      <x:c r="C399" s="70"/>
      <x:c r="D399" s="70"/>
      <x:c r="E399" s="70"/>
      <x:c r="F399" s="70"/>
      <x:c r="G399" s="70"/>
      <x:c r="H399" s="70"/>
      <x:c r="I399" s="70"/>
      <x:c r="J399" s="70"/>
      <x:c r="K399" s="190"/>
      <x:c r="L399" s="195"/>
      <x:c r="M399" s="192"/>
      <x:c r="N399" s="192"/>
      <x:c r="O399" s="69"/>
      <x:c r="P399" s="47"/>
      <x:c r="Q399" s="60"/>
      <x:c r="R399" s="58"/>
      <x:c r="S399" s="47"/>
      <x:c r="T399" s="60"/>
      <x:c r="U399" s="58"/>
      <x:c r="V399" s="47"/>
      <x:c r="W399" s="60"/>
      <x:c r="X399" s="58"/>
      <x:c r="Y399" s="47"/>
      <x:c r="Z399" s="60"/>
      <x:c r="AA399" s="58"/>
      <x:c r="AB399" s="47"/>
      <x:c r="AC399" s="60"/>
      <x:c r="AD399" s="58"/>
      <x:c r="AE399" s="47"/>
      <x:c r="AF399" s="60"/>
      <x:c r="AG399" s="58"/>
      <x:c r="AH399" s="47"/>
      <x:c r="AI399" s="60"/>
      <x:c r="AJ399" s="58"/>
      <x:c r="AK399" s="47"/>
      <x:c r="AL399" s="60"/>
      <x:c r="AM399" s="58"/>
      <x:c r="AN399" s="47"/>
      <x:c r="AO399" s="60"/>
      <x:c r="AP399" s="58"/>
      <x:c r="AQ399" s="47"/>
      <x:c r="AR399" s="60"/>
      <x:c r="AS399" s="58"/>
      <x:c r="AT399" s="47"/>
      <x:c r="AU399" s="60"/>
      <x:c r="AV399" s="58"/>
      <x:c r="AW399" s="47"/>
      <x:c r="AX399" s="60"/>
      <x:c r="AY399" s="58"/>
      <x:c r="AZ399" s="47"/>
      <x:c r="BA399" s="60"/>
      <x:c r="BB399" s="58"/>
      <x:c r="BC399" s="47"/>
      <x:c r="BD399" s="60"/>
      <x:c r="BE399" s="58"/>
      <x:c r="BF399" s="47"/>
      <x:c r="BG399" s="60"/>
      <x:c r="BH399" s="58"/>
      <x:c r="BI399" s="47"/>
      <x:c r="BJ399" s="60"/>
      <x:c r="BK399" s="58"/>
      <x:c r="BL399" s="47"/>
      <x:c r="BM399" s="60"/>
      <x:c r="BN399" s="58"/>
      <x:c r="BO399" s="47"/>
      <x:c r="BP399" s="60"/>
      <x:c r="BQ399" s="58"/>
      <x:c r="BR399" s="47"/>
      <x:c r="BS399" s="60"/>
      <x:c r="BT399" s="58"/>
      <x:c r="BU399" s="47"/>
      <x:c r="BV399" s="60"/>
      <x:c r="BW399" s="58"/>
      <x:c r="BX399" s="47"/>
      <x:c r="BY399" s="60"/>
      <x:c r="BZ399" s="58"/>
      <x:c r="CA399" s="47"/>
      <x:c r="CB399" s="60"/>
      <x:c r="CC399" s="58"/>
      <x:c r="CD399" s="47"/>
      <x:c r="CE399" s="60"/>
      <x:c r="CF399" s="58"/>
      <x:c r="CG399" s="47"/>
      <x:c r="CH399" s="60"/>
      <x:c r="CI399" s="58"/>
      <x:c r="CJ399" s="47"/>
      <x:c r="CK399" s="60"/>
      <x:c r="CL399" s="58"/>
      <x:c r="CM399" s="47"/>
      <x:c r="CN399" s="60"/>
      <x:c r="CO399" s="58"/>
      <x:c r="CP399" s="47"/>
      <x:c r="CQ399" s="60"/>
      <x:c r="CR399" s="58"/>
      <x:c r="CS399" s="47"/>
      <x:c r="CT399" s="60"/>
      <x:c r="CU399" s="58"/>
      <x:c r="CV399" s="47"/>
      <x:c r="CW399" s="60"/>
      <x:c r="CX399" s="58"/>
      <x:c r="CY399" s="47"/>
      <x:c r="CZ399" s="60"/>
      <x:c r="DA399" s="58"/>
      <x:c r="DB399" s="47"/>
      <x:c r="DC399" s="60"/>
      <x:c r="DD399" s="58"/>
      <x:c r="DE399" s="47"/>
      <x:c r="DF399" s="60"/>
      <x:c r="DG399" s="58"/>
      <x:c r="DH399" s="47"/>
      <x:c r="DI399" s="60"/>
      <x:c r="DJ399" s="58"/>
      <x:c r="DK399" s="47"/>
      <x:c r="DL399" s="60"/>
      <x:c r="DM399" s="58"/>
      <x:c r="DN399" s="11"/>
      <x:c r="DO399" s="61"/>
      <x:c r="DP399" s="62"/>
      <x:c r="DQ399" s="11"/>
      <x:c r="DR399" s="61"/>
      <x:c r="DS399" s="62"/>
      <x:c r="DT399" s="11"/>
      <x:c r="DU399" s="61"/>
      <x:c r="DV399" s="62"/>
    </x:row>
    <x:row r="400" spans="1:126" x14ac:dyDescent="0.3">
      <x:c r="A400" s="47"/>
      <x:c r="B400" s="70"/>
      <x:c r="C400" s="70"/>
      <x:c r="D400" s="70"/>
      <x:c r="E400" s="70"/>
      <x:c r="F400" s="70"/>
      <x:c r="G400" s="70"/>
      <x:c r="H400" s="70"/>
      <x:c r="I400" s="70"/>
      <x:c r="J400" s="70"/>
      <x:c r="K400" s="190"/>
      <x:c r="L400" s="195"/>
      <x:c r="M400" s="192"/>
      <x:c r="N400" s="192"/>
      <x:c r="O400" s="69"/>
      <x:c r="P400" s="47"/>
      <x:c r="Q400" s="60"/>
      <x:c r="R400" s="58"/>
      <x:c r="S400" s="47"/>
      <x:c r="T400" s="60"/>
      <x:c r="U400" s="58"/>
      <x:c r="V400" s="47"/>
      <x:c r="W400" s="60"/>
      <x:c r="X400" s="58"/>
      <x:c r="Y400" s="47"/>
      <x:c r="Z400" s="60"/>
      <x:c r="AA400" s="58"/>
      <x:c r="AB400" s="47"/>
      <x:c r="AC400" s="60"/>
      <x:c r="AD400" s="58"/>
      <x:c r="AE400" s="47"/>
      <x:c r="AF400" s="60"/>
      <x:c r="AG400" s="58"/>
      <x:c r="AH400" s="47"/>
      <x:c r="AI400" s="60"/>
      <x:c r="AJ400" s="58"/>
      <x:c r="AK400" s="47"/>
      <x:c r="AL400" s="60"/>
      <x:c r="AM400" s="58"/>
      <x:c r="AN400" s="47"/>
      <x:c r="AO400" s="60"/>
      <x:c r="AP400" s="58"/>
      <x:c r="AQ400" s="47"/>
      <x:c r="AR400" s="60"/>
      <x:c r="AS400" s="58"/>
      <x:c r="AT400" s="47"/>
      <x:c r="AU400" s="60"/>
      <x:c r="AV400" s="58"/>
      <x:c r="AW400" s="47"/>
      <x:c r="AX400" s="60"/>
      <x:c r="AY400" s="58"/>
      <x:c r="AZ400" s="47"/>
      <x:c r="BA400" s="60"/>
      <x:c r="BB400" s="58"/>
      <x:c r="BC400" s="47"/>
      <x:c r="BD400" s="60"/>
      <x:c r="BE400" s="58"/>
      <x:c r="BF400" s="47"/>
      <x:c r="BG400" s="60"/>
      <x:c r="BH400" s="58"/>
      <x:c r="BI400" s="47"/>
      <x:c r="BJ400" s="60"/>
      <x:c r="BK400" s="58"/>
      <x:c r="BL400" s="47"/>
      <x:c r="BM400" s="60"/>
      <x:c r="BN400" s="58"/>
      <x:c r="BO400" s="47"/>
      <x:c r="BP400" s="60"/>
      <x:c r="BQ400" s="58"/>
      <x:c r="BR400" s="47"/>
      <x:c r="BS400" s="60"/>
      <x:c r="BT400" s="58"/>
      <x:c r="BU400" s="47"/>
      <x:c r="BV400" s="60"/>
      <x:c r="BW400" s="58"/>
      <x:c r="BX400" s="47"/>
      <x:c r="BY400" s="60"/>
      <x:c r="BZ400" s="58"/>
      <x:c r="CA400" s="47"/>
      <x:c r="CB400" s="60"/>
      <x:c r="CC400" s="58"/>
      <x:c r="CD400" s="47"/>
      <x:c r="CE400" s="60"/>
      <x:c r="CF400" s="58"/>
      <x:c r="CG400" s="47"/>
      <x:c r="CH400" s="60"/>
      <x:c r="CI400" s="58"/>
      <x:c r="CJ400" s="47"/>
      <x:c r="CK400" s="60"/>
      <x:c r="CL400" s="58"/>
      <x:c r="CM400" s="47"/>
      <x:c r="CN400" s="60"/>
      <x:c r="CO400" s="58"/>
      <x:c r="CP400" s="47"/>
      <x:c r="CQ400" s="60"/>
      <x:c r="CR400" s="58"/>
      <x:c r="CS400" s="47"/>
      <x:c r="CT400" s="60"/>
      <x:c r="CU400" s="58"/>
      <x:c r="CV400" s="47"/>
      <x:c r="CW400" s="60"/>
      <x:c r="CX400" s="58"/>
      <x:c r="CY400" s="47"/>
      <x:c r="CZ400" s="60"/>
      <x:c r="DA400" s="58"/>
      <x:c r="DB400" s="47"/>
      <x:c r="DC400" s="60"/>
      <x:c r="DD400" s="58"/>
      <x:c r="DE400" s="47"/>
      <x:c r="DF400" s="60"/>
      <x:c r="DG400" s="58"/>
      <x:c r="DH400" s="47"/>
      <x:c r="DI400" s="60"/>
      <x:c r="DJ400" s="58"/>
      <x:c r="DK400" s="47"/>
      <x:c r="DL400" s="60"/>
      <x:c r="DM400" s="58"/>
      <x:c r="DN400" s="11"/>
      <x:c r="DO400" s="61"/>
      <x:c r="DP400" s="62"/>
      <x:c r="DQ400" s="11"/>
      <x:c r="DR400" s="61"/>
      <x:c r="DS400" s="62"/>
      <x:c r="DT400" s="11"/>
      <x:c r="DU400" s="61"/>
      <x:c r="DV400" s="62"/>
    </x:row>
    <x:row r="401" spans="1:126" x14ac:dyDescent="0.3">
      <x:c r="A401" s="47"/>
      <x:c r="B401" s="70"/>
      <x:c r="C401" s="70"/>
      <x:c r="D401" s="70"/>
      <x:c r="E401" s="70"/>
      <x:c r="F401" s="70"/>
      <x:c r="G401" s="70"/>
      <x:c r="H401" s="70"/>
      <x:c r="I401" s="70"/>
      <x:c r="J401" s="70"/>
      <x:c r="K401" s="190"/>
      <x:c r="L401" s="195"/>
      <x:c r="M401" s="192"/>
      <x:c r="N401" s="192"/>
      <x:c r="O401" s="69"/>
      <x:c r="P401" s="47"/>
      <x:c r="Q401" s="60"/>
      <x:c r="R401" s="58"/>
      <x:c r="S401" s="47"/>
      <x:c r="T401" s="60"/>
      <x:c r="U401" s="58"/>
      <x:c r="V401" s="47"/>
      <x:c r="W401" s="60"/>
      <x:c r="X401" s="58"/>
      <x:c r="Y401" s="47"/>
      <x:c r="Z401" s="60"/>
      <x:c r="AA401" s="58"/>
      <x:c r="AB401" s="47"/>
      <x:c r="AC401" s="60"/>
      <x:c r="AD401" s="58"/>
      <x:c r="AE401" s="47"/>
      <x:c r="AF401" s="60"/>
      <x:c r="AG401" s="58"/>
      <x:c r="AH401" s="47"/>
      <x:c r="AI401" s="60"/>
      <x:c r="AJ401" s="58"/>
      <x:c r="AK401" s="47"/>
      <x:c r="AL401" s="60"/>
      <x:c r="AM401" s="58"/>
      <x:c r="AN401" s="47"/>
      <x:c r="AO401" s="60"/>
      <x:c r="AP401" s="58"/>
      <x:c r="AQ401" s="47"/>
      <x:c r="AR401" s="60"/>
      <x:c r="AS401" s="58"/>
      <x:c r="AT401" s="47"/>
      <x:c r="AU401" s="60"/>
      <x:c r="AV401" s="58"/>
      <x:c r="AW401" s="47"/>
      <x:c r="AX401" s="60"/>
      <x:c r="AY401" s="58"/>
      <x:c r="AZ401" s="47"/>
      <x:c r="BA401" s="60"/>
      <x:c r="BB401" s="58"/>
      <x:c r="BC401" s="47"/>
      <x:c r="BD401" s="60"/>
      <x:c r="BE401" s="58"/>
      <x:c r="BF401" s="47"/>
      <x:c r="BG401" s="60"/>
      <x:c r="BH401" s="58"/>
      <x:c r="BI401" s="47"/>
      <x:c r="BJ401" s="60"/>
      <x:c r="BK401" s="58"/>
      <x:c r="BL401" s="47"/>
      <x:c r="BM401" s="60"/>
      <x:c r="BN401" s="58"/>
      <x:c r="BO401" s="47"/>
      <x:c r="BP401" s="60"/>
      <x:c r="BQ401" s="58"/>
      <x:c r="BR401" s="47"/>
      <x:c r="BS401" s="60"/>
      <x:c r="BT401" s="58"/>
      <x:c r="BU401" s="47"/>
      <x:c r="BV401" s="60"/>
      <x:c r="BW401" s="58"/>
      <x:c r="BX401" s="47"/>
      <x:c r="BY401" s="60"/>
      <x:c r="BZ401" s="58"/>
      <x:c r="CA401" s="47"/>
      <x:c r="CB401" s="60"/>
      <x:c r="CC401" s="58"/>
      <x:c r="CD401" s="47"/>
      <x:c r="CE401" s="60"/>
      <x:c r="CF401" s="58"/>
      <x:c r="CG401" s="47"/>
      <x:c r="CH401" s="60"/>
      <x:c r="CI401" s="58"/>
      <x:c r="CJ401" s="47"/>
      <x:c r="CK401" s="60"/>
      <x:c r="CL401" s="58"/>
      <x:c r="CM401" s="47"/>
      <x:c r="CN401" s="60"/>
      <x:c r="CO401" s="58"/>
      <x:c r="CP401" s="47"/>
      <x:c r="CQ401" s="60"/>
      <x:c r="CR401" s="58"/>
      <x:c r="CS401" s="47"/>
      <x:c r="CT401" s="60"/>
      <x:c r="CU401" s="58"/>
      <x:c r="CV401" s="47"/>
      <x:c r="CW401" s="60"/>
      <x:c r="CX401" s="58"/>
      <x:c r="CY401" s="47"/>
      <x:c r="CZ401" s="60"/>
      <x:c r="DA401" s="58"/>
      <x:c r="DB401" s="47"/>
      <x:c r="DC401" s="60"/>
      <x:c r="DD401" s="58"/>
      <x:c r="DE401" s="47"/>
      <x:c r="DF401" s="60"/>
      <x:c r="DG401" s="58"/>
      <x:c r="DH401" s="47"/>
      <x:c r="DI401" s="60"/>
      <x:c r="DJ401" s="58"/>
      <x:c r="DK401" s="47"/>
      <x:c r="DL401" s="60"/>
      <x:c r="DM401" s="58"/>
      <x:c r="DN401" s="11"/>
      <x:c r="DO401" s="61"/>
      <x:c r="DP401" s="62"/>
      <x:c r="DQ401" s="11"/>
      <x:c r="DR401" s="61"/>
      <x:c r="DS401" s="62"/>
      <x:c r="DT401" s="11"/>
      <x:c r="DU401" s="61"/>
      <x:c r="DV401" s="62"/>
    </x:row>
    <x:row r="402" spans="1:126" x14ac:dyDescent="0.3">
      <x:c r="A402" s="47"/>
      <x:c r="B402" s="70"/>
      <x:c r="C402" s="70"/>
      <x:c r="D402" s="70"/>
      <x:c r="E402" s="70"/>
      <x:c r="F402" s="70"/>
      <x:c r="G402" s="70"/>
      <x:c r="H402" s="70"/>
      <x:c r="I402" s="70"/>
      <x:c r="J402" s="70"/>
      <x:c r="K402" s="190"/>
      <x:c r="L402" s="195"/>
      <x:c r="M402" s="192"/>
      <x:c r="N402" s="192"/>
      <x:c r="O402" s="69"/>
      <x:c r="P402" s="47"/>
      <x:c r="Q402" s="60"/>
      <x:c r="R402" s="58"/>
      <x:c r="S402" s="47"/>
      <x:c r="T402" s="60"/>
      <x:c r="U402" s="58"/>
      <x:c r="V402" s="47"/>
      <x:c r="W402" s="60"/>
      <x:c r="X402" s="58"/>
      <x:c r="Y402" s="47"/>
      <x:c r="Z402" s="60"/>
      <x:c r="AA402" s="58"/>
      <x:c r="AB402" s="47"/>
      <x:c r="AC402" s="60"/>
      <x:c r="AD402" s="58"/>
      <x:c r="AE402" s="47"/>
      <x:c r="AF402" s="60"/>
      <x:c r="AG402" s="58"/>
      <x:c r="AH402" s="47"/>
      <x:c r="AI402" s="60"/>
      <x:c r="AJ402" s="58"/>
      <x:c r="AK402" s="47"/>
      <x:c r="AL402" s="60"/>
      <x:c r="AM402" s="58"/>
      <x:c r="AN402" s="47"/>
      <x:c r="AO402" s="60"/>
      <x:c r="AP402" s="58"/>
      <x:c r="AQ402" s="47"/>
      <x:c r="AR402" s="60"/>
      <x:c r="AS402" s="58"/>
      <x:c r="AT402" s="47"/>
      <x:c r="AU402" s="60"/>
      <x:c r="AV402" s="58"/>
      <x:c r="AW402" s="47"/>
      <x:c r="AX402" s="60"/>
      <x:c r="AY402" s="58"/>
      <x:c r="AZ402" s="47"/>
      <x:c r="BA402" s="60"/>
      <x:c r="BB402" s="58"/>
      <x:c r="BC402" s="47"/>
      <x:c r="BD402" s="60"/>
      <x:c r="BE402" s="58"/>
      <x:c r="BF402" s="47"/>
      <x:c r="BG402" s="60"/>
      <x:c r="BH402" s="58"/>
      <x:c r="BI402" s="47"/>
      <x:c r="BJ402" s="60"/>
      <x:c r="BK402" s="58"/>
      <x:c r="BL402" s="47"/>
      <x:c r="BM402" s="60"/>
      <x:c r="BN402" s="58"/>
      <x:c r="BO402" s="47"/>
      <x:c r="BP402" s="60"/>
      <x:c r="BQ402" s="58"/>
      <x:c r="BR402" s="47"/>
      <x:c r="BS402" s="60"/>
      <x:c r="BT402" s="58"/>
      <x:c r="BU402" s="47"/>
      <x:c r="BV402" s="60"/>
      <x:c r="BW402" s="58"/>
      <x:c r="BX402" s="47"/>
      <x:c r="BY402" s="60"/>
      <x:c r="BZ402" s="58"/>
      <x:c r="CA402" s="47"/>
      <x:c r="CB402" s="60"/>
      <x:c r="CC402" s="58"/>
      <x:c r="CD402" s="47"/>
      <x:c r="CE402" s="60"/>
      <x:c r="CF402" s="58"/>
      <x:c r="CG402" s="47"/>
      <x:c r="CH402" s="60"/>
      <x:c r="CI402" s="58"/>
      <x:c r="CJ402" s="47"/>
      <x:c r="CK402" s="60"/>
      <x:c r="CL402" s="58"/>
      <x:c r="CM402" s="47"/>
      <x:c r="CN402" s="60"/>
      <x:c r="CO402" s="58"/>
      <x:c r="CP402" s="47"/>
      <x:c r="CQ402" s="60"/>
      <x:c r="CR402" s="58"/>
      <x:c r="CS402" s="47"/>
      <x:c r="CT402" s="60"/>
      <x:c r="CU402" s="58"/>
      <x:c r="CV402" s="47"/>
      <x:c r="CW402" s="60"/>
      <x:c r="CX402" s="58"/>
      <x:c r="CY402" s="47"/>
      <x:c r="CZ402" s="60"/>
      <x:c r="DA402" s="58"/>
      <x:c r="DB402" s="47"/>
      <x:c r="DC402" s="60"/>
      <x:c r="DD402" s="58"/>
      <x:c r="DE402" s="47"/>
      <x:c r="DF402" s="60"/>
      <x:c r="DG402" s="58"/>
      <x:c r="DH402" s="47"/>
      <x:c r="DI402" s="60"/>
      <x:c r="DJ402" s="58"/>
      <x:c r="DK402" s="47"/>
      <x:c r="DL402" s="60"/>
      <x:c r="DM402" s="58"/>
      <x:c r="DN402" s="11"/>
      <x:c r="DO402" s="61"/>
      <x:c r="DP402" s="62"/>
      <x:c r="DQ402" s="11"/>
      <x:c r="DR402" s="61"/>
      <x:c r="DS402" s="62"/>
      <x:c r="DT402" s="11"/>
      <x:c r="DU402" s="61"/>
      <x:c r="DV402" s="62"/>
    </x:row>
    <x:row r="403" spans="1:126" x14ac:dyDescent="0.3">
      <x:c r="A403" s="47"/>
      <x:c r="B403" s="70"/>
      <x:c r="C403" s="70"/>
      <x:c r="D403" s="70"/>
      <x:c r="E403" s="70"/>
      <x:c r="F403" s="70"/>
      <x:c r="G403" s="70"/>
      <x:c r="H403" s="70"/>
      <x:c r="I403" s="70"/>
      <x:c r="J403" s="70"/>
      <x:c r="K403" s="190"/>
      <x:c r="L403" s="195"/>
      <x:c r="M403" s="192"/>
      <x:c r="N403" s="192"/>
      <x:c r="O403" s="69"/>
      <x:c r="P403" s="47"/>
      <x:c r="Q403" s="60"/>
      <x:c r="R403" s="58"/>
      <x:c r="S403" s="47"/>
      <x:c r="T403" s="60"/>
      <x:c r="U403" s="58"/>
      <x:c r="V403" s="47"/>
      <x:c r="W403" s="60"/>
      <x:c r="X403" s="58"/>
      <x:c r="Y403" s="47"/>
      <x:c r="Z403" s="60"/>
      <x:c r="AA403" s="58"/>
      <x:c r="AB403" s="47"/>
      <x:c r="AC403" s="60"/>
      <x:c r="AD403" s="58"/>
      <x:c r="AE403" s="47"/>
      <x:c r="AF403" s="60"/>
      <x:c r="AG403" s="58"/>
      <x:c r="AH403" s="47"/>
      <x:c r="AI403" s="60"/>
      <x:c r="AJ403" s="58"/>
      <x:c r="AK403" s="47"/>
      <x:c r="AL403" s="60"/>
      <x:c r="AM403" s="58"/>
      <x:c r="AN403" s="47"/>
      <x:c r="AO403" s="60"/>
      <x:c r="AP403" s="58"/>
      <x:c r="AQ403" s="47"/>
      <x:c r="AR403" s="60"/>
      <x:c r="AS403" s="58"/>
      <x:c r="AT403" s="47"/>
      <x:c r="AU403" s="60"/>
      <x:c r="AV403" s="58"/>
      <x:c r="AW403" s="47"/>
      <x:c r="AX403" s="60"/>
      <x:c r="AY403" s="58"/>
      <x:c r="AZ403" s="47"/>
      <x:c r="BA403" s="60"/>
      <x:c r="BB403" s="58"/>
      <x:c r="BC403" s="47"/>
      <x:c r="BD403" s="60"/>
      <x:c r="BE403" s="58"/>
      <x:c r="BF403" s="47"/>
      <x:c r="BG403" s="60"/>
      <x:c r="BH403" s="58"/>
      <x:c r="BI403" s="47"/>
      <x:c r="BJ403" s="60"/>
      <x:c r="BK403" s="58"/>
      <x:c r="BL403" s="47"/>
      <x:c r="BM403" s="60"/>
      <x:c r="BN403" s="58"/>
      <x:c r="BO403" s="47"/>
      <x:c r="BP403" s="60"/>
      <x:c r="BQ403" s="58"/>
      <x:c r="BR403" s="47"/>
      <x:c r="BS403" s="60"/>
      <x:c r="BT403" s="58"/>
      <x:c r="BU403" s="47"/>
      <x:c r="BV403" s="60"/>
      <x:c r="BW403" s="58"/>
      <x:c r="BX403" s="47"/>
      <x:c r="BY403" s="60"/>
      <x:c r="BZ403" s="58"/>
      <x:c r="CA403" s="47"/>
      <x:c r="CB403" s="60"/>
      <x:c r="CC403" s="58"/>
      <x:c r="CD403" s="47"/>
      <x:c r="CE403" s="60"/>
      <x:c r="CF403" s="58"/>
      <x:c r="CG403" s="47"/>
      <x:c r="CH403" s="60"/>
      <x:c r="CI403" s="58"/>
      <x:c r="CJ403" s="47"/>
      <x:c r="CK403" s="60"/>
      <x:c r="CL403" s="58"/>
      <x:c r="CM403" s="47"/>
      <x:c r="CN403" s="60"/>
      <x:c r="CO403" s="58"/>
      <x:c r="CP403" s="47"/>
      <x:c r="CQ403" s="60"/>
      <x:c r="CR403" s="58"/>
      <x:c r="CS403" s="47"/>
      <x:c r="CT403" s="60"/>
      <x:c r="CU403" s="58"/>
      <x:c r="CV403" s="47"/>
      <x:c r="CW403" s="60"/>
      <x:c r="CX403" s="58"/>
      <x:c r="CY403" s="47"/>
      <x:c r="CZ403" s="60"/>
      <x:c r="DA403" s="58"/>
      <x:c r="DB403" s="47"/>
      <x:c r="DC403" s="60"/>
      <x:c r="DD403" s="58"/>
      <x:c r="DE403" s="47"/>
      <x:c r="DF403" s="60"/>
      <x:c r="DG403" s="58"/>
      <x:c r="DH403" s="47"/>
      <x:c r="DI403" s="60"/>
      <x:c r="DJ403" s="58"/>
      <x:c r="DK403" s="47"/>
      <x:c r="DL403" s="60"/>
      <x:c r="DM403" s="58"/>
      <x:c r="DN403" s="11"/>
      <x:c r="DO403" s="61"/>
      <x:c r="DP403" s="62"/>
      <x:c r="DQ403" s="11"/>
      <x:c r="DR403" s="61"/>
      <x:c r="DS403" s="62"/>
      <x:c r="DT403" s="11"/>
      <x:c r="DU403" s="61"/>
      <x:c r="DV403" s="62"/>
    </x:row>
    <x:row r="404" spans="1:126" x14ac:dyDescent="0.3">
      <x:c r="A404" s="47"/>
      <x:c r="B404" s="70"/>
      <x:c r="C404" s="70"/>
      <x:c r="D404" s="70"/>
      <x:c r="E404" s="70"/>
      <x:c r="F404" s="70"/>
      <x:c r="G404" s="70"/>
      <x:c r="H404" s="70"/>
      <x:c r="I404" s="70"/>
      <x:c r="J404" s="70"/>
      <x:c r="K404" s="190"/>
      <x:c r="L404" s="195"/>
      <x:c r="M404" s="192"/>
      <x:c r="N404" s="192"/>
      <x:c r="O404" s="69"/>
      <x:c r="P404" s="47"/>
      <x:c r="Q404" s="60"/>
      <x:c r="R404" s="58"/>
      <x:c r="S404" s="47"/>
      <x:c r="T404" s="60"/>
      <x:c r="U404" s="58"/>
      <x:c r="V404" s="47"/>
      <x:c r="W404" s="60"/>
      <x:c r="X404" s="58"/>
      <x:c r="Y404" s="47"/>
      <x:c r="Z404" s="60"/>
      <x:c r="AA404" s="58"/>
      <x:c r="AB404" s="47"/>
      <x:c r="AC404" s="60"/>
      <x:c r="AD404" s="58"/>
      <x:c r="AE404" s="47"/>
      <x:c r="AF404" s="60"/>
      <x:c r="AG404" s="58"/>
      <x:c r="AH404" s="47"/>
      <x:c r="AI404" s="60"/>
      <x:c r="AJ404" s="58"/>
      <x:c r="AK404" s="47"/>
      <x:c r="AL404" s="60"/>
      <x:c r="AM404" s="58"/>
      <x:c r="AN404" s="47"/>
      <x:c r="AO404" s="60"/>
      <x:c r="AP404" s="58"/>
      <x:c r="AQ404" s="47"/>
      <x:c r="AR404" s="60"/>
      <x:c r="AS404" s="58"/>
      <x:c r="AT404" s="47"/>
      <x:c r="AU404" s="60"/>
      <x:c r="AV404" s="58"/>
      <x:c r="AW404" s="47"/>
      <x:c r="AX404" s="60"/>
      <x:c r="AY404" s="58"/>
      <x:c r="AZ404" s="47"/>
      <x:c r="BA404" s="60"/>
      <x:c r="BB404" s="58"/>
      <x:c r="BC404" s="47"/>
      <x:c r="BD404" s="60"/>
      <x:c r="BE404" s="58"/>
      <x:c r="BF404" s="47"/>
      <x:c r="BG404" s="60"/>
      <x:c r="BH404" s="58"/>
      <x:c r="BI404" s="47"/>
      <x:c r="BJ404" s="60"/>
      <x:c r="BK404" s="58"/>
      <x:c r="BL404" s="47"/>
      <x:c r="BM404" s="60"/>
      <x:c r="BN404" s="58"/>
      <x:c r="BO404" s="47"/>
      <x:c r="BP404" s="60"/>
      <x:c r="BQ404" s="58"/>
      <x:c r="BR404" s="47"/>
      <x:c r="BS404" s="60"/>
      <x:c r="BT404" s="58"/>
      <x:c r="BU404" s="47"/>
      <x:c r="BV404" s="60"/>
      <x:c r="BW404" s="58"/>
      <x:c r="BX404" s="47"/>
      <x:c r="BY404" s="60"/>
      <x:c r="BZ404" s="58"/>
      <x:c r="CA404" s="47"/>
      <x:c r="CB404" s="60"/>
      <x:c r="CC404" s="58"/>
      <x:c r="CD404" s="47"/>
      <x:c r="CE404" s="60"/>
      <x:c r="CF404" s="58"/>
      <x:c r="CG404" s="47"/>
      <x:c r="CH404" s="60"/>
      <x:c r="CI404" s="58"/>
      <x:c r="CJ404" s="47"/>
      <x:c r="CK404" s="60"/>
      <x:c r="CL404" s="58"/>
      <x:c r="CM404" s="47"/>
      <x:c r="CN404" s="60"/>
      <x:c r="CO404" s="58"/>
      <x:c r="CP404" s="47"/>
      <x:c r="CQ404" s="60"/>
      <x:c r="CR404" s="58"/>
      <x:c r="CS404" s="47"/>
      <x:c r="CT404" s="60"/>
      <x:c r="CU404" s="58"/>
      <x:c r="CV404" s="47"/>
      <x:c r="CW404" s="60"/>
      <x:c r="CX404" s="58"/>
      <x:c r="CY404" s="47"/>
      <x:c r="CZ404" s="60"/>
      <x:c r="DA404" s="58"/>
      <x:c r="DB404" s="47"/>
      <x:c r="DC404" s="60"/>
      <x:c r="DD404" s="58"/>
      <x:c r="DE404" s="47"/>
      <x:c r="DF404" s="60"/>
      <x:c r="DG404" s="58"/>
      <x:c r="DH404" s="47"/>
      <x:c r="DI404" s="60"/>
      <x:c r="DJ404" s="58"/>
      <x:c r="DK404" s="47"/>
      <x:c r="DL404" s="60"/>
      <x:c r="DM404" s="58"/>
      <x:c r="DN404" s="11"/>
      <x:c r="DO404" s="61"/>
      <x:c r="DP404" s="62"/>
      <x:c r="DQ404" s="11"/>
      <x:c r="DR404" s="61"/>
      <x:c r="DS404" s="62"/>
      <x:c r="DT404" s="11"/>
      <x:c r="DU404" s="61"/>
      <x:c r="DV404" s="62"/>
    </x:row>
    <x:row r="405" spans="1:126" x14ac:dyDescent="0.3">
      <x:c r="A405" s="47"/>
      <x:c r="B405" s="70"/>
      <x:c r="C405" s="70"/>
      <x:c r="D405" s="70"/>
      <x:c r="E405" s="70"/>
      <x:c r="F405" s="70"/>
      <x:c r="G405" s="70"/>
      <x:c r="H405" s="70"/>
      <x:c r="I405" s="70"/>
      <x:c r="J405" s="70"/>
      <x:c r="K405" s="190"/>
      <x:c r="L405" s="195"/>
      <x:c r="M405" s="192"/>
      <x:c r="N405" s="192"/>
      <x:c r="O405" s="69"/>
      <x:c r="P405" s="47"/>
      <x:c r="Q405" s="60"/>
      <x:c r="R405" s="58"/>
      <x:c r="S405" s="47"/>
      <x:c r="T405" s="60"/>
      <x:c r="U405" s="58"/>
      <x:c r="V405" s="47"/>
      <x:c r="W405" s="60"/>
      <x:c r="X405" s="58"/>
      <x:c r="Y405" s="47"/>
      <x:c r="Z405" s="60"/>
      <x:c r="AA405" s="58"/>
      <x:c r="AB405" s="47"/>
      <x:c r="AC405" s="60"/>
      <x:c r="AD405" s="58"/>
      <x:c r="AE405" s="47"/>
      <x:c r="AF405" s="60"/>
      <x:c r="AG405" s="58"/>
      <x:c r="AH405" s="47"/>
      <x:c r="AI405" s="60"/>
      <x:c r="AJ405" s="58"/>
      <x:c r="AK405" s="47"/>
      <x:c r="AL405" s="60"/>
      <x:c r="AM405" s="58"/>
      <x:c r="AN405" s="47"/>
      <x:c r="AO405" s="60"/>
      <x:c r="AP405" s="58"/>
      <x:c r="AQ405" s="47"/>
      <x:c r="AR405" s="60"/>
      <x:c r="AS405" s="58"/>
      <x:c r="AT405" s="47"/>
      <x:c r="AU405" s="60"/>
      <x:c r="AV405" s="58"/>
      <x:c r="AW405" s="47"/>
      <x:c r="AX405" s="60"/>
      <x:c r="AY405" s="58"/>
      <x:c r="AZ405" s="47"/>
      <x:c r="BA405" s="60"/>
      <x:c r="BB405" s="58"/>
      <x:c r="BC405" s="47"/>
      <x:c r="BD405" s="60"/>
      <x:c r="BE405" s="58"/>
      <x:c r="BF405" s="47"/>
      <x:c r="BG405" s="60"/>
      <x:c r="BH405" s="58"/>
      <x:c r="BI405" s="47"/>
      <x:c r="BJ405" s="60"/>
      <x:c r="BK405" s="58"/>
      <x:c r="BL405" s="47"/>
      <x:c r="BM405" s="60"/>
      <x:c r="BN405" s="58"/>
      <x:c r="BO405" s="47"/>
      <x:c r="BP405" s="60"/>
      <x:c r="BQ405" s="58"/>
      <x:c r="BR405" s="47"/>
      <x:c r="BS405" s="60"/>
      <x:c r="BT405" s="58"/>
      <x:c r="BU405" s="47"/>
      <x:c r="BV405" s="60"/>
      <x:c r="BW405" s="58"/>
      <x:c r="BX405" s="47"/>
      <x:c r="BY405" s="60"/>
      <x:c r="BZ405" s="58"/>
      <x:c r="CA405" s="47"/>
      <x:c r="CB405" s="60"/>
      <x:c r="CC405" s="58"/>
      <x:c r="CD405" s="47"/>
      <x:c r="CE405" s="60"/>
      <x:c r="CF405" s="58"/>
      <x:c r="CG405" s="47"/>
      <x:c r="CH405" s="60"/>
      <x:c r="CI405" s="58"/>
      <x:c r="CJ405" s="47"/>
      <x:c r="CK405" s="60"/>
      <x:c r="CL405" s="58"/>
      <x:c r="CM405" s="47"/>
      <x:c r="CN405" s="60"/>
      <x:c r="CO405" s="58"/>
      <x:c r="CP405" s="47"/>
      <x:c r="CQ405" s="60"/>
      <x:c r="CR405" s="58"/>
      <x:c r="CS405" s="47"/>
      <x:c r="CT405" s="60"/>
      <x:c r="CU405" s="58"/>
      <x:c r="CV405" s="47"/>
      <x:c r="CW405" s="60"/>
      <x:c r="CX405" s="58"/>
      <x:c r="CY405" s="47"/>
      <x:c r="CZ405" s="60"/>
      <x:c r="DA405" s="58"/>
      <x:c r="DB405" s="47"/>
      <x:c r="DC405" s="60"/>
      <x:c r="DD405" s="58"/>
      <x:c r="DE405" s="47"/>
      <x:c r="DF405" s="60"/>
      <x:c r="DG405" s="58"/>
      <x:c r="DH405" s="47"/>
      <x:c r="DI405" s="60"/>
      <x:c r="DJ405" s="58"/>
      <x:c r="DK405" s="47"/>
      <x:c r="DL405" s="60"/>
      <x:c r="DM405" s="58"/>
      <x:c r="DN405" s="11"/>
      <x:c r="DO405" s="61"/>
      <x:c r="DP405" s="62"/>
      <x:c r="DQ405" s="11"/>
      <x:c r="DR405" s="61"/>
      <x:c r="DS405" s="62"/>
      <x:c r="DT405" s="11"/>
      <x:c r="DU405" s="61"/>
      <x:c r="DV405" s="62"/>
    </x:row>
    <x:row r="406" spans="1:126" x14ac:dyDescent="0.3">
      <x:c r="A406" s="47"/>
      <x:c r="B406" s="70"/>
      <x:c r="C406" s="70"/>
      <x:c r="D406" s="70"/>
      <x:c r="E406" s="70"/>
      <x:c r="F406" s="70"/>
      <x:c r="G406" s="70"/>
      <x:c r="H406" s="70"/>
      <x:c r="I406" s="70"/>
      <x:c r="J406" s="70"/>
      <x:c r="K406" s="190"/>
      <x:c r="L406" s="195"/>
      <x:c r="M406" s="192"/>
      <x:c r="N406" s="192"/>
      <x:c r="O406" s="69"/>
      <x:c r="P406" s="47"/>
      <x:c r="Q406" s="60"/>
      <x:c r="R406" s="58"/>
      <x:c r="S406" s="47"/>
      <x:c r="T406" s="60"/>
      <x:c r="U406" s="58"/>
      <x:c r="V406" s="47"/>
      <x:c r="W406" s="60"/>
      <x:c r="X406" s="58"/>
      <x:c r="Y406" s="47"/>
      <x:c r="Z406" s="60"/>
      <x:c r="AA406" s="58"/>
      <x:c r="AB406" s="47"/>
      <x:c r="AC406" s="60"/>
      <x:c r="AD406" s="58"/>
      <x:c r="AE406" s="47"/>
      <x:c r="AF406" s="60"/>
      <x:c r="AG406" s="58"/>
      <x:c r="AH406" s="47"/>
      <x:c r="AI406" s="60"/>
      <x:c r="AJ406" s="58"/>
      <x:c r="AK406" s="47"/>
      <x:c r="AL406" s="60"/>
      <x:c r="AM406" s="58"/>
      <x:c r="AN406" s="47"/>
      <x:c r="AO406" s="60"/>
      <x:c r="AP406" s="58"/>
      <x:c r="AQ406" s="47"/>
      <x:c r="AR406" s="60"/>
      <x:c r="AS406" s="58"/>
      <x:c r="AT406" s="47"/>
      <x:c r="AU406" s="60"/>
      <x:c r="AV406" s="58"/>
      <x:c r="AW406" s="47"/>
      <x:c r="AX406" s="60"/>
      <x:c r="AY406" s="58"/>
      <x:c r="AZ406" s="47"/>
      <x:c r="BA406" s="60"/>
      <x:c r="BB406" s="58"/>
      <x:c r="BC406" s="47"/>
      <x:c r="BD406" s="60"/>
      <x:c r="BE406" s="58"/>
      <x:c r="BF406" s="47"/>
      <x:c r="BG406" s="60"/>
      <x:c r="BH406" s="58"/>
      <x:c r="BI406" s="47"/>
      <x:c r="BJ406" s="60"/>
      <x:c r="BK406" s="58"/>
      <x:c r="BL406" s="47"/>
      <x:c r="BM406" s="60"/>
      <x:c r="BN406" s="58"/>
      <x:c r="BO406" s="47"/>
      <x:c r="BP406" s="60"/>
      <x:c r="BQ406" s="58"/>
      <x:c r="BR406" s="47"/>
      <x:c r="BS406" s="60"/>
      <x:c r="BT406" s="58"/>
      <x:c r="BU406" s="47"/>
      <x:c r="BV406" s="60"/>
      <x:c r="BW406" s="58"/>
      <x:c r="BX406" s="47"/>
      <x:c r="BY406" s="60"/>
      <x:c r="BZ406" s="58"/>
      <x:c r="CA406" s="47"/>
      <x:c r="CB406" s="60"/>
      <x:c r="CC406" s="58"/>
      <x:c r="CD406" s="47"/>
      <x:c r="CE406" s="60"/>
      <x:c r="CF406" s="58"/>
      <x:c r="CG406" s="47"/>
      <x:c r="CH406" s="60"/>
      <x:c r="CI406" s="58"/>
      <x:c r="CJ406" s="47"/>
      <x:c r="CK406" s="60"/>
      <x:c r="CL406" s="58"/>
      <x:c r="CM406" s="47"/>
      <x:c r="CN406" s="60"/>
      <x:c r="CO406" s="58"/>
      <x:c r="CP406" s="47"/>
      <x:c r="CQ406" s="60"/>
      <x:c r="CR406" s="58"/>
      <x:c r="CS406" s="47"/>
      <x:c r="CT406" s="60"/>
      <x:c r="CU406" s="58"/>
      <x:c r="CV406" s="47"/>
      <x:c r="CW406" s="60"/>
      <x:c r="CX406" s="58"/>
      <x:c r="CY406" s="47"/>
      <x:c r="CZ406" s="60"/>
      <x:c r="DA406" s="58"/>
      <x:c r="DB406" s="47"/>
      <x:c r="DC406" s="60"/>
      <x:c r="DD406" s="58"/>
      <x:c r="DE406" s="47"/>
      <x:c r="DF406" s="60"/>
      <x:c r="DG406" s="58"/>
      <x:c r="DH406" s="47"/>
      <x:c r="DI406" s="60"/>
      <x:c r="DJ406" s="58"/>
      <x:c r="DK406" s="47"/>
      <x:c r="DL406" s="60"/>
      <x:c r="DM406" s="58"/>
      <x:c r="DN406" s="11"/>
      <x:c r="DO406" s="61"/>
      <x:c r="DP406" s="62"/>
      <x:c r="DQ406" s="11"/>
      <x:c r="DR406" s="61"/>
      <x:c r="DS406" s="62"/>
      <x:c r="DT406" s="11"/>
      <x:c r="DU406" s="61"/>
      <x:c r="DV406" s="62"/>
    </x:row>
    <x:row r="407" spans="1:126" x14ac:dyDescent="0.3">
      <x:c r="A407" s="47"/>
      <x:c r="B407" s="70"/>
      <x:c r="C407" s="70"/>
      <x:c r="D407" s="70"/>
      <x:c r="E407" s="70"/>
      <x:c r="F407" s="70"/>
      <x:c r="G407" s="70"/>
      <x:c r="H407" s="70"/>
      <x:c r="I407" s="70"/>
      <x:c r="J407" s="70"/>
      <x:c r="K407" s="190"/>
      <x:c r="L407" s="195"/>
      <x:c r="M407" s="192"/>
      <x:c r="N407" s="192"/>
      <x:c r="O407" s="69"/>
      <x:c r="P407" s="47"/>
      <x:c r="Q407" s="60"/>
      <x:c r="R407" s="58"/>
      <x:c r="S407" s="47"/>
      <x:c r="T407" s="60"/>
      <x:c r="U407" s="58"/>
      <x:c r="V407" s="47"/>
      <x:c r="W407" s="60"/>
      <x:c r="X407" s="58"/>
      <x:c r="Y407" s="47"/>
      <x:c r="Z407" s="60"/>
      <x:c r="AA407" s="58"/>
      <x:c r="AB407" s="47"/>
      <x:c r="AC407" s="60"/>
      <x:c r="AD407" s="58"/>
      <x:c r="AE407" s="47"/>
      <x:c r="AF407" s="60"/>
      <x:c r="AG407" s="58"/>
      <x:c r="AH407" s="47"/>
      <x:c r="AI407" s="60"/>
      <x:c r="AJ407" s="58"/>
      <x:c r="AK407" s="47"/>
      <x:c r="AL407" s="60"/>
      <x:c r="AM407" s="58"/>
      <x:c r="AN407" s="47"/>
      <x:c r="AO407" s="60"/>
      <x:c r="AP407" s="58"/>
      <x:c r="AQ407" s="47"/>
      <x:c r="AR407" s="60"/>
      <x:c r="AS407" s="58"/>
      <x:c r="AT407" s="47"/>
      <x:c r="AU407" s="60"/>
      <x:c r="AV407" s="58"/>
      <x:c r="AW407" s="47"/>
      <x:c r="AX407" s="60"/>
      <x:c r="AY407" s="58"/>
      <x:c r="AZ407" s="47"/>
      <x:c r="BA407" s="60"/>
      <x:c r="BB407" s="58"/>
      <x:c r="BC407" s="47"/>
      <x:c r="BD407" s="60"/>
      <x:c r="BE407" s="58"/>
      <x:c r="BF407" s="47"/>
      <x:c r="BG407" s="60"/>
      <x:c r="BH407" s="58"/>
      <x:c r="BI407" s="47"/>
      <x:c r="BJ407" s="60"/>
      <x:c r="BK407" s="58"/>
      <x:c r="BL407" s="47"/>
      <x:c r="BM407" s="60"/>
      <x:c r="BN407" s="58"/>
      <x:c r="BO407" s="47"/>
      <x:c r="BP407" s="60"/>
      <x:c r="BQ407" s="58"/>
      <x:c r="BR407" s="47"/>
      <x:c r="BS407" s="60"/>
      <x:c r="BT407" s="58"/>
      <x:c r="BU407" s="47"/>
      <x:c r="BV407" s="60"/>
      <x:c r="BW407" s="58"/>
      <x:c r="BX407" s="47"/>
      <x:c r="BY407" s="60"/>
      <x:c r="BZ407" s="58"/>
      <x:c r="CA407" s="47"/>
      <x:c r="CB407" s="60"/>
      <x:c r="CC407" s="58"/>
      <x:c r="CD407" s="47"/>
      <x:c r="CE407" s="60"/>
      <x:c r="CF407" s="58"/>
      <x:c r="CG407" s="47"/>
      <x:c r="CH407" s="60"/>
      <x:c r="CI407" s="58"/>
      <x:c r="CJ407" s="47"/>
      <x:c r="CK407" s="60"/>
      <x:c r="CL407" s="58"/>
      <x:c r="CM407" s="47"/>
      <x:c r="CN407" s="60"/>
      <x:c r="CO407" s="58"/>
      <x:c r="CP407" s="47"/>
      <x:c r="CQ407" s="60"/>
      <x:c r="CR407" s="58"/>
      <x:c r="CS407" s="47"/>
      <x:c r="CT407" s="60"/>
      <x:c r="CU407" s="58"/>
      <x:c r="CV407" s="47"/>
      <x:c r="CW407" s="60"/>
      <x:c r="CX407" s="58"/>
      <x:c r="CY407" s="47"/>
      <x:c r="CZ407" s="60"/>
      <x:c r="DA407" s="58"/>
      <x:c r="DB407" s="47"/>
      <x:c r="DC407" s="60"/>
      <x:c r="DD407" s="58"/>
      <x:c r="DE407" s="47"/>
      <x:c r="DF407" s="60"/>
      <x:c r="DG407" s="58"/>
      <x:c r="DH407" s="47"/>
      <x:c r="DI407" s="60"/>
      <x:c r="DJ407" s="58"/>
      <x:c r="DK407" s="47"/>
      <x:c r="DL407" s="60"/>
      <x:c r="DM407" s="58"/>
      <x:c r="DN407" s="11"/>
      <x:c r="DO407" s="61"/>
      <x:c r="DP407" s="62"/>
      <x:c r="DQ407" s="11"/>
      <x:c r="DR407" s="61"/>
      <x:c r="DS407" s="62"/>
      <x:c r="DT407" s="11"/>
      <x:c r="DU407" s="61"/>
      <x:c r="DV407" s="62"/>
    </x:row>
    <x:row r="408" spans="1:126" x14ac:dyDescent="0.3">
      <x:c r="A408" s="47"/>
      <x:c r="B408" s="70"/>
      <x:c r="C408" s="70"/>
      <x:c r="D408" s="70"/>
      <x:c r="E408" s="70"/>
      <x:c r="F408" s="70"/>
      <x:c r="G408" s="70"/>
      <x:c r="H408" s="70"/>
      <x:c r="I408" s="70"/>
      <x:c r="J408" s="70"/>
      <x:c r="K408" s="190"/>
      <x:c r="L408" s="195"/>
      <x:c r="M408" s="192"/>
      <x:c r="N408" s="192"/>
      <x:c r="O408" s="69"/>
      <x:c r="P408" s="47"/>
      <x:c r="Q408" s="60"/>
      <x:c r="R408" s="58"/>
      <x:c r="S408" s="47"/>
      <x:c r="T408" s="60"/>
      <x:c r="U408" s="58"/>
      <x:c r="V408" s="47"/>
      <x:c r="W408" s="60"/>
      <x:c r="X408" s="58"/>
      <x:c r="Y408" s="47"/>
      <x:c r="Z408" s="60"/>
      <x:c r="AA408" s="58"/>
      <x:c r="AB408" s="47"/>
      <x:c r="AC408" s="60"/>
      <x:c r="AD408" s="58"/>
      <x:c r="AE408" s="47"/>
      <x:c r="AF408" s="60"/>
      <x:c r="AG408" s="58"/>
      <x:c r="AH408" s="47"/>
      <x:c r="AI408" s="60"/>
      <x:c r="AJ408" s="58"/>
      <x:c r="AK408" s="47"/>
      <x:c r="AL408" s="60"/>
      <x:c r="AM408" s="58"/>
      <x:c r="AN408" s="47"/>
      <x:c r="AO408" s="60"/>
      <x:c r="AP408" s="58"/>
      <x:c r="AQ408" s="47"/>
      <x:c r="AR408" s="60"/>
      <x:c r="AS408" s="58"/>
      <x:c r="AT408" s="47"/>
      <x:c r="AU408" s="60"/>
      <x:c r="AV408" s="58"/>
      <x:c r="AW408" s="47"/>
      <x:c r="AX408" s="60"/>
      <x:c r="AY408" s="58"/>
      <x:c r="AZ408" s="47"/>
      <x:c r="BA408" s="60"/>
      <x:c r="BB408" s="58"/>
      <x:c r="BC408" s="47"/>
      <x:c r="BD408" s="60"/>
      <x:c r="BE408" s="58"/>
      <x:c r="BF408" s="47"/>
      <x:c r="BG408" s="60"/>
      <x:c r="BH408" s="58"/>
      <x:c r="BI408" s="47"/>
      <x:c r="BJ408" s="60"/>
      <x:c r="BK408" s="58"/>
      <x:c r="BL408" s="47"/>
      <x:c r="BM408" s="60"/>
      <x:c r="BN408" s="58"/>
      <x:c r="BO408" s="47"/>
      <x:c r="BP408" s="60"/>
      <x:c r="BQ408" s="58"/>
      <x:c r="BR408" s="47"/>
      <x:c r="BS408" s="60"/>
      <x:c r="BT408" s="58"/>
      <x:c r="BU408" s="47"/>
      <x:c r="BV408" s="60"/>
      <x:c r="BW408" s="58"/>
      <x:c r="BX408" s="47"/>
      <x:c r="BY408" s="60"/>
      <x:c r="BZ408" s="58"/>
      <x:c r="CA408" s="47"/>
      <x:c r="CB408" s="60"/>
      <x:c r="CC408" s="58"/>
      <x:c r="CD408" s="47"/>
      <x:c r="CE408" s="60"/>
      <x:c r="CF408" s="58"/>
      <x:c r="CG408" s="47"/>
      <x:c r="CH408" s="60"/>
      <x:c r="CI408" s="58"/>
      <x:c r="CJ408" s="47"/>
      <x:c r="CK408" s="60"/>
      <x:c r="CL408" s="58"/>
      <x:c r="CM408" s="47"/>
      <x:c r="CN408" s="60"/>
      <x:c r="CO408" s="58"/>
      <x:c r="CP408" s="47"/>
      <x:c r="CQ408" s="60"/>
      <x:c r="CR408" s="58"/>
      <x:c r="CS408" s="47"/>
      <x:c r="CT408" s="60"/>
      <x:c r="CU408" s="58"/>
      <x:c r="CV408" s="47"/>
      <x:c r="CW408" s="60"/>
      <x:c r="CX408" s="58"/>
      <x:c r="CY408" s="47"/>
      <x:c r="CZ408" s="60"/>
      <x:c r="DA408" s="58"/>
      <x:c r="DB408" s="47"/>
      <x:c r="DC408" s="60"/>
      <x:c r="DD408" s="58"/>
      <x:c r="DE408" s="47"/>
      <x:c r="DF408" s="60"/>
      <x:c r="DG408" s="58"/>
      <x:c r="DH408" s="47"/>
      <x:c r="DI408" s="60"/>
      <x:c r="DJ408" s="58"/>
      <x:c r="DK408" s="47"/>
      <x:c r="DL408" s="60"/>
      <x:c r="DM408" s="58"/>
      <x:c r="DN408" s="11"/>
      <x:c r="DO408" s="61"/>
      <x:c r="DP408" s="62"/>
      <x:c r="DQ408" s="11"/>
      <x:c r="DR408" s="61"/>
      <x:c r="DS408" s="62"/>
      <x:c r="DT408" s="11"/>
      <x:c r="DU408" s="61"/>
      <x:c r="DV408" s="62"/>
    </x:row>
    <x:row r="409" spans="1:126" x14ac:dyDescent="0.3">
      <x:c r="A409" s="47"/>
      <x:c r="B409" s="70"/>
      <x:c r="C409" s="70"/>
      <x:c r="D409" s="70"/>
      <x:c r="E409" s="70"/>
      <x:c r="F409" s="70"/>
      <x:c r="G409" s="70"/>
      <x:c r="H409" s="70"/>
      <x:c r="I409" s="70"/>
      <x:c r="J409" s="70"/>
      <x:c r="K409" s="190"/>
      <x:c r="L409" s="195"/>
      <x:c r="M409" s="192"/>
      <x:c r="N409" s="192"/>
      <x:c r="O409" s="69"/>
      <x:c r="P409" s="47"/>
      <x:c r="Q409" s="60"/>
      <x:c r="R409" s="58"/>
      <x:c r="S409" s="47"/>
      <x:c r="T409" s="60"/>
      <x:c r="U409" s="58"/>
      <x:c r="V409" s="47"/>
      <x:c r="W409" s="60"/>
      <x:c r="X409" s="58"/>
      <x:c r="Y409" s="47"/>
      <x:c r="Z409" s="60"/>
      <x:c r="AA409" s="58"/>
      <x:c r="AB409" s="47"/>
      <x:c r="AC409" s="60"/>
      <x:c r="AD409" s="58"/>
      <x:c r="AE409" s="47"/>
      <x:c r="AF409" s="60"/>
      <x:c r="AG409" s="58"/>
      <x:c r="AH409" s="47"/>
      <x:c r="AI409" s="60"/>
      <x:c r="AJ409" s="58"/>
      <x:c r="AK409" s="47"/>
      <x:c r="AL409" s="60"/>
      <x:c r="AM409" s="58"/>
      <x:c r="AN409" s="47"/>
      <x:c r="AO409" s="60"/>
      <x:c r="AP409" s="58"/>
      <x:c r="AQ409" s="47"/>
      <x:c r="AR409" s="60"/>
      <x:c r="AS409" s="58"/>
      <x:c r="AT409" s="47"/>
      <x:c r="AU409" s="60"/>
      <x:c r="AV409" s="58"/>
      <x:c r="AW409" s="47"/>
      <x:c r="AX409" s="60"/>
      <x:c r="AY409" s="58"/>
      <x:c r="AZ409" s="47"/>
      <x:c r="BA409" s="60"/>
      <x:c r="BB409" s="58"/>
      <x:c r="BC409" s="47"/>
      <x:c r="BD409" s="60"/>
      <x:c r="BE409" s="58"/>
      <x:c r="BF409" s="47"/>
      <x:c r="BG409" s="60"/>
      <x:c r="BH409" s="58"/>
      <x:c r="BI409" s="47"/>
      <x:c r="BJ409" s="60"/>
      <x:c r="BK409" s="58"/>
      <x:c r="BL409" s="47"/>
      <x:c r="BM409" s="60"/>
      <x:c r="BN409" s="58"/>
      <x:c r="BO409" s="47"/>
      <x:c r="BP409" s="60"/>
      <x:c r="BQ409" s="58"/>
      <x:c r="BR409" s="47"/>
      <x:c r="BS409" s="60"/>
      <x:c r="BT409" s="58"/>
      <x:c r="BU409" s="47"/>
      <x:c r="BV409" s="60"/>
      <x:c r="BW409" s="58"/>
      <x:c r="BX409" s="47"/>
      <x:c r="BY409" s="60"/>
      <x:c r="BZ409" s="58"/>
      <x:c r="CA409" s="47"/>
      <x:c r="CB409" s="60"/>
      <x:c r="CC409" s="58"/>
      <x:c r="CD409" s="47"/>
      <x:c r="CE409" s="60"/>
      <x:c r="CF409" s="58"/>
      <x:c r="CG409" s="47"/>
      <x:c r="CH409" s="60"/>
      <x:c r="CI409" s="58"/>
      <x:c r="CJ409" s="47"/>
      <x:c r="CK409" s="60"/>
      <x:c r="CL409" s="58"/>
      <x:c r="CM409" s="47"/>
      <x:c r="CN409" s="60"/>
      <x:c r="CO409" s="58"/>
      <x:c r="CP409" s="47"/>
      <x:c r="CQ409" s="60"/>
      <x:c r="CR409" s="58"/>
      <x:c r="CS409" s="47"/>
      <x:c r="CT409" s="60"/>
      <x:c r="CU409" s="58"/>
      <x:c r="CV409" s="47"/>
      <x:c r="CW409" s="60"/>
      <x:c r="CX409" s="58"/>
      <x:c r="CY409" s="47"/>
      <x:c r="CZ409" s="60"/>
      <x:c r="DA409" s="58"/>
      <x:c r="DB409" s="47"/>
      <x:c r="DC409" s="60"/>
      <x:c r="DD409" s="58"/>
      <x:c r="DE409" s="47"/>
      <x:c r="DF409" s="60"/>
      <x:c r="DG409" s="58"/>
      <x:c r="DH409" s="47"/>
      <x:c r="DI409" s="60"/>
      <x:c r="DJ409" s="58"/>
      <x:c r="DK409" s="47"/>
      <x:c r="DL409" s="60"/>
      <x:c r="DM409" s="58"/>
      <x:c r="DN409" s="11"/>
      <x:c r="DO409" s="61"/>
      <x:c r="DP409" s="62"/>
      <x:c r="DQ409" s="11"/>
      <x:c r="DR409" s="61"/>
      <x:c r="DS409" s="62"/>
      <x:c r="DT409" s="11"/>
      <x:c r="DU409" s="61"/>
      <x:c r="DV409" s="62"/>
    </x:row>
    <x:row r="410" spans="1:126" x14ac:dyDescent="0.3">
      <x:c r="A410" s="47"/>
      <x:c r="B410" s="70"/>
      <x:c r="C410" s="70"/>
      <x:c r="D410" s="70"/>
      <x:c r="E410" s="70"/>
      <x:c r="F410" s="70"/>
      <x:c r="G410" s="70"/>
      <x:c r="H410" s="70"/>
      <x:c r="I410" s="70"/>
      <x:c r="J410" s="70"/>
      <x:c r="K410" s="190"/>
      <x:c r="L410" s="195"/>
      <x:c r="M410" s="192"/>
      <x:c r="N410" s="192"/>
      <x:c r="O410" s="69"/>
      <x:c r="P410" s="47"/>
      <x:c r="Q410" s="60"/>
      <x:c r="R410" s="58"/>
      <x:c r="S410" s="47"/>
      <x:c r="T410" s="60"/>
      <x:c r="U410" s="58"/>
      <x:c r="V410" s="47"/>
      <x:c r="W410" s="60"/>
      <x:c r="X410" s="58"/>
      <x:c r="Y410" s="47"/>
      <x:c r="Z410" s="60"/>
      <x:c r="AA410" s="58"/>
      <x:c r="AB410" s="47"/>
      <x:c r="AC410" s="60"/>
      <x:c r="AD410" s="58"/>
      <x:c r="AE410" s="47"/>
      <x:c r="AF410" s="60"/>
      <x:c r="AG410" s="58"/>
      <x:c r="AH410" s="47"/>
      <x:c r="AI410" s="60"/>
      <x:c r="AJ410" s="58"/>
      <x:c r="AK410" s="47"/>
      <x:c r="AL410" s="60"/>
      <x:c r="AM410" s="58"/>
      <x:c r="AN410" s="47"/>
      <x:c r="AO410" s="60"/>
      <x:c r="AP410" s="58"/>
      <x:c r="AQ410" s="47"/>
      <x:c r="AR410" s="60"/>
      <x:c r="AS410" s="58"/>
      <x:c r="AT410" s="47"/>
      <x:c r="AU410" s="60"/>
      <x:c r="AV410" s="58"/>
      <x:c r="AW410" s="47"/>
      <x:c r="AX410" s="60"/>
      <x:c r="AY410" s="58"/>
      <x:c r="AZ410" s="47"/>
      <x:c r="BA410" s="60"/>
      <x:c r="BB410" s="58"/>
      <x:c r="BC410" s="47"/>
      <x:c r="BD410" s="60"/>
      <x:c r="BE410" s="58"/>
      <x:c r="BF410" s="47"/>
      <x:c r="BG410" s="60"/>
      <x:c r="BH410" s="58"/>
      <x:c r="BI410" s="47"/>
      <x:c r="BJ410" s="60"/>
      <x:c r="BK410" s="58"/>
      <x:c r="BL410" s="47"/>
      <x:c r="BM410" s="60"/>
      <x:c r="BN410" s="58"/>
      <x:c r="BO410" s="47"/>
      <x:c r="BP410" s="60"/>
      <x:c r="BQ410" s="58"/>
      <x:c r="BR410" s="47"/>
      <x:c r="BS410" s="60"/>
      <x:c r="BT410" s="58"/>
      <x:c r="BU410" s="47"/>
      <x:c r="BV410" s="60"/>
      <x:c r="BW410" s="58"/>
      <x:c r="BX410" s="47"/>
      <x:c r="BY410" s="60"/>
      <x:c r="BZ410" s="58"/>
      <x:c r="CA410" s="47"/>
      <x:c r="CB410" s="60"/>
      <x:c r="CC410" s="58"/>
      <x:c r="CD410" s="47"/>
      <x:c r="CE410" s="60"/>
      <x:c r="CF410" s="58"/>
      <x:c r="CG410" s="47"/>
      <x:c r="CH410" s="60"/>
      <x:c r="CI410" s="58"/>
      <x:c r="CJ410" s="47"/>
      <x:c r="CK410" s="60"/>
      <x:c r="CL410" s="58"/>
      <x:c r="CM410" s="47"/>
      <x:c r="CN410" s="60"/>
      <x:c r="CO410" s="58"/>
      <x:c r="CP410" s="47"/>
      <x:c r="CQ410" s="60"/>
      <x:c r="CR410" s="58"/>
      <x:c r="CS410" s="47"/>
      <x:c r="CT410" s="60"/>
      <x:c r="CU410" s="58"/>
      <x:c r="CV410" s="47"/>
      <x:c r="CW410" s="60"/>
      <x:c r="CX410" s="58"/>
      <x:c r="CY410" s="47"/>
      <x:c r="CZ410" s="60"/>
      <x:c r="DA410" s="58"/>
      <x:c r="DB410" s="47"/>
      <x:c r="DC410" s="60"/>
      <x:c r="DD410" s="58"/>
      <x:c r="DE410" s="47"/>
      <x:c r="DF410" s="60"/>
      <x:c r="DG410" s="58"/>
      <x:c r="DH410" s="47"/>
      <x:c r="DI410" s="60"/>
      <x:c r="DJ410" s="58"/>
      <x:c r="DK410" s="47"/>
      <x:c r="DL410" s="60"/>
      <x:c r="DM410" s="58"/>
      <x:c r="DN410" s="11"/>
      <x:c r="DO410" s="61"/>
      <x:c r="DP410" s="62"/>
      <x:c r="DQ410" s="11"/>
      <x:c r="DR410" s="61"/>
      <x:c r="DS410" s="62"/>
      <x:c r="DT410" s="11"/>
      <x:c r="DU410" s="61"/>
      <x:c r="DV410" s="62"/>
    </x:row>
    <x:row r="411" spans="1:126" x14ac:dyDescent="0.3">
      <x:c r="A411" s="47"/>
      <x:c r="B411" s="70"/>
      <x:c r="C411" s="70"/>
      <x:c r="D411" s="70"/>
      <x:c r="E411" s="70"/>
      <x:c r="F411" s="70"/>
      <x:c r="G411" s="70"/>
      <x:c r="H411" s="70"/>
      <x:c r="I411" s="70"/>
      <x:c r="J411" s="70"/>
      <x:c r="K411" s="190"/>
      <x:c r="L411" s="195"/>
      <x:c r="M411" s="192"/>
      <x:c r="N411" s="192"/>
      <x:c r="O411" s="69"/>
      <x:c r="P411" s="47"/>
      <x:c r="Q411" s="60"/>
      <x:c r="R411" s="58"/>
      <x:c r="S411" s="47"/>
      <x:c r="T411" s="60"/>
      <x:c r="U411" s="58"/>
      <x:c r="V411" s="47"/>
      <x:c r="W411" s="60"/>
      <x:c r="X411" s="58"/>
      <x:c r="Y411" s="47"/>
      <x:c r="Z411" s="60"/>
      <x:c r="AA411" s="58"/>
      <x:c r="AB411" s="47"/>
      <x:c r="AC411" s="60"/>
      <x:c r="AD411" s="58"/>
      <x:c r="AE411" s="47"/>
      <x:c r="AF411" s="60"/>
      <x:c r="AG411" s="58"/>
      <x:c r="AH411" s="47"/>
      <x:c r="AI411" s="60"/>
      <x:c r="AJ411" s="58"/>
      <x:c r="AK411" s="47"/>
      <x:c r="AL411" s="60"/>
      <x:c r="AM411" s="58"/>
      <x:c r="AN411" s="47"/>
      <x:c r="AO411" s="60"/>
      <x:c r="AP411" s="58"/>
      <x:c r="AQ411" s="47"/>
      <x:c r="AR411" s="60"/>
      <x:c r="AS411" s="58"/>
      <x:c r="AT411" s="47"/>
      <x:c r="AU411" s="60"/>
      <x:c r="AV411" s="58"/>
      <x:c r="AW411" s="47"/>
      <x:c r="AX411" s="60"/>
      <x:c r="AY411" s="58"/>
      <x:c r="AZ411" s="47"/>
      <x:c r="BA411" s="60"/>
      <x:c r="BB411" s="58"/>
      <x:c r="BC411" s="47"/>
      <x:c r="BD411" s="60"/>
      <x:c r="BE411" s="58"/>
      <x:c r="BF411" s="47"/>
      <x:c r="BG411" s="60"/>
      <x:c r="BH411" s="58"/>
      <x:c r="BI411" s="47"/>
      <x:c r="BJ411" s="60"/>
      <x:c r="BK411" s="58"/>
      <x:c r="BL411" s="47"/>
      <x:c r="BM411" s="60"/>
      <x:c r="BN411" s="58"/>
      <x:c r="BO411" s="47"/>
      <x:c r="BP411" s="60"/>
      <x:c r="BQ411" s="58"/>
      <x:c r="BR411" s="47"/>
      <x:c r="BS411" s="60"/>
      <x:c r="BT411" s="58"/>
      <x:c r="BU411" s="47"/>
      <x:c r="BV411" s="60"/>
      <x:c r="BW411" s="58"/>
      <x:c r="BX411" s="47"/>
      <x:c r="BY411" s="60"/>
      <x:c r="BZ411" s="58"/>
      <x:c r="CA411" s="47"/>
      <x:c r="CB411" s="60"/>
      <x:c r="CC411" s="58"/>
      <x:c r="CD411" s="47"/>
      <x:c r="CE411" s="60"/>
      <x:c r="CF411" s="58"/>
      <x:c r="CG411" s="47"/>
      <x:c r="CH411" s="60"/>
      <x:c r="CI411" s="58"/>
      <x:c r="CJ411" s="47"/>
      <x:c r="CK411" s="60"/>
      <x:c r="CL411" s="58"/>
      <x:c r="CM411" s="47"/>
      <x:c r="CN411" s="60"/>
      <x:c r="CO411" s="58"/>
      <x:c r="CP411" s="47"/>
      <x:c r="CQ411" s="60"/>
      <x:c r="CR411" s="58"/>
      <x:c r="CS411" s="47"/>
      <x:c r="CT411" s="60"/>
      <x:c r="CU411" s="58"/>
      <x:c r="CV411" s="47"/>
      <x:c r="CW411" s="60"/>
      <x:c r="CX411" s="58"/>
      <x:c r="CY411" s="47"/>
      <x:c r="CZ411" s="60"/>
      <x:c r="DA411" s="58"/>
      <x:c r="DB411" s="47"/>
      <x:c r="DC411" s="60"/>
      <x:c r="DD411" s="58"/>
      <x:c r="DE411" s="47"/>
      <x:c r="DF411" s="60"/>
      <x:c r="DG411" s="58"/>
      <x:c r="DH411" s="47"/>
      <x:c r="DI411" s="60"/>
      <x:c r="DJ411" s="58"/>
      <x:c r="DK411" s="47"/>
      <x:c r="DL411" s="60"/>
      <x:c r="DM411" s="58"/>
      <x:c r="DN411" s="11"/>
      <x:c r="DO411" s="61"/>
      <x:c r="DP411" s="62"/>
      <x:c r="DQ411" s="11"/>
      <x:c r="DR411" s="61"/>
      <x:c r="DS411" s="62"/>
      <x:c r="DT411" s="11"/>
      <x:c r="DU411" s="61"/>
      <x:c r="DV411" s="62"/>
    </x:row>
    <x:row r="412" spans="1:126" x14ac:dyDescent="0.3">
      <x:c r="A412" s="47"/>
      <x:c r="B412" s="70"/>
      <x:c r="C412" s="70"/>
      <x:c r="D412" s="70"/>
      <x:c r="E412" s="70"/>
      <x:c r="F412" s="70"/>
      <x:c r="G412" s="70"/>
      <x:c r="H412" s="70"/>
      <x:c r="I412" s="70"/>
      <x:c r="J412" s="70"/>
      <x:c r="K412" s="190"/>
      <x:c r="L412" s="195"/>
      <x:c r="M412" s="192"/>
      <x:c r="N412" s="192"/>
      <x:c r="O412" s="69"/>
      <x:c r="P412" s="47"/>
      <x:c r="Q412" s="60"/>
      <x:c r="R412" s="58"/>
      <x:c r="S412" s="47"/>
      <x:c r="T412" s="60"/>
      <x:c r="U412" s="58"/>
      <x:c r="V412" s="47"/>
      <x:c r="W412" s="60"/>
      <x:c r="X412" s="58"/>
      <x:c r="Y412" s="47"/>
      <x:c r="Z412" s="60"/>
      <x:c r="AA412" s="58"/>
      <x:c r="AB412" s="47"/>
      <x:c r="AC412" s="60"/>
      <x:c r="AD412" s="58"/>
      <x:c r="AE412" s="47"/>
      <x:c r="AF412" s="60"/>
      <x:c r="AG412" s="58"/>
      <x:c r="AH412" s="47"/>
      <x:c r="AI412" s="60"/>
      <x:c r="AJ412" s="58"/>
      <x:c r="AK412" s="47"/>
      <x:c r="AL412" s="60"/>
      <x:c r="AM412" s="58"/>
      <x:c r="AN412" s="47"/>
      <x:c r="AO412" s="60"/>
      <x:c r="AP412" s="58"/>
      <x:c r="AQ412" s="47"/>
      <x:c r="AR412" s="60"/>
      <x:c r="AS412" s="58"/>
      <x:c r="AT412" s="47"/>
      <x:c r="AU412" s="60"/>
      <x:c r="AV412" s="58"/>
      <x:c r="AW412" s="47"/>
      <x:c r="AX412" s="60"/>
      <x:c r="AY412" s="58"/>
      <x:c r="AZ412" s="47"/>
      <x:c r="BA412" s="60"/>
      <x:c r="BB412" s="58"/>
      <x:c r="BC412" s="47"/>
      <x:c r="BD412" s="60"/>
      <x:c r="BE412" s="58"/>
      <x:c r="BF412" s="47"/>
      <x:c r="BG412" s="60"/>
      <x:c r="BH412" s="58"/>
      <x:c r="BI412" s="47"/>
      <x:c r="BJ412" s="60"/>
      <x:c r="BK412" s="58"/>
      <x:c r="BL412" s="47"/>
      <x:c r="BM412" s="60"/>
      <x:c r="BN412" s="58"/>
      <x:c r="BO412" s="47"/>
      <x:c r="BP412" s="60"/>
      <x:c r="BQ412" s="58"/>
      <x:c r="BR412" s="47"/>
      <x:c r="BS412" s="60"/>
      <x:c r="BT412" s="58"/>
      <x:c r="BU412" s="47"/>
      <x:c r="BV412" s="60"/>
      <x:c r="BW412" s="58"/>
      <x:c r="BX412" s="47"/>
      <x:c r="BY412" s="60"/>
      <x:c r="BZ412" s="58"/>
      <x:c r="CA412" s="47"/>
      <x:c r="CB412" s="60"/>
      <x:c r="CC412" s="58"/>
      <x:c r="CD412" s="47"/>
      <x:c r="CE412" s="60"/>
      <x:c r="CF412" s="58"/>
      <x:c r="CG412" s="47"/>
      <x:c r="CH412" s="60"/>
      <x:c r="CI412" s="58"/>
      <x:c r="CJ412" s="47"/>
      <x:c r="CK412" s="60"/>
      <x:c r="CL412" s="58"/>
      <x:c r="CM412" s="47"/>
      <x:c r="CN412" s="60"/>
      <x:c r="CO412" s="58"/>
      <x:c r="CP412" s="47"/>
      <x:c r="CQ412" s="60"/>
      <x:c r="CR412" s="58"/>
      <x:c r="CS412" s="47"/>
      <x:c r="CT412" s="60"/>
      <x:c r="CU412" s="58"/>
      <x:c r="CV412" s="47"/>
      <x:c r="CW412" s="60"/>
      <x:c r="CX412" s="58"/>
      <x:c r="CY412" s="47"/>
      <x:c r="CZ412" s="60"/>
      <x:c r="DA412" s="58"/>
      <x:c r="DB412" s="47"/>
      <x:c r="DC412" s="60"/>
      <x:c r="DD412" s="58"/>
      <x:c r="DE412" s="47"/>
      <x:c r="DF412" s="60"/>
      <x:c r="DG412" s="58"/>
      <x:c r="DH412" s="47"/>
      <x:c r="DI412" s="60"/>
      <x:c r="DJ412" s="58"/>
      <x:c r="DK412" s="47"/>
      <x:c r="DL412" s="60"/>
      <x:c r="DM412" s="58"/>
      <x:c r="DN412" s="11"/>
      <x:c r="DO412" s="61"/>
      <x:c r="DP412" s="62"/>
      <x:c r="DQ412" s="11"/>
      <x:c r="DR412" s="61"/>
      <x:c r="DS412" s="62"/>
      <x:c r="DT412" s="11"/>
      <x:c r="DU412" s="61"/>
      <x:c r="DV412" s="62"/>
    </x:row>
    <x:row r="413" spans="1:126" x14ac:dyDescent="0.3">
      <x:c r="A413" s="47"/>
      <x:c r="B413" s="70"/>
      <x:c r="C413" s="70"/>
      <x:c r="D413" s="70"/>
      <x:c r="E413" s="70"/>
      <x:c r="F413" s="70"/>
      <x:c r="G413" s="70"/>
      <x:c r="H413" s="70"/>
      <x:c r="I413" s="70"/>
      <x:c r="J413" s="70"/>
      <x:c r="K413" s="190"/>
      <x:c r="L413" s="195"/>
      <x:c r="M413" s="192"/>
      <x:c r="N413" s="192"/>
      <x:c r="O413" s="69"/>
      <x:c r="P413" s="47"/>
      <x:c r="Q413" s="60"/>
      <x:c r="R413" s="58"/>
      <x:c r="S413" s="47"/>
      <x:c r="T413" s="60"/>
      <x:c r="U413" s="58"/>
      <x:c r="V413" s="47"/>
      <x:c r="W413" s="60"/>
      <x:c r="X413" s="58"/>
      <x:c r="Y413" s="47"/>
      <x:c r="Z413" s="60"/>
      <x:c r="AA413" s="58"/>
      <x:c r="AB413" s="47"/>
      <x:c r="AC413" s="60"/>
      <x:c r="AD413" s="58"/>
      <x:c r="AE413" s="47"/>
      <x:c r="AF413" s="60"/>
      <x:c r="AG413" s="58"/>
      <x:c r="AH413" s="47"/>
      <x:c r="AI413" s="60"/>
      <x:c r="AJ413" s="58"/>
      <x:c r="AK413" s="47"/>
      <x:c r="AL413" s="60"/>
      <x:c r="AM413" s="58"/>
      <x:c r="AN413" s="47"/>
      <x:c r="AO413" s="60"/>
      <x:c r="AP413" s="58"/>
      <x:c r="AQ413" s="47"/>
      <x:c r="AR413" s="60"/>
      <x:c r="AS413" s="58"/>
      <x:c r="AT413" s="47"/>
      <x:c r="AU413" s="60"/>
      <x:c r="AV413" s="58"/>
      <x:c r="AW413" s="47"/>
      <x:c r="AX413" s="60"/>
      <x:c r="AY413" s="58"/>
      <x:c r="AZ413" s="47"/>
      <x:c r="BA413" s="60"/>
      <x:c r="BB413" s="58"/>
      <x:c r="BC413" s="47"/>
      <x:c r="BD413" s="60"/>
      <x:c r="BE413" s="58"/>
      <x:c r="BF413" s="47"/>
      <x:c r="BG413" s="60"/>
      <x:c r="BH413" s="58"/>
      <x:c r="BI413" s="47"/>
      <x:c r="BJ413" s="60"/>
      <x:c r="BK413" s="58"/>
      <x:c r="BL413" s="47"/>
      <x:c r="BM413" s="60"/>
      <x:c r="BN413" s="58"/>
      <x:c r="BO413" s="47"/>
      <x:c r="BP413" s="60"/>
      <x:c r="BQ413" s="58"/>
      <x:c r="BR413" s="47"/>
      <x:c r="BS413" s="60"/>
      <x:c r="BT413" s="58"/>
      <x:c r="BU413" s="47"/>
      <x:c r="BV413" s="60"/>
      <x:c r="BW413" s="58"/>
      <x:c r="BX413" s="47"/>
      <x:c r="BY413" s="60"/>
      <x:c r="BZ413" s="58"/>
      <x:c r="CA413" s="47"/>
      <x:c r="CB413" s="60"/>
      <x:c r="CC413" s="58"/>
      <x:c r="CD413" s="47"/>
      <x:c r="CE413" s="60"/>
      <x:c r="CF413" s="58"/>
      <x:c r="CG413" s="47"/>
      <x:c r="CH413" s="60"/>
      <x:c r="CI413" s="58"/>
      <x:c r="CJ413" s="47"/>
      <x:c r="CK413" s="60"/>
      <x:c r="CL413" s="58"/>
      <x:c r="CM413" s="47"/>
      <x:c r="CN413" s="60"/>
      <x:c r="CO413" s="58"/>
      <x:c r="CP413" s="47"/>
      <x:c r="CQ413" s="60"/>
      <x:c r="CR413" s="58"/>
      <x:c r="CS413" s="47"/>
      <x:c r="CT413" s="60"/>
      <x:c r="CU413" s="58"/>
      <x:c r="CV413" s="47"/>
      <x:c r="CW413" s="60"/>
      <x:c r="CX413" s="58"/>
      <x:c r="CY413" s="47"/>
      <x:c r="CZ413" s="60"/>
      <x:c r="DA413" s="58"/>
      <x:c r="DB413" s="47"/>
      <x:c r="DC413" s="60"/>
      <x:c r="DD413" s="58"/>
      <x:c r="DE413" s="47"/>
      <x:c r="DF413" s="60"/>
      <x:c r="DG413" s="58"/>
      <x:c r="DH413" s="47"/>
      <x:c r="DI413" s="60"/>
      <x:c r="DJ413" s="58"/>
      <x:c r="DK413" s="47"/>
      <x:c r="DL413" s="60"/>
      <x:c r="DM413" s="58"/>
      <x:c r="DN413" s="11"/>
      <x:c r="DO413" s="61"/>
      <x:c r="DP413" s="62"/>
      <x:c r="DQ413" s="11"/>
      <x:c r="DR413" s="61"/>
      <x:c r="DS413" s="62"/>
      <x:c r="DT413" s="11"/>
      <x:c r="DU413" s="61"/>
      <x:c r="DV413" s="62"/>
    </x:row>
    <x:row r="414" spans="1:126" x14ac:dyDescent="0.3">
      <x:c r="A414" s="47"/>
      <x:c r="B414" s="70"/>
      <x:c r="C414" s="70"/>
      <x:c r="D414" s="70"/>
      <x:c r="E414" s="70"/>
      <x:c r="F414" s="70"/>
      <x:c r="G414" s="70"/>
      <x:c r="H414" s="70"/>
      <x:c r="I414" s="70"/>
      <x:c r="J414" s="70"/>
      <x:c r="K414" s="190"/>
      <x:c r="L414" s="195"/>
      <x:c r="M414" s="192"/>
      <x:c r="N414" s="192"/>
      <x:c r="O414" s="69"/>
      <x:c r="P414" s="47"/>
      <x:c r="Q414" s="60"/>
      <x:c r="R414" s="58"/>
      <x:c r="S414" s="47"/>
      <x:c r="T414" s="60"/>
      <x:c r="U414" s="58"/>
      <x:c r="V414" s="47"/>
      <x:c r="W414" s="60"/>
      <x:c r="X414" s="58"/>
      <x:c r="Y414" s="47"/>
      <x:c r="Z414" s="60"/>
      <x:c r="AA414" s="58"/>
      <x:c r="AB414" s="47"/>
      <x:c r="AC414" s="60"/>
      <x:c r="AD414" s="58"/>
      <x:c r="AE414" s="47"/>
      <x:c r="AF414" s="60"/>
      <x:c r="AG414" s="58"/>
      <x:c r="AH414" s="47"/>
      <x:c r="AI414" s="60"/>
      <x:c r="AJ414" s="58"/>
      <x:c r="AK414" s="47"/>
      <x:c r="AL414" s="60"/>
      <x:c r="AM414" s="58"/>
      <x:c r="AN414" s="47"/>
      <x:c r="AO414" s="60"/>
      <x:c r="AP414" s="58"/>
      <x:c r="AQ414" s="47"/>
      <x:c r="AR414" s="60"/>
      <x:c r="AS414" s="58"/>
      <x:c r="AT414" s="47"/>
      <x:c r="AU414" s="60"/>
      <x:c r="AV414" s="58"/>
      <x:c r="AW414" s="47"/>
      <x:c r="AX414" s="60"/>
      <x:c r="AY414" s="58"/>
      <x:c r="AZ414" s="47"/>
      <x:c r="BA414" s="60"/>
      <x:c r="BB414" s="58"/>
      <x:c r="BC414" s="47"/>
      <x:c r="BD414" s="60"/>
      <x:c r="BE414" s="58"/>
      <x:c r="BF414" s="47"/>
      <x:c r="BG414" s="60"/>
      <x:c r="BH414" s="58"/>
      <x:c r="BI414" s="47"/>
      <x:c r="BJ414" s="60"/>
      <x:c r="BK414" s="58"/>
      <x:c r="BL414" s="47"/>
      <x:c r="BM414" s="60"/>
      <x:c r="BN414" s="58"/>
      <x:c r="BO414" s="47"/>
      <x:c r="BP414" s="60"/>
      <x:c r="BQ414" s="58"/>
      <x:c r="BR414" s="47"/>
      <x:c r="BS414" s="60"/>
      <x:c r="BT414" s="58"/>
      <x:c r="BU414" s="47"/>
      <x:c r="BV414" s="60"/>
      <x:c r="BW414" s="58"/>
      <x:c r="BX414" s="47"/>
      <x:c r="BY414" s="60"/>
      <x:c r="BZ414" s="58"/>
      <x:c r="CA414" s="47"/>
      <x:c r="CB414" s="60"/>
      <x:c r="CC414" s="58"/>
      <x:c r="CD414" s="47"/>
      <x:c r="CE414" s="60"/>
      <x:c r="CF414" s="58"/>
      <x:c r="CG414" s="47"/>
      <x:c r="CH414" s="60"/>
      <x:c r="CI414" s="58"/>
      <x:c r="CJ414" s="47"/>
      <x:c r="CK414" s="60"/>
      <x:c r="CL414" s="58"/>
      <x:c r="CM414" s="47"/>
      <x:c r="CN414" s="60"/>
      <x:c r="CO414" s="58"/>
      <x:c r="CP414" s="47"/>
      <x:c r="CQ414" s="60"/>
      <x:c r="CR414" s="58"/>
      <x:c r="CS414" s="47"/>
      <x:c r="CT414" s="60"/>
      <x:c r="CU414" s="58"/>
      <x:c r="CV414" s="47"/>
      <x:c r="CW414" s="60"/>
      <x:c r="CX414" s="58"/>
      <x:c r="CY414" s="47"/>
      <x:c r="CZ414" s="60"/>
      <x:c r="DA414" s="58"/>
      <x:c r="DB414" s="47"/>
      <x:c r="DC414" s="60"/>
      <x:c r="DD414" s="58"/>
      <x:c r="DE414" s="47"/>
      <x:c r="DF414" s="60"/>
      <x:c r="DG414" s="58"/>
      <x:c r="DH414" s="47"/>
      <x:c r="DI414" s="60"/>
      <x:c r="DJ414" s="58"/>
      <x:c r="DK414" s="47"/>
      <x:c r="DL414" s="60"/>
      <x:c r="DM414" s="58"/>
      <x:c r="DN414" s="11"/>
      <x:c r="DO414" s="61"/>
      <x:c r="DP414" s="62"/>
      <x:c r="DQ414" s="11"/>
      <x:c r="DR414" s="61"/>
      <x:c r="DS414" s="62"/>
      <x:c r="DT414" s="11"/>
      <x:c r="DU414" s="61"/>
      <x:c r="DV414" s="62"/>
    </x:row>
    <x:row r="415" spans="1:126" x14ac:dyDescent="0.3">
      <x:c r="A415" s="47"/>
      <x:c r="B415" s="70"/>
      <x:c r="C415" s="70"/>
      <x:c r="D415" s="70"/>
      <x:c r="E415" s="70"/>
      <x:c r="F415" s="70"/>
      <x:c r="G415" s="70"/>
      <x:c r="H415" s="70"/>
      <x:c r="I415" s="70"/>
      <x:c r="J415" s="70"/>
      <x:c r="K415" s="190"/>
      <x:c r="L415" s="195"/>
      <x:c r="M415" s="192"/>
      <x:c r="N415" s="192"/>
      <x:c r="O415" s="69"/>
      <x:c r="P415" s="47"/>
      <x:c r="Q415" s="60"/>
      <x:c r="R415" s="58"/>
      <x:c r="S415" s="47"/>
      <x:c r="T415" s="60"/>
      <x:c r="U415" s="58"/>
      <x:c r="V415" s="47"/>
      <x:c r="W415" s="60"/>
      <x:c r="X415" s="58"/>
      <x:c r="Y415" s="47"/>
      <x:c r="Z415" s="60"/>
      <x:c r="AA415" s="58"/>
      <x:c r="AB415" s="47"/>
      <x:c r="AC415" s="60"/>
      <x:c r="AD415" s="58"/>
      <x:c r="AE415" s="47"/>
      <x:c r="AF415" s="60"/>
      <x:c r="AG415" s="58"/>
      <x:c r="AH415" s="47"/>
      <x:c r="AI415" s="60"/>
      <x:c r="AJ415" s="58"/>
      <x:c r="AK415" s="47"/>
      <x:c r="AL415" s="60"/>
      <x:c r="AM415" s="58"/>
      <x:c r="AN415" s="47"/>
      <x:c r="AO415" s="60"/>
      <x:c r="AP415" s="58"/>
      <x:c r="AQ415" s="47"/>
      <x:c r="AR415" s="60"/>
      <x:c r="AS415" s="58"/>
      <x:c r="AT415" s="47"/>
      <x:c r="AU415" s="60"/>
      <x:c r="AV415" s="58"/>
      <x:c r="AW415" s="47"/>
      <x:c r="AX415" s="60"/>
      <x:c r="AY415" s="58"/>
      <x:c r="AZ415" s="47"/>
      <x:c r="BA415" s="60"/>
      <x:c r="BB415" s="58"/>
      <x:c r="BC415" s="47"/>
      <x:c r="BD415" s="60"/>
      <x:c r="BE415" s="58"/>
      <x:c r="BF415" s="47"/>
      <x:c r="BG415" s="60"/>
      <x:c r="BH415" s="58"/>
      <x:c r="BI415" s="47"/>
      <x:c r="BJ415" s="60"/>
      <x:c r="BK415" s="58"/>
      <x:c r="BL415" s="47"/>
      <x:c r="BM415" s="60"/>
      <x:c r="BN415" s="58"/>
      <x:c r="BO415" s="47"/>
      <x:c r="BP415" s="60"/>
      <x:c r="BQ415" s="58"/>
      <x:c r="BR415" s="47"/>
      <x:c r="BS415" s="60"/>
      <x:c r="BT415" s="58"/>
      <x:c r="BU415" s="47"/>
      <x:c r="BV415" s="60"/>
      <x:c r="BW415" s="58"/>
      <x:c r="BX415" s="47"/>
      <x:c r="BY415" s="60"/>
      <x:c r="BZ415" s="58"/>
      <x:c r="CA415" s="47"/>
      <x:c r="CB415" s="60"/>
      <x:c r="CC415" s="58"/>
      <x:c r="CD415" s="47"/>
      <x:c r="CE415" s="60"/>
      <x:c r="CF415" s="58"/>
      <x:c r="CG415" s="47"/>
      <x:c r="CH415" s="60"/>
      <x:c r="CI415" s="58"/>
      <x:c r="CJ415" s="47"/>
      <x:c r="CK415" s="60"/>
      <x:c r="CL415" s="58"/>
      <x:c r="CM415" s="47"/>
      <x:c r="CN415" s="60"/>
      <x:c r="CO415" s="58"/>
      <x:c r="CP415" s="47"/>
      <x:c r="CQ415" s="60"/>
      <x:c r="CR415" s="58"/>
      <x:c r="CS415" s="47"/>
      <x:c r="CT415" s="60"/>
      <x:c r="CU415" s="58"/>
      <x:c r="CV415" s="47"/>
      <x:c r="CW415" s="60"/>
      <x:c r="CX415" s="58"/>
      <x:c r="CY415" s="47"/>
      <x:c r="CZ415" s="60"/>
      <x:c r="DA415" s="58"/>
      <x:c r="DB415" s="47"/>
      <x:c r="DC415" s="60"/>
      <x:c r="DD415" s="58"/>
      <x:c r="DE415" s="47"/>
      <x:c r="DF415" s="60"/>
      <x:c r="DG415" s="58"/>
      <x:c r="DH415" s="47"/>
      <x:c r="DI415" s="60"/>
      <x:c r="DJ415" s="58"/>
      <x:c r="DK415" s="47"/>
      <x:c r="DL415" s="60"/>
      <x:c r="DM415" s="58"/>
      <x:c r="DN415" s="11"/>
      <x:c r="DO415" s="61"/>
      <x:c r="DP415" s="62"/>
      <x:c r="DQ415" s="11"/>
      <x:c r="DR415" s="61"/>
      <x:c r="DS415" s="62"/>
      <x:c r="DT415" s="11"/>
      <x:c r="DU415" s="61"/>
      <x:c r="DV415" s="62"/>
    </x:row>
    <x:row r="416" spans="1:126" x14ac:dyDescent="0.3">
      <x:c r="A416" s="47"/>
      <x:c r="B416" s="70"/>
      <x:c r="C416" s="70"/>
      <x:c r="D416" s="70"/>
      <x:c r="E416" s="70"/>
      <x:c r="F416" s="70"/>
      <x:c r="G416" s="70"/>
      <x:c r="H416" s="70"/>
      <x:c r="I416" s="70"/>
      <x:c r="J416" s="70"/>
      <x:c r="K416" s="190"/>
      <x:c r="L416" s="195"/>
      <x:c r="M416" s="192"/>
      <x:c r="N416" s="192"/>
      <x:c r="O416" s="69"/>
      <x:c r="P416" s="47"/>
      <x:c r="Q416" s="60"/>
      <x:c r="R416" s="58"/>
      <x:c r="S416" s="47"/>
      <x:c r="T416" s="60"/>
      <x:c r="U416" s="58"/>
      <x:c r="V416" s="47"/>
      <x:c r="W416" s="60"/>
      <x:c r="X416" s="58"/>
      <x:c r="Y416" s="47"/>
      <x:c r="Z416" s="60"/>
      <x:c r="AA416" s="58"/>
      <x:c r="AB416" s="47"/>
      <x:c r="AC416" s="60"/>
      <x:c r="AD416" s="58"/>
      <x:c r="AE416" s="47"/>
      <x:c r="AF416" s="60"/>
      <x:c r="AG416" s="58"/>
      <x:c r="AH416" s="47"/>
      <x:c r="AI416" s="60"/>
      <x:c r="AJ416" s="58"/>
      <x:c r="AK416" s="47"/>
      <x:c r="AL416" s="60"/>
      <x:c r="AM416" s="58"/>
      <x:c r="AN416" s="47"/>
      <x:c r="AO416" s="60"/>
      <x:c r="AP416" s="58"/>
      <x:c r="AQ416" s="47"/>
      <x:c r="AR416" s="60"/>
      <x:c r="AS416" s="58"/>
      <x:c r="AT416" s="47"/>
      <x:c r="AU416" s="60"/>
      <x:c r="AV416" s="58"/>
      <x:c r="AW416" s="47"/>
      <x:c r="AX416" s="60"/>
      <x:c r="AY416" s="58"/>
      <x:c r="AZ416" s="47"/>
      <x:c r="BA416" s="60"/>
      <x:c r="BB416" s="58"/>
      <x:c r="BC416" s="47"/>
      <x:c r="BD416" s="60"/>
      <x:c r="BE416" s="58"/>
      <x:c r="BF416" s="47"/>
      <x:c r="BG416" s="60"/>
      <x:c r="BH416" s="58"/>
      <x:c r="BI416" s="47"/>
      <x:c r="BJ416" s="60"/>
      <x:c r="BK416" s="58"/>
      <x:c r="BL416" s="47"/>
      <x:c r="BM416" s="60"/>
      <x:c r="BN416" s="58"/>
      <x:c r="BO416" s="47"/>
      <x:c r="BP416" s="60"/>
      <x:c r="BQ416" s="58"/>
      <x:c r="BR416" s="47"/>
      <x:c r="BS416" s="60"/>
      <x:c r="BT416" s="58"/>
      <x:c r="BU416" s="47"/>
      <x:c r="BV416" s="60"/>
      <x:c r="BW416" s="58"/>
      <x:c r="BX416" s="47"/>
      <x:c r="BY416" s="60"/>
      <x:c r="BZ416" s="58"/>
      <x:c r="CA416" s="47"/>
      <x:c r="CB416" s="60"/>
      <x:c r="CC416" s="58"/>
      <x:c r="CD416" s="47"/>
      <x:c r="CE416" s="60"/>
      <x:c r="CF416" s="58"/>
      <x:c r="CG416" s="47"/>
      <x:c r="CH416" s="60"/>
      <x:c r="CI416" s="58"/>
      <x:c r="CJ416" s="47"/>
      <x:c r="CK416" s="60"/>
      <x:c r="CL416" s="58"/>
      <x:c r="CM416" s="47"/>
      <x:c r="CN416" s="60"/>
      <x:c r="CO416" s="58"/>
      <x:c r="CP416" s="47"/>
      <x:c r="CQ416" s="60"/>
      <x:c r="CR416" s="58"/>
      <x:c r="CS416" s="47"/>
      <x:c r="CT416" s="60"/>
      <x:c r="CU416" s="58"/>
      <x:c r="CV416" s="47"/>
      <x:c r="CW416" s="60"/>
      <x:c r="CX416" s="58"/>
      <x:c r="CY416" s="47"/>
      <x:c r="CZ416" s="60"/>
      <x:c r="DA416" s="58"/>
      <x:c r="DB416" s="47"/>
      <x:c r="DC416" s="60"/>
      <x:c r="DD416" s="58"/>
      <x:c r="DE416" s="47"/>
      <x:c r="DF416" s="60"/>
      <x:c r="DG416" s="58"/>
      <x:c r="DH416" s="47"/>
      <x:c r="DI416" s="60"/>
      <x:c r="DJ416" s="58"/>
      <x:c r="DK416" s="47"/>
      <x:c r="DL416" s="60"/>
      <x:c r="DM416" s="58"/>
      <x:c r="DN416" s="11"/>
      <x:c r="DO416" s="61"/>
      <x:c r="DP416" s="62"/>
      <x:c r="DQ416" s="11"/>
      <x:c r="DR416" s="61"/>
      <x:c r="DS416" s="62"/>
      <x:c r="DT416" s="11"/>
      <x:c r="DU416" s="61"/>
      <x:c r="DV416" s="62"/>
    </x:row>
    <x:row r="417" spans="1:126" x14ac:dyDescent="0.3">
      <x:c r="A417" s="47"/>
      <x:c r="B417" s="70"/>
      <x:c r="C417" s="70"/>
      <x:c r="D417" s="70"/>
      <x:c r="E417" s="70"/>
      <x:c r="F417" s="70"/>
      <x:c r="G417" s="70"/>
      <x:c r="H417" s="70"/>
      <x:c r="I417" s="70"/>
      <x:c r="J417" s="70"/>
      <x:c r="K417" s="190"/>
      <x:c r="L417" s="195"/>
      <x:c r="M417" s="192"/>
      <x:c r="N417" s="192"/>
      <x:c r="O417" s="69"/>
      <x:c r="P417" s="47"/>
      <x:c r="Q417" s="60"/>
      <x:c r="R417" s="58"/>
      <x:c r="S417" s="47"/>
      <x:c r="T417" s="60"/>
      <x:c r="U417" s="58"/>
      <x:c r="V417" s="47"/>
      <x:c r="W417" s="60"/>
      <x:c r="X417" s="58"/>
      <x:c r="Y417" s="47"/>
      <x:c r="Z417" s="60"/>
      <x:c r="AA417" s="58"/>
      <x:c r="AB417" s="47"/>
      <x:c r="AC417" s="60"/>
      <x:c r="AD417" s="58"/>
      <x:c r="AE417" s="47"/>
      <x:c r="AF417" s="60"/>
      <x:c r="AG417" s="58"/>
      <x:c r="AH417" s="47"/>
      <x:c r="AI417" s="60"/>
      <x:c r="AJ417" s="58"/>
      <x:c r="AK417" s="47"/>
      <x:c r="AL417" s="60"/>
      <x:c r="AM417" s="58"/>
      <x:c r="AN417" s="47"/>
      <x:c r="AO417" s="60"/>
      <x:c r="AP417" s="58"/>
      <x:c r="AQ417" s="47"/>
      <x:c r="AR417" s="60"/>
      <x:c r="AS417" s="58"/>
      <x:c r="AT417" s="47"/>
      <x:c r="AU417" s="60"/>
      <x:c r="AV417" s="58"/>
      <x:c r="AW417" s="47"/>
      <x:c r="AX417" s="60"/>
      <x:c r="AY417" s="58"/>
      <x:c r="AZ417" s="47"/>
      <x:c r="BA417" s="60"/>
      <x:c r="BB417" s="58"/>
      <x:c r="BC417" s="47"/>
      <x:c r="BD417" s="60"/>
      <x:c r="BE417" s="58"/>
      <x:c r="BF417" s="47"/>
      <x:c r="BG417" s="60"/>
      <x:c r="BH417" s="58"/>
      <x:c r="BI417" s="47"/>
      <x:c r="BJ417" s="60"/>
      <x:c r="BK417" s="58"/>
      <x:c r="BL417" s="47"/>
      <x:c r="BM417" s="60"/>
      <x:c r="BN417" s="58"/>
      <x:c r="BO417" s="47"/>
      <x:c r="BP417" s="60"/>
      <x:c r="BQ417" s="58"/>
      <x:c r="BR417" s="47"/>
      <x:c r="BS417" s="60"/>
      <x:c r="BT417" s="58"/>
      <x:c r="BU417" s="47"/>
      <x:c r="BV417" s="60"/>
      <x:c r="BW417" s="58"/>
      <x:c r="BX417" s="47"/>
      <x:c r="BY417" s="60"/>
      <x:c r="BZ417" s="58"/>
      <x:c r="CA417" s="47"/>
      <x:c r="CB417" s="60"/>
      <x:c r="CC417" s="58"/>
      <x:c r="CD417" s="47"/>
      <x:c r="CE417" s="60"/>
      <x:c r="CF417" s="58"/>
      <x:c r="CG417" s="47"/>
      <x:c r="CH417" s="60"/>
      <x:c r="CI417" s="58"/>
      <x:c r="CJ417" s="47"/>
      <x:c r="CK417" s="60"/>
      <x:c r="CL417" s="58"/>
      <x:c r="CM417" s="47"/>
      <x:c r="CN417" s="60"/>
      <x:c r="CO417" s="58"/>
      <x:c r="CP417" s="47"/>
      <x:c r="CQ417" s="60"/>
      <x:c r="CR417" s="58"/>
      <x:c r="CS417" s="47"/>
      <x:c r="CT417" s="60"/>
      <x:c r="CU417" s="58"/>
      <x:c r="CV417" s="47"/>
      <x:c r="CW417" s="60"/>
      <x:c r="CX417" s="58"/>
      <x:c r="CY417" s="47"/>
      <x:c r="CZ417" s="60"/>
      <x:c r="DA417" s="58"/>
      <x:c r="DB417" s="47"/>
      <x:c r="DC417" s="60"/>
      <x:c r="DD417" s="58"/>
      <x:c r="DE417" s="47"/>
      <x:c r="DF417" s="60"/>
      <x:c r="DG417" s="58"/>
      <x:c r="DH417" s="47"/>
      <x:c r="DI417" s="60"/>
      <x:c r="DJ417" s="58"/>
      <x:c r="DK417" s="47"/>
      <x:c r="DL417" s="60"/>
      <x:c r="DM417" s="58"/>
      <x:c r="DN417" s="11"/>
      <x:c r="DO417" s="61"/>
      <x:c r="DP417" s="62"/>
      <x:c r="DQ417" s="11"/>
      <x:c r="DR417" s="61"/>
      <x:c r="DS417" s="62"/>
      <x:c r="DT417" s="11"/>
      <x:c r="DU417" s="61"/>
      <x:c r="DV417" s="62"/>
    </x:row>
    <x:row r="418" spans="1:126" x14ac:dyDescent="0.3">
      <x:c r="A418" s="47"/>
      <x:c r="B418" s="70"/>
      <x:c r="C418" s="70"/>
      <x:c r="D418" s="70"/>
      <x:c r="E418" s="70"/>
      <x:c r="F418" s="70"/>
      <x:c r="G418" s="70"/>
      <x:c r="H418" s="70"/>
      <x:c r="I418" s="70"/>
      <x:c r="J418" s="70"/>
      <x:c r="K418" s="190"/>
      <x:c r="L418" s="195"/>
      <x:c r="M418" s="192"/>
      <x:c r="N418" s="192"/>
      <x:c r="O418" s="69"/>
      <x:c r="P418" s="47"/>
      <x:c r="Q418" s="60"/>
      <x:c r="R418" s="58"/>
      <x:c r="S418" s="47"/>
      <x:c r="T418" s="60"/>
      <x:c r="U418" s="58"/>
      <x:c r="V418" s="47"/>
      <x:c r="W418" s="60"/>
      <x:c r="X418" s="58"/>
      <x:c r="Y418" s="47"/>
      <x:c r="Z418" s="60"/>
      <x:c r="AA418" s="58"/>
      <x:c r="AB418" s="47"/>
      <x:c r="AC418" s="60"/>
      <x:c r="AD418" s="58"/>
      <x:c r="AE418" s="47"/>
      <x:c r="AF418" s="60"/>
      <x:c r="AG418" s="58"/>
      <x:c r="AH418" s="47"/>
      <x:c r="AI418" s="60"/>
      <x:c r="AJ418" s="58"/>
      <x:c r="AK418" s="47"/>
      <x:c r="AL418" s="60"/>
      <x:c r="AM418" s="58"/>
      <x:c r="AN418" s="47"/>
      <x:c r="AO418" s="60"/>
      <x:c r="AP418" s="58"/>
      <x:c r="AQ418" s="47"/>
      <x:c r="AR418" s="60"/>
      <x:c r="AS418" s="58"/>
      <x:c r="AT418" s="47"/>
      <x:c r="AU418" s="60"/>
      <x:c r="AV418" s="58"/>
      <x:c r="AW418" s="47"/>
      <x:c r="AX418" s="60"/>
      <x:c r="AY418" s="58"/>
      <x:c r="AZ418" s="47"/>
      <x:c r="BA418" s="60"/>
      <x:c r="BB418" s="58"/>
      <x:c r="BC418" s="47"/>
      <x:c r="BD418" s="60"/>
      <x:c r="BE418" s="58"/>
      <x:c r="BF418" s="47"/>
      <x:c r="BG418" s="60"/>
      <x:c r="BH418" s="58"/>
      <x:c r="BI418" s="47"/>
      <x:c r="BJ418" s="60"/>
      <x:c r="BK418" s="58"/>
      <x:c r="BL418" s="47"/>
      <x:c r="BM418" s="60"/>
      <x:c r="BN418" s="58"/>
      <x:c r="BO418" s="47"/>
      <x:c r="BP418" s="60"/>
      <x:c r="BQ418" s="58"/>
      <x:c r="BR418" s="47"/>
      <x:c r="BS418" s="60"/>
      <x:c r="BT418" s="58"/>
      <x:c r="BU418" s="47"/>
      <x:c r="BV418" s="60"/>
      <x:c r="BW418" s="58"/>
      <x:c r="BX418" s="47"/>
      <x:c r="BY418" s="60"/>
      <x:c r="BZ418" s="58"/>
      <x:c r="CA418" s="47"/>
      <x:c r="CB418" s="60"/>
      <x:c r="CC418" s="58"/>
      <x:c r="CD418" s="47"/>
      <x:c r="CE418" s="60"/>
      <x:c r="CF418" s="58"/>
      <x:c r="CG418" s="47"/>
      <x:c r="CH418" s="60"/>
      <x:c r="CI418" s="58"/>
      <x:c r="CJ418" s="47"/>
      <x:c r="CK418" s="60"/>
      <x:c r="CL418" s="58"/>
      <x:c r="CM418" s="47"/>
      <x:c r="CN418" s="60"/>
      <x:c r="CO418" s="58"/>
      <x:c r="CP418" s="47"/>
      <x:c r="CQ418" s="60"/>
      <x:c r="CR418" s="58"/>
      <x:c r="CS418" s="47"/>
      <x:c r="CT418" s="60"/>
      <x:c r="CU418" s="58"/>
      <x:c r="CV418" s="47"/>
      <x:c r="CW418" s="60"/>
      <x:c r="CX418" s="58"/>
      <x:c r="CY418" s="47"/>
      <x:c r="CZ418" s="60"/>
      <x:c r="DA418" s="58"/>
      <x:c r="DB418" s="47"/>
      <x:c r="DC418" s="60"/>
      <x:c r="DD418" s="58"/>
      <x:c r="DE418" s="47"/>
      <x:c r="DF418" s="60"/>
      <x:c r="DG418" s="58"/>
      <x:c r="DH418" s="47"/>
      <x:c r="DI418" s="60"/>
      <x:c r="DJ418" s="58"/>
      <x:c r="DK418" s="47"/>
      <x:c r="DL418" s="60"/>
      <x:c r="DM418" s="58"/>
      <x:c r="DN418" s="11"/>
      <x:c r="DO418" s="61"/>
      <x:c r="DP418" s="62"/>
      <x:c r="DQ418" s="11"/>
      <x:c r="DR418" s="61"/>
      <x:c r="DS418" s="62"/>
      <x:c r="DT418" s="11"/>
      <x:c r="DU418" s="61"/>
      <x:c r="DV418" s="62"/>
    </x:row>
    <x:row r="419" spans="1:126" x14ac:dyDescent="0.3">
      <x:c r="A419" s="47"/>
      <x:c r="B419" s="70"/>
      <x:c r="C419" s="70"/>
      <x:c r="D419" s="70"/>
      <x:c r="E419" s="70"/>
      <x:c r="F419" s="70"/>
      <x:c r="G419" s="70"/>
      <x:c r="H419" s="70"/>
      <x:c r="I419" s="70"/>
      <x:c r="J419" s="70"/>
      <x:c r="K419" s="190"/>
      <x:c r="L419" s="195"/>
      <x:c r="M419" s="192"/>
      <x:c r="N419" s="192"/>
      <x:c r="O419" s="69"/>
      <x:c r="P419" s="47"/>
      <x:c r="Q419" s="60"/>
      <x:c r="R419" s="58"/>
      <x:c r="S419" s="47"/>
      <x:c r="T419" s="60"/>
      <x:c r="U419" s="58"/>
      <x:c r="V419" s="47"/>
      <x:c r="W419" s="60"/>
      <x:c r="X419" s="58"/>
      <x:c r="Y419" s="47"/>
      <x:c r="Z419" s="60"/>
      <x:c r="AA419" s="58"/>
      <x:c r="AB419" s="47"/>
      <x:c r="AC419" s="60"/>
      <x:c r="AD419" s="58"/>
      <x:c r="AE419" s="47"/>
      <x:c r="AF419" s="60"/>
      <x:c r="AG419" s="58"/>
      <x:c r="AH419" s="47"/>
      <x:c r="AI419" s="60"/>
      <x:c r="AJ419" s="58"/>
      <x:c r="AK419" s="47"/>
      <x:c r="AL419" s="60"/>
      <x:c r="AM419" s="58"/>
      <x:c r="AN419" s="47"/>
      <x:c r="AO419" s="60"/>
      <x:c r="AP419" s="58"/>
      <x:c r="AQ419" s="47"/>
      <x:c r="AR419" s="60"/>
      <x:c r="AS419" s="58"/>
      <x:c r="AT419" s="47"/>
      <x:c r="AU419" s="60"/>
      <x:c r="AV419" s="58"/>
      <x:c r="AW419" s="47"/>
      <x:c r="AX419" s="60"/>
      <x:c r="AY419" s="58"/>
      <x:c r="AZ419" s="47"/>
      <x:c r="BA419" s="60"/>
      <x:c r="BB419" s="58"/>
      <x:c r="BC419" s="47"/>
      <x:c r="BD419" s="60"/>
      <x:c r="BE419" s="58"/>
      <x:c r="BF419" s="47"/>
      <x:c r="BG419" s="60"/>
      <x:c r="BH419" s="58"/>
      <x:c r="BI419" s="47"/>
      <x:c r="BJ419" s="60"/>
      <x:c r="BK419" s="58"/>
      <x:c r="BL419" s="47"/>
      <x:c r="BM419" s="60"/>
      <x:c r="BN419" s="58"/>
      <x:c r="BO419" s="47"/>
      <x:c r="BP419" s="60"/>
      <x:c r="BQ419" s="58"/>
      <x:c r="BR419" s="47"/>
      <x:c r="BS419" s="60"/>
      <x:c r="BT419" s="58"/>
      <x:c r="BU419" s="47"/>
      <x:c r="BV419" s="60"/>
      <x:c r="BW419" s="58"/>
      <x:c r="BX419" s="47"/>
      <x:c r="BY419" s="60"/>
      <x:c r="BZ419" s="58"/>
      <x:c r="CA419" s="47"/>
      <x:c r="CB419" s="60"/>
      <x:c r="CC419" s="58"/>
      <x:c r="CD419" s="47"/>
      <x:c r="CE419" s="60"/>
      <x:c r="CF419" s="58"/>
      <x:c r="CG419" s="47"/>
      <x:c r="CH419" s="60"/>
      <x:c r="CI419" s="58"/>
      <x:c r="CJ419" s="47"/>
      <x:c r="CK419" s="60"/>
      <x:c r="CL419" s="58"/>
      <x:c r="CM419" s="47"/>
      <x:c r="CN419" s="60"/>
      <x:c r="CO419" s="58"/>
      <x:c r="CP419" s="47"/>
      <x:c r="CQ419" s="60"/>
      <x:c r="CR419" s="58"/>
      <x:c r="CS419" s="47"/>
      <x:c r="CT419" s="60"/>
      <x:c r="CU419" s="58"/>
      <x:c r="CV419" s="47"/>
      <x:c r="CW419" s="60"/>
      <x:c r="CX419" s="58"/>
      <x:c r="CY419" s="47"/>
      <x:c r="CZ419" s="60"/>
      <x:c r="DA419" s="58"/>
      <x:c r="DB419" s="47"/>
      <x:c r="DC419" s="60"/>
      <x:c r="DD419" s="58"/>
      <x:c r="DE419" s="47"/>
      <x:c r="DF419" s="60"/>
      <x:c r="DG419" s="58"/>
      <x:c r="DH419" s="47"/>
      <x:c r="DI419" s="60"/>
      <x:c r="DJ419" s="58"/>
      <x:c r="DK419" s="47"/>
      <x:c r="DL419" s="60"/>
      <x:c r="DM419" s="58"/>
      <x:c r="DN419" s="11"/>
      <x:c r="DO419" s="61"/>
      <x:c r="DP419" s="62"/>
      <x:c r="DQ419" s="11"/>
      <x:c r="DR419" s="61"/>
      <x:c r="DS419" s="62"/>
      <x:c r="DT419" s="11"/>
      <x:c r="DU419" s="61"/>
      <x:c r="DV419" s="62"/>
    </x:row>
    <x:row r="420" spans="1:126" x14ac:dyDescent="0.3">
      <x:c r="A420" s="47"/>
      <x:c r="B420" s="70"/>
      <x:c r="C420" s="70"/>
      <x:c r="D420" s="70"/>
      <x:c r="E420" s="70"/>
      <x:c r="F420" s="70"/>
      <x:c r="G420" s="70"/>
      <x:c r="H420" s="70"/>
      <x:c r="I420" s="70"/>
      <x:c r="J420" s="70"/>
      <x:c r="K420" s="190"/>
      <x:c r="L420" s="195"/>
      <x:c r="M420" s="192"/>
      <x:c r="N420" s="192"/>
      <x:c r="O420" s="69"/>
      <x:c r="P420" s="47"/>
      <x:c r="Q420" s="60"/>
      <x:c r="R420" s="58"/>
      <x:c r="S420" s="47"/>
      <x:c r="T420" s="60"/>
      <x:c r="U420" s="58"/>
      <x:c r="V420" s="47"/>
      <x:c r="W420" s="60"/>
      <x:c r="X420" s="58"/>
      <x:c r="Y420" s="47"/>
      <x:c r="Z420" s="60"/>
      <x:c r="AA420" s="58"/>
      <x:c r="AB420" s="47"/>
      <x:c r="AC420" s="60"/>
      <x:c r="AD420" s="58"/>
      <x:c r="AE420" s="47"/>
      <x:c r="AF420" s="60"/>
      <x:c r="AG420" s="58"/>
      <x:c r="AH420" s="47"/>
      <x:c r="AI420" s="60"/>
      <x:c r="AJ420" s="58"/>
      <x:c r="AK420" s="47"/>
      <x:c r="AL420" s="60"/>
      <x:c r="AM420" s="58"/>
      <x:c r="AN420" s="47"/>
      <x:c r="AO420" s="60"/>
      <x:c r="AP420" s="58"/>
      <x:c r="AQ420" s="47"/>
      <x:c r="AR420" s="60"/>
      <x:c r="AS420" s="58"/>
      <x:c r="AT420" s="47"/>
      <x:c r="AU420" s="60"/>
      <x:c r="AV420" s="58"/>
      <x:c r="AW420" s="47"/>
      <x:c r="AX420" s="60"/>
      <x:c r="AY420" s="58"/>
      <x:c r="AZ420" s="47"/>
      <x:c r="BA420" s="60"/>
      <x:c r="BB420" s="58"/>
      <x:c r="BC420" s="47"/>
      <x:c r="BD420" s="60"/>
      <x:c r="BE420" s="58"/>
      <x:c r="BF420" s="47"/>
      <x:c r="BG420" s="60"/>
      <x:c r="BH420" s="58"/>
      <x:c r="BI420" s="47"/>
      <x:c r="BJ420" s="60"/>
      <x:c r="BK420" s="58"/>
      <x:c r="BL420" s="47"/>
      <x:c r="BM420" s="60"/>
      <x:c r="BN420" s="58"/>
      <x:c r="BO420" s="47"/>
      <x:c r="BP420" s="60"/>
      <x:c r="BQ420" s="58"/>
      <x:c r="BR420" s="47"/>
      <x:c r="BS420" s="60"/>
      <x:c r="BT420" s="58"/>
      <x:c r="BU420" s="47"/>
      <x:c r="BV420" s="60"/>
      <x:c r="BW420" s="58"/>
      <x:c r="BX420" s="47"/>
      <x:c r="BY420" s="60"/>
      <x:c r="BZ420" s="58"/>
      <x:c r="CA420" s="47"/>
      <x:c r="CB420" s="60"/>
      <x:c r="CC420" s="58"/>
      <x:c r="CD420" s="47"/>
      <x:c r="CE420" s="60"/>
      <x:c r="CF420" s="58"/>
      <x:c r="CG420" s="47"/>
      <x:c r="CH420" s="60"/>
      <x:c r="CI420" s="58"/>
      <x:c r="CJ420" s="47"/>
      <x:c r="CK420" s="60"/>
      <x:c r="CL420" s="58"/>
      <x:c r="CM420" s="47"/>
      <x:c r="CN420" s="60"/>
      <x:c r="CO420" s="58"/>
      <x:c r="CP420" s="47"/>
      <x:c r="CQ420" s="60"/>
      <x:c r="CR420" s="58"/>
      <x:c r="CS420" s="47"/>
      <x:c r="CT420" s="60"/>
      <x:c r="CU420" s="58"/>
      <x:c r="CV420" s="47"/>
      <x:c r="CW420" s="60"/>
      <x:c r="CX420" s="58"/>
      <x:c r="CY420" s="47"/>
      <x:c r="CZ420" s="60"/>
      <x:c r="DA420" s="58"/>
      <x:c r="DB420" s="47"/>
      <x:c r="DC420" s="60"/>
      <x:c r="DD420" s="58"/>
      <x:c r="DE420" s="47"/>
      <x:c r="DF420" s="60"/>
      <x:c r="DG420" s="58"/>
      <x:c r="DH420" s="47"/>
      <x:c r="DI420" s="60"/>
      <x:c r="DJ420" s="58"/>
      <x:c r="DK420" s="47"/>
      <x:c r="DL420" s="60"/>
      <x:c r="DM420" s="58"/>
      <x:c r="DN420" s="11"/>
      <x:c r="DO420" s="61"/>
      <x:c r="DP420" s="62"/>
      <x:c r="DQ420" s="11"/>
      <x:c r="DR420" s="61"/>
      <x:c r="DS420" s="62"/>
      <x:c r="DT420" s="11"/>
      <x:c r="DU420" s="61"/>
      <x:c r="DV420" s="62"/>
    </x:row>
    <x:row r="421" spans="1:126" x14ac:dyDescent="0.3">
      <x:c r="A421" s="47"/>
      <x:c r="B421" s="70"/>
      <x:c r="C421" s="70"/>
      <x:c r="D421" s="70"/>
      <x:c r="E421" s="70"/>
      <x:c r="F421" s="70"/>
      <x:c r="G421" s="70"/>
      <x:c r="H421" s="70"/>
      <x:c r="I421" s="70"/>
      <x:c r="J421" s="70"/>
      <x:c r="K421" s="190"/>
      <x:c r="L421" s="195"/>
      <x:c r="M421" s="192"/>
      <x:c r="N421" s="192"/>
      <x:c r="O421" s="69"/>
      <x:c r="P421" s="47"/>
      <x:c r="Q421" s="60"/>
      <x:c r="R421" s="58"/>
      <x:c r="S421" s="47"/>
      <x:c r="T421" s="60"/>
      <x:c r="U421" s="58"/>
      <x:c r="V421" s="47"/>
      <x:c r="W421" s="60"/>
      <x:c r="X421" s="58"/>
      <x:c r="Y421" s="47"/>
      <x:c r="Z421" s="60"/>
      <x:c r="AA421" s="58"/>
      <x:c r="AB421" s="47"/>
      <x:c r="AC421" s="60"/>
      <x:c r="AD421" s="58"/>
      <x:c r="AE421" s="47"/>
      <x:c r="AF421" s="60"/>
      <x:c r="AG421" s="58"/>
      <x:c r="AH421" s="47"/>
      <x:c r="AI421" s="60"/>
      <x:c r="AJ421" s="58"/>
      <x:c r="AK421" s="47"/>
      <x:c r="AL421" s="60"/>
      <x:c r="AM421" s="58"/>
      <x:c r="AN421" s="47"/>
      <x:c r="AO421" s="60"/>
      <x:c r="AP421" s="58"/>
      <x:c r="AQ421" s="47"/>
      <x:c r="AR421" s="60"/>
      <x:c r="AS421" s="58"/>
      <x:c r="AT421" s="47"/>
      <x:c r="AU421" s="60"/>
      <x:c r="AV421" s="58"/>
      <x:c r="AW421" s="47"/>
      <x:c r="AX421" s="60"/>
      <x:c r="AY421" s="58"/>
      <x:c r="AZ421" s="47"/>
      <x:c r="BA421" s="60"/>
      <x:c r="BB421" s="58"/>
      <x:c r="BC421" s="47"/>
      <x:c r="BD421" s="60"/>
      <x:c r="BE421" s="58"/>
      <x:c r="BF421" s="47"/>
      <x:c r="BG421" s="60"/>
      <x:c r="BH421" s="58"/>
      <x:c r="BI421" s="47"/>
      <x:c r="BJ421" s="60"/>
      <x:c r="BK421" s="58"/>
      <x:c r="BL421" s="47"/>
      <x:c r="BM421" s="60"/>
      <x:c r="BN421" s="58"/>
      <x:c r="BO421" s="47"/>
      <x:c r="BP421" s="60"/>
      <x:c r="BQ421" s="58"/>
      <x:c r="BR421" s="47"/>
      <x:c r="BS421" s="60"/>
      <x:c r="BT421" s="58"/>
      <x:c r="BU421" s="47"/>
      <x:c r="BV421" s="60"/>
      <x:c r="BW421" s="58"/>
      <x:c r="BX421" s="47"/>
      <x:c r="BY421" s="60"/>
      <x:c r="BZ421" s="58"/>
      <x:c r="CA421" s="47"/>
      <x:c r="CB421" s="60"/>
      <x:c r="CC421" s="58"/>
      <x:c r="CD421" s="47"/>
      <x:c r="CE421" s="60"/>
      <x:c r="CF421" s="58"/>
      <x:c r="CG421" s="47"/>
      <x:c r="CH421" s="60"/>
      <x:c r="CI421" s="58"/>
      <x:c r="CJ421" s="47"/>
      <x:c r="CK421" s="60"/>
      <x:c r="CL421" s="58"/>
      <x:c r="CM421" s="47"/>
      <x:c r="CN421" s="60"/>
      <x:c r="CO421" s="58"/>
      <x:c r="CP421" s="47"/>
      <x:c r="CQ421" s="60"/>
      <x:c r="CR421" s="58"/>
      <x:c r="CS421" s="47"/>
      <x:c r="CT421" s="60"/>
      <x:c r="CU421" s="58"/>
      <x:c r="CV421" s="47"/>
      <x:c r="CW421" s="60"/>
      <x:c r="CX421" s="58"/>
      <x:c r="CY421" s="47"/>
      <x:c r="CZ421" s="60"/>
      <x:c r="DA421" s="58"/>
      <x:c r="DB421" s="47"/>
      <x:c r="DC421" s="60"/>
      <x:c r="DD421" s="58"/>
      <x:c r="DE421" s="47"/>
      <x:c r="DF421" s="60"/>
      <x:c r="DG421" s="58"/>
      <x:c r="DH421" s="47"/>
      <x:c r="DI421" s="60"/>
      <x:c r="DJ421" s="58"/>
      <x:c r="DK421" s="47"/>
      <x:c r="DL421" s="60"/>
      <x:c r="DM421" s="58"/>
      <x:c r="DN421" s="11"/>
      <x:c r="DO421" s="61"/>
      <x:c r="DP421" s="62"/>
      <x:c r="DQ421" s="11"/>
      <x:c r="DR421" s="61"/>
      <x:c r="DS421" s="62"/>
      <x:c r="DT421" s="11"/>
      <x:c r="DU421" s="61"/>
      <x:c r="DV421" s="62"/>
    </x:row>
    <x:row r="422" spans="1:126" x14ac:dyDescent="0.3">
      <x:c r="A422" s="47"/>
      <x:c r="B422" s="70"/>
      <x:c r="C422" s="70"/>
      <x:c r="D422" s="70"/>
      <x:c r="E422" s="70"/>
      <x:c r="F422" s="70"/>
      <x:c r="G422" s="70"/>
      <x:c r="H422" s="70"/>
      <x:c r="I422" s="70"/>
      <x:c r="J422" s="70"/>
      <x:c r="K422" s="190"/>
      <x:c r="L422" s="195"/>
      <x:c r="M422" s="192"/>
      <x:c r="N422" s="192"/>
      <x:c r="O422" s="69"/>
      <x:c r="P422" s="47"/>
      <x:c r="Q422" s="60"/>
      <x:c r="R422" s="58"/>
      <x:c r="S422" s="47"/>
      <x:c r="T422" s="60"/>
      <x:c r="U422" s="58"/>
      <x:c r="V422" s="47"/>
      <x:c r="W422" s="60"/>
      <x:c r="X422" s="58"/>
      <x:c r="Y422" s="47"/>
      <x:c r="Z422" s="60"/>
      <x:c r="AA422" s="58"/>
      <x:c r="AB422" s="47"/>
      <x:c r="AC422" s="60"/>
      <x:c r="AD422" s="58"/>
      <x:c r="AE422" s="47"/>
      <x:c r="AF422" s="60"/>
      <x:c r="AG422" s="58"/>
      <x:c r="AH422" s="47"/>
      <x:c r="AI422" s="60"/>
      <x:c r="AJ422" s="58"/>
      <x:c r="AK422" s="47"/>
      <x:c r="AL422" s="60"/>
      <x:c r="AM422" s="58"/>
      <x:c r="AN422" s="47"/>
      <x:c r="AO422" s="60"/>
      <x:c r="AP422" s="58"/>
      <x:c r="AQ422" s="47"/>
      <x:c r="AR422" s="60"/>
      <x:c r="AS422" s="58"/>
      <x:c r="AT422" s="47"/>
      <x:c r="AU422" s="60"/>
      <x:c r="AV422" s="58"/>
      <x:c r="AW422" s="47"/>
      <x:c r="AX422" s="60"/>
      <x:c r="AY422" s="58"/>
      <x:c r="AZ422" s="47"/>
      <x:c r="BA422" s="60"/>
      <x:c r="BB422" s="58"/>
      <x:c r="BC422" s="47"/>
      <x:c r="BD422" s="60"/>
      <x:c r="BE422" s="58"/>
      <x:c r="BF422" s="47"/>
      <x:c r="BG422" s="60"/>
      <x:c r="BH422" s="58"/>
      <x:c r="BI422" s="47"/>
      <x:c r="BJ422" s="60"/>
      <x:c r="BK422" s="58"/>
      <x:c r="BL422" s="47"/>
      <x:c r="BM422" s="60"/>
      <x:c r="BN422" s="58"/>
      <x:c r="BO422" s="47"/>
      <x:c r="BP422" s="60"/>
      <x:c r="BQ422" s="58"/>
      <x:c r="BR422" s="47"/>
      <x:c r="BS422" s="60"/>
      <x:c r="BT422" s="58"/>
      <x:c r="BU422" s="47"/>
      <x:c r="BV422" s="60"/>
      <x:c r="BW422" s="58"/>
      <x:c r="BX422" s="47"/>
      <x:c r="BY422" s="60"/>
      <x:c r="BZ422" s="58"/>
      <x:c r="CA422" s="47"/>
      <x:c r="CB422" s="60"/>
      <x:c r="CC422" s="58"/>
      <x:c r="CD422" s="47"/>
      <x:c r="CE422" s="60"/>
      <x:c r="CF422" s="58"/>
      <x:c r="CG422" s="47"/>
      <x:c r="CH422" s="60"/>
      <x:c r="CI422" s="58"/>
      <x:c r="CJ422" s="47"/>
      <x:c r="CK422" s="60"/>
      <x:c r="CL422" s="58"/>
      <x:c r="CM422" s="47"/>
      <x:c r="CN422" s="60"/>
      <x:c r="CO422" s="58"/>
      <x:c r="CP422" s="47"/>
      <x:c r="CQ422" s="60"/>
      <x:c r="CR422" s="58"/>
      <x:c r="CS422" s="47"/>
      <x:c r="CT422" s="60"/>
      <x:c r="CU422" s="58"/>
      <x:c r="CV422" s="47"/>
      <x:c r="CW422" s="60"/>
      <x:c r="CX422" s="58"/>
      <x:c r="CY422" s="47"/>
      <x:c r="CZ422" s="60"/>
      <x:c r="DA422" s="58"/>
      <x:c r="DB422" s="47"/>
      <x:c r="DC422" s="60"/>
      <x:c r="DD422" s="58"/>
      <x:c r="DE422" s="47"/>
      <x:c r="DF422" s="60"/>
      <x:c r="DG422" s="58"/>
      <x:c r="DH422" s="47"/>
      <x:c r="DI422" s="60"/>
      <x:c r="DJ422" s="58"/>
      <x:c r="DK422" s="47"/>
      <x:c r="DL422" s="60"/>
      <x:c r="DM422" s="58"/>
      <x:c r="DN422" s="11"/>
      <x:c r="DO422" s="61"/>
      <x:c r="DP422" s="62"/>
      <x:c r="DQ422" s="11"/>
      <x:c r="DR422" s="61"/>
      <x:c r="DS422" s="62"/>
      <x:c r="DT422" s="11"/>
      <x:c r="DU422" s="61"/>
      <x:c r="DV422" s="62"/>
    </x:row>
    <x:row r="423" spans="1:126" x14ac:dyDescent="0.3">
      <x:c r="A423" s="47"/>
      <x:c r="B423" s="70"/>
      <x:c r="C423" s="70"/>
      <x:c r="D423" s="70"/>
      <x:c r="E423" s="70"/>
      <x:c r="F423" s="70"/>
      <x:c r="G423" s="70"/>
      <x:c r="H423" s="70"/>
      <x:c r="I423" s="70"/>
      <x:c r="J423" s="70"/>
      <x:c r="K423" s="190"/>
      <x:c r="L423" s="195"/>
      <x:c r="M423" s="192"/>
      <x:c r="N423" s="192"/>
      <x:c r="O423" s="69"/>
      <x:c r="P423" s="47"/>
      <x:c r="Q423" s="60"/>
      <x:c r="R423" s="58"/>
      <x:c r="S423" s="47"/>
      <x:c r="T423" s="60"/>
      <x:c r="U423" s="58"/>
      <x:c r="V423" s="47"/>
      <x:c r="W423" s="60"/>
      <x:c r="X423" s="58"/>
      <x:c r="Y423" s="47"/>
      <x:c r="Z423" s="60"/>
      <x:c r="AA423" s="58"/>
      <x:c r="AB423" s="47"/>
      <x:c r="AC423" s="60"/>
      <x:c r="AD423" s="58"/>
      <x:c r="AE423" s="47"/>
      <x:c r="AF423" s="60"/>
      <x:c r="AG423" s="58"/>
      <x:c r="AH423" s="47"/>
      <x:c r="AI423" s="60"/>
      <x:c r="AJ423" s="58"/>
      <x:c r="AK423" s="47"/>
      <x:c r="AL423" s="60"/>
      <x:c r="AM423" s="58"/>
      <x:c r="AN423" s="47"/>
      <x:c r="AO423" s="60"/>
      <x:c r="AP423" s="58"/>
      <x:c r="AQ423" s="47"/>
      <x:c r="AR423" s="60"/>
      <x:c r="AS423" s="58"/>
      <x:c r="AT423" s="47"/>
      <x:c r="AU423" s="60"/>
      <x:c r="AV423" s="58"/>
      <x:c r="AW423" s="47"/>
      <x:c r="AX423" s="60"/>
      <x:c r="AY423" s="58"/>
      <x:c r="AZ423" s="47"/>
      <x:c r="BA423" s="60"/>
      <x:c r="BB423" s="58"/>
      <x:c r="BC423" s="47"/>
      <x:c r="BD423" s="60"/>
      <x:c r="BE423" s="58"/>
      <x:c r="BF423" s="47"/>
      <x:c r="BG423" s="60"/>
      <x:c r="BH423" s="58"/>
      <x:c r="BI423" s="47"/>
      <x:c r="BJ423" s="60"/>
      <x:c r="BK423" s="58"/>
      <x:c r="BL423" s="47"/>
      <x:c r="BM423" s="60"/>
      <x:c r="BN423" s="58"/>
      <x:c r="BO423" s="47"/>
      <x:c r="BP423" s="60"/>
      <x:c r="BQ423" s="58"/>
      <x:c r="BR423" s="47"/>
      <x:c r="BS423" s="60"/>
      <x:c r="BT423" s="58"/>
      <x:c r="BU423" s="47"/>
      <x:c r="BV423" s="60"/>
      <x:c r="BW423" s="58"/>
      <x:c r="BX423" s="47"/>
      <x:c r="BY423" s="60"/>
      <x:c r="BZ423" s="58"/>
      <x:c r="CA423" s="47"/>
      <x:c r="CB423" s="60"/>
      <x:c r="CC423" s="58"/>
      <x:c r="CD423" s="47"/>
      <x:c r="CE423" s="60"/>
      <x:c r="CF423" s="58"/>
      <x:c r="CG423" s="47"/>
      <x:c r="CH423" s="60"/>
      <x:c r="CI423" s="58"/>
      <x:c r="CJ423" s="47"/>
      <x:c r="CK423" s="60"/>
      <x:c r="CL423" s="58"/>
      <x:c r="CM423" s="47"/>
      <x:c r="CN423" s="60"/>
      <x:c r="CO423" s="58"/>
      <x:c r="CP423" s="47"/>
      <x:c r="CQ423" s="60"/>
      <x:c r="CR423" s="58"/>
      <x:c r="CS423" s="47"/>
      <x:c r="CT423" s="60"/>
      <x:c r="CU423" s="58"/>
      <x:c r="CV423" s="47"/>
      <x:c r="CW423" s="60"/>
      <x:c r="CX423" s="58"/>
      <x:c r="CY423" s="47"/>
      <x:c r="CZ423" s="60"/>
      <x:c r="DA423" s="58"/>
      <x:c r="DB423" s="47"/>
      <x:c r="DC423" s="60"/>
      <x:c r="DD423" s="58"/>
      <x:c r="DE423" s="47"/>
      <x:c r="DF423" s="60"/>
      <x:c r="DG423" s="58"/>
      <x:c r="DH423" s="47"/>
      <x:c r="DI423" s="60"/>
      <x:c r="DJ423" s="58"/>
      <x:c r="DK423" s="47"/>
      <x:c r="DL423" s="60"/>
      <x:c r="DM423" s="58"/>
      <x:c r="DN423" s="11"/>
      <x:c r="DO423" s="61"/>
      <x:c r="DP423" s="62"/>
      <x:c r="DQ423" s="11"/>
      <x:c r="DR423" s="61"/>
      <x:c r="DS423" s="62"/>
      <x:c r="DT423" s="11"/>
      <x:c r="DU423" s="61"/>
      <x:c r="DV423" s="62"/>
    </x:row>
    <x:row r="424" spans="1:126" x14ac:dyDescent="0.3">
      <x:c r="A424" s="47"/>
      <x:c r="B424" s="70"/>
      <x:c r="C424" s="70"/>
      <x:c r="D424" s="70"/>
      <x:c r="E424" s="70"/>
      <x:c r="F424" s="70"/>
      <x:c r="G424" s="70"/>
      <x:c r="H424" s="70"/>
      <x:c r="I424" s="70"/>
      <x:c r="J424" s="70"/>
      <x:c r="K424" s="190"/>
      <x:c r="L424" s="195"/>
      <x:c r="M424" s="192"/>
      <x:c r="N424" s="192"/>
      <x:c r="O424" s="69"/>
      <x:c r="P424" s="47"/>
      <x:c r="Q424" s="60"/>
      <x:c r="R424" s="58"/>
      <x:c r="S424" s="47"/>
      <x:c r="T424" s="60"/>
      <x:c r="U424" s="58"/>
      <x:c r="V424" s="47"/>
      <x:c r="W424" s="60"/>
      <x:c r="X424" s="58"/>
      <x:c r="Y424" s="47"/>
      <x:c r="Z424" s="60"/>
      <x:c r="AA424" s="58"/>
      <x:c r="AB424" s="47"/>
      <x:c r="AC424" s="60"/>
      <x:c r="AD424" s="58"/>
      <x:c r="AE424" s="47"/>
      <x:c r="AF424" s="60"/>
      <x:c r="AG424" s="58"/>
      <x:c r="AH424" s="47"/>
      <x:c r="AI424" s="60"/>
      <x:c r="AJ424" s="58"/>
      <x:c r="AK424" s="47"/>
      <x:c r="AL424" s="60"/>
      <x:c r="AM424" s="58"/>
      <x:c r="AN424" s="47"/>
      <x:c r="AO424" s="60"/>
      <x:c r="AP424" s="58"/>
      <x:c r="AQ424" s="47"/>
      <x:c r="AR424" s="60"/>
      <x:c r="AS424" s="58"/>
      <x:c r="AT424" s="47"/>
      <x:c r="AU424" s="60"/>
      <x:c r="AV424" s="58"/>
      <x:c r="AW424" s="47"/>
      <x:c r="AX424" s="60"/>
      <x:c r="AY424" s="58"/>
      <x:c r="AZ424" s="47"/>
      <x:c r="BA424" s="60"/>
      <x:c r="BB424" s="58"/>
      <x:c r="BC424" s="47"/>
      <x:c r="BD424" s="60"/>
      <x:c r="BE424" s="58"/>
      <x:c r="BF424" s="47"/>
      <x:c r="BG424" s="60"/>
      <x:c r="BH424" s="58"/>
      <x:c r="BI424" s="47"/>
      <x:c r="BJ424" s="60"/>
      <x:c r="BK424" s="58"/>
      <x:c r="BL424" s="47"/>
      <x:c r="BM424" s="60"/>
      <x:c r="BN424" s="58"/>
      <x:c r="BO424" s="47"/>
      <x:c r="BP424" s="60"/>
      <x:c r="BQ424" s="58"/>
      <x:c r="BR424" s="47"/>
      <x:c r="BS424" s="60"/>
      <x:c r="BT424" s="58"/>
      <x:c r="BU424" s="47"/>
      <x:c r="BV424" s="60"/>
      <x:c r="BW424" s="58"/>
      <x:c r="BX424" s="47"/>
      <x:c r="BY424" s="60"/>
      <x:c r="BZ424" s="58"/>
      <x:c r="CA424" s="47"/>
      <x:c r="CB424" s="60"/>
      <x:c r="CC424" s="58"/>
      <x:c r="CD424" s="47"/>
      <x:c r="CE424" s="60"/>
      <x:c r="CF424" s="58"/>
      <x:c r="CG424" s="47"/>
      <x:c r="CH424" s="60"/>
      <x:c r="CI424" s="58"/>
      <x:c r="CJ424" s="47"/>
      <x:c r="CK424" s="60"/>
      <x:c r="CL424" s="58"/>
      <x:c r="CM424" s="47"/>
      <x:c r="CN424" s="60"/>
      <x:c r="CO424" s="58"/>
      <x:c r="CP424" s="47"/>
      <x:c r="CQ424" s="60"/>
      <x:c r="CR424" s="58"/>
      <x:c r="CS424" s="47"/>
      <x:c r="CT424" s="60"/>
      <x:c r="CU424" s="58"/>
      <x:c r="CV424" s="47"/>
      <x:c r="CW424" s="60"/>
      <x:c r="CX424" s="58"/>
      <x:c r="CY424" s="47"/>
      <x:c r="CZ424" s="60"/>
      <x:c r="DA424" s="58"/>
      <x:c r="DB424" s="47"/>
      <x:c r="DC424" s="60"/>
      <x:c r="DD424" s="58"/>
      <x:c r="DE424" s="47"/>
      <x:c r="DF424" s="60"/>
      <x:c r="DG424" s="58"/>
      <x:c r="DH424" s="47"/>
      <x:c r="DI424" s="60"/>
      <x:c r="DJ424" s="58"/>
      <x:c r="DK424" s="47"/>
      <x:c r="DL424" s="60"/>
      <x:c r="DM424" s="58"/>
      <x:c r="DN424" s="11"/>
      <x:c r="DO424" s="61"/>
      <x:c r="DP424" s="62"/>
      <x:c r="DQ424" s="11"/>
      <x:c r="DR424" s="61"/>
      <x:c r="DS424" s="62"/>
      <x:c r="DT424" s="11"/>
      <x:c r="DU424" s="61"/>
      <x:c r="DV424" s="62"/>
    </x:row>
    <x:row r="425" spans="1:126" x14ac:dyDescent="0.3">
      <x:c r="A425" s="47"/>
      <x:c r="B425" s="70"/>
      <x:c r="C425" s="70"/>
      <x:c r="D425" s="70"/>
      <x:c r="E425" s="70"/>
      <x:c r="F425" s="70"/>
      <x:c r="G425" s="70"/>
      <x:c r="H425" s="70"/>
      <x:c r="I425" s="70"/>
      <x:c r="J425" s="70"/>
      <x:c r="K425" s="190"/>
      <x:c r="L425" s="195"/>
      <x:c r="M425" s="192"/>
      <x:c r="N425" s="192"/>
      <x:c r="O425" s="69"/>
      <x:c r="P425" s="47"/>
      <x:c r="Q425" s="60"/>
      <x:c r="R425" s="58"/>
      <x:c r="S425" s="47"/>
      <x:c r="T425" s="60"/>
      <x:c r="U425" s="58"/>
      <x:c r="V425" s="47"/>
      <x:c r="W425" s="60"/>
      <x:c r="X425" s="58"/>
      <x:c r="Y425" s="47"/>
      <x:c r="Z425" s="60"/>
      <x:c r="AA425" s="58"/>
      <x:c r="AB425" s="47"/>
      <x:c r="AC425" s="60"/>
      <x:c r="AD425" s="58"/>
      <x:c r="AE425" s="47"/>
      <x:c r="AF425" s="60"/>
      <x:c r="AG425" s="58"/>
      <x:c r="AH425" s="47"/>
      <x:c r="AI425" s="60"/>
      <x:c r="AJ425" s="58"/>
      <x:c r="AK425" s="47"/>
      <x:c r="AL425" s="60"/>
      <x:c r="AM425" s="58"/>
      <x:c r="AN425" s="47"/>
      <x:c r="AO425" s="60"/>
      <x:c r="AP425" s="58"/>
      <x:c r="AQ425" s="47"/>
      <x:c r="AR425" s="60"/>
      <x:c r="AS425" s="58"/>
      <x:c r="AT425" s="47"/>
      <x:c r="AU425" s="60"/>
      <x:c r="AV425" s="58"/>
      <x:c r="AW425" s="47"/>
      <x:c r="AX425" s="60"/>
      <x:c r="AY425" s="58"/>
      <x:c r="AZ425" s="47"/>
      <x:c r="BA425" s="60"/>
      <x:c r="BB425" s="58"/>
      <x:c r="BC425" s="47"/>
      <x:c r="BD425" s="60"/>
      <x:c r="BE425" s="58"/>
      <x:c r="BF425" s="47"/>
      <x:c r="BG425" s="60"/>
      <x:c r="BH425" s="58"/>
      <x:c r="BI425" s="47"/>
      <x:c r="BJ425" s="60"/>
      <x:c r="BK425" s="58"/>
      <x:c r="BL425" s="47"/>
      <x:c r="BM425" s="60"/>
      <x:c r="BN425" s="58"/>
      <x:c r="BO425" s="47"/>
      <x:c r="BP425" s="60"/>
      <x:c r="BQ425" s="58"/>
      <x:c r="BR425" s="47"/>
      <x:c r="BS425" s="60"/>
      <x:c r="BT425" s="58"/>
      <x:c r="BU425" s="47"/>
      <x:c r="BV425" s="60"/>
      <x:c r="BW425" s="58"/>
      <x:c r="BX425" s="47"/>
      <x:c r="BY425" s="60"/>
      <x:c r="BZ425" s="58"/>
      <x:c r="CA425" s="47"/>
      <x:c r="CB425" s="60"/>
      <x:c r="CC425" s="58"/>
      <x:c r="CD425" s="47"/>
      <x:c r="CE425" s="60"/>
      <x:c r="CF425" s="58"/>
      <x:c r="CG425" s="47"/>
      <x:c r="CH425" s="60"/>
      <x:c r="CI425" s="58"/>
      <x:c r="CJ425" s="47"/>
      <x:c r="CK425" s="60"/>
      <x:c r="CL425" s="58"/>
      <x:c r="CM425" s="47"/>
      <x:c r="CN425" s="60"/>
      <x:c r="CO425" s="58"/>
      <x:c r="CP425" s="47"/>
      <x:c r="CQ425" s="60"/>
      <x:c r="CR425" s="58"/>
      <x:c r="CS425" s="47"/>
      <x:c r="CT425" s="60"/>
      <x:c r="CU425" s="58"/>
      <x:c r="CV425" s="47"/>
      <x:c r="CW425" s="60"/>
      <x:c r="CX425" s="58"/>
      <x:c r="CY425" s="47"/>
      <x:c r="CZ425" s="60"/>
      <x:c r="DA425" s="58"/>
      <x:c r="DB425" s="47"/>
      <x:c r="DC425" s="60"/>
      <x:c r="DD425" s="58"/>
      <x:c r="DE425" s="47"/>
      <x:c r="DF425" s="60"/>
      <x:c r="DG425" s="58"/>
      <x:c r="DH425" s="47"/>
      <x:c r="DI425" s="60"/>
      <x:c r="DJ425" s="58"/>
      <x:c r="DK425" s="47"/>
      <x:c r="DL425" s="60"/>
      <x:c r="DM425" s="58"/>
      <x:c r="DN425" s="11"/>
      <x:c r="DO425" s="61"/>
      <x:c r="DP425" s="62"/>
      <x:c r="DQ425" s="11"/>
      <x:c r="DR425" s="61"/>
      <x:c r="DS425" s="62"/>
      <x:c r="DT425" s="11"/>
      <x:c r="DU425" s="61"/>
      <x:c r="DV425" s="62"/>
    </x:row>
    <x:row r="426" spans="1:126" x14ac:dyDescent="0.3">
      <x:c r="A426" s="47"/>
      <x:c r="B426" s="70"/>
      <x:c r="C426" s="70"/>
      <x:c r="D426" s="70"/>
      <x:c r="E426" s="70"/>
      <x:c r="F426" s="70"/>
      <x:c r="G426" s="70"/>
      <x:c r="H426" s="70"/>
      <x:c r="I426" s="70"/>
      <x:c r="J426" s="70"/>
      <x:c r="K426" s="190"/>
      <x:c r="L426" s="195"/>
      <x:c r="M426" s="192"/>
      <x:c r="N426" s="192"/>
      <x:c r="O426" s="69"/>
      <x:c r="P426" s="47"/>
      <x:c r="Q426" s="60"/>
      <x:c r="R426" s="58"/>
      <x:c r="S426" s="47"/>
      <x:c r="T426" s="60"/>
      <x:c r="U426" s="58"/>
      <x:c r="V426" s="47"/>
      <x:c r="W426" s="60"/>
      <x:c r="X426" s="58"/>
      <x:c r="Y426" s="47"/>
      <x:c r="Z426" s="60"/>
      <x:c r="AA426" s="58"/>
      <x:c r="AB426" s="47"/>
      <x:c r="AC426" s="60"/>
      <x:c r="AD426" s="58"/>
      <x:c r="AE426" s="47"/>
      <x:c r="AF426" s="60"/>
      <x:c r="AG426" s="58"/>
      <x:c r="AH426" s="47"/>
      <x:c r="AI426" s="60"/>
      <x:c r="AJ426" s="58"/>
      <x:c r="AK426" s="47"/>
      <x:c r="AL426" s="60"/>
      <x:c r="AM426" s="58"/>
      <x:c r="AN426" s="47"/>
      <x:c r="AO426" s="60"/>
      <x:c r="AP426" s="58"/>
      <x:c r="AQ426" s="47"/>
      <x:c r="AR426" s="60"/>
      <x:c r="AS426" s="58"/>
      <x:c r="AT426" s="47"/>
      <x:c r="AU426" s="60"/>
      <x:c r="AV426" s="58"/>
      <x:c r="AW426" s="47"/>
      <x:c r="AX426" s="60"/>
      <x:c r="AY426" s="58"/>
      <x:c r="AZ426" s="47"/>
      <x:c r="BA426" s="60"/>
      <x:c r="BB426" s="58"/>
      <x:c r="BC426" s="47"/>
      <x:c r="BD426" s="60"/>
      <x:c r="BE426" s="58"/>
      <x:c r="BF426" s="47"/>
      <x:c r="BG426" s="60"/>
      <x:c r="BH426" s="58"/>
      <x:c r="BI426" s="47"/>
      <x:c r="BJ426" s="60"/>
      <x:c r="BK426" s="58"/>
      <x:c r="BL426" s="47"/>
      <x:c r="BM426" s="60"/>
      <x:c r="BN426" s="58"/>
      <x:c r="BO426" s="47"/>
      <x:c r="BP426" s="60"/>
      <x:c r="BQ426" s="58"/>
      <x:c r="BR426" s="47"/>
      <x:c r="BS426" s="60"/>
      <x:c r="BT426" s="58"/>
      <x:c r="BU426" s="47"/>
      <x:c r="BV426" s="60"/>
      <x:c r="BW426" s="58"/>
      <x:c r="BX426" s="47"/>
      <x:c r="BY426" s="60"/>
      <x:c r="BZ426" s="58"/>
      <x:c r="CA426" s="47"/>
      <x:c r="CB426" s="60"/>
      <x:c r="CC426" s="58"/>
      <x:c r="CD426" s="47"/>
      <x:c r="CE426" s="60"/>
      <x:c r="CF426" s="58"/>
      <x:c r="CG426" s="47"/>
      <x:c r="CH426" s="60"/>
      <x:c r="CI426" s="58"/>
      <x:c r="CJ426" s="47"/>
      <x:c r="CK426" s="60"/>
      <x:c r="CL426" s="58"/>
      <x:c r="CM426" s="47"/>
      <x:c r="CN426" s="60"/>
      <x:c r="CO426" s="58"/>
      <x:c r="CP426" s="47"/>
      <x:c r="CQ426" s="60"/>
      <x:c r="CR426" s="58"/>
      <x:c r="CS426" s="47"/>
      <x:c r="CT426" s="60"/>
      <x:c r="CU426" s="58"/>
      <x:c r="CV426" s="47"/>
      <x:c r="CW426" s="60"/>
      <x:c r="CX426" s="58"/>
      <x:c r="CY426" s="47"/>
      <x:c r="CZ426" s="60"/>
      <x:c r="DA426" s="58"/>
      <x:c r="DB426" s="47"/>
      <x:c r="DC426" s="60"/>
      <x:c r="DD426" s="58"/>
      <x:c r="DE426" s="47"/>
      <x:c r="DF426" s="60"/>
      <x:c r="DG426" s="58"/>
      <x:c r="DH426" s="47"/>
      <x:c r="DI426" s="60"/>
      <x:c r="DJ426" s="58"/>
      <x:c r="DK426" s="47"/>
      <x:c r="DL426" s="60"/>
      <x:c r="DM426" s="58"/>
      <x:c r="DN426" s="11"/>
      <x:c r="DO426" s="61"/>
      <x:c r="DP426" s="62"/>
      <x:c r="DQ426" s="11"/>
      <x:c r="DR426" s="61"/>
      <x:c r="DS426" s="62"/>
      <x:c r="DT426" s="11"/>
      <x:c r="DU426" s="61"/>
      <x:c r="DV426" s="62"/>
    </x:row>
    <x:row r="427" spans="1:126" x14ac:dyDescent="0.3">
      <x:c r="A427" s="47"/>
      <x:c r="B427" s="70"/>
      <x:c r="C427" s="70"/>
      <x:c r="D427" s="70"/>
      <x:c r="E427" s="70"/>
      <x:c r="F427" s="70"/>
      <x:c r="G427" s="70"/>
      <x:c r="H427" s="70"/>
      <x:c r="I427" s="70"/>
      <x:c r="J427" s="70"/>
      <x:c r="K427" s="190"/>
      <x:c r="L427" s="195"/>
      <x:c r="M427" s="192"/>
      <x:c r="N427" s="192"/>
      <x:c r="O427" s="69"/>
      <x:c r="P427" s="47"/>
      <x:c r="Q427" s="60"/>
      <x:c r="R427" s="58"/>
      <x:c r="S427" s="47"/>
      <x:c r="T427" s="60"/>
      <x:c r="U427" s="58"/>
      <x:c r="V427" s="47"/>
      <x:c r="W427" s="60"/>
      <x:c r="X427" s="58"/>
      <x:c r="Y427" s="47"/>
      <x:c r="Z427" s="60"/>
      <x:c r="AA427" s="58"/>
      <x:c r="AB427" s="47"/>
      <x:c r="AC427" s="60"/>
      <x:c r="AD427" s="58"/>
      <x:c r="AE427" s="47"/>
      <x:c r="AF427" s="60"/>
      <x:c r="AG427" s="58"/>
      <x:c r="AH427" s="47"/>
      <x:c r="AI427" s="60"/>
      <x:c r="AJ427" s="58"/>
      <x:c r="AK427" s="47"/>
      <x:c r="AL427" s="60"/>
      <x:c r="AM427" s="58"/>
      <x:c r="AN427" s="47"/>
      <x:c r="AO427" s="60"/>
      <x:c r="AP427" s="58"/>
      <x:c r="AQ427" s="47"/>
      <x:c r="AR427" s="60"/>
      <x:c r="AS427" s="58"/>
      <x:c r="AT427" s="47"/>
      <x:c r="AU427" s="60"/>
      <x:c r="AV427" s="58"/>
      <x:c r="AW427" s="47"/>
      <x:c r="AX427" s="60"/>
      <x:c r="AY427" s="58"/>
      <x:c r="AZ427" s="47"/>
      <x:c r="BA427" s="60"/>
      <x:c r="BB427" s="58"/>
      <x:c r="BC427" s="47"/>
      <x:c r="BD427" s="60"/>
      <x:c r="BE427" s="58"/>
      <x:c r="BF427" s="47"/>
      <x:c r="BG427" s="60"/>
      <x:c r="BH427" s="58"/>
      <x:c r="BI427" s="47"/>
      <x:c r="BJ427" s="60"/>
      <x:c r="BK427" s="58"/>
      <x:c r="BL427" s="47"/>
      <x:c r="BM427" s="60"/>
      <x:c r="BN427" s="58"/>
      <x:c r="BO427" s="47"/>
      <x:c r="BP427" s="60"/>
      <x:c r="BQ427" s="58"/>
      <x:c r="BR427" s="47"/>
      <x:c r="BS427" s="60"/>
      <x:c r="BT427" s="58"/>
      <x:c r="BU427" s="47"/>
      <x:c r="BV427" s="60"/>
      <x:c r="BW427" s="58"/>
      <x:c r="BX427" s="47"/>
      <x:c r="BY427" s="60"/>
      <x:c r="BZ427" s="58"/>
      <x:c r="CA427" s="47"/>
      <x:c r="CB427" s="60"/>
      <x:c r="CC427" s="58"/>
      <x:c r="CD427" s="47"/>
      <x:c r="CE427" s="60"/>
      <x:c r="CF427" s="58"/>
      <x:c r="CG427" s="47"/>
      <x:c r="CH427" s="60"/>
      <x:c r="CI427" s="58"/>
      <x:c r="CJ427" s="47"/>
      <x:c r="CK427" s="60"/>
      <x:c r="CL427" s="58"/>
      <x:c r="CM427" s="47"/>
      <x:c r="CN427" s="60"/>
      <x:c r="CO427" s="58"/>
      <x:c r="CP427" s="47"/>
      <x:c r="CQ427" s="60"/>
      <x:c r="CR427" s="58"/>
      <x:c r="CS427" s="47"/>
      <x:c r="CT427" s="60"/>
      <x:c r="CU427" s="58"/>
      <x:c r="CV427" s="47"/>
      <x:c r="CW427" s="60"/>
      <x:c r="CX427" s="58"/>
      <x:c r="CY427" s="47"/>
      <x:c r="CZ427" s="60"/>
      <x:c r="DA427" s="58"/>
      <x:c r="DB427" s="47"/>
      <x:c r="DC427" s="60"/>
      <x:c r="DD427" s="58"/>
      <x:c r="DE427" s="47"/>
      <x:c r="DF427" s="60"/>
      <x:c r="DG427" s="58"/>
      <x:c r="DH427" s="47"/>
      <x:c r="DI427" s="60"/>
      <x:c r="DJ427" s="58"/>
      <x:c r="DK427" s="47"/>
      <x:c r="DL427" s="60"/>
      <x:c r="DM427" s="58"/>
      <x:c r="DN427" s="11"/>
      <x:c r="DO427" s="61"/>
      <x:c r="DP427" s="62"/>
      <x:c r="DQ427" s="11"/>
      <x:c r="DR427" s="61"/>
      <x:c r="DS427" s="62"/>
      <x:c r="DT427" s="11"/>
      <x:c r="DU427" s="61"/>
      <x:c r="DV427" s="62"/>
    </x:row>
    <x:row r="428" spans="1:126" x14ac:dyDescent="0.3">
      <x:c r="A428" s="47"/>
      <x:c r="B428" s="70"/>
      <x:c r="C428" s="70"/>
      <x:c r="D428" s="70"/>
      <x:c r="E428" s="70"/>
      <x:c r="F428" s="70"/>
      <x:c r="G428" s="70"/>
      <x:c r="H428" s="70"/>
      <x:c r="I428" s="70"/>
      <x:c r="J428" s="70"/>
      <x:c r="K428" s="190"/>
      <x:c r="L428" s="195"/>
      <x:c r="M428" s="192"/>
      <x:c r="N428" s="192"/>
      <x:c r="O428" s="69"/>
      <x:c r="P428" s="47"/>
      <x:c r="Q428" s="60"/>
      <x:c r="R428" s="58"/>
      <x:c r="S428" s="47"/>
      <x:c r="T428" s="60"/>
      <x:c r="U428" s="58"/>
      <x:c r="V428" s="47"/>
      <x:c r="W428" s="60"/>
      <x:c r="X428" s="58"/>
      <x:c r="Y428" s="47"/>
      <x:c r="Z428" s="60"/>
      <x:c r="AA428" s="58"/>
      <x:c r="AB428" s="47"/>
      <x:c r="AC428" s="60"/>
      <x:c r="AD428" s="58"/>
      <x:c r="AE428" s="47"/>
      <x:c r="AF428" s="60"/>
      <x:c r="AG428" s="58"/>
      <x:c r="AH428" s="47"/>
      <x:c r="AI428" s="60"/>
      <x:c r="AJ428" s="58"/>
      <x:c r="AK428" s="47"/>
      <x:c r="AL428" s="60"/>
      <x:c r="AM428" s="58"/>
      <x:c r="AN428" s="47"/>
      <x:c r="AO428" s="60"/>
      <x:c r="AP428" s="58"/>
      <x:c r="AQ428" s="47"/>
      <x:c r="AR428" s="60"/>
      <x:c r="AS428" s="58"/>
      <x:c r="AT428" s="47"/>
      <x:c r="AU428" s="60"/>
      <x:c r="AV428" s="58"/>
      <x:c r="AW428" s="47"/>
      <x:c r="AX428" s="60"/>
      <x:c r="AY428" s="58"/>
      <x:c r="AZ428" s="47"/>
      <x:c r="BA428" s="60"/>
      <x:c r="BB428" s="58"/>
      <x:c r="BC428" s="47"/>
      <x:c r="BD428" s="60"/>
      <x:c r="BE428" s="58"/>
      <x:c r="BF428" s="47"/>
      <x:c r="BG428" s="60"/>
      <x:c r="BH428" s="58"/>
      <x:c r="BI428" s="47"/>
      <x:c r="BJ428" s="60"/>
      <x:c r="BK428" s="58"/>
      <x:c r="BL428" s="47"/>
      <x:c r="BM428" s="60"/>
      <x:c r="BN428" s="58"/>
      <x:c r="BO428" s="47"/>
      <x:c r="BP428" s="60"/>
      <x:c r="BQ428" s="58"/>
      <x:c r="BR428" s="47"/>
      <x:c r="BS428" s="60"/>
      <x:c r="BT428" s="58"/>
      <x:c r="BU428" s="47"/>
      <x:c r="BV428" s="60"/>
      <x:c r="BW428" s="58"/>
      <x:c r="BX428" s="47"/>
      <x:c r="BY428" s="60"/>
      <x:c r="BZ428" s="58"/>
      <x:c r="CA428" s="47"/>
      <x:c r="CB428" s="60"/>
      <x:c r="CC428" s="58"/>
      <x:c r="CD428" s="47"/>
      <x:c r="CE428" s="60"/>
      <x:c r="CF428" s="58"/>
      <x:c r="CG428" s="47"/>
      <x:c r="CH428" s="60"/>
      <x:c r="CI428" s="58"/>
      <x:c r="CJ428" s="47"/>
      <x:c r="CK428" s="60"/>
      <x:c r="CL428" s="58"/>
      <x:c r="CM428" s="47"/>
      <x:c r="CN428" s="60"/>
      <x:c r="CO428" s="58"/>
      <x:c r="CP428" s="47"/>
      <x:c r="CQ428" s="60"/>
      <x:c r="CR428" s="58"/>
      <x:c r="CS428" s="47"/>
      <x:c r="CT428" s="60"/>
      <x:c r="CU428" s="58"/>
      <x:c r="CV428" s="47"/>
      <x:c r="CW428" s="60"/>
      <x:c r="CX428" s="58"/>
      <x:c r="CY428" s="47"/>
      <x:c r="CZ428" s="60"/>
      <x:c r="DA428" s="58"/>
      <x:c r="DB428" s="47"/>
      <x:c r="DC428" s="60"/>
      <x:c r="DD428" s="58"/>
      <x:c r="DE428" s="47"/>
      <x:c r="DF428" s="60"/>
      <x:c r="DG428" s="58"/>
      <x:c r="DH428" s="47"/>
      <x:c r="DI428" s="60"/>
      <x:c r="DJ428" s="58"/>
      <x:c r="DK428" s="47"/>
      <x:c r="DL428" s="60"/>
      <x:c r="DM428" s="58"/>
      <x:c r="DN428" s="11"/>
      <x:c r="DO428" s="61"/>
      <x:c r="DP428" s="62"/>
      <x:c r="DQ428" s="11"/>
      <x:c r="DR428" s="61"/>
      <x:c r="DS428" s="62"/>
      <x:c r="DT428" s="11"/>
      <x:c r="DU428" s="61"/>
      <x:c r="DV428" s="62"/>
    </x:row>
    <x:row r="429" spans="1:126" x14ac:dyDescent="0.3">
      <x:c r="A429" s="47"/>
      <x:c r="B429" s="70"/>
      <x:c r="C429" s="70"/>
      <x:c r="D429" s="70"/>
      <x:c r="E429" s="70"/>
      <x:c r="F429" s="70"/>
      <x:c r="G429" s="70"/>
      <x:c r="H429" s="70"/>
      <x:c r="I429" s="70"/>
      <x:c r="J429" s="70"/>
      <x:c r="K429" s="190"/>
      <x:c r="L429" s="195"/>
      <x:c r="M429" s="192"/>
      <x:c r="N429" s="192"/>
      <x:c r="O429" s="69"/>
      <x:c r="P429" s="47"/>
      <x:c r="Q429" s="60"/>
      <x:c r="R429" s="58"/>
      <x:c r="S429" s="47"/>
      <x:c r="T429" s="60"/>
      <x:c r="U429" s="58"/>
      <x:c r="V429" s="47"/>
      <x:c r="W429" s="60"/>
      <x:c r="X429" s="58"/>
      <x:c r="Y429" s="47"/>
      <x:c r="Z429" s="60"/>
      <x:c r="AA429" s="58"/>
      <x:c r="AB429" s="47"/>
      <x:c r="AC429" s="60"/>
      <x:c r="AD429" s="58"/>
      <x:c r="AE429" s="47"/>
      <x:c r="AF429" s="60"/>
      <x:c r="AG429" s="58"/>
      <x:c r="AH429" s="47"/>
      <x:c r="AI429" s="60"/>
      <x:c r="AJ429" s="58"/>
      <x:c r="AK429" s="47"/>
      <x:c r="AL429" s="60"/>
      <x:c r="AM429" s="58"/>
      <x:c r="AN429" s="47"/>
      <x:c r="AO429" s="60"/>
      <x:c r="AP429" s="58"/>
      <x:c r="AQ429" s="47"/>
      <x:c r="AR429" s="60"/>
      <x:c r="AS429" s="58"/>
      <x:c r="AT429" s="47"/>
      <x:c r="AU429" s="60"/>
      <x:c r="AV429" s="58"/>
      <x:c r="AW429" s="47"/>
      <x:c r="AX429" s="60"/>
      <x:c r="AY429" s="58"/>
      <x:c r="AZ429" s="47"/>
      <x:c r="BA429" s="60"/>
      <x:c r="BB429" s="58"/>
      <x:c r="BC429" s="47"/>
      <x:c r="BD429" s="60"/>
      <x:c r="BE429" s="58"/>
      <x:c r="BF429" s="47"/>
      <x:c r="BG429" s="60"/>
      <x:c r="BH429" s="58"/>
      <x:c r="BI429" s="47"/>
      <x:c r="BJ429" s="60"/>
      <x:c r="BK429" s="58"/>
      <x:c r="BL429" s="47"/>
      <x:c r="BM429" s="60"/>
      <x:c r="BN429" s="58"/>
      <x:c r="BO429" s="47"/>
      <x:c r="BP429" s="60"/>
      <x:c r="BQ429" s="58"/>
      <x:c r="BR429" s="47"/>
      <x:c r="BS429" s="60"/>
      <x:c r="BT429" s="58"/>
      <x:c r="BU429" s="47"/>
      <x:c r="BV429" s="60"/>
      <x:c r="BW429" s="58"/>
      <x:c r="BX429" s="47"/>
      <x:c r="BY429" s="60"/>
      <x:c r="BZ429" s="58"/>
      <x:c r="CA429" s="47"/>
      <x:c r="CB429" s="60"/>
      <x:c r="CC429" s="58"/>
      <x:c r="CD429" s="47"/>
      <x:c r="CE429" s="60"/>
      <x:c r="CF429" s="58"/>
      <x:c r="CG429" s="47"/>
      <x:c r="CH429" s="60"/>
      <x:c r="CI429" s="58"/>
      <x:c r="CJ429" s="47"/>
      <x:c r="CK429" s="60"/>
      <x:c r="CL429" s="58"/>
      <x:c r="CM429" s="47"/>
      <x:c r="CN429" s="60"/>
      <x:c r="CO429" s="58"/>
      <x:c r="CP429" s="47"/>
      <x:c r="CQ429" s="60"/>
      <x:c r="CR429" s="58"/>
      <x:c r="CS429" s="47"/>
      <x:c r="CT429" s="60"/>
      <x:c r="CU429" s="58"/>
      <x:c r="CV429" s="47"/>
      <x:c r="CW429" s="60"/>
      <x:c r="CX429" s="58"/>
      <x:c r="CY429" s="47"/>
      <x:c r="CZ429" s="60"/>
      <x:c r="DA429" s="58"/>
      <x:c r="DB429" s="47"/>
      <x:c r="DC429" s="60"/>
      <x:c r="DD429" s="58"/>
      <x:c r="DE429" s="47"/>
      <x:c r="DF429" s="60"/>
      <x:c r="DG429" s="58"/>
      <x:c r="DH429" s="47"/>
      <x:c r="DI429" s="60"/>
      <x:c r="DJ429" s="58"/>
      <x:c r="DK429" s="47"/>
      <x:c r="DL429" s="60"/>
      <x:c r="DM429" s="58"/>
      <x:c r="DN429" s="11"/>
      <x:c r="DO429" s="61"/>
      <x:c r="DP429" s="62"/>
      <x:c r="DQ429" s="11"/>
      <x:c r="DR429" s="61"/>
      <x:c r="DS429" s="62"/>
      <x:c r="DT429" s="11"/>
      <x:c r="DU429" s="61"/>
      <x:c r="DV429" s="62"/>
    </x:row>
    <x:row r="430" spans="1:126" x14ac:dyDescent="0.3">
      <x:c r="A430" s="47"/>
      <x:c r="B430" s="70"/>
      <x:c r="C430" s="70"/>
      <x:c r="D430" s="70"/>
      <x:c r="E430" s="70"/>
      <x:c r="F430" s="70"/>
      <x:c r="G430" s="70"/>
      <x:c r="H430" s="70"/>
      <x:c r="I430" s="70"/>
      <x:c r="J430" s="70"/>
      <x:c r="K430" s="190"/>
      <x:c r="L430" s="195"/>
      <x:c r="M430" s="192"/>
      <x:c r="N430" s="192"/>
      <x:c r="O430" s="69"/>
      <x:c r="P430" s="47"/>
      <x:c r="Q430" s="60"/>
      <x:c r="R430" s="58"/>
      <x:c r="S430" s="47"/>
      <x:c r="T430" s="60"/>
      <x:c r="U430" s="58"/>
      <x:c r="V430" s="47"/>
      <x:c r="W430" s="60"/>
      <x:c r="X430" s="58"/>
      <x:c r="Y430" s="47"/>
      <x:c r="Z430" s="60"/>
      <x:c r="AA430" s="58"/>
      <x:c r="AB430" s="47"/>
      <x:c r="AC430" s="60"/>
      <x:c r="AD430" s="58"/>
      <x:c r="AE430" s="47"/>
      <x:c r="AF430" s="60"/>
      <x:c r="AG430" s="58"/>
      <x:c r="AH430" s="47"/>
      <x:c r="AI430" s="60"/>
      <x:c r="AJ430" s="58"/>
      <x:c r="AK430" s="47"/>
      <x:c r="AL430" s="60"/>
      <x:c r="AM430" s="58"/>
      <x:c r="AN430" s="47"/>
      <x:c r="AO430" s="60"/>
      <x:c r="AP430" s="58"/>
      <x:c r="AQ430" s="47"/>
      <x:c r="AR430" s="60"/>
      <x:c r="AS430" s="58"/>
      <x:c r="AT430" s="47"/>
      <x:c r="AU430" s="60"/>
      <x:c r="AV430" s="58"/>
      <x:c r="AW430" s="47"/>
      <x:c r="AX430" s="60"/>
      <x:c r="AY430" s="58"/>
      <x:c r="AZ430" s="47"/>
      <x:c r="BA430" s="60"/>
      <x:c r="BB430" s="58"/>
      <x:c r="BC430" s="47"/>
      <x:c r="BD430" s="60"/>
      <x:c r="BE430" s="58"/>
      <x:c r="BF430" s="47"/>
      <x:c r="BG430" s="60"/>
      <x:c r="BH430" s="58"/>
      <x:c r="BI430" s="47"/>
      <x:c r="BJ430" s="60"/>
      <x:c r="BK430" s="58"/>
      <x:c r="BL430" s="47"/>
      <x:c r="BM430" s="60"/>
      <x:c r="BN430" s="58"/>
      <x:c r="BO430" s="47"/>
      <x:c r="BP430" s="60"/>
      <x:c r="BQ430" s="58"/>
      <x:c r="BR430" s="47"/>
      <x:c r="BS430" s="60"/>
      <x:c r="BT430" s="58"/>
      <x:c r="BU430" s="47"/>
      <x:c r="BV430" s="60"/>
      <x:c r="BW430" s="58"/>
      <x:c r="BX430" s="47"/>
      <x:c r="BY430" s="60"/>
      <x:c r="BZ430" s="58"/>
      <x:c r="CA430" s="47"/>
      <x:c r="CB430" s="60"/>
      <x:c r="CC430" s="58"/>
      <x:c r="CD430" s="47"/>
      <x:c r="CE430" s="60"/>
      <x:c r="CF430" s="58"/>
      <x:c r="CG430" s="47"/>
      <x:c r="CH430" s="60"/>
      <x:c r="CI430" s="58"/>
      <x:c r="CJ430" s="47"/>
      <x:c r="CK430" s="60"/>
      <x:c r="CL430" s="58"/>
      <x:c r="CM430" s="47"/>
      <x:c r="CN430" s="60"/>
      <x:c r="CO430" s="58"/>
      <x:c r="CP430" s="47"/>
      <x:c r="CQ430" s="60"/>
      <x:c r="CR430" s="58"/>
      <x:c r="CS430" s="47"/>
      <x:c r="CT430" s="60"/>
      <x:c r="CU430" s="58"/>
      <x:c r="CV430" s="47"/>
      <x:c r="CW430" s="60"/>
      <x:c r="CX430" s="58"/>
      <x:c r="CY430" s="47"/>
      <x:c r="CZ430" s="60"/>
      <x:c r="DA430" s="58"/>
      <x:c r="DB430" s="47"/>
      <x:c r="DC430" s="60"/>
      <x:c r="DD430" s="58"/>
      <x:c r="DE430" s="47"/>
      <x:c r="DF430" s="60"/>
      <x:c r="DG430" s="58"/>
      <x:c r="DH430" s="47"/>
      <x:c r="DI430" s="60"/>
      <x:c r="DJ430" s="58"/>
      <x:c r="DK430" s="47"/>
      <x:c r="DL430" s="60"/>
      <x:c r="DM430" s="58"/>
      <x:c r="DN430" s="11"/>
      <x:c r="DO430" s="61"/>
      <x:c r="DP430" s="62"/>
      <x:c r="DQ430" s="11"/>
      <x:c r="DR430" s="61"/>
      <x:c r="DS430" s="62"/>
      <x:c r="DT430" s="11"/>
      <x:c r="DU430" s="61"/>
      <x:c r="DV430" s="62"/>
    </x:row>
    <x:row r="431" spans="1:126" x14ac:dyDescent="0.3">
      <x:c r="A431" s="47"/>
      <x:c r="B431" s="70"/>
      <x:c r="C431" s="70"/>
      <x:c r="D431" s="70"/>
      <x:c r="E431" s="70"/>
      <x:c r="F431" s="70"/>
      <x:c r="G431" s="70"/>
      <x:c r="H431" s="70"/>
      <x:c r="I431" s="70"/>
      <x:c r="J431" s="70"/>
      <x:c r="K431" s="190"/>
      <x:c r="L431" s="195"/>
      <x:c r="M431" s="192"/>
      <x:c r="N431" s="192"/>
      <x:c r="O431" s="69"/>
      <x:c r="P431" s="47"/>
      <x:c r="Q431" s="60"/>
      <x:c r="R431" s="58"/>
      <x:c r="S431" s="47"/>
      <x:c r="T431" s="60"/>
      <x:c r="U431" s="58"/>
      <x:c r="V431" s="47"/>
      <x:c r="W431" s="60"/>
      <x:c r="X431" s="58"/>
      <x:c r="Y431" s="47"/>
      <x:c r="Z431" s="60"/>
      <x:c r="AA431" s="58"/>
      <x:c r="AB431" s="47"/>
      <x:c r="AC431" s="60"/>
      <x:c r="AD431" s="58"/>
      <x:c r="AE431" s="47"/>
      <x:c r="AF431" s="60"/>
      <x:c r="AG431" s="58"/>
      <x:c r="AH431" s="47"/>
      <x:c r="AI431" s="60"/>
      <x:c r="AJ431" s="58"/>
      <x:c r="AK431" s="47"/>
      <x:c r="AL431" s="60"/>
      <x:c r="AM431" s="58"/>
      <x:c r="AN431" s="47"/>
      <x:c r="AO431" s="60"/>
      <x:c r="AP431" s="58"/>
      <x:c r="AQ431" s="47"/>
      <x:c r="AR431" s="60"/>
      <x:c r="AS431" s="58"/>
      <x:c r="AT431" s="47"/>
      <x:c r="AU431" s="60"/>
      <x:c r="AV431" s="58"/>
      <x:c r="AW431" s="47"/>
      <x:c r="AX431" s="60"/>
      <x:c r="AY431" s="58"/>
      <x:c r="AZ431" s="47"/>
      <x:c r="BA431" s="60"/>
      <x:c r="BB431" s="58"/>
      <x:c r="BC431" s="47"/>
      <x:c r="BD431" s="60"/>
      <x:c r="BE431" s="58"/>
      <x:c r="BF431" s="47"/>
      <x:c r="BG431" s="60"/>
      <x:c r="BH431" s="58"/>
      <x:c r="BI431" s="47"/>
      <x:c r="BJ431" s="60"/>
      <x:c r="BK431" s="58"/>
      <x:c r="BL431" s="47"/>
      <x:c r="BM431" s="60"/>
      <x:c r="BN431" s="58"/>
      <x:c r="BO431" s="47"/>
      <x:c r="BP431" s="60"/>
      <x:c r="BQ431" s="58"/>
      <x:c r="BR431" s="47"/>
      <x:c r="BS431" s="60"/>
      <x:c r="BT431" s="58"/>
      <x:c r="BU431" s="47"/>
      <x:c r="BV431" s="60"/>
      <x:c r="BW431" s="58"/>
      <x:c r="BX431" s="47"/>
      <x:c r="BY431" s="60"/>
      <x:c r="BZ431" s="58"/>
      <x:c r="CA431" s="47"/>
      <x:c r="CB431" s="60"/>
      <x:c r="CC431" s="58"/>
      <x:c r="CD431" s="47"/>
      <x:c r="CE431" s="60"/>
      <x:c r="CF431" s="58"/>
      <x:c r="CG431" s="47"/>
      <x:c r="CH431" s="60"/>
      <x:c r="CI431" s="58"/>
      <x:c r="CJ431" s="47"/>
      <x:c r="CK431" s="60"/>
      <x:c r="CL431" s="58"/>
      <x:c r="CM431" s="47"/>
      <x:c r="CN431" s="60"/>
      <x:c r="CO431" s="58"/>
      <x:c r="CP431" s="47"/>
      <x:c r="CQ431" s="60"/>
      <x:c r="CR431" s="58"/>
      <x:c r="CS431" s="47"/>
      <x:c r="CT431" s="60"/>
      <x:c r="CU431" s="58"/>
      <x:c r="CV431" s="47"/>
      <x:c r="CW431" s="60"/>
      <x:c r="CX431" s="58"/>
      <x:c r="CY431" s="47"/>
      <x:c r="CZ431" s="60"/>
      <x:c r="DA431" s="58"/>
      <x:c r="DB431" s="47"/>
      <x:c r="DC431" s="60"/>
      <x:c r="DD431" s="58"/>
      <x:c r="DE431" s="47"/>
      <x:c r="DF431" s="60"/>
      <x:c r="DG431" s="58"/>
      <x:c r="DH431" s="47"/>
      <x:c r="DI431" s="60"/>
      <x:c r="DJ431" s="58"/>
      <x:c r="DK431" s="47"/>
      <x:c r="DL431" s="60"/>
      <x:c r="DM431" s="58"/>
      <x:c r="DN431" s="11"/>
      <x:c r="DO431" s="61"/>
      <x:c r="DP431" s="62"/>
      <x:c r="DQ431" s="11"/>
      <x:c r="DR431" s="61"/>
      <x:c r="DS431" s="62"/>
      <x:c r="DT431" s="11"/>
      <x:c r="DU431" s="61"/>
      <x:c r="DV431" s="62"/>
    </x:row>
    <x:row r="432" spans="1:126" x14ac:dyDescent="0.3">
      <x:c r="A432" s="47"/>
      <x:c r="B432" s="70"/>
      <x:c r="C432" s="70"/>
      <x:c r="D432" s="70"/>
      <x:c r="E432" s="70"/>
      <x:c r="F432" s="70"/>
      <x:c r="G432" s="70"/>
      <x:c r="H432" s="70"/>
      <x:c r="I432" s="70"/>
      <x:c r="J432" s="70"/>
      <x:c r="K432" s="190"/>
      <x:c r="L432" s="195"/>
      <x:c r="M432" s="192"/>
      <x:c r="N432" s="192"/>
      <x:c r="O432" s="69"/>
      <x:c r="P432" s="47"/>
      <x:c r="Q432" s="60"/>
      <x:c r="R432" s="58"/>
      <x:c r="S432" s="47"/>
      <x:c r="T432" s="60"/>
      <x:c r="U432" s="58"/>
      <x:c r="V432" s="47"/>
      <x:c r="W432" s="60"/>
      <x:c r="X432" s="58"/>
      <x:c r="Y432" s="47"/>
      <x:c r="Z432" s="60"/>
      <x:c r="AA432" s="58"/>
      <x:c r="AB432" s="47"/>
      <x:c r="AC432" s="60"/>
      <x:c r="AD432" s="58"/>
      <x:c r="AE432" s="47"/>
      <x:c r="AF432" s="60"/>
      <x:c r="AG432" s="58"/>
      <x:c r="AH432" s="47"/>
      <x:c r="AI432" s="60"/>
      <x:c r="AJ432" s="58"/>
      <x:c r="AK432" s="47"/>
      <x:c r="AL432" s="60"/>
      <x:c r="AM432" s="58"/>
      <x:c r="AN432" s="47"/>
      <x:c r="AO432" s="60"/>
      <x:c r="AP432" s="58"/>
      <x:c r="AQ432" s="47"/>
      <x:c r="AR432" s="60"/>
      <x:c r="AS432" s="58"/>
      <x:c r="AT432" s="47"/>
      <x:c r="AU432" s="60"/>
      <x:c r="AV432" s="58"/>
      <x:c r="AW432" s="47"/>
      <x:c r="AX432" s="60"/>
      <x:c r="AY432" s="58"/>
      <x:c r="AZ432" s="47"/>
      <x:c r="BA432" s="60"/>
      <x:c r="BB432" s="58"/>
      <x:c r="BC432" s="47"/>
      <x:c r="BD432" s="60"/>
      <x:c r="BE432" s="58"/>
      <x:c r="BF432" s="47"/>
      <x:c r="BG432" s="60"/>
      <x:c r="BH432" s="58"/>
      <x:c r="BI432" s="47"/>
      <x:c r="BJ432" s="60"/>
      <x:c r="BK432" s="58"/>
      <x:c r="BL432" s="47"/>
      <x:c r="BM432" s="60"/>
      <x:c r="BN432" s="58"/>
      <x:c r="BO432" s="47"/>
      <x:c r="BP432" s="60"/>
      <x:c r="BQ432" s="58"/>
      <x:c r="BR432" s="47"/>
      <x:c r="BS432" s="60"/>
      <x:c r="BT432" s="58"/>
      <x:c r="BU432" s="47"/>
      <x:c r="BV432" s="60"/>
      <x:c r="BW432" s="58"/>
      <x:c r="BX432" s="47"/>
      <x:c r="BY432" s="60"/>
      <x:c r="BZ432" s="58"/>
      <x:c r="CA432" s="47"/>
      <x:c r="CB432" s="60"/>
      <x:c r="CC432" s="58"/>
      <x:c r="CD432" s="47"/>
      <x:c r="CE432" s="60"/>
      <x:c r="CF432" s="58"/>
      <x:c r="CG432" s="47"/>
      <x:c r="CH432" s="60"/>
      <x:c r="CI432" s="58"/>
      <x:c r="CJ432" s="47"/>
      <x:c r="CK432" s="60"/>
      <x:c r="CL432" s="58"/>
      <x:c r="CM432" s="47"/>
      <x:c r="CN432" s="60"/>
      <x:c r="CO432" s="58"/>
      <x:c r="CP432" s="47"/>
      <x:c r="CQ432" s="60"/>
      <x:c r="CR432" s="58"/>
      <x:c r="CS432" s="47"/>
      <x:c r="CT432" s="60"/>
      <x:c r="CU432" s="58"/>
      <x:c r="CV432" s="47"/>
      <x:c r="CW432" s="60"/>
      <x:c r="CX432" s="58"/>
      <x:c r="CY432" s="47"/>
      <x:c r="CZ432" s="60"/>
      <x:c r="DA432" s="58"/>
      <x:c r="DB432" s="47"/>
      <x:c r="DC432" s="60"/>
      <x:c r="DD432" s="58"/>
      <x:c r="DE432" s="47"/>
      <x:c r="DF432" s="60"/>
      <x:c r="DG432" s="58"/>
      <x:c r="DH432" s="47"/>
      <x:c r="DI432" s="60"/>
      <x:c r="DJ432" s="58"/>
      <x:c r="DK432" s="47"/>
      <x:c r="DL432" s="60"/>
      <x:c r="DM432" s="58"/>
      <x:c r="DN432" s="11"/>
      <x:c r="DO432" s="61"/>
      <x:c r="DP432" s="62"/>
      <x:c r="DQ432" s="11"/>
      <x:c r="DR432" s="61"/>
      <x:c r="DS432" s="62"/>
      <x:c r="DT432" s="11"/>
      <x:c r="DU432" s="61"/>
      <x:c r="DV432" s="62"/>
    </x:row>
    <x:row r="433" spans="1:126" x14ac:dyDescent="0.3">
      <x:c r="A433" s="47"/>
      <x:c r="B433" s="70"/>
      <x:c r="C433" s="70"/>
      <x:c r="D433" s="70"/>
      <x:c r="E433" s="70"/>
      <x:c r="F433" s="70"/>
      <x:c r="G433" s="70"/>
      <x:c r="H433" s="70"/>
      <x:c r="I433" s="70"/>
      <x:c r="J433" s="70"/>
      <x:c r="K433" s="190"/>
      <x:c r="L433" s="195"/>
      <x:c r="M433" s="192"/>
      <x:c r="N433" s="192"/>
      <x:c r="O433" s="69"/>
      <x:c r="P433" s="47"/>
      <x:c r="Q433" s="60"/>
      <x:c r="R433" s="58"/>
      <x:c r="S433" s="47"/>
      <x:c r="T433" s="60"/>
      <x:c r="U433" s="58"/>
      <x:c r="V433" s="47"/>
      <x:c r="W433" s="60"/>
      <x:c r="X433" s="58"/>
      <x:c r="Y433" s="47"/>
      <x:c r="Z433" s="60"/>
      <x:c r="AA433" s="58"/>
      <x:c r="AB433" s="47"/>
      <x:c r="AC433" s="60"/>
      <x:c r="AD433" s="58"/>
      <x:c r="AE433" s="47"/>
      <x:c r="AF433" s="60"/>
      <x:c r="AG433" s="58"/>
      <x:c r="AH433" s="47"/>
      <x:c r="AI433" s="60"/>
      <x:c r="AJ433" s="58"/>
      <x:c r="AK433" s="47"/>
      <x:c r="AL433" s="60"/>
      <x:c r="AM433" s="58"/>
      <x:c r="AN433" s="47"/>
      <x:c r="AO433" s="60"/>
      <x:c r="AP433" s="58"/>
      <x:c r="AQ433" s="47"/>
      <x:c r="AR433" s="60"/>
      <x:c r="AS433" s="58"/>
      <x:c r="AT433" s="47"/>
      <x:c r="AU433" s="60"/>
      <x:c r="AV433" s="58"/>
      <x:c r="AW433" s="47"/>
      <x:c r="AX433" s="60"/>
      <x:c r="AY433" s="58"/>
      <x:c r="AZ433" s="47"/>
      <x:c r="BA433" s="60"/>
      <x:c r="BB433" s="58"/>
      <x:c r="BC433" s="47"/>
      <x:c r="BD433" s="60"/>
      <x:c r="BE433" s="58"/>
      <x:c r="BF433" s="47"/>
      <x:c r="BG433" s="60"/>
      <x:c r="BH433" s="58"/>
      <x:c r="BI433" s="47"/>
      <x:c r="BJ433" s="60"/>
      <x:c r="BK433" s="58"/>
      <x:c r="BL433" s="47"/>
      <x:c r="BM433" s="60"/>
      <x:c r="BN433" s="58"/>
      <x:c r="BO433" s="47"/>
      <x:c r="BP433" s="60"/>
      <x:c r="BQ433" s="58"/>
      <x:c r="BR433" s="47"/>
      <x:c r="BS433" s="60"/>
      <x:c r="BT433" s="58"/>
      <x:c r="BU433" s="47"/>
      <x:c r="BV433" s="60"/>
      <x:c r="BW433" s="58"/>
      <x:c r="BX433" s="47"/>
      <x:c r="BY433" s="60"/>
      <x:c r="BZ433" s="58"/>
      <x:c r="CA433" s="47"/>
      <x:c r="CB433" s="60"/>
      <x:c r="CC433" s="58"/>
      <x:c r="CD433" s="47"/>
      <x:c r="CE433" s="60"/>
      <x:c r="CF433" s="58"/>
      <x:c r="CG433" s="47"/>
      <x:c r="CH433" s="60"/>
      <x:c r="CI433" s="58"/>
      <x:c r="CJ433" s="47"/>
      <x:c r="CK433" s="60"/>
      <x:c r="CL433" s="58"/>
      <x:c r="CM433" s="47"/>
      <x:c r="CN433" s="60"/>
      <x:c r="CO433" s="58"/>
      <x:c r="CP433" s="47"/>
      <x:c r="CQ433" s="60"/>
      <x:c r="CR433" s="58"/>
      <x:c r="CS433" s="47"/>
      <x:c r="CT433" s="60"/>
      <x:c r="CU433" s="58"/>
      <x:c r="CV433" s="47"/>
      <x:c r="CW433" s="60"/>
      <x:c r="CX433" s="58"/>
      <x:c r="CY433" s="47"/>
      <x:c r="CZ433" s="60"/>
      <x:c r="DA433" s="58"/>
      <x:c r="DB433" s="47"/>
      <x:c r="DC433" s="60"/>
      <x:c r="DD433" s="58"/>
      <x:c r="DE433" s="47"/>
      <x:c r="DF433" s="60"/>
      <x:c r="DG433" s="58"/>
      <x:c r="DH433" s="47"/>
      <x:c r="DI433" s="60"/>
      <x:c r="DJ433" s="58"/>
      <x:c r="DK433" s="47"/>
      <x:c r="DL433" s="60"/>
      <x:c r="DM433" s="58"/>
      <x:c r="DN433" s="11"/>
      <x:c r="DO433" s="61"/>
      <x:c r="DP433" s="62"/>
      <x:c r="DQ433" s="11"/>
      <x:c r="DR433" s="61"/>
      <x:c r="DS433" s="62"/>
      <x:c r="DT433" s="11"/>
      <x:c r="DU433" s="61"/>
      <x:c r="DV433" s="62"/>
    </x:row>
    <x:row r="434" spans="1:126" x14ac:dyDescent="0.3">
      <x:c r="A434" s="47"/>
      <x:c r="B434" s="70"/>
      <x:c r="C434" s="70"/>
      <x:c r="D434" s="70"/>
      <x:c r="E434" s="70"/>
      <x:c r="F434" s="70"/>
      <x:c r="G434" s="70"/>
      <x:c r="H434" s="70"/>
      <x:c r="I434" s="70"/>
      <x:c r="J434" s="70"/>
      <x:c r="K434" s="190"/>
      <x:c r="L434" s="195"/>
      <x:c r="M434" s="192"/>
      <x:c r="N434" s="192"/>
      <x:c r="O434" s="69"/>
      <x:c r="P434" s="47"/>
      <x:c r="Q434" s="60"/>
      <x:c r="R434" s="58"/>
      <x:c r="S434" s="47"/>
      <x:c r="T434" s="60"/>
      <x:c r="U434" s="58"/>
      <x:c r="V434" s="47"/>
      <x:c r="W434" s="60"/>
      <x:c r="X434" s="58"/>
      <x:c r="Y434" s="47"/>
      <x:c r="Z434" s="60"/>
      <x:c r="AA434" s="58"/>
      <x:c r="AB434" s="47"/>
      <x:c r="AC434" s="60"/>
      <x:c r="AD434" s="58"/>
      <x:c r="AE434" s="47"/>
      <x:c r="AF434" s="60"/>
      <x:c r="AG434" s="58"/>
      <x:c r="AH434" s="47"/>
      <x:c r="AI434" s="60"/>
      <x:c r="AJ434" s="58"/>
      <x:c r="AK434" s="47"/>
      <x:c r="AL434" s="60"/>
      <x:c r="AM434" s="58"/>
      <x:c r="AN434" s="47"/>
      <x:c r="AO434" s="60"/>
      <x:c r="AP434" s="58"/>
      <x:c r="AQ434" s="47"/>
      <x:c r="AR434" s="60"/>
      <x:c r="AS434" s="58"/>
      <x:c r="AT434" s="47"/>
      <x:c r="AU434" s="60"/>
      <x:c r="AV434" s="58"/>
      <x:c r="AW434" s="47"/>
      <x:c r="AX434" s="60"/>
      <x:c r="AY434" s="58"/>
      <x:c r="AZ434" s="47"/>
      <x:c r="BA434" s="60"/>
      <x:c r="BB434" s="58"/>
      <x:c r="BC434" s="47"/>
      <x:c r="BD434" s="60"/>
      <x:c r="BE434" s="58"/>
      <x:c r="BF434" s="47"/>
      <x:c r="BG434" s="60"/>
      <x:c r="BH434" s="58"/>
      <x:c r="BI434" s="47"/>
      <x:c r="BJ434" s="60"/>
      <x:c r="BK434" s="58"/>
      <x:c r="BL434" s="47"/>
      <x:c r="BM434" s="60"/>
      <x:c r="BN434" s="58"/>
      <x:c r="BO434" s="47"/>
      <x:c r="BP434" s="60"/>
      <x:c r="BQ434" s="58"/>
      <x:c r="BR434" s="47"/>
      <x:c r="BS434" s="60"/>
      <x:c r="BT434" s="58"/>
      <x:c r="BU434" s="47"/>
      <x:c r="BV434" s="60"/>
      <x:c r="BW434" s="58"/>
      <x:c r="BX434" s="47"/>
      <x:c r="BY434" s="60"/>
      <x:c r="BZ434" s="58"/>
      <x:c r="CA434" s="47"/>
      <x:c r="CB434" s="60"/>
      <x:c r="CC434" s="58"/>
      <x:c r="CD434" s="47"/>
      <x:c r="CE434" s="60"/>
      <x:c r="CF434" s="58"/>
      <x:c r="CG434" s="47"/>
      <x:c r="CH434" s="60"/>
      <x:c r="CI434" s="58"/>
      <x:c r="CJ434" s="47"/>
      <x:c r="CK434" s="60"/>
      <x:c r="CL434" s="58"/>
      <x:c r="CM434" s="47"/>
      <x:c r="CN434" s="60"/>
      <x:c r="CO434" s="58"/>
      <x:c r="CP434" s="47"/>
      <x:c r="CQ434" s="60"/>
      <x:c r="CR434" s="58"/>
      <x:c r="CS434" s="47"/>
      <x:c r="CT434" s="60"/>
      <x:c r="CU434" s="58"/>
      <x:c r="CV434" s="47"/>
      <x:c r="CW434" s="60"/>
      <x:c r="CX434" s="58"/>
      <x:c r="CY434" s="47"/>
      <x:c r="CZ434" s="60"/>
      <x:c r="DA434" s="58"/>
      <x:c r="DB434" s="47"/>
      <x:c r="DC434" s="60"/>
      <x:c r="DD434" s="58"/>
      <x:c r="DE434" s="47"/>
      <x:c r="DF434" s="60"/>
      <x:c r="DG434" s="58"/>
      <x:c r="DH434" s="47"/>
      <x:c r="DI434" s="60"/>
      <x:c r="DJ434" s="58"/>
      <x:c r="DK434" s="47"/>
      <x:c r="DL434" s="60"/>
      <x:c r="DM434" s="58"/>
      <x:c r="DN434" s="11"/>
      <x:c r="DO434" s="61"/>
      <x:c r="DP434" s="62"/>
      <x:c r="DQ434" s="11"/>
      <x:c r="DR434" s="61"/>
      <x:c r="DS434" s="62"/>
      <x:c r="DT434" s="11"/>
      <x:c r="DU434" s="61"/>
      <x:c r="DV434" s="62"/>
    </x:row>
    <x:row r="435" spans="1:126" x14ac:dyDescent="0.3">
      <x:c r="A435" s="47"/>
      <x:c r="B435" s="70"/>
      <x:c r="C435" s="70"/>
      <x:c r="D435" s="70"/>
      <x:c r="E435" s="70"/>
      <x:c r="F435" s="70"/>
      <x:c r="G435" s="70"/>
      <x:c r="H435" s="70"/>
      <x:c r="I435" s="70"/>
      <x:c r="J435" s="70"/>
      <x:c r="K435" s="190"/>
      <x:c r="L435" s="195"/>
      <x:c r="M435" s="192"/>
      <x:c r="N435" s="192"/>
      <x:c r="O435" s="69"/>
      <x:c r="P435" s="47"/>
      <x:c r="Q435" s="60"/>
      <x:c r="R435" s="58"/>
      <x:c r="S435" s="47"/>
      <x:c r="T435" s="60"/>
      <x:c r="U435" s="58"/>
      <x:c r="V435" s="47"/>
      <x:c r="W435" s="60"/>
      <x:c r="X435" s="58"/>
      <x:c r="Y435" s="47"/>
      <x:c r="Z435" s="60"/>
      <x:c r="AA435" s="58"/>
      <x:c r="AB435" s="47"/>
      <x:c r="AC435" s="60"/>
      <x:c r="AD435" s="58"/>
      <x:c r="AE435" s="47"/>
      <x:c r="AF435" s="60"/>
      <x:c r="AG435" s="58"/>
      <x:c r="AH435" s="47"/>
      <x:c r="AI435" s="60"/>
      <x:c r="AJ435" s="58"/>
      <x:c r="AK435" s="47"/>
      <x:c r="AL435" s="60"/>
      <x:c r="AM435" s="58"/>
      <x:c r="AN435" s="47"/>
      <x:c r="AO435" s="60"/>
      <x:c r="AP435" s="58"/>
      <x:c r="AQ435" s="47"/>
      <x:c r="AR435" s="60"/>
      <x:c r="AS435" s="58"/>
      <x:c r="AT435" s="47"/>
      <x:c r="AU435" s="60"/>
      <x:c r="AV435" s="58"/>
      <x:c r="AW435" s="47"/>
      <x:c r="AX435" s="60"/>
      <x:c r="AY435" s="58"/>
      <x:c r="AZ435" s="47"/>
      <x:c r="BA435" s="60"/>
      <x:c r="BB435" s="58"/>
      <x:c r="BC435" s="47"/>
      <x:c r="BD435" s="60"/>
      <x:c r="BE435" s="58"/>
      <x:c r="BF435" s="47"/>
      <x:c r="BG435" s="60"/>
      <x:c r="BH435" s="58"/>
      <x:c r="BI435" s="47"/>
      <x:c r="BJ435" s="60"/>
      <x:c r="BK435" s="58"/>
      <x:c r="BL435" s="47"/>
      <x:c r="BM435" s="60"/>
      <x:c r="BN435" s="58"/>
      <x:c r="BO435" s="47"/>
      <x:c r="BP435" s="60"/>
      <x:c r="BQ435" s="58"/>
      <x:c r="BR435" s="47"/>
      <x:c r="BS435" s="60"/>
      <x:c r="BT435" s="58"/>
      <x:c r="BU435" s="47"/>
      <x:c r="BV435" s="60"/>
      <x:c r="BW435" s="58"/>
      <x:c r="BX435" s="47"/>
      <x:c r="BY435" s="60"/>
      <x:c r="BZ435" s="58"/>
      <x:c r="CA435" s="47"/>
      <x:c r="CB435" s="60"/>
      <x:c r="CC435" s="58"/>
      <x:c r="CD435" s="47"/>
      <x:c r="CE435" s="60"/>
      <x:c r="CF435" s="58"/>
      <x:c r="CG435" s="47"/>
      <x:c r="CH435" s="60"/>
      <x:c r="CI435" s="58"/>
      <x:c r="CJ435" s="47"/>
      <x:c r="CK435" s="60"/>
      <x:c r="CL435" s="58"/>
      <x:c r="CM435" s="47"/>
      <x:c r="CN435" s="60"/>
      <x:c r="CO435" s="58"/>
      <x:c r="CP435" s="47"/>
      <x:c r="CQ435" s="60"/>
      <x:c r="CR435" s="58"/>
      <x:c r="CS435" s="47"/>
      <x:c r="CT435" s="60"/>
      <x:c r="CU435" s="58"/>
      <x:c r="CV435" s="47"/>
      <x:c r="CW435" s="60"/>
      <x:c r="CX435" s="58"/>
      <x:c r="CY435" s="47"/>
      <x:c r="CZ435" s="60"/>
      <x:c r="DA435" s="58"/>
      <x:c r="DB435" s="47"/>
      <x:c r="DC435" s="60"/>
      <x:c r="DD435" s="58"/>
      <x:c r="DE435" s="47"/>
      <x:c r="DF435" s="60"/>
      <x:c r="DG435" s="58"/>
      <x:c r="DH435" s="47"/>
      <x:c r="DI435" s="60"/>
      <x:c r="DJ435" s="58"/>
      <x:c r="DK435" s="47"/>
      <x:c r="DL435" s="60"/>
      <x:c r="DM435" s="58"/>
      <x:c r="DN435" s="11"/>
      <x:c r="DO435" s="61"/>
      <x:c r="DP435" s="62"/>
      <x:c r="DQ435" s="11"/>
      <x:c r="DR435" s="61"/>
      <x:c r="DS435" s="62"/>
      <x:c r="DT435" s="11"/>
      <x:c r="DU435" s="61"/>
      <x:c r="DV435" s="62"/>
    </x:row>
    <x:row r="436" spans="1:126" x14ac:dyDescent="0.3">
      <x:c r="A436" s="47"/>
      <x:c r="B436" s="70"/>
      <x:c r="C436" s="70"/>
      <x:c r="D436" s="70"/>
      <x:c r="E436" s="70"/>
      <x:c r="F436" s="70"/>
      <x:c r="G436" s="70"/>
      <x:c r="H436" s="70"/>
      <x:c r="I436" s="70"/>
      <x:c r="J436" s="70"/>
      <x:c r="K436" s="190"/>
      <x:c r="L436" s="195"/>
      <x:c r="M436" s="192"/>
      <x:c r="N436" s="192"/>
      <x:c r="O436" s="69"/>
      <x:c r="P436" s="47"/>
      <x:c r="Q436" s="60"/>
      <x:c r="R436" s="58"/>
      <x:c r="S436" s="47"/>
      <x:c r="T436" s="60"/>
      <x:c r="U436" s="58"/>
      <x:c r="V436" s="47"/>
      <x:c r="W436" s="60"/>
      <x:c r="X436" s="58"/>
      <x:c r="Y436" s="47"/>
      <x:c r="Z436" s="60"/>
      <x:c r="AA436" s="58"/>
      <x:c r="AB436" s="47"/>
      <x:c r="AC436" s="60"/>
      <x:c r="AD436" s="58"/>
      <x:c r="AE436" s="47"/>
      <x:c r="AF436" s="60"/>
      <x:c r="AG436" s="58"/>
      <x:c r="AH436" s="47"/>
      <x:c r="AI436" s="60"/>
      <x:c r="AJ436" s="58"/>
      <x:c r="AK436" s="47"/>
      <x:c r="AL436" s="60"/>
      <x:c r="AM436" s="58"/>
      <x:c r="AN436" s="47"/>
      <x:c r="AO436" s="60"/>
      <x:c r="AP436" s="58"/>
      <x:c r="AQ436" s="47"/>
      <x:c r="AR436" s="60"/>
      <x:c r="AS436" s="58"/>
      <x:c r="AT436" s="47"/>
      <x:c r="AU436" s="60"/>
      <x:c r="AV436" s="58"/>
      <x:c r="AW436" s="47"/>
      <x:c r="AX436" s="60"/>
      <x:c r="AY436" s="58"/>
      <x:c r="AZ436" s="47"/>
      <x:c r="BA436" s="60"/>
      <x:c r="BB436" s="58"/>
      <x:c r="BC436" s="47"/>
      <x:c r="BD436" s="60"/>
      <x:c r="BE436" s="58"/>
      <x:c r="BF436" s="47"/>
      <x:c r="BG436" s="60"/>
      <x:c r="BH436" s="58"/>
      <x:c r="BI436" s="47"/>
      <x:c r="BJ436" s="60"/>
      <x:c r="BK436" s="58"/>
      <x:c r="BL436" s="47"/>
      <x:c r="BM436" s="60"/>
      <x:c r="BN436" s="58"/>
      <x:c r="BO436" s="47"/>
      <x:c r="BP436" s="60"/>
      <x:c r="BQ436" s="58"/>
      <x:c r="BR436" s="47"/>
      <x:c r="BS436" s="60"/>
      <x:c r="BT436" s="58"/>
      <x:c r="BU436" s="47"/>
      <x:c r="BV436" s="60"/>
      <x:c r="BW436" s="58"/>
      <x:c r="BX436" s="47"/>
      <x:c r="BY436" s="60"/>
      <x:c r="BZ436" s="58"/>
      <x:c r="CA436" s="47"/>
      <x:c r="CB436" s="60"/>
      <x:c r="CC436" s="58"/>
      <x:c r="CD436" s="47"/>
      <x:c r="CE436" s="60"/>
      <x:c r="CF436" s="58"/>
      <x:c r="CG436" s="47"/>
      <x:c r="CH436" s="60"/>
      <x:c r="CI436" s="58"/>
      <x:c r="CJ436" s="47"/>
      <x:c r="CK436" s="60"/>
      <x:c r="CL436" s="58"/>
      <x:c r="CM436" s="47"/>
      <x:c r="CN436" s="60"/>
      <x:c r="CO436" s="58"/>
      <x:c r="CP436" s="47"/>
      <x:c r="CQ436" s="60"/>
      <x:c r="CR436" s="58"/>
      <x:c r="CS436" s="47"/>
      <x:c r="CT436" s="60"/>
      <x:c r="CU436" s="58"/>
      <x:c r="CV436" s="47"/>
      <x:c r="CW436" s="60"/>
      <x:c r="CX436" s="58"/>
      <x:c r="CY436" s="47"/>
      <x:c r="CZ436" s="60"/>
      <x:c r="DA436" s="58"/>
      <x:c r="DB436" s="47"/>
      <x:c r="DC436" s="60"/>
      <x:c r="DD436" s="58"/>
      <x:c r="DE436" s="47"/>
      <x:c r="DF436" s="60"/>
      <x:c r="DG436" s="58"/>
      <x:c r="DH436" s="47"/>
      <x:c r="DI436" s="60"/>
      <x:c r="DJ436" s="58"/>
      <x:c r="DK436" s="47"/>
      <x:c r="DL436" s="60"/>
      <x:c r="DM436" s="58"/>
      <x:c r="DN436" s="11"/>
      <x:c r="DO436" s="61"/>
      <x:c r="DP436" s="62"/>
      <x:c r="DQ436" s="11"/>
      <x:c r="DR436" s="61"/>
      <x:c r="DS436" s="62"/>
      <x:c r="DT436" s="11"/>
      <x:c r="DU436" s="61"/>
      <x:c r="DV436" s="62"/>
    </x:row>
    <x:row r="437" spans="1:126" x14ac:dyDescent="0.3">
      <x:c r="A437" s="47"/>
      <x:c r="B437" s="70"/>
      <x:c r="C437" s="70"/>
      <x:c r="D437" s="70"/>
      <x:c r="E437" s="70"/>
      <x:c r="F437" s="70"/>
      <x:c r="G437" s="70"/>
      <x:c r="H437" s="70"/>
      <x:c r="I437" s="70"/>
      <x:c r="J437" s="70"/>
      <x:c r="K437" s="190"/>
      <x:c r="L437" s="195"/>
      <x:c r="M437" s="192"/>
      <x:c r="N437" s="192"/>
      <x:c r="O437" s="69"/>
      <x:c r="P437" s="47"/>
      <x:c r="Q437" s="60"/>
      <x:c r="R437" s="58"/>
      <x:c r="S437" s="47"/>
      <x:c r="T437" s="60"/>
      <x:c r="U437" s="58"/>
      <x:c r="V437" s="47"/>
      <x:c r="W437" s="60"/>
      <x:c r="X437" s="58"/>
      <x:c r="Y437" s="47"/>
      <x:c r="Z437" s="60"/>
      <x:c r="AA437" s="58"/>
      <x:c r="AB437" s="47"/>
      <x:c r="AC437" s="60"/>
      <x:c r="AD437" s="58"/>
      <x:c r="AE437" s="47"/>
      <x:c r="AF437" s="60"/>
      <x:c r="AG437" s="58"/>
      <x:c r="AH437" s="47"/>
      <x:c r="AI437" s="60"/>
      <x:c r="AJ437" s="58"/>
      <x:c r="AK437" s="47"/>
      <x:c r="AL437" s="60"/>
      <x:c r="AM437" s="58"/>
      <x:c r="AN437" s="47"/>
      <x:c r="AO437" s="60"/>
      <x:c r="AP437" s="58"/>
      <x:c r="AQ437" s="47"/>
      <x:c r="AR437" s="60"/>
      <x:c r="AS437" s="58"/>
      <x:c r="AT437" s="47"/>
      <x:c r="AU437" s="60"/>
      <x:c r="AV437" s="58"/>
      <x:c r="AW437" s="47"/>
      <x:c r="AX437" s="60"/>
      <x:c r="AY437" s="58"/>
      <x:c r="AZ437" s="47"/>
      <x:c r="BA437" s="60"/>
      <x:c r="BB437" s="58"/>
      <x:c r="BC437" s="47"/>
      <x:c r="BD437" s="60"/>
      <x:c r="BE437" s="58"/>
      <x:c r="BF437" s="47"/>
      <x:c r="BG437" s="60"/>
      <x:c r="BH437" s="58"/>
      <x:c r="BI437" s="47"/>
      <x:c r="BJ437" s="60"/>
      <x:c r="BK437" s="58"/>
      <x:c r="BL437" s="47"/>
      <x:c r="BM437" s="60"/>
      <x:c r="BN437" s="58"/>
      <x:c r="BO437" s="47"/>
      <x:c r="BP437" s="60"/>
      <x:c r="BQ437" s="58"/>
      <x:c r="BR437" s="47"/>
      <x:c r="BS437" s="60"/>
      <x:c r="BT437" s="58"/>
      <x:c r="BU437" s="47"/>
      <x:c r="BV437" s="60"/>
      <x:c r="BW437" s="58"/>
      <x:c r="BX437" s="47"/>
      <x:c r="BY437" s="60"/>
      <x:c r="BZ437" s="58"/>
      <x:c r="CA437" s="47"/>
      <x:c r="CB437" s="60"/>
      <x:c r="CC437" s="58"/>
      <x:c r="CD437" s="47"/>
      <x:c r="CE437" s="60"/>
      <x:c r="CF437" s="58"/>
      <x:c r="CG437" s="47"/>
      <x:c r="CH437" s="60"/>
      <x:c r="CI437" s="58"/>
      <x:c r="CJ437" s="47"/>
      <x:c r="CK437" s="60"/>
      <x:c r="CL437" s="58"/>
      <x:c r="CM437" s="47"/>
      <x:c r="CN437" s="60"/>
      <x:c r="CO437" s="58"/>
      <x:c r="CP437" s="47"/>
      <x:c r="CQ437" s="60"/>
      <x:c r="CR437" s="58"/>
      <x:c r="CS437" s="47"/>
      <x:c r="CT437" s="60"/>
      <x:c r="CU437" s="58"/>
      <x:c r="CV437" s="47"/>
      <x:c r="CW437" s="60"/>
      <x:c r="CX437" s="58"/>
      <x:c r="CY437" s="47"/>
      <x:c r="CZ437" s="60"/>
      <x:c r="DA437" s="58"/>
      <x:c r="DB437" s="47"/>
      <x:c r="DC437" s="60"/>
      <x:c r="DD437" s="58"/>
      <x:c r="DE437" s="47"/>
      <x:c r="DF437" s="60"/>
      <x:c r="DG437" s="58"/>
      <x:c r="DH437" s="47"/>
      <x:c r="DI437" s="60"/>
      <x:c r="DJ437" s="58"/>
      <x:c r="DK437" s="47"/>
      <x:c r="DL437" s="60"/>
      <x:c r="DM437" s="58"/>
      <x:c r="DN437" s="11"/>
      <x:c r="DO437" s="61"/>
      <x:c r="DP437" s="62"/>
      <x:c r="DQ437" s="11"/>
      <x:c r="DR437" s="61"/>
      <x:c r="DS437" s="62"/>
      <x:c r="DT437" s="11"/>
      <x:c r="DU437" s="61"/>
      <x:c r="DV437" s="62"/>
    </x:row>
    <x:row r="438" spans="1:126" x14ac:dyDescent="0.3">
      <x:c r="A438" s="47"/>
      <x:c r="B438" s="70"/>
      <x:c r="C438" s="70"/>
      <x:c r="D438" s="70"/>
      <x:c r="E438" s="70"/>
      <x:c r="F438" s="70"/>
      <x:c r="G438" s="70"/>
      <x:c r="H438" s="70"/>
      <x:c r="I438" s="70"/>
      <x:c r="J438" s="70"/>
      <x:c r="K438" s="190"/>
      <x:c r="L438" s="195"/>
      <x:c r="M438" s="192"/>
      <x:c r="N438" s="192"/>
      <x:c r="O438" s="69"/>
      <x:c r="P438" s="47"/>
      <x:c r="Q438" s="60"/>
      <x:c r="R438" s="58"/>
      <x:c r="S438" s="47"/>
      <x:c r="T438" s="60"/>
      <x:c r="U438" s="58"/>
      <x:c r="V438" s="47"/>
      <x:c r="W438" s="60"/>
      <x:c r="X438" s="58"/>
      <x:c r="Y438" s="47"/>
      <x:c r="Z438" s="60"/>
      <x:c r="AA438" s="58"/>
      <x:c r="AB438" s="47"/>
      <x:c r="AC438" s="60"/>
      <x:c r="AD438" s="58"/>
      <x:c r="AE438" s="47"/>
      <x:c r="AF438" s="60"/>
      <x:c r="AG438" s="58"/>
      <x:c r="AH438" s="47"/>
      <x:c r="AI438" s="60"/>
      <x:c r="AJ438" s="58"/>
      <x:c r="AK438" s="47"/>
      <x:c r="AL438" s="60"/>
      <x:c r="AM438" s="58"/>
      <x:c r="AN438" s="47"/>
      <x:c r="AO438" s="60"/>
      <x:c r="AP438" s="58"/>
      <x:c r="AQ438" s="47"/>
      <x:c r="AR438" s="60"/>
      <x:c r="AS438" s="58"/>
      <x:c r="AT438" s="47"/>
      <x:c r="AU438" s="60"/>
      <x:c r="AV438" s="58"/>
      <x:c r="AW438" s="47"/>
      <x:c r="AX438" s="60"/>
      <x:c r="AY438" s="58"/>
      <x:c r="AZ438" s="47"/>
      <x:c r="BA438" s="60"/>
      <x:c r="BB438" s="58"/>
      <x:c r="BC438" s="47"/>
      <x:c r="BD438" s="60"/>
      <x:c r="BE438" s="58"/>
      <x:c r="BF438" s="47"/>
      <x:c r="BG438" s="60"/>
      <x:c r="BH438" s="58"/>
      <x:c r="BI438" s="47"/>
      <x:c r="BJ438" s="60"/>
      <x:c r="BK438" s="58"/>
      <x:c r="BL438" s="47"/>
      <x:c r="BM438" s="60"/>
      <x:c r="BN438" s="58"/>
      <x:c r="BO438" s="47"/>
      <x:c r="BP438" s="60"/>
      <x:c r="BQ438" s="58"/>
      <x:c r="BR438" s="47"/>
      <x:c r="BS438" s="60"/>
      <x:c r="BT438" s="58"/>
      <x:c r="BU438" s="47"/>
      <x:c r="BV438" s="60"/>
      <x:c r="BW438" s="58"/>
      <x:c r="BX438" s="47"/>
      <x:c r="BY438" s="60"/>
      <x:c r="BZ438" s="58"/>
      <x:c r="CA438" s="47"/>
      <x:c r="CB438" s="60"/>
      <x:c r="CC438" s="58"/>
      <x:c r="CD438" s="47"/>
      <x:c r="CE438" s="60"/>
      <x:c r="CF438" s="58"/>
      <x:c r="CG438" s="47"/>
      <x:c r="CH438" s="60"/>
      <x:c r="CI438" s="58"/>
      <x:c r="CJ438" s="47"/>
      <x:c r="CK438" s="60"/>
      <x:c r="CL438" s="58"/>
      <x:c r="CM438" s="47"/>
      <x:c r="CN438" s="60"/>
      <x:c r="CO438" s="58"/>
      <x:c r="CP438" s="47"/>
      <x:c r="CQ438" s="60"/>
      <x:c r="CR438" s="58"/>
      <x:c r="CS438" s="47"/>
      <x:c r="CT438" s="60"/>
      <x:c r="CU438" s="58"/>
      <x:c r="CV438" s="47"/>
      <x:c r="CW438" s="60"/>
      <x:c r="CX438" s="58"/>
      <x:c r="CY438" s="47"/>
      <x:c r="CZ438" s="60"/>
      <x:c r="DA438" s="58"/>
      <x:c r="DB438" s="47"/>
      <x:c r="DC438" s="60"/>
      <x:c r="DD438" s="58"/>
      <x:c r="DE438" s="47"/>
      <x:c r="DF438" s="60"/>
      <x:c r="DG438" s="58"/>
      <x:c r="DH438" s="47"/>
      <x:c r="DI438" s="60"/>
      <x:c r="DJ438" s="58"/>
      <x:c r="DK438" s="47"/>
      <x:c r="DL438" s="60"/>
      <x:c r="DM438" s="58"/>
      <x:c r="DN438" s="11"/>
      <x:c r="DO438" s="61"/>
      <x:c r="DP438" s="62"/>
      <x:c r="DQ438" s="11"/>
      <x:c r="DR438" s="61"/>
      <x:c r="DS438" s="62"/>
      <x:c r="DT438" s="11"/>
      <x:c r="DU438" s="61"/>
      <x:c r="DV438" s="62"/>
    </x:row>
    <x:row r="439" spans="1:126" x14ac:dyDescent="0.3">
      <x:c r="A439" s="47"/>
      <x:c r="B439" s="70"/>
      <x:c r="C439" s="70"/>
      <x:c r="D439" s="70"/>
      <x:c r="E439" s="70"/>
      <x:c r="F439" s="70"/>
      <x:c r="G439" s="70"/>
      <x:c r="H439" s="70"/>
      <x:c r="I439" s="70"/>
      <x:c r="J439" s="70"/>
      <x:c r="K439" s="190"/>
      <x:c r="L439" s="195"/>
      <x:c r="M439" s="192"/>
      <x:c r="N439" s="192"/>
      <x:c r="O439" s="69"/>
      <x:c r="P439" s="47"/>
      <x:c r="Q439" s="60"/>
      <x:c r="R439" s="58"/>
      <x:c r="S439" s="47"/>
      <x:c r="T439" s="60"/>
      <x:c r="U439" s="58"/>
      <x:c r="V439" s="47"/>
      <x:c r="W439" s="60"/>
      <x:c r="X439" s="58"/>
      <x:c r="Y439" s="47"/>
      <x:c r="Z439" s="60"/>
      <x:c r="AA439" s="58"/>
      <x:c r="AB439" s="47"/>
      <x:c r="AC439" s="60"/>
      <x:c r="AD439" s="58"/>
      <x:c r="AE439" s="47"/>
      <x:c r="AF439" s="60"/>
      <x:c r="AG439" s="58"/>
      <x:c r="AH439" s="47"/>
      <x:c r="AI439" s="60"/>
      <x:c r="AJ439" s="58"/>
      <x:c r="AK439" s="47"/>
      <x:c r="AL439" s="60"/>
      <x:c r="AM439" s="58"/>
      <x:c r="AN439" s="47"/>
      <x:c r="AO439" s="60"/>
      <x:c r="AP439" s="58"/>
      <x:c r="AQ439" s="47"/>
      <x:c r="AR439" s="60"/>
      <x:c r="AS439" s="58"/>
      <x:c r="AT439" s="47"/>
      <x:c r="AU439" s="60"/>
      <x:c r="AV439" s="58"/>
      <x:c r="AW439" s="47"/>
      <x:c r="AX439" s="60"/>
      <x:c r="AY439" s="58"/>
      <x:c r="AZ439" s="47"/>
      <x:c r="BA439" s="60"/>
      <x:c r="BB439" s="58"/>
      <x:c r="BC439" s="47"/>
      <x:c r="BD439" s="60"/>
      <x:c r="BE439" s="58"/>
      <x:c r="BF439" s="47"/>
      <x:c r="BG439" s="60"/>
      <x:c r="BH439" s="58"/>
      <x:c r="BI439" s="47"/>
      <x:c r="BJ439" s="60"/>
      <x:c r="BK439" s="58"/>
      <x:c r="BL439" s="47"/>
      <x:c r="BM439" s="60"/>
      <x:c r="BN439" s="58"/>
      <x:c r="BO439" s="47"/>
      <x:c r="BP439" s="60"/>
      <x:c r="BQ439" s="58"/>
      <x:c r="BR439" s="47"/>
      <x:c r="BS439" s="60"/>
      <x:c r="BT439" s="58"/>
      <x:c r="BU439" s="47"/>
      <x:c r="BV439" s="60"/>
      <x:c r="BW439" s="58"/>
      <x:c r="BX439" s="47"/>
      <x:c r="BY439" s="60"/>
      <x:c r="BZ439" s="58"/>
      <x:c r="CA439" s="47"/>
      <x:c r="CB439" s="60"/>
      <x:c r="CC439" s="58"/>
      <x:c r="CD439" s="47"/>
      <x:c r="CE439" s="60"/>
      <x:c r="CF439" s="58"/>
      <x:c r="CG439" s="47"/>
      <x:c r="CH439" s="60"/>
      <x:c r="CI439" s="58"/>
      <x:c r="CJ439" s="47"/>
      <x:c r="CK439" s="60"/>
      <x:c r="CL439" s="58"/>
      <x:c r="CM439" s="47"/>
      <x:c r="CN439" s="60"/>
      <x:c r="CO439" s="58"/>
      <x:c r="CP439" s="47"/>
      <x:c r="CQ439" s="60"/>
      <x:c r="CR439" s="58"/>
      <x:c r="CS439" s="47"/>
      <x:c r="CT439" s="60"/>
      <x:c r="CU439" s="58"/>
      <x:c r="CV439" s="47"/>
      <x:c r="CW439" s="60"/>
      <x:c r="CX439" s="58"/>
      <x:c r="CY439" s="47"/>
      <x:c r="CZ439" s="60"/>
      <x:c r="DA439" s="58"/>
      <x:c r="DB439" s="47"/>
      <x:c r="DC439" s="60"/>
      <x:c r="DD439" s="58"/>
      <x:c r="DE439" s="47"/>
      <x:c r="DF439" s="60"/>
      <x:c r="DG439" s="58"/>
      <x:c r="DH439" s="47"/>
      <x:c r="DI439" s="60"/>
      <x:c r="DJ439" s="58"/>
      <x:c r="DK439" s="47"/>
      <x:c r="DL439" s="60"/>
      <x:c r="DM439" s="58"/>
      <x:c r="DN439" s="11"/>
      <x:c r="DO439" s="61"/>
      <x:c r="DP439" s="62"/>
      <x:c r="DQ439" s="11"/>
      <x:c r="DR439" s="61"/>
      <x:c r="DS439" s="62"/>
      <x:c r="DT439" s="11"/>
      <x:c r="DU439" s="61"/>
      <x:c r="DV439" s="62"/>
    </x:row>
    <x:row r="440" spans="1:126" x14ac:dyDescent="0.3">
      <x:c r="A440" s="47"/>
      <x:c r="B440" s="70"/>
      <x:c r="C440" s="70"/>
      <x:c r="D440" s="70"/>
      <x:c r="E440" s="70"/>
      <x:c r="F440" s="70"/>
      <x:c r="G440" s="70"/>
      <x:c r="H440" s="70"/>
      <x:c r="I440" s="70"/>
      <x:c r="J440" s="70"/>
      <x:c r="K440" s="190"/>
      <x:c r="L440" s="195"/>
      <x:c r="M440" s="192"/>
      <x:c r="N440" s="192"/>
      <x:c r="O440" s="69"/>
      <x:c r="P440" s="47"/>
      <x:c r="Q440" s="60"/>
      <x:c r="R440" s="58"/>
      <x:c r="S440" s="47"/>
      <x:c r="T440" s="60"/>
      <x:c r="U440" s="58"/>
      <x:c r="V440" s="47"/>
      <x:c r="W440" s="60"/>
      <x:c r="X440" s="58"/>
      <x:c r="Y440" s="47"/>
      <x:c r="Z440" s="60"/>
      <x:c r="AA440" s="58"/>
      <x:c r="AB440" s="47"/>
      <x:c r="AC440" s="60"/>
      <x:c r="AD440" s="58"/>
      <x:c r="AE440" s="47"/>
      <x:c r="AF440" s="60"/>
      <x:c r="AG440" s="58"/>
      <x:c r="AH440" s="47"/>
      <x:c r="AI440" s="60"/>
      <x:c r="AJ440" s="58"/>
      <x:c r="AK440" s="47"/>
      <x:c r="AL440" s="60"/>
      <x:c r="AM440" s="58"/>
      <x:c r="AN440" s="47"/>
      <x:c r="AO440" s="60"/>
      <x:c r="AP440" s="58"/>
      <x:c r="AQ440" s="47"/>
      <x:c r="AR440" s="60"/>
      <x:c r="AS440" s="58"/>
      <x:c r="AT440" s="47"/>
      <x:c r="AU440" s="60"/>
      <x:c r="AV440" s="58"/>
      <x:c r="AW440" s="47"/>
      <x:c r="AX440" s="60"/>
      <x:c r="AY440" s="58"/>
      <x:c r="AZ440" s="47"/>
      <x:c r="BA440" s="60"/>
      <x:c r="BB440" s="58"/>
      <x:c r="BC440" s="47"/>
      <x:c r="BD440" s="60"/>
      <x:c r="BE440" s="58"/>
      <x:c r="BF440" s="47"/>
      <x:c r="BG440" s="60"/>
      <x:c r="BH440" s="58"/>
      <x:c r="BI440" s="47"/>
      <x:c r="BJ440" s="60"/>
      <x:c r="BK440" s="58"/>
      <x:c r="BL440" s="47"/>
      <x:c r="BM440" s="60"/>
      <x:c r="BN440" s="58"/>
      <x:c r="BO440" s="47"/>
      <x:c r="BP440" s="60"/>
      <x:c r="BQ440" s="58"/>
      <x:c r="BR440" s="47"/>
      <x:c r="BS440" s="60"/>
      <x:c r="BT440" s="58"/>
      <x:c r="BU440" s="47"/>
      <x:c r="BV440" s="60"/>
      <x:c r="BW440" s="58"/>
      <x:c r="BX440" s="47"/>
      <x:c r="BY440" s="60"/>
      <x:c r="BZ440" s="58"/>
      <x:c r="CA440" s="47"/>
      <x:c r="CB440" s="60"/>
      <x:c r="CC440" s="58"/>
      <x:c r="CD440" s="47"/>
      <x:c r="CE440" s="60"/>
      <x:c r="CF440" s="58"/>
      <x:c r="CG440" s="47"/>
      <x:c r="CH440" s="60"/>
      <x:c r="CI440" s="58"/>
      <x:c r="CJ440" s="47"/>
      <x:c r="CK440" s="60"/>
      <x:c r="CL440" s="58"/>
      <x:c r="CM440" s="47"/>
      <x:c r="CN440" s="60"/>
      <x:c r="CO440" s="58"/>
      <x:c r="CP440" s="47"/>
      <x:c r="CQ440" s="60"/>
      <x:c r="CR440" s="58"/>
      <x:c r="CS440" s="47"/>
      <x:c r="CT440" s="60"/>
      <x:c r="CU440" s="58"/>
      <x:c r="CV440" s="47"/>
      <x:c r="CW440" s="60"/>
      <x:c r="CX440" s="58"/>
      <x:c r="CY440" s="47"/>
      <x:c r="CZ440" s="60"/>
      <x:c r="DA440" s="58"/>
      <x:c r="DB440" s="47"/>
      <x:c r="DC440" s="60"/>
      <x:c r="DD440" s="58"/>
      <x:c r="DE440" s="47"/>
      <x:c r="DF440" s="60"/>
      <x:c r="DG440" s="58"/>
      <x:c r="DH440" s="47"/>
      <x:c r="DI440" s="60"/>
      <x:c r="DJ440" s="58"/>
      <x:c r="DK440" s="47"/>
      <x:c r="DL440" s="60"/>
      <x:c r="DM440" s="58"/>
      <x:c r="DN440" s="11"/>
      <x:c r="DO440" s="61"/>
      <x:c r="DP440" s="62"/>
      <x:c r="DQ440" s="11"/>
      <x:c r="DR440" s="61"/>
      <x:c r="DS440" s="62"/>
      <x:c r="DT440" s="11"/>
      <x:c r="DU440" s="61"/>
      <x:c r="DV440" s="62"/>
    </x:row>
    <x:row r="441" spans="1:126" x14ac:dyDescent="0.3">
      <x:c r="A441" s="47"/>
      <x:c r="B441" s="70"/>
      <x:c r="C441" s="70"/>
      <x:c r="D441" s="70"/>
      <x:c r="E441" s="70"/>
      <x:c r="F441" s="70"/>
      <x:c r="G441" s="70"/>
      <x:c r="H441" s="70"/>
      <x:c r="I441" s="70"/>
      <x:c r="J441" s="70"/>
      <x:c r="K441" s="190"/>
      <x:c r="L441" s="195"/>
      <x:c r="M441" s="192"/>
      <x:c r="N441" s="192"/>
      <x:c r="O441" s="69"/>
      <x:c r="P441" s="47"/>
      <x:c r="Q441" s="60"/>
      <x:c r="R441" s="58"/>
      <x:c r="S441" s="47"/>
      <x:c r="T441" s="60"/>
      <x:c r="U441" s="58"/>
      <x:c r="V441" s="47"/>
      <x:c r="W441" s="60"/>
      <x:c r="X441" s="58"/>
      <x:c r="Y441" s="47"/>
      <x:c r="Z441" s="60"/>
      <x:c r="AA441" s="58"/>
      <x:c r="AB441" s="47"/>
      <x:c r="AC441" s="60"/>
      <x:c r="AD441" s="58"/>
      <x:c r="AE441" s="47"/>
      <x:c r="AF441" s="60"/>
      <x:c r="AG441" s="58"/>
      <x:c r="AH441" s="47"/>
      <x:c r="AI441" s="60"/>
      <x:c r="AJ441" s="58"/>
      <x:c r="AK441" s="47"/>
      <x:c r="AL441" s="60"/>
      <x:c r="AM441" s="58"/>
      <x:c r="AN441" s="47"/>
      <x:c r="AO441" s="60"/>
      <x:c r="AP441" s="58"/>
      <x:c r="AQ441" s="47"/>
      <x:c r="AR441" s="60"/>
      <x:c r="AS441" s="58"/>
      <x:c r="AT441" s="47"/>
      <x:c r="AU441" s="60"/>
      <x:c r="AV441" s="58"/>
      <x:c r="AW441" s="47"/>
      <x:c r="AX441" s="60"/>
      <x:c r="AY441" s="58"/>
      <x:c r="AZ441" s="47"/>
      <x:c r="BA441" s="60"/>
      <x:c r="BB441" s="58"/>
      <x:c r="BC441" s="47"/>
      <x:c r="BD441" s="60"/>
      <x:c r="BE441" s="58"/>
      <x:c r="BF441" s="47"/>
      <x:c r="BG441" s="60"/>
      <x:c r="BH441" s="58"/>
      <x:c r="BI441" s="47"/>
      <x:c r="BJ441" s="60"/>
      <x:c r="BK441" s="58"/>
      <x:c r="BL441" s="47"/>
      <x:c r="BM441" s="60"/>
      <x:c r="BN441" s="58"/>
      <x:c r="BO441" s="47"/>
      <x:c r="BP441" s="60"/>
      <x:c r="BQ441" s="58"/>
      <x:c r="BR441" s="47"/>
      <x:c r="BS441" s="60"/>
      <x:c r="BT441" s="58"/>
      <x:c r="BU441" s="47"/>
      <x:c r="BV441" s="60"/>
      <x:c r="BW441" s="58"/>
      <x:c r="BX441" s="47"/>
      <x:c r="BY441" s="60"/>
      <x:c r="BZ441" s="58"/>
      <x:c r="CA441" s="47"/>
      <x:c r="CB441" s="60"/>
      <x:c r="CC441" s="58"/>
      <x:c r="CD441" s="47"/>
      <x:c r="CE441" s="60"/>
      <x:c r="CF441" s="58"/>
      <x:c r="CG441" s="47"/>
      <x:c r="CH441" s="60"/>
      <x:c r="CI441" s="58"/>
      <x:c r="CJ441" s="47"/>
      <x:c r="CK441" s="60"/>
      <x:c r="CL441" s="58"/>
      <x:c r="CM441" s="47"/>
      <x:c r="CN441" s="60"/>
      <x:c r="CO441" s="58"/>
      <x:c r="CP441" s="47"/>
      <x:c r="CQ441" s="60"/>
      <x:c r="CR441" s="58"/>
      <x:c r="CS441" s="47"/>
      <x:c r="CT441" s="60"/>
      <x:c r="CU441" s="58"/>
      <x:c r="CV441" s="47"/>
      <x:c r="CW441" s="60"/>
      <x:c r="CX441" s="58"/>
      <x:c r="CY441" s="47"/>
      <x:c r="CZ441" s="60"/>
      <x:c r="DA441" s="58"/>
      <x:c r="DB441" s="47"/>
      <x:c r="DC441" s="60"/>
      <x:c r="DD441" s="58"/>
      <x:c r="DE441" s="47"/>
      <x:c r="DF441" s="60"/>
      <x:c r="DG441" s="58"/>
      <x:c r="DH441" s="47"/>
      <x:c r="DI441" s="60"/>
      <x:c r="DJ441" s="58"/>
      <x:c r="DK441" s="47"/>
      <x:c r="DL441" s="60"/>
      <x:c r="DM441" s="58"/>
      <x:c r="DN441" s="11"/>
      <x:c r="DO441" s="61"/>
      <x:c r="DP441" s="62"/>
      <x:c r="DQ441" s="11"/>
      <x:c r="DR441" s="61"/>
      <x:c r="DS441" s="62"/>
      <x:c r="DT441" s="11"/>
      <x:c r="DU441" s="61"/>
      <x:c r="DV441" s="62"/>
    </x:row>
    <x:row r="442" spans="1:126" x14ac:dyDescent="0.3">
      <x:c r="A442" s="47"/>
      <x:c r="B442" s="70"/>
      <x:c r="C442" s="70"/>
      <x:c r="D442" s="70"/>
      <x:c r="E442" s="70"/>
      <x:c r="F442" s="70"/>
      <x:c r="G442" s="70"/>
      <x:c r="H442" s="70"/>
      <x:c r="I442" s="70"/>
      <x:c r="J442" s="70"/>
      <x:c r="K442" s="190"/>
      <x:c r="L442" s="195"/>
      <x:c r="M442" s="192"/>
      <x:c r="N442" s="192"/>
      <x:c r="O442" s="69"/>
      <x:c r="P442" s="47"/>
      <x:c r="Q442" s="60"/>
      <x:c r="R442" s="58"/>
      <x:c r="S442" s="47"/>
      <x:c r="T442" s="60"/>
      <x:c r="U442" s="58"/>
      <x:c r="V442" s="47"/>
      <x:c r="W442" s="60"/>
      <x:c r="X442" s="58"/>
      <x:c r="Y442" s="47"/>
      <x:c r="Z442" s="60"/>
      <x:c r="AA442" s="58"/>
      <x:c r="AB442" s="47"/>
      <x:c r="AC442" s="60"/>
      <x:c r="AD442" s="58"/>
      <x:c r="AE442" s="47"/>
      <x:c r="AF442" s="60"/>
      <x:c r="AG442" s="58"/>
      <x:c r="AH442" s="47"/>
      <x:c r="AI442" s="60"/>
      <x:c r="AJ442" s="58"/>
      <x:c r="AK442" s="47"/>
      <x:c r="AL442" s="60"/>
      <x:c r="AM442" s="58"/>
      <x:c r="AN442" s="47"/>
      <x:c r="AO442" s="60"/>
      <x:c r="AP442" s="58"/>
      <x:c r="AQ442" s="47"/>
      <x:c r="AR442" s="60"/>
      <x:c r="AS442" s="58"/>
      <x:c r="AT442" s="47"/>
      <x:c r="AU442" s="60"/>
      <x:c r="AV442" s="58"/>
      <x:c r="AW442" s="47"/>
      <x:c r="AX442" s="60"/>
      <x:c r="AY442" s="58"/>
      <x:c r="AZ442" s="47"/>
      <x:c r="BA442" s="60"/>
      <x:c r="BB442" s="58"/>
      <x:c r="BC442" s="47"/>
      <x:c r="BD442" s="60"/>
      <x:c r="BE442" s="58"/>
      <x:c r="BF442" s="47"/>
      <x:c r="BG442" s="60"/>
      <x:c r="BH442" s="58"/>
      <x:c r="BI442" s="47"/>
      <x:c r="BJ442" s="60"/>
      <x:c r="BK442" s="58"/>
      <x:c r="BL442" s="47"/>
      <x:c r="BM442" s="60"/>
      <x:c r="BN442" s="58"/>
      <x:c r="BO442" s="47"/>
      <x:c r="BP442" s="60"/>
      <x:c r="BQ442" s="58"/>
      <x:c r="BR442" s="47"/>
      <x:c r="BS442" s="60"/>
      <x:c r="BT442" s="58"/>
      <x:c r="BU442" s="47"/>
      <x:c r="BV442" s="60"/>
      <x:c r="BW442" s="58"/>
      <x:c r="BX442" s="47"/>
      <x:c r="BY442" s="60"/>
      <x:c r="BZ442" s="58"/>
      <x:c r="CA442" s="47"/>
      <x:c r="CB442" s="60"/>
      <x:c r="CC442" s="58"/>
      <x:c r="CD442" s="47"/>
      <x:c r="CE442" s="60"/>
      <x:c r="CF442" s="58"/>
      <x:c r="CG442" s="47"/>
      <x:c r="CH442" s="60"/>
      <x:c r="CI442" s="58"/>
      <x:c r="CJ442" s="47"/>
      <x:c r="CK442" s="60"/>
      <x:c r="CL442" s="58"/>
      <x:c r="CM442" s="47"/>
      <x:c r="CN442" s="60"/>
      <x:c r="CO442" s="58"/>
      <x:c r="CP442" s="47"/>
      <x:c r="CQ442" s="60"/>
      <x:c r="CR442" s="58"/>
      <x:c r="CS442" s="47"/>
      <x:c r="CT442" s="60"/>
      <x:c r="CU442" s="58"/>
      <x:c r="CV442" s="47"/>
      <x:c r="CW442" s="60"/>
      <x:c r="CX442" s="58"/>
      <x:c r="CY442" s="47"/>
      <x:c r="CZ442" s="60"/>
      <x:c r="DA442" s="58"/>
      <x:c r="DB442" s="47"/>
      <x:c r="DC442" s="60"/>
      <x:c r="DD442" s="58"/>
      <x:c r="DE442" s="47"/>
      <x:c r="DF442" s="60"/>
      <x:c r="DG442" s="58"/>
      <x:c r="DH442" s="47"/>
      <x:c r="DI442" s="60"/>
      <x:c r="DJ442" s="58"/>
      <x:c r="DK442" s="47"/>
      <x:c r="DL442" s="60"/>
      <x:c r="DM442" s="58"/>
      <x:c r="DN442" s="11"/>
      <x:c r="DO442" s="61"/>
      <x:c r="DP442" s="62"/>
      <x:c r="DQ442" s="11"/>
      <x:c r="DR442" s="61"/>
      <x:c r="DS442" s="62"/>
      <x:c r="DT442" s="11"/>
      <x:c r="DU442" s="61"/>
      <x:c r="DV442" s="62"/>
    </x:row>
    <x:row r="443" spans="1:126" x14ac:dyDescent="0.3">
      <x:c r="A443" s="47"/>
      <x:c r="B443" s="70"/>
      <x:c r="C443" s="70"/>
      <x:c r="D443" s="70"/>
      <x:c r="E443" s="70"/>
      <x:c r="F443" s="70"/>
      <x:c r="G443" s="70"/>
      <x:c r="H443" s="70"/>
      <x:c r="I443" s="70"/>
      <x:c r="J443" s="70"/>
      <x:c r="K443" s="190"/>
      <x:c r="L443" s="195"/>
      <x:c r="M443" s="192"/>
      <x:c r="N443" s="192"/>
      <x:c r="O443" s="69"/>
      <x:c r="P443" s="47"/>
      <x:c r="Q443" s="60"/>
      <x:c r="R443" s="58"/>
      <x:c r="S443" s="47"/>
      <x:c r="T443" s="60"/>
      <x:c r="U443" s="58"/>
      <x:c r="V443" s="47"/>
      <x:c r="W443" s="60"/>
      <x:c r="X443" s="58"/>
      <x:c r="Y443" s="47"/>
      <x:c r="Z443" s="60"/>
      <x:c r="AA443" s="58"/>
      <x:c r="AB443" s="47"/>
      <x:c r="AC443" s="60"/>
      <x:c r="AD443" s="58"/>
      <x:c r="AE443" s="47"/>
      <x:c r="AF443" s="60"/>
      <x:c r="AG443" s="58"/>
      <x:c r="AH443" s="47"/>
      <x:c r="AI443" s="60"/>
      <x:c r="AJ443" s="58"/>
      <x:c r="AK443" s="47"/>
      <x:c r="AL443" s="60"/>
      <x:c r="AM443" s="58"/>
      <x:c r="AN443" s="47"/>
      <x:c r="AO443" s="60"/>
      <x:c r="AP443" s="58"/>
      <x:c r="AQ443" s="47"/>
      <x:c r="AR443" s="60"/>
      <x:c r="AS443" s="58"/>
      <x:c r="AT443" s="47"/>
      <x:c r="AU443" s="60"/>
      <x:c r="AV443" s="58"/>
      <x:c r="AW443" s="47"/>
      <x:c r="AX443" s="60"/>
      <x:c r="AY443" s="58"/>
      <x:c r="AZ443" s="47"/>
      <x:c r="BA443" s="60"/>
      <x:c r="BB443" s="58"/>
      <x:c r="BC443" s="47"/>
      <x:c r="BD443" s="60"/>
      <x:c r="BE443" s="58"/>
      <x:c r="BF443" s="47"/>
      <x:c r="BG443" s="60"/>
      <x:c r="BH443" s="58"/>
      <x:c r="BI443" s="47"/>
      <x:c r="BJ443" s="60"/>
      <x:c r="BK443" s="58"/>
      <x:c r="BL443" s="47"/>
      <x:c r="BM443" s="60"/>
      <x:c r="BN443" s="58"/>
      <x:c r="BO443" s="47"/>
      <x:c r="BP443" s="60"/>
      <x:c r="BQ443" s="58"/>
      <x:c r="BR443" s="47"/>
      <x:c r="BS443" s="60"/>
      <x:c r="BT443" s="58"/>
      <x:c r="BU443" s="47"/>
      <x:c r="BV443" s="60"/>
      <x:c r="BW443" s="58"/>
      <x:c r="BX443" s="47"/>
      <x:c r="BY443" s="60"/>
      <x:c r="BZ443" s="58"/>
      <x:c r="CA443" s="47"/>
      <x:c r="CB443" s="60"/>
      <x:c r="CC443" s="58"/>
      <x:c r="CD443" s="47"/>
      <x:c r="CE443" s="60"/>
      <x:c r="CF443" s="58"/>
      <x:c r="CG443" s="47"/>
      <x:c r="CH443" s="60"/>
      <x:c r="CI443" s="58"/>
      <x:c r="CJ443" s="47"/>
      <x:c r="CK443" s="60"/>
      <x:c r="CL443" s="58"/>
      <x:c r="CM443" s="47"/>
      <x:c r="CN443" s="60"/>
      <x:c r="CO443" s="58"/>
      <x:c r="CP443" s="47"/>
      <x:c r="CQ443" s="60"/>
      <x:c r="CR443" s="58"/>
      <x:c r="CS443" s="47"/>
      <x:c r="CT443" s="60"/>
      <x:c r="CU443" s="58"/>
      <x:c r="CV443" s="47"/>
      <x:c r="CW443" s="60"/>
      <x:c r="CX443" s="58"/>
      <x:c r="CY443" s="47"/>
      <x:c r="CZ443" s="60"/>
      <x:c r="DA443" s="58"/>
      <x:c r="DB443" s="47"/>
      <x:c r="DC443" s="60"/>
      <x:c r="DD443" s="58"/>
      <x:c r="DE443" s="47"/>
      <x:c r="DF443" s="60"/>
      <x:c r="DG443" s="58"/>
      <x:c r="DH443" s="47"/>
      <x:c r="DI443" s="60"/>
      <x:c r="DJ443" s="58"/>
      <x:c r="DK443" s="47"/>
      <x:c r="DL443" s="60"/>
      <x:c r="DM443" s="58"/>
      <x:c r="DN443" s="11"/>
      <x:c r="DO443" s="61"/>
      <x:c r="DP443" s="62"/>
      <x:c r="DQ443" s="11"/>
      <x:c r="DR443" s="61"/>
      <x:c r="DS443" s="62"/>
      <x:c r="DT443" s="11"/>
      <x:c r="DU443" s="61"/>
      <x:c r="DV443" s="62"/>
    </x:row>
    <x:row r="444" spans="1:126" x14ac:dyDescent="0.3">
      <x:c r="A444" s="47"/>
      <x:c r="B444" s="70"/>
      <x:c r="C444" s="70"/>
      <x:c r="D444" s="70"/>
      <x:c r="E444" s="70"/>
      <x:c r="F444" s="70"/>
      <x:c r="G444" s="70"/>
      <x:c r="H444" s="70"/>
      <x:c r="I444" s="70"/>
      <x:c r="J444" s="70"/>
      <x:c r="K444" s="190"/>
      <x:c r="L444" s="195"/>
      <x:c r="M444" s="192"/>
      <x:c r="N444" s="192"/>
      <x:c r="O444" s="69"/>
      <x:c r="P444" s="47"/>
      <x:c r="Q444" s="60"/>
      <x:c r="R444" s="58"/>
      <x:c r="S444" s="47"/>
      <x:c r="T444" s="60"/>
      <x:c r="U444" s="58"/>
      <x:c r="V444" s="47"/>
      <x:c r="W444" s="60"/>
      <x:c r="X444" s="58"/>
      <x:c r="Y444" s="47"/>
      <x:c r="Z444" s="60"/>
      <x:c r="AA444" s="58"/>
      <x:c r="AB444" s="47"/>
      <x:c r="AC444" s="60"/>
      <x:c r="AD444" s="58"/>
      <x:c r="AE444" s="47"/>
      <x:c r="AF444" s="60"/>
      <x:c r="AG444" s="58"/>
      <x:c r="AH444" s="47"/>
      <x:c r="AI444" s="60"/>
      <x:c r="AJ444" s="58"/>
      <x:c r="AK444" s="47"/>
      <x:c r="AL444" s="60"/>
      <x:c r="AM444" s="58"/>
      <x:c r="AN444" s="47"/>
      <x:c r="AO444" s="60"/>
      <x:c r="AP444" s="58"/>
      <x:c r="AQ444" s="47"/>
      <x:c r="AR444" s="60"/>
      <x:c r="AS444" s="58"/>
      <x:c r="AT444" s="47"/>
      <x:c r="AU444" s="60"/>
      <x:c r="AV444" s="58"/>
      <x:c r="AW444" s="47"/>
      <x:c r="AX444" s="60"/>
      <x:c r="AY444" s="58"/>
      <x:c r="AZ444" s="47"/>
      <x:c r="BA444" s="60"/>
      <x:c r="BB444" s="58"/>
      <x:c r="BC444" s="47"/>
      <x:c r="BD444" s="60"/>
      <x:c r="BE444" s="58"/>
      <x:c r="BF444" s="47"/>
      <x:c r="BG444" s="60"/>
      <x:c r="BH444" s="58"/>
      <x:c r="BI444" s="47"/>
      <x:c r="BJ444" s="60"/>
      <x:c r="BK444" s="58"/>
      <x:c r="BL444" s="47"/>
      <x:c r="BM444" s="60"/>
      <x:c r="BN444" s="58"/>
      <x:c r="BO444" s="47"/>
      <x:c r="BP444" s="60"/>
      <x:c r="BQ444" s="58"/>
      <x:c r="BR444" s="47"/>
      <x:c r="BS444" s="60"/>
      <x:c r="BT444" s="58"/>
      <x:c r="BU444" s="47"/>
      <x:c r="BV444" s="60"/>
      <x:c r="BW444" s="58"/>
      <x:c r="BX444" s="47"/>
      <x:c r="BY444" s="60"/>
      <x:c r="BZ444" s="58"/>
      <x:c r="CA444" s="47"/>
      <x:c r="CB444" s="60"/>
      <x:c r="CC444" s="58"/>
      <x:c r="CD444" s="47"/>
      <x:c r="CE444" s="60"/>
      <x:c r="CF444" s="58"/>
      <x:c r="CG444" s="47"/>
      <x:c r="CH444" s="60"/>
      <x:c r="CI444" s="58"/>
      <x:c r="CJ444" s="47"/>
      <x:c r="CK444" s="60"/>
      <x:c r="CL444" s="58"/>
      <x:c r="CM444" s="47"/>
      <x:c r="CN444" s="60"/>
      <x:c r="CO444" s="58"/>
      <x:c r="CP444" s="47"/>
      <x:c r="CQ444" s="60"/>
      <x:c r="CR444" s="58"/>
      <x:c r="CS444" s="47"/>
      <x:c r="CT444" s="60"/>
      <x:c r="CU444" s="58"/>
      <x:c r="CV444" s="47"/>
      <x:c r="CW444" s="60"/>
      <x:c r="CX444" s="58"/>
      <x:c r="CY444" s="47"/>
      <x:c r="CZ444" s="60"/>
      <x:c r="DA444" s="58"/>
      <x:c r="DB444" s="47"/>
      <x:c r="DC444" s="60"/>
      <x:c r="DD444" s="58"/>
      <x:c r="DE444" s="47"/>
      <x:c r="DF444" s="60"/>
      <x:c r="DG444" s="58"/>
      <x:c r="DH444" s="47"/>
      <x:c r="DI444" s="60"/>
      <x:c r="DJ444" s="58"/>
      <x:c r="DK444" s="47"/>
      <x:c r="DL444" s="60"/>
      <x:c r="DM444" s="58"/>
      <x:c r="DN444" s="11"/>
      <x:c r="DO444" s="61"/>
      <x:c r="DP444" s="62"/>
      <x:c r="DQ444" s="11"/>
      <x:c r="DR444" s="61"/>
      <x:c r="DS444" s="62"/>
      <x:c r="DT444" s="11"/>
      <x:c r="DU444" s="61"/>
      <x:c r="DV444" s="62"/>
    </x:row>
    <x:row r="445" spans="1:126" x14ac:dyDescent="0.3">
      <x:c r="A445" s="47"/>
      <x:c r="B445" s="70"/>
      <x:c r="C445" s="70"/>
      <x:c r="D445" s="70"/>
      <x:c r="E445" s="70"/>
      <x:c r="F445" s="70"/>
      <x:c r="G445" s="70"/>
      <x:c r="H445" s="70"/>
      <x:c r="I445" s="70"/>
      <x:c r="J445" s="70"/>
      <x:c r="K445" s="190"/>
      <x:c r="L445" s="195"/>
      <x:c r="M445" s="192"/>
      <x:c r="N445" s="192"/>
      <x:c r="O445" s="69"/>
      <x:c r="P445" s="47"/>
      <x:c r="Q445" s="60"/>
      <x:c r="R445" s="58"/>
      <x:c r="S445" s="47"/>
      <x:c r="T445" s="60"/>
      <x:c r="U445" s="58"/>
      <x:c r="V445" s="47"/>
      <x:c r="W445" s="60"/>
      <x:c r="X445" s="58"/>
      <x:c r="Y445" s="47"/>
      <x:c r="Z445" s="60"/>
      <x:c r="AA445" s="58"/>
      <x:c r="AB445" s="47"/>
      <x:c r="AC445" s="60"/>
      <x:c r="AD445" s="58"/>
      <x:c r="AE445" s="47"/>
      <x:c r="AF445" s="60"/>
      <x:c r="AG445" s="58"/>
      <x:c r="AH445" s="47"/>
      <x:c r="AI445" s="60"/>
      <x:c r="AJ445" s="58"/>
      <x:c r="AK445" s="47"/>
      <x:c r="AL445" s="60"/>
      <x:c r="AM445" s="58"/>
      <x:c r="AN445" s="47"/>
      <x:c r="AO445" s="60"/>
      <x:c r="AP445" s="58"/>
      <x:c r="AQ445" s="47"/>
      <x:c r="AR445" s="60"/>
      <x:c r="AS445" s="58"/>
      <x:c r="AT445" s="47"/>
      <x:c r="AU445" s="60"/>
      <x:c r="AV445" s="58"/>
      <x:c r="AW445" s="47"/>
      <x:c r="AX445" s="60"/>
      <x:c r="AY445" s="58"/>
      <x:c r="AZ445" s="47"/>
      <x:c r="BA445" s="60"/>
      <x:c r="BB445" s="58"/>
      <x:c r="BC445" s="47"/>
      <x:c r="BD445" s="60"/>
      <x:c r="BE445" s="58"/>
      <x:c r="BF445" s="47"/>
      <x:c r="BG445" s="60"/>
      <x:c r="BH445" s="58"/>
      <x:c r="BI445" s="47"/>
      <x:c r="BJ445" s="60"/>
      <x:c r="BK445" s="58"/>
      <x:c r="BL445" s="47"/>
      <x:c r="BM445" s="60"/>
      <x:c r="BN445" s="58"/>
      <x:c r="BO445" s="47"/>
      <x:c r="BP445" s="60"/>
      <x:c r="BQ445" s="58"/>
      <x:c r="BR445" s="47"/>
      <x:c r="BS445" s="60"/>
      <x:c r="BT445" s="58"/>
      <x:c r="BU445" s="47"/>
      <x:c r="BV445" s="60"/>
      <x:c r="BW445" s="58"/>
      <x:c r="BX445" s="47"/>
      <x:c r="BY445" s="60"/>
      <x:c r="BZ445" s="58"/>
      <x:c r="CA445" s="47"/>
      <x:c r="CB445" s="60"/>
      <x:c r="CC445" s="58"/>
      <x:c r="CD445" s="47"/>
      <x:c r="CE445" s="60"/>
      <x:c r="CF445" s="58"/>
      <x:c r="CG445" s="47"/>
      <x:c r="CH445" s="60"/>
      <x:c r="CI445" s="58"/>
      <x:c r="CJ445" s="47"/>
      <x:c r="CK445" s="60"/>
      <x:c r="CL445" s="58"/>
      <x:c r="CM445" s="47"/>
      <x:c r="CN445" s="60"/>
      <x:c r="CO445" s="58"/>
      <x:c r="CP445" s="47"/>
      <x:c r="CQ445" s="60"/>
      <x:c r="CR445" s="58"/>
      <x:c r="CS445" s="47"/>
      <x:c r="CT445" s="60"/>
      <x:c r="CU445" s="58"/>
      <x:c r="CV445" s="47"/>
      <x:c r="CW445" s="60"/>
      <x:c r="CX445" s="58"/>
      <x:c r="CY445" s="47"/>
      <x:c r="CZ445" s="60"/>
      <x:c r="DA445" s="58"/>
      <x:c r="DB445" s="47"/>
      <x:c r="DC445" s="60"/>
      <x:c r="DD445" s="58"/>
      <x:c r="DE445" s="47"/>
      <x:c r="DF445" s="60"/>
      <x:c r="DG445" s="58"/>
      <x:c r="DH445" s="47"/>
      <x:c r="DI445" s="60"/>
      <x:c r="DJ445" s="58"/>
      <x:c r="DK445" s="47"/>
      <x:c r="DL445" s="60"/>
      <x:c r="DM445" s="58"/>
      <x:c r="DN445" s="11"/>
      <x:c r="DO445" s="61"/>
      <x:c r="DP445" s="62"/>
      <x:c r="DQ445" s="11"/>
      <x:c r="DR445" s="61"/>
      <x:c r="DS445" s="62"/>
      <x:c r="DT445" s="11"/>
      <x:c r="DU445" s="61"/>
      <x:c r="DV445" s="62"/>
    </x:row>
    <x:row r="446" spans="1:126" x14ac:dyDescent="0.3">
      <x:c r="A446" s="47"/>
      <x:c r="B446" s="70"/>
      <x:c r="C446" s="70"/>
      <x:c r="D446" s="70"/>
      <x:c r="E446" s="70"/>
      <x:c r="F446" s="70"/>
      <x:c r="G446" s="70"/>
      <x:c r="H446" s="70"/>
      <x:c r="I446" s="70"/>
      <x:c r="J446" s="70"/>
      <x:c r="K446" s="190"/>
      <x:c r="L446" s="195"/>
      <x:c r="M446" s="192"/>
      <x:c r="N446" s="192"/>
      <x:c r="O446" s="69"/>
      <x:c r="P446" s="47"/>
      <x:c r="Q446" s="60"/>
      <x:c r="R446" s="58"/>
      <x:c r="S446" s="47"/>
      <x:c r="T446" s="60"/>
      <x:c r="U446" s="58"/>
      <x:c r="V446" s="47"/>
      <x:c r="W446" s="60"/>
      <x:c r="X446" s="58"/>
      <x:c r="Y446" s="47"/>
      <x:c r="Z446" s="60"/>
      <x:c r="AA446" s="58"/>
      <x:c r="AB446" s="47"/>
      <x:c r="AC446" s="60"/>
      <x:c r="AD446" s="58"/>
      <x:c r="AE446" s="47"/>
      <x:c r="AF446" s="60"/>
      <x:c r="AG446" s="58"/>
      <x:c r="AH446" s="47"/>
      <x:c r="AI446" s="60"/>
      <x:c r="AJ446" s="58"/>
      <x:c r="AK446" s="47"/>
      <x:c r="AL446" s="60"/>
      <x:c r="AM446" s="58"/>
      <x:c r="AN446" s="47"/>
      <x:c r="AO446" s="60"/>
      <x:c r="AP446" s="58"/>
      <x:c r="AQ446" s="47"/>
      <x:c r="AR446" s="60"/>
      <x:c r="AS446" s="58"/>
      <x:c r="AT446" s="47"/>
      <x:c r="AU446" s="60"/>
      <x:c r="AV446" s="58"/>
      <x:c r="AW446" s="47"/>
      <x:c r="AX446" s="60"/>
      <x:c r="AY446" s="58"/>
      <x:c r="AZ446" s="47"/>
      <x:c r="BA446" s="60"/>
      <x:c r="BB446" s="58"/>
      <x:c r="BC446" s="47"/>
      <x:c r="BD446" s="60"/>
      <x:c r="BE446" s="58"/>
      <x:c r="BF446" s="47"/>
      <x:c r="BG446" s="60"/>
      <x:c r="BH446" s="58"/>
      <x:c r="BI446" s="47"/>
      <x:c r="BJ446" s="60"/>
      <x:c r="BK446" s="58"/>
      <x:c r="BL446" s="47"/>
      <x:c r="BM446" s="60"/>
      <x:c r="BN446" s="58"/>
      <x:c r="BO446" s="47"/>
      <x:c r="BP446" s="60"/>
      <x:c r="BQ446" s="58"/>
      <x:c r="BR446" s="47"/>
      <x:c r="BS446" s="60"/>
      <x:c r="BT446" s="58"/>
      <x:c r="BU446" s="47"/>
      <x:c r="BV446" s="60"/>
      <x:c r="BW446" s="58"/>
      <x:c r="BX446" s="47"/>
      <x:c r="BY446" s="60"/>
      <x:c r="BZ446" s="58"/>
      <x:c r="CA446" s="47"/>
      <x:c r="CB446" s="60"/>
      <x:c r="CC446" s="58"/>
      <x:c r="CD446" s="47"/>
      <x:c r="CE446" s="60"/>
      <x:c r="CF446" s="58"/>
      <x:c r="CG446" s="47"/>
      <x:c r="CH446" s="60"/>
      <x:c r="CI446" s="58"/>
      <x:c r="CJ446" s="47"/>
      <x:c r="CK446" s="60"/>
      <x:c r="CL446" s="58"/>
      <x:c r="CM446" s="47"/>
      <x:c r="CN446" s="60"/>
      <x:c r="CO446" s="58"/>
      <x:c r="CP446" s="47"/>
      <x:c r="CQ446" s="60"/>
      <x:c r="CR446" s="58"/>
      <x:c r="CS446" s="47"/>
      <x:c r="CT446" s="60"/>
      <x:c r="CU446" s="58"/>
      <x:c r="CV446" s="47"/>
      <x:c r="CW446" s="60"/>
      <x:c r="CX446" s="58"/>
      <x:c r="CY446" s="47"/>
      <x:c r="CZ446" s="60"/>
      <x:c r="DA446" s="58"/>
      <x:c r="DB446" s="47"/>
      <x:c r="DC446" s="60"/>
      <x:c r="DD446" s="58"/>
      <x:c r="DE446" s="47"/>
      <x:c r="DF446" s="60"/>
      <x:c r="DG446" s="58"/>
      <x:c r="DH446" s="47"/>
      <x:c r="DI446" s="60"/>
      <x:c r="DJ446" s="58"/>
      <x:c r="DK446" s="47"/>
      <x:c r="DL446" s="60"/>
      <x:c r="DM446" s="58"/>
      <x:c r="DN446" s="11"/>
      <x:c r="DO446" s="61"/>
      <x:c r="DP446" s="62"/>
      <x:c r="DQ446" s="11"/>
      <x:c r="DR446" s="61"/>
      <x:c r="DS446" s="62"/>
      <x:c r="DT446" s="11"/>
      <x:c r="DU446" s="61"/>
      <x:c r="DV446" s="62"/>
    </x:row>
    <x:row r="447" spans="1:126" x14ac:dyDescent="0.3">
      <x:c r="A447" s="47"/>
      <x:c r="B447" s="70"/>
      <x:c r="C447" s="70"/>
      <x:c r="D447" s="70"/>
      <x:c r="E447" s="70"/>
      <x:c r="F447" s="70"/>
      <x:c r="G447" s="70"/>
      <x:c r="H447" s="70"/>
      <x:c r="I447" s="70"/>
      <x:c r="J447" s="70"/>
      <x:c r="K447" s="190"/>
      <x:c r="L447" s="195"/>
      <x:c r="M447" s="192"/>
      <x:c r="N447" s="192"/>
      <x:c r="O447" s="69"/>
      <x:c r="P447" s="47"/>
      <x:c r="Q447" s="60"/>
      <x:c r="R447" s="58"/>
      <x:c r="S447" s="47"/>
      <x:c r="T447" s="60"/>
      <x:c r="U447" s="58"/>
      <x:c r="V447" s="47"/>
      <x:c r="W447" s="60"/>
      <x:c r="X447" s="58"/>
      <x:c r="Y447" s="47"/>
      <x:c r="Z447" s="60"/>
      <x:c r="AA447" s="58"/>
      <x:c r="AB447" s="47"/>
      <x:c r="AC447" s="60"/>
      <x:c r="AD447" s="58"/>
      <x:c r="AE447" s="47"/>
      <x:c r="AF447" s="60"/>
      <x:c r="AG447" s="58"/>
      <x:c r="AH447" s="47"/>
      <x:c r="AI447" s="60"/>
      <x:c r="AJ447" s="58"/>
      <x:c r="AK447" s="47"/>
      <x:c r="AL447" s="60"/>
      <x:c r="AM447" s="58"/>
      <x:c r="AN447" s="47"/>
      <x:c r="AO447" s="60"/>
      <x:c r="AP447" s="58"/>
      <x:c r="AQ447" s="47"/>
      <x:c r="AR447" s="60"/>
      <x:c r="AS447" s="58"/>
      <x:c r="AT447" s="47"/>
      <x:c r="AU447" s="60"/>
      <x:c r="AV447" s="58"/>
      <x:c r="AW447" s="47"/>
      <x:c r="AX447" s="60"/>
      <x:c r="AY447" s="58"/>
      <x:c r="AZ447" s="47"/>
      <x:c r="BA447" s="60"/>
      <x:c r="BB447" s="58"/>
      <x:c r="BC447" s="47"/>
      <x:c r="BD447" s="60"/>
      <x:c r="BE447" s="58"/>
      <x:c r="BF447" s="47"/>
      <x:c r="BG447" s="60"/>
      <x:c r="BH447" s="58"/>
      <x:c r="BI447" s="47"/>
      <x:c r="BJ447" s="60"/>
      <x:c r="BK447" s="58"/>
      <x:c r="BL447" s="47"/>
      <x:c r="BM447" s="60"/>
      <x:c r="BN447" s="58"/>
      <x:c r="BO447" s="47"/>
      <x:c r="BP447" s="60"/>
      <x:c r="BQ447" s="58"/>
      <x:c r="BR447" s="47"/>
      <x:c r="BS447" s="60"/>
      <x:c r="BT447" s="58"/>
      <x:c r="BU447" s="47"/>
      <x:c r="BV447" s="60"/>
      <x:c r="BW447" s="58"/>
      <x:c r="BX447" s="47"/>
      <x:c r="BY447" s="60"/>
      <x:c r="BZ447" s="58"/>
      <x:c r="CA447" s="47"/>
      <x:c r="CB447" s="60"/>
      <x:c r="CC447" s="58"/>
      <x:c r="CD447" s="47"/>
      <x:c r="CE447" s="60"/>
      <x:c r="CF447" s="58"/>
      <x:c r="CG447" s="47"/>
      <x:c r="CH447" s="60"/>
      <x:c r="CI447" s="58"/>
      <x:c r="CJ447" s="47"/>
      <x:c r="CK447" s="60"/>
      <x:c r="CL447" s="58"/>
      <x:c r="CM447" s="47"/>
      <x:c r="CN447" s="60"/>
      <x:c r="CO447" s="58"/>
      <x:c r="CP447" s="47"/>
      <x:c r="CQ447" s="60"/>
      <x:c r="CR447" s="58"/>
      <x:c r="CS447" s="47"/>
      <x:c r="CT447" s="60"/>
      <x:c r="CU447" s="58"/>
      <x:c r="CV447" s="47"/>
      <x:c r="CW447" s="60"/>
      <x:c r="CX447" s="58"/>
      <x:c r="CY447" s="47"/>
      <x:c r="CZ447" s="60"/>
      <x:c r="DA447" s="58"/>
      <x:c r="DB447" s="47"/>
      <x:c r="DC447" s="60"/>
      <x:c r="DD447" s="58"/>
      <x:c r="DE447" s="47"/>
      <x:c r="DF447" s="60"/>
      <x:c r="DG447" s="58"/>
      <x:c r="DH447" s="47"/>
      <x:c r="DI447" s="60"/>
      <x:c r="DJ447" s="58"/>
      <x:c r="DK447" s="47"/>
      <x:c r="DL447" s="60"/>
      <x:c r="DM447" s="58"/>
      <x:c r="DN447" s="11"/>
      <x:c r="DO447" s="61"/>
      <x:c r="DP447" s="62"/>
      <x:c r="DQ447" s="11"/>
      <x:c r="DR447" s="61"/>
      <x:c r="DS447" s="62"/>
      <x:c r="DT447" s="11"/>
      <x:c r="DU447" s="61"/>
      <x:c r="DV447" s="62"/>
    </x:row>
    <x:row r="448" spans="1:126" x14ac:dyDescent="0.3">
      <x:c r="A448" s="47"/>
      <x:c r="B448" s="70"/>
      <x:c r="C448" s="70"/>
      <x:c r="D448" s="70"/>
      <x:c r="E448" s="70"/>
      <x:c r="F448" s="70"/>
      <x:c r="G448" s="70"/>
      <x:c r="H448" s="70"/>
      <x:c r="I448" s="70"/>
      <x:c r="J448" s="70"/>
      <x:c r="K448" s="190"/>
      <x:c r="L448" s="195"/>
      <x:c r="M448" s="192"/>
      <x:c r="N448" s="192"/>
      <x:c r="O448" s="69"/>
      <x:c r="P448" s="47"/>
      <x:c r="Q448" s="60"/>
      <x:c r="R448" s="58"/>
      <x:c r="S448" s="47"/>
      <x:c r="T448" s="60"/>
      <x:c r="U448" s="58"/>
      <x:c r="V448" s="47"/>
      <x:c r="W448" s="60"/>
      <x:c r="X448" s="58"/>
      <x:c r="Y448" s="47"/>
      <x:c r="Z448" s="60"/>
      <x:c r="AA448" s="58"/>
      <x:c r="AB448" s="47"/>
      <x:c r="AC448" s="60"/>
      <x:c r="AD448" s="58"/>
      <x:c r="AE448" s="47"/>
      <x:c r="AF448" s="60"/>
      <x:c r="AG448" s="58"/>
      <x:c r="AH448" s="47"/>
      <x:c r="AI448" s="60"/>
      <x:c r="AJ448" s="58"/>
      <x:c r="AK448" s="47"/>
      <x:c r="AL448" s="60"/>
      <x:c r="AM448" s="58"/>
      <x:c r="AN448" s="47"/>
      <x:c r="AO448" s="60"/>
      <x:c r="AP448" s="58"/>
      <x:c r="AQ448" s="47"/>
      <x:c r="AR448" s="60"/>
      <x:c r="AS448" s="58"/>
      <x:c r="AT448" s="47"/>
      <x:c r="AU448" s="60"/>
      <x:c r="AV448" s="58"/>
      <x:c r="AW448" s="47"/>
      <x:c r="AX448" s="60"/>
      <x:c r="AY448" s="58"/>
      <x:c r="AZ448" s="47"/>
      <x:c r="BA448" s="60"/>
      <x:c r="BB448" s="58"/>
      <x:c r="BC448" s="47"/>
      <x:c r="BD448" s="60"/>
      <x:c r="BE448" s="58"/>
      <x:c r="BF448" s="47"/>
      <x:c r="BG448" s="60"/>
      <x:c r="BH448" s="58"/>
      <x:c r="BI448" s="47"/>
      <x:c r="BJ448" s="60"/>
      <x:c r="BK448" s="58"/>
      <x:c r="BL448" s="47"/>
      <x:c r="BM448" s="60"/>
      <x:c r="BN448" s="58"/>
      <x:c r="BO448" s="47"/>
      <x:c r="BP448" s="60"/>
      <x:c r="BQ448" s="58"/>
      <x:c r="BR448" s="47"/>
      <x:c r="BS448" s="60"/>
      <x:c r="BT448" s="58"/>
      <x:c r="BU448" s="47"/>
      <x:c r="BV448" s="60"/>
      <x:c r="BW448" s="58"/>
      <x:c r="BX448" s="47"/>
      <x:c r="BY448" s="60"/>
      <x:c r="BZ448" s="58"/>
      <x:c r="CA448" s="47"/>
      <x:c r="CB448" s="60"/>
      <x:c r="CC448" s="58"/>
      <x:c r="CD448" s="47"/>
      <x:c r="CE448" s="60"/>
      <x:c r="CF448" s="58"/>
      <x:c r="CG448" s="47"/>
      <x:c r="CH448" s="60"/>
      <x:c r="CI448" s="58"/>
      <x:c r="CJ448" s="47"/>
      <x:c r="CK448" s="60"/>
      <x:c r="CL448" s="58"/>
      <x:c r="CM448" s="47"/>
      <x:c r="CN448" s="60"/>
      <x:c r="CO448" s="58"/>
      <x:c r="CP448" s="47"/>
      <x:c r="CQ448" s="60"/>
      <x:c r="CR448" s="58"/>
      <x:c r="CS448" s="47"/>
      <x:c r="CT448" s="60"/>
      <x:c r="CU448" s="58"/>
      <x:c r="CV448" s="47"/>
      <x:c r="CW448" s="60"/>
      <x:c r="CX448" s="58"/>
      <x:c r="CY448" s="47"/>
      <x:c r="CZ448" s="60"/>
      <x:c r="DA448" s="58"/>
      <x:c r="DB448" s="47"/>
      <x:c r="DC448" s="60"/>
      <x:c r="DD448" s="58"/>
      <x:c r="DE448" s="47"/>
      <x:c r="DF448" s="60"/>
      <x:c r="DG448" s="58"/>
      <x:c r="DH448" s="47"/>
      <x:c r="DI448" s="60"/>
      <x:c r="DJ448" s="58"/>
      <x:c r="DK448" s="47"/>
      <x:c r="DL448" s="60"/>
      <x:c r="DM448" s="58"/>
      <x:c r="DN448" s="11"/>
      <x:c r="DO448" s="61"/>
      <x:c r="DP448" s="62"/>
      <x:c r="DQ448" s="11"/>
      <x:c r="DR448" s="61"/>
      <x:c r="DS448" s="62"/>
      <x:c r="DT448" s="11"/>
      <x:c r="DU448" s="61"/>
      <x:c r="DV448" s="62"/>
    </x:row>
    <x:row r="449" spans="1:126" x14ac:dyDescent="0.3">
      <x:c r="A449" s="47"/>
      <x:c r="B449" s="70"/>
      <x:c r="C449" s="70"/>
      <x:c r="D449" s="70"/>
      <x:c r="E449" s="70"/>
      <x:c r="F449" s="70"/>
      <x:c r="G449" s="70"/>
      <x:c r="H449" s="70"/>
      <x:c r="I449" s="70"/>
      <x:c r="J449" s="70"/>
      <x:c r="K449" s="190"/>
      <x:c r="L449" s="195"/>
      <x:c r="M449" s="192"/>
      <x:c r="N449" s="192"/>
      <x:c r="O449" s="69"/>
      <x:c r="P449" s="47"/>
      <x:c r="Q449" s="60"/>
      <x:c r="R449" s="58"/>
      <x:c r="S449" s="47"/>
      <x:c r="T449" s="60"/>
      <x:c r="U449" s="58"/>
      <x:c r="V449" s="47"/>
      <x:c r="W449" s="60"/>
      <x:c r="X449" s="58"/>
      <x:c r="Y449" s="47"/>
      <x:c r="Z449" s="60"/>
      <x:c r="AA449" s="58"/>
      <x:c r="AB449" s="47"/>
      <x:c r="AC449" s="60"/>
      <x:c r="AD449" s="58"/>
      <x:c r="AE449" s="47"/>
      <x:c r="AF449" s="60"/>
      <x:c r="AG449" s="58"/>
      <x:c r="AH449" s="47"/>
      <x:c r="AI449" s="60"/>
      <x:c r="AJ449" s="58"/>
      <x:c r="AK449" s="47"/>
      <x:c r="AL449" s="60"/>
      <x:c r="AM449" s="58"/>
      <x:c r="AN449" s="47"/>
      <x:c r="AO449" s="60"/>
      <x:c r="AP449" s="58"/>
      <x:c r="AQ449" s="47"/>
      <x:c r="AR449" s="60"/>
      <x:c r="AS449" s="58"/>
      <x:c r="AT449" s="47"/>
      <x:c r="AU449" s="60"/>
      <x:c r="AV449" s="58"/>
      <x:c r="AW449" s="47"/>
      <x:c r="AX449" s="60"/>
      <x:c r="AY449" s="58"/>
      <x:c r="AZ449" s="47"/>
      <x:c r="BA449" s="60"/>
      <x:c r="BB449" s="58"/>
      <x:c r="BC449" s="47"/>
      <x:c r="BD449" s="60"/>
      <x:c r="BE449" s="58"/>
      <x:c r="BF449" s="47"/>
      <x:c r="BG449" s="60"/>
      <x:c r="BH449" s="58"/>
      <x:c r="BI449" s="47"/>
      <x:c r="BJ449" s="60"/>
      <x:c r="BK449" s="58"/>
      <x:c r="BL449" s="47"/>
      <x:c r="BM449" s="60"/>
      <x:c r="BN449" s="58"/>
      <x:c r="BO449" s="47"/>
      <x:c r="BP449" s="60"/>
      <x:c r="BQ449" s="58"/>
      <x:c r="BR449" s="47"/>
      <x:c r="BS449" s="60"/>
      <x:c r="BT449" s="58"/>
      <x:c r="BU449" s="47"/>
      <x:c r="BV449" s="60"/>
      <x:c r="BW449" s="58"/>
      <x:c r="BX449" s="47"/>
      <x:c r="BY449" s="60"/>
      <x:c r="BZ449" s="58"/>
      <x:c r="CA449" s="47"/>
      <x:c r="CB449" s="60"/>
      <x:c r="CC449" s="58"/>
      <x:c r="CD449" s="47"/>
      <x:c r="CE449" s="60"/>
      <x:c r="CF449" s="58"/>
      <x:c r="CG449" s="47"/>
      <x:c r="CH449" s="60"/>
      <x:c r="CI449" s="58"/>
      <x:c r="CJ449" s="47"/>
      <x:c r="CK449" s="60"/>
      <x:c r="CL449" s="58"/>
      <x:c r="CM449" s="47"/>
      <x:c r="CN449" s="60"/>
      <x:c r="CO449" s="58"/>
      <x:c r="CP449" s="47"/>
      <x:c r="CQ449" s="60"/>
      <x:c r="CR449" s="58"/>
      <x:c r="CS449" s="47"/>
      <x:c r="CT449" s="60"/>
      <x:c r="CU449" s="58"/>
      <x:c r="CV449" s="47"/>
      <x:c r="CW449" s="60"/>
      <x:c r="CX449" s="58"/>
      <x:c r="CY449" s="47"/>
      <x:c r="CZ449" s="60"/>
      <x:c r="DA449" s="58"/>
      <x:c r="DB449" s="47"/>
      <x:c r="DC449" s="60"/>
      <x:c r="DD449" s="58"/>
      <x:c r="DE449" s="47"/>
      <x:c r="DF449" s="60"/>
      <x:c r="DG449" s="58"/>
      <x:c r="DH449" s="47"/>
      <x:c r="DI449" s="60"/>
      <x:c r="DJ449" s="58"/>
      <x:c r="DK449" s="47"/>
      <x:c r="DL449" s="60"/>
      <x:c r="DM449" s="58"/>
      <x:c r="DN449" s="11"/>
      <x:c r="DO449" s="61"/>
      <x:c r="DP449" s="62"/>
      <x:c r="DQ449" s="11"/>
      <x:c r="DR449" s="61"/>
      <x:c r="DS449" s="62"/>
      <x:c r="DT449" s="11"/>
      <x:c r="DU449" s="61"/>
      <x:c r="DV449" s="62"/>
    </x:row>
    <x:row r="450" spans="1:126" x14ac:dyDescent="0.3">
      <x:c r="A450" s="47"/>
      <x:c r="B450" s="70"/>
      <x:c r="C450" s="70"/>
      <x:c r="D450" s="70"/>
      <x:c r="E450" s="70"/>
      <x:c r="F450" s="70"/>
      <x:c r="G450" s="70"/>
      <x:c r="H450" s="70"/>
      <x:c r="I450" s="70"/>
      <x:c r="J450" s="70"/>
      <x:c r="K450" s="190"/>
      <x:c r="L450" s="195"/>
      <x:c r="M450" s="192"/>
      <x:c r="N450" s="192"/>
      <x:c r="O450" s="69"/>
      <x:c r="P450" s="47"/>
      <x:c r="Q450" s="60"/>
      <x:c r="R450" s="58"/>
      <x:c r="S450" s="47"/>
      <x:c r="T450" s="60"/>
      <x:c r="U450" s="58"/>
      <x:c r="V450" s="47"/>
      <x:c r="W450" s="60"/>
      <x:c r="X450" s="58"/>
      <x:c r="Y450" s="47"/>
      <x:c r="Z450" s="60"/>
      <x:c r="AA450" s="58"/>
      <x:c r="AB450" s="47"/>
      <x:c r="AC450" s="60"/>
      <x:c r="AD450" s="58"/>
      <x:c r="AE450" s="47"/>
      <x:c r="AF450" s="60"/>
      <x:c r="AG450" s="58"/>
      <x:c r="AH450" s="47"/>
      <x:c r="AI450" s="60"/>
      <x:c r="AJ450" s="58"/>
      <x:c r="AK450" s="47"/>
      <x:c r="AL450" s="60"/>
      <x:c r="AM450" s="58"/>
      <x:c r="AN450" s="47"/>
      <x:c r="AO450" s="60"/>
      <x:c r="AP450" s="58"/>
      <x:c r="AQ450" s="47"/>
      <x:c r="AR450" s="60"/>
      <x:c r="AS450" s="58"/>
      <x:c r="AT450" s="47"/>
      <x:c r="AU450" s="60"/>
      <x:c r="AV450" s="58"/>
      <x:c r="AW450" s="47"/>
      <x:c r="AX450" s="60"/>
      <x:c r="AY450" s="58"/>
      <x:c r="AZ450" s="47"/>
      <x:c r="BA450" s="60"/>
      <x:c r="BB450" s="58"/>
      <x:c r="BC450" s="47"/>
      <x:c r="BD450" s="60"/>
      <x:c r="BE450" s="58"/>
      <x:c r="BF450" s="47"/>
      <x:c r="BG450" s="60"/>
      <x:c r="BH450" s="58"/>
      <x:c r="BI450" s="47"/>
      <x:c r="BJ450" s="60"/>
      <x:c r="BK450" s="58"/>
      <x:c r="BL450" s="47"/>
      <x:c r="BM450" s="60"/>
      <x:c r="BN450" s="58"/>
      <x:c r="BO450" s="47"/>
      <x:c r="BP450" s="60"/>
      <x:c r="BQ450" s="58"/>
      <x:c r="BR450" s="47"/>
      <x:c r="BS450" s="60"/>
      <x:c r="BT450" s="58"/>
      <x:c r="BU450" s="47"/>
      <x:c r="BV450" s="60"/>
      <x:c r="BW450" s="58"/>
      <x:c r="BX450" s="47"/>
      <x:c r="BY450" s="60"/>
      <x:c r="BZ450" s="58"/>
      <x:c r="CA450" s="47"/>
      <x:c r="CB450" s="60"/>
      <x:c r="CC450" s="58"/>
      <x:c r="CD450" s="47"/>
      <x:c r="CE450" s="60"/>
      <x:c r="CF450" s="58"/>
      <x:c r="CG450" s="47"/>
      <x:c r="CH450" s="60"/>
      <x:c r="CI450" s="58"/>
      <x:c r="CJ450" s="47"/>
      <x:c r="CK450" s="60"/>
      <x:c r="CL450" s="58"/>
      <x:c r="CM450" s="47"/>
      <x:c r="CN450" s="60"/>
      <x:c r="CO450" s="58"/>
      <x:c r="CP450" s="47"/>
      <x:c r="CQ450" s="60"/>
      <x:c r="CR450" s="58"/>
      <x:c r="CS450" s="47"/>
      <x:c r="CT450" s="60"/>
      <x:c r="CU450" s="58"/>
      <x:c r="CV450" s="47"/>
      <x:c r="CW450" s="60"/>
      <x:c r="CX450" s="58"/>
      <x:c r="CY450" s="47"/>
      <x:c r="CZ450" s="60"/>
      <x:c r="DA450" s="58"/>
      <x:c r="DB450" s="47"/>
      <x:c r="DC450" s="60"/>
      <x:c r="DD450" s="58"/>
      <x:c r="DE450" s="47"/>
      <x:c r="DF450" s="60"/>
      <x:c r="DG450" s="58"/>
      <x:c r="DH450" s="47"/>
      <x:c r="DI450" s="60"/>
      <x:c r="DJ450" s="58"/>
      <x:c r="DK450" s="47"/>
      <x:c r="DL450" s="60"/>
      <x:c r="DM450" s="58"/>
      <x:c r="DN450" s="11"/>
      <x:c r="DO450" s="61"/>
      <x:c r="DP450" s="62"/>
      <x:c r="DQ450" s="11"/>
      <x:c r="DR450" s="61"/>
      <x:c r="DS450" s="62"/>
      <x:c r="DT450" s="11"/>
      <x:c r="DU450" s="61"/>
      <x:c r="DV450" s="62"/>
    </x:row>
    <x:row r="451" spans="1:126" x14ac:dyDescent="0.3">
      <x:c r="A451" s="47"/>
      <x:c r="B451" s="70"/>
      <x:c r="C451" s="70"/>
      <x:c r="D451" s="70"/>
      <x:c r="E451" s="70"/>
      <x:c r="F451" s="70"/>
      <x:c r="G451" s="70"/>
      <x:c r="H451" s="70"/>
      <x:c r="I451" s="70"/>
      <x:c r="J451" s="70"/>
      <x:c r="K451" s="190"/>
      <x:c r="L451" s="195"/>
      <x:c r="M451" s="192"/>
      <x:c r="N451" s="192"/>
      <x:c r="O451" s="69"/>
      <x:c r="P451" s="47"/>
      <x:c r="Q451" s="60"/>
      <x:c r="R451" s="58"/>
      <x:c r="S451" s="47"/>
      <x:c r="T451" s="60"/>
      <x:c r="U451" s="58"/>
      <x:c r="V451" s="47"/>
      <x:c r="W451" s="60"/>
      <x:c r="X451" s="58"/>
      <x:c r="Y451" s="47"/>
      <x:c r="Z451" s="60"/>
      <x:c r="AA451" s="58"/>
      <x:c r="AB451" s="47"/>
      <x:c r="AC451" s="60"/>
      <x:c r="AD451" s="58"/>
      <x:c r="AE451" s="47"/>
      <x:c r="AF451" s="60"/>
      <x:c r="AG451" s="58"/>
      <x:c r="AH451" s="47"/>
      <x:c r="AI451" s="60"/>
      <x:c r="AJ451" s="58"/>
      <x:c r="AK451" s="47"/>
      <x:c r="AL451" s="60"/>
      <x:c r="AM451" s="58"/>
      <x:c r="AN451" s="47"/>
      <x:c r="AO451" s="60"/>
      <x:c r="AP451" s="58"/>
      <x:c r="AQ451" s="47"/>
      <x:c r="AR451" s="60"/>
      <x:c r="AS451" s="58"/>
      <x:c r="AT451" s="47"/>
      <x:c r="AU451" s="60"/>
      <x:c r="AV451" s="58"/>
      <x:c r="AW451" s="47"/>
      <x:c r="AX451" s="60"/>
      <x:c r="AY451" s="58"/>
      <x:c r="AZ451" s="47"/>
      <x:c r="BA451" s="60"/>
      <x:c r="BB451" s="58"/>
      <x:c r="BC451" s="47"/>
      <x:c r="BD451" s="60"/>
      <x:c r="BE451" s="58"/>
      <x:c r="BF451" s="47"/>
      <x:c r="BG451" s="60"/>
      <x:c r="BH451" s="58"/>
      <x:c r="BI451" s="47"/>
      <x:c r="BJ451" s="60"/>
      <x:c r="BK451" s="58"/>
      <x:c r="BL451" s="47"/>
      <x:c r="BM451" s="60"/>
      <x:c r="BN451" s="58"/>
      <x:c r="BO451" s="47"/>
      <x:c r="BP451" s="60"/>
      <x:c r="BQ451" s="58"/>
      <x:c r="BR451" s="47"/>
      <x:c r="BS451" s="60"/>
      <x:c r="BT451" s="58"/>
      <x:c r="BU451" s="47"/>
      <x:c r="BV451" s="60"/>
      <x:c r="BW451" s="58"/>
      <x:c r="BX451" s="47"/>
      <x:c r="BY451" s="60"/>
      <x:c r="BZ451" s="58"/>
      <x:c r="CA451" s="47"/>
      <x:c r="CB451" s="60"/>
      <x:c r="CC451" s="58"/>
      <x:c r="CD451" s="47"/>
      <x:c r="CE451" s="60"/>
      <x:c r="CF451" s="58"/>
      <x:c r="CG451" s="47"/>
      <x:c r="CH451" s="60"/>
      <x:c r="CI451" s="58"/>
      <x:c r="CJ451" s="47"/>
      <x:c r="CK451" s="60"/>
      <x:c r="CL451" s="58"/>
      <x:c r="CM451" s="47"/>
      <x:c r="CN451" s="60"/>
      <x:c r="CO451" s="58"/>
      <x:c r="CP451" s="47"/>
      <x:c r="CQ451" s="60"/>
      <x:c r="CR451" s="58"/>
      <x:c r="CS451" s="47"/>
      <x:c r="CT451" s="60"/>
      <x:c r="CU451" s="58"/>
      <x:c r="CV451" s="47"/>
      <x:c r="CW451" s="60"/>
      <x:c r="CX451" s="58"/>
      <x:c r="CY451" s="47"/>
      <x:c r="CZ451" s="60"/>
      <x:c r="DA451" s="58"/>
      <x:c r="DB451" s="47"/>
      <x:c r="DC451" s="60"/>
      <x:c r="DD451" s="58"/>
      <x:c r="DE451" s="47"/>
      <x:c r="DF451" s="60"/>
      <x:c r="DG451" s="58"/>
      <x:c r="DH451" s="47"/>
      <x:c r="DI451" s="60"/>
      <x:c r="DJ451" s="58"/>
      <x:c r="DK451" s="47"/>
      <x:c r="DL451" s="60"/>
      <x:c r="DM451" s="58"/>
      <x:c r="DN451" s="11"/>
      <x:c r="DO451" s="61"/>
      <x:c r="DP451" s="62"/>
      <x:c r="DQ451" s="11"/>
      <x:c r="DR451" s="61"/>
      <x:c r="DS451" s="62"/>
      <x:c r="DT451" s="11"/>
      <x:c r="DU451" s="61"/>
      <x:c r="DV451" s="62"/>
    </x:row>
    <x:row r="452" spans="1:126" x14ac:dyDescent="0.3">
      <x:c r="A452" s="47"/>
      <x:c r="B452" s="70"/>
      <x:c r="C452" s="70"/>
      <x:c r="D452" s="70"/>
      <x:c r="E452" s="70"/>
      <x:c r="F452" s="70"/>
      <x:c r="G452" s="70"/>
      <x:c r="H452" s="70"/>
      <x:c r="I452" s="70"/>
      <x:c r="J452" s="70"/>
      <x:c r="K452" s="190"/>
      <x:c r="L452" s="195"/>
      <x:c r="M452" s="192"/>
      <x:c r="N452" s="192"/>
      <x:c r="O452" s="69"/>
      <x:c r="P452" s="47"/>
      <x:c r="Q452" s="60"/>
      <x:c r="R452" s="58"/>
      <x:c r="S452" s="47"/>
      <x:c r="T452" s="60"/>
      <x:c r="U452" s="58"/>
      <x:c r="V452" s="47"/>
      <x:c r="W452" s="60"/>
      <x:c r="X452" s="58"/>
      <x:c r="Y452" s="47"/>
      <x:c r="Z452" s="60"/>
      <x:c r="AA452" s="58"/>
      <x:c r="AB452" s="47"/>
      <x:c r="AC452" s="60"/>
      <x:c r="AD452" s="58"/>
      <x:c r="AE452" s="47"/>
      <x:c r="AF452" s="60"/>
      <x:c r="AG452" s="58"/>
      <x:c r="AH452" s="47"/>
      <x:c r="AI452" s="60"/>
      <x:c r="AJ452" s="58"/>
      <x:c r="AK452" s="47"/>
      <x:c r="AL452" s="60"/>
      <x:c r="AM452" s="58"/>
      <x:c r="AN452" s="47"/>
      <x:c r="AO452" s="60"/>
      <x:c r="AP452" s="58"/>
      <x:c r="AQ452" s="47"/>
      <x:c r="AR452" s="60"/>
      <x:c r="AS452" s="58"/>
      <x:c r="AT452" s="47"/>
      <x:c r="AU452" s="60"/>
      <x:c r="AV452" s="58"/>
      <x:c r="AW452" s="47"/>
      <x:c r="AX452" s="60"/>
      <x:c r="AY452" s="58"/>
      <x:c r="AZ452" s="47"/>
      <x:c r="BA452" s="60"/>
      <x:c r="BB452" s="58"/>
      <x:c r="BC452" s="47"/>
      <x:c r="BD452" s="60"/>
      <x:c r="BE452" s="58"/>
      <x:c r="BF452" s="47"/>
      <x:c r="BG452" s="60"/>
      <x:c r="BH452" s="58"/>
      <x:c r="BI452" s="47"/>
      <x:c r="BJ452" s="60"/>
      <x:c r="BK452" s="58"/>
      <x:c r="BL452" s="47"/>
      <x:c r="BM452" s="60"/>
      <x:c r="BN452" s="58"/>
      <x:c r="BO452" s="47"/>
      <x:c r="BP452" s="60"/>
      <x:c r="BQ452" s="58"/>
      <x:c r="BR452" s="47"/>
      <x:c r="BS452" s="60"/>
      <x:c r="BT452" s="58"/>
      <x:c r="BU452" s="47"/>
      <x:c r="BV452" s="60"/>
      <x:c r="BW452" s="58"/>
      <x:c r="BX452" s="47"/>
      <x:c r="BY452" s="60"/>
      <x:c r="BZ452" s="58"/>
      <x:c r="CA452" s="47"/>
      <x:c r="CB452" s="60"/>
      <x:c r="CC452" s="58"/>
      <x:c r="CD452" s="47"/>
      <x:c r="CE452" s="60"/>
      <x:c r="CF452" s="58"/>
      <x:c r="CG452" s="47"/>
      <x:c r="CH452" s="60"/>
      <x:c r="CI452" s="58"/>
      <x:c r="CJ452" s="47"/>
      <x:c r="CK452" s="60"/>
      <x:c r="CL452" s="58"/>
      <x:c r="CM452" s="47"/>
      <x:c r="CN452" s="60"/>
      <x:c r="CO452" s="58"/>
      <x:c r="CP452" s="47"/>
      <x:c r="CQ452" s="60"/>
      <x:c r="CR452" s="58"/>
      <x:c r="CS452" s="47"/>
      <x:c r="CT452" s="60"/>
      <x:c r="CU452" s="58"/>
      <x:c r="CV452" s="47"/>
      <x:c r="CW452" s="60"/>
      <x:c r="CX452" s="58"/>
      <x:c r="CY452" s="47"/>
      <x:c r="CZ452" s="60"/>
      <x:c r="DA452" s="58"/>
      <x:c r="DB452" s="47"/>
      <x:c r="DC452" s="60"/>
      <x:c r="DD452" s="58"/>
      <x:c r="DE452" s="47"/>
      <x:c r="DF452" s="60"/>
      <x:c r="DG452" s="58"/>
      <x:c r="DH452" s="47"/>
      <x:c r="DI452" s="60"/>
      <x:c r="DJ452" s="58"/>
      <x:c r="DK452" s="47"/>
      <x:c r="DL452" s="60"/>
      <x:c r="DM452" s="58"/>
      <x:c r="DN452" s="11"/>
      <x:c r="DO452" s="61"/>
      <x:c r="DP452" s="62"/>
      <x:c r="DQ452" s="11"/>
      <x:c r="DR452" s="61"/>
      <x:c r="DS452" s="62"/>
      <x:c r="DT452" s="11"/>
      <x:c r="DU452" s="61"/>
      <x:c r="DV452" s="62"/>
    </x:row>
    <x:row r="453" spans="1:126" x14ac:dyDescent="0.3">
      <x:c r="A453" s="47"/>
      <x:c r="B453" s="70"/>
      <x:c r="C453" s="70"/>
      <x:c r="D453" s="70"/>
      <x:c r="E453" s="70"/>
      <x:c r="F453" s="70"/>
      <x:c r="G453" s="70"/>
      <x:c r="H453" s="70"/>
      <x:c r="I453" s="70"/>
      <x:c r="J453" s="70"/>
      <x:c r="K453" s="190"/>
      <x:c r="L453" s="195"/>
      <x:c r="M453" s="192"/>
      <x:c r="N453" s="192"/>
      <x:c r="O453" s="69"/>
      <x:c r="P453" s="47"/>
      <x:c r="Q453" s="60"/>
      <x:c r="R453" s="58"/>
      <x:c r="S453" s="47"/>
      <x:c r="T453" s="60"/>
      <x:c r="U453" s="58"/>
      <x:c r="V453" s="47"/>
      <x:c r="W453" s="60"/>
      <x:c r="X453" s="58"/>
      <x:c r="Y453" s="47"/>
      <x:c r="Z453" s="60"/>
      <x:c r="AA453" s="58"/>
      <x:c r="AB453" s="47"/>
      <x:c r="AC453" s="60"/>
      <x:c r="AD453" s="58"/>
      <x:c r="AE453" s="47"/>
      <x:c r="AF453" s="60"/>
      <x:c r="AG453" s="58"/>
      <x:c r="AH453" s="47"/>
      <x:c r="AI453" s="60"/>
      <x:c r="AJ453" s="58"/>
      <x:c r="AK453" s="47"/>
      <x:c r="AL453" s="60"/>
      <x:c r="AM453" s="58"/>
      <x:c r="AN453" s="47"/>
      <x:c r="AO453" s="60"/>
      <x:c r="AP453" s="58"/>
      <x:c r="AQ453" s="47"/>
      <x:c r="AR453" s="60"/>
      <x:c r="AS453" s="58"/>
      <x:c r="AT453" s="47"/>
      <x:c r="AU453" s="60"/>
      <x:c r="AV453" s="58"/>
      <x:c r="AW453" s="47"/>
      <x:c r="AX453" s="60"/>
      <x:c r="AY453" s="58"/>
      <x:c r="AZ453" s="47"/>
      <x:c r="BA453" s="60"/>
      <x:c r="BB453" s="58"/>
      <x:c r="BC453" s="47"/>
      <x:c r="BD453" s="60"/>
      <x:c r="BE453" s="58"/>
      <x:c r="BF453" s="47"/>
      <x:c r="BG453" s="60"/>
      <x:c r="BH453" s="58"/>
      <x:c r="BI453" s="47"/>
      <x:c r="BJ453" s="60"/>
      <x:c r="BK453" s="58"/>
      <x:c r="BL453" s="47"/>
      <x:c r="BM453" s="60"/>
      <x:c r="BN453" s="58"/>
      <x:c r="BO453" s="47"/>
      <x:c r="BP453" s="60"/>
      <x:c r="BQ453" s="58"/>
      <x:c r="BR453" s="47"/>
      <x:c r="BS453" s="60"/>
      <x:c r="BT453" s="58"/>
      <x:c r="BU453" s="47"/>
      <x:c r="BV453" s="60"/>
      <x:c r="BW453" s="58"/>
      <x:c r="BX453" s="47"/>
      <x:c r="BY453" s="60"/>
      <x:c r="BZ453" s="58"/>
      <x:c r="CA453" s="47"/>
      <x:c r="CB453" s="60"/>
      <x:c r="CC453" s="58"/>
      <x:c r="CD453" s="47"/>
      <x:c r="CE453" s="60"/>
      <x:c r="CF453" s="58"/>
      <x:c r="CG453" s="47"/>
      <x:c r="CH453" s="60"/>
      <x:c r="CI453" s="58"/>
      <x:c r="CJ453" s="47"/>
      <x:c r="CK453" s="60"/>
      <x:c r="CL453" s="58"/>
      <x:c r="CM453" s="47"/>
      <x:c r="CN453" s="60"/>
      <x:c r="CO453" s="58"/>
      <x:c r="CP453" s="47"/>
      <x:c r="CQ453" s="60"/>
      <x:c r="CR453" s="58"/>
      <x:c r="CS453" s="47"/>
      <x:c r="CT453" s="60"/>
      <x:c r="CU453" s="58"/>
      <x:c r="CV453" s="47"/>
      <x:c r="CW453" s="60"/>
      <x:c r="CX453" s="58"/>
      <x:c r="CY453" s="47"/>
      <x:c r="CZ453" s="60"/>
      <x:c r="DA453" s="58"/>
      <x:c r="DB453" s="47"/>
      <x:c r="DC453" s="60"/>
      <x:c r="DD453" s="58"/>
      <x:c r="DE453" s="47"/>
      <x:c r="DF453" s="60"/>
      <x:c r="DG453" s="58"/>
      <x:c r="DH453" s="47"/>
      <x:c r="DI453" s="60"/>
      <x:c r="DJ453" s="58"/>
      <x:c r="DK453" s="47"/>
      <x:c r="DL453" s="60"/>
      <x:c r="DM453" s="58"/>
      <x:c r="DN453" s="11"/>
      <x:c r="DO453" s="61"/>
      <x:c r="DP453" s="62"/>
      <x:c r="DQ453" s="11"/>
      <x:c r="DR453" s="61"/>
      <x:c r="DS453" s="62"/>
      <x:c r="DT453" s="11"/>
      <x:c r="DU453" s="61"/>
      <x:c r="DV453" s="62"/>
    </x:row>
    <x:row r="454" spans="1:126" x14ac:dyDescent="0.3">
      <x:c r="A454" s="47"/>
      <x:c r="B454" s="70"/>
      <x:c r="C454" s="70"/>
      <x:c r="D454" s="70"/>
      <x:c r="E454" s="70"/>
      <x:c r="F454" s="70"/>
      <x:c r="G454" s="70"/>
      <x:c r="H454" s="70"/>
      <x:c r="I454" s="70"/>
      <x:c r="J454" s="70"/>
      <x:c r="K454" s="190"/>
      <x:c r="L454" s="195"/>
      <x:c r="M454" s="192"/>
      <x:c r="N454" s="192"/>
      <x:c r="O454" s="69"/>
      <x:c r="P454" s="47"/>
      <x:c r="Q454" s="60"/>
      <x:c r="R454" s="58"/>
      <x:c r="S454" s="47"/>
      <x:c r="T454" s="60"/>
      <x:c r="U454" s="58"/>
      <x:c r="V454" s="47"/>
      <x:c r="W454" s="60"/>
      <x:c r="X454" s="58"/>
      <x:c r="Y454" s="47"/>
      <x:c r="Z454" s="60"/>
      <x:c r="AA454" s="58"/>
      <x:c r="AB454" s="47"/>
      <x:c r="AC454" s="60"/>
      <x:c r="AD454" s="58"/>
      <x:c r="AE454" s="47"/>
      <x:c r="AF454" s="60"/>
      <x:c r="AG454" s="58"/>
      <x:c r="AH454" s="47"/>
      <x:c r="AI454" s="60"/>
      <x:c r="AJ454" s="58"/>
      <x:c r="AK454" s="47"/>
      <x:c r="AL454" s="60"/>
      <x:c r="AM454" s="58"/>
      <x:c r="AN454" s="47"/>
      <x:c r="AO454" s="60"/>
      <x:c r="AP454" s="58"/>
      <x:c r="AQ454" s="47"/>
      <x:c r="AR454" s="60"/>
      <x:c r="AS454" s="58"/>
      <x:c r="AT454" s="47"/>
      <x:c r="AU454" s="60"/>
      <x:c r="AV454" s="58"/>
      <x:c r="AW454" s="47"/>
      <x:c r="AX454" s="60"/>
      <x:c r="AY454" s="58"/>
      <x:c r="AZ454" s="47"/>
      <x:c r="BA454" s="60"/>
      <x:c r="BB454" s="58"/>
      <x:c r="BC454" s="47"/>
      <x:c r="BD454" s="60"/>
      <x:c r="BE454" s="58"/>
      <x:c r="BF454" s="47"/>
      <x:c r="BG454" s="60"/>
      <x:c r="BH454" s="58"/>
      <x:c r="BI454" s="47"/>
      <x:c r="BJ454" s="60"/>
      <x:c r="BK454" s="58"/>
      <x:c r="BL454" s="47"/>
      <x:c r="BM454" s="60"/>
      <x:c r="BN454" s="58"/>
      <x:c r="BO454" s="47"/>
      <x:c r="BP454" s="60"/>
      <x:c r="BQ454" s="58"/>
      <x:c r="BR454" s="47"/>
      <x:c r="BS454" s="60"/>
      <x:c r="BT454" s="58"/>
      <x:c r="BU454" s="47"/>
      <x:c r="BV454" s="60"/>
      <x:c r="BW454" s="58"/>
      <x:c r="BX454" s="47"/>
      <x:c r="BY454" s="60"/>
      <x:c r="BZ454" s="58"/>
      <x:c r="CA454" s="47"/>
      <x:c r="CB454" s="60"/>
      <x:c r="CC454" s="58"/>
      <x:c r="CD454" s="47"/>
      <x:c r="CE454" s="60"/>
      <x:c r="CF454" s="58"/>
      <x:c r="CG454" s="47"/>
      <x:c r="CH454" s="60"/>
      <x:c r="CI454" s="58"/>
      <x:c r="CJ454" s="47"/>
      <x:c r="CK454" s="60"/>
      <x:c r="CL454" s="58"/>
      <x:c r="CM454" s="47"/>
      <x:c r="CN454" s="60"/>
      <x:c r="CO454" s="58"/>
      <x:c r="CP454" s="47"/>
      <x:c r="CQ454" s="60"/>
      <x:c r="CR454" s="58"/>
      <x:c r="CS454" s="47"/>
      <x:c r="CT454" s="60"/>
      <x:c r="CU454" s="58"/>
      <x:c r="CV454" s="47"/>
      <x:c r="CW454" s="60"/>
      <x:c r="CX454" s="58"/>
      <x:c r="CY454" s="47"/>
      <x:c r="CZ454" s="60"/>
      <x:c r="DA454" s="58"/>
      <x:c r="DB454" s="47"/>
      <x:c r="DC454" s="60"/>
      <x:c r="DD454" s="58"/>
      <x:c r="DE454" s="47"/>
      <x:c r="DF454" s="60"/>
      <x:c r="DG454" s="58"/>
      <x:c r="DH454" s="47"/>
      <x:c r="DI454" s="60"/>
      <x:c r="DJ454" s="58"/>
      <x:c r="DK454" s="47"/>
      <x:c r="DL454" s="60"/>
      <x:c r="DM454" s="58"/>
      <x:c r="DN454" s="11"/>
      <x:c r="DO454" s="61"/>
      <x:c r="DP454" s="62"/>
      <x:c r="DQ454" s="11"/>
      <x:c r="DR454" s="61"/>
      <x:c r="DS454" s="62"/>
      <x:c r="DT454" s="11"/>
      <x:c r="DU454" s="61"/>
      <x:c r="DV454" s="62"/>
    </x:row>
    <x:row r="455" spans="1:126" x14ac:dyDescent="0.3">
      <x:c r="A455" s="47"/>
      <x:c r="B455" s="70"/>
      <x:c r="C455" s="70"/>
      <x:c r="D455" s="70"/>
      <x:c r="E455" s="70"/>
      <x:c r="F455" s="70"/>
      <x:c r="G455" s="70"/>
      <x:c r="H455" s="70"/>
      <x:c r="I455" s="70"/>
      <x:c r="J455" s="70"/>
      <x:c r="K455" s="190"/>
      <x:c r="L455" s="195"/>
      <x:c r="M455" s="192"/>
      <x:c r="N455" s="192"/>
      <x:c r="O455" s="69"/>
      <x:c r="P455" s="47"/>
      <x:c r="Q455" s="60"/>
      <x:c r="R455" s="58"/>
      <x:c r="S455" s="47"/>
      <x:c r="T455" s="60"/>
      <x:c r="U455" s="58"/>
      <x:c r="V455" s="47"/>
      <x:c r="W455" s="60"/>
      <x:c r="X455" s="58"/>
      <x:c r="Y455" s="47"/>
      <x:c r="Z455" s="60"/>
      <x:c r="AA455" s="58"/>
      <x:c r="AB455" s="47"/>
      <x:c r="AC455" s="60"/>
      <x:c r="AD455" s="58"/>
      <x:c r="AE455" s="47"/>
      <x:c r="AF455" s="60"/>
      <x:c r="AG455" s="58"/>
      <x:c r="AH455" s="47"/>
      <x:c r="AI455" s="60"/>
      <x:c r="AJ455" s="58"/>
      <x:c r="AK455" s="47"/>
      <x:c r="AL455" s="60"/>
      <x:c r="AM455" s="58"/>
      <x:c r="AN455" s="47"/>
      <x:c r="AO455" s="60"/>
      <x:c r="AP455" s="58"/>
      <x:c r="AQ455" s="47"/>
      <x:c r="AR455" s="60"/>
      <x:c r="AS455" s="58"/>
      <x:c r="AT455" s="47"/>
      <x:c r="AU455" s="60"/>
      <x:c r="AV455" s="58"/>
      <x:c r="AW455" s="47"/>
      <x:c r="AX455" s="60"/>
      <x:c r="AY455" s="58"/>
      <x:c r="AZ455" s="47"/>
      <x:c r="BA455" s="60"/>
      <x:c r="BB455" s="58"/>
      <x:c r="BC455" s="47"/>
      <x:c r="BD455" s="60"/>
      <x:c r="BE455" s="58"/>
      <x:c r="BF455" s="47"/>
      <x:c r="BG455" s="60"/>
      <x:c r="BH455" s="58"/>
      <x:c r="BI455" s="47"/>
      <x:c r="BJ455" s="60"/>
      <x:c r="BK455" s="58"/>
      <x:c r="BL455" s="47"/>
      <x:c r="BM455" s="60"/>
      <x:c r="BN455" s="58"/>
      <x:c r="BO455" s="47"/>
      <x:c r="BP455" s="60"/>
      <x:c r="BQ455" s="58"/>
      <x:c r="BR455" s="47"/>
      <x:c r="BS455" s="60"/>
      <x:c r="BT455" s="58"/>
      <x:c r="BU455" s="47"/>
      <x:c r="BV455" s="60"/>
      <x:c r="BW455" s="58"/>
      <x:c r="BX455" s="47"/>
      <x:c r="BY455" s="60"/>
      <x:c r="BZ455" s="58"/>
      <x:c r="CA455" s="47"/>
      <x:c r="CB455" s="60"/>
      <x:c r="CC455" s="58"/>
      <x:c r="CD455" s="47"/>
      <x:c r="CE455" s="60"/>
      <x:c r="CF455" s="58"/>
      <x:c r="CG455" s="47"/>
      <x:c r="CH455" s="60"/>
      <x:c r="CI455" s="58"/>
      <x:c r="CJ455" s="47"/>
      <x:c r="CK455" s="60"/>
      <x:c r="CL455" s="58"/>
      <x:c r="CM455" s="47"/>
      <x:c r="CN455" s="60"/>
      <x:c r="CO455" s="58"/>
      <x:c r="CP455" s="47"/>
      <x:c r="CQ455" s="60"/>
      <x:c r="CR455" s="58"/>
      <x:c r="CS455" s="47"/>
      <x:c r="CT455" s="60"/>
      <x:c r="CU455" s="58"/>
      <x:c r="CV455" s="47"/>
      <x:c r="CW455" s="60"/>
      <x:c r="CX455" s="58"/>
      <x:c r="CY455" s="47"/>
      <x:c r="CZ455" s="60"/>
      <x:c r="DA455" s="58"/>
      <x:c r="DB455" s="47"/>
      <x:c r="DC455" s="60"/>
      <x:c r="DD455" s="58"/>
      <x:c r="DE455" s="47"/>
      <x:c r="DF455" s="60"/>
      <x:c r="DG455" s="58"/>
      <x:c r="DH455" s="47"/>
      <x:c r="DI455" s="60"/>
      <x:c r="DJ455" s="58"/>
      <x:c r="DK455" s="47"/>
      <x:c r="DL455" s="60"/>
      <x:c r="DM455" s="58"/>
      <x:c r="DN455" s="11"/>
      <x:c r="DO455" s="61"/>
      <x:c r="DP455" s="62"/>
      <x:c r="DQ455" s="11"/>
      <x:c r="DR455" s="61"/>
      <x:c r="DS455" s="62"/>
      <x:c r="DT455" s="11"/>
      <x:c r="DU455" s="61"/>
      <x:c r="DV455" s="62"/>
    </x:row>
    <x:row r="456" spans="1:126" x14ac:dyDescent="0.3">
      <x:c r="A456" s="47"/>
      <x:c r="B456" s="70"/>
      <x:c r="C456" s="70"/>
      <x:c r="D456" s="70"/>
      <x:c r="E456" s="70"/>
      <x:c r="F456" s="70"/>
      <x:c r="G456" s="70"/>
      <x:c r="H456" s="70"/>
      <x:c r="I456" s="70"/>
      <x:c r="J456" s="70"/>
      <x:c r="K456" s="190"/>
      <x:c r="L456" s="195"/>
      <x:c r="M456" s="192"/>
      <x:c r="N456" s="192"/>
      <x:c r="O456" s="69"/>
      <x:c r="P456" s="47"/>
      <x:c r="Q456" s="60"/>
      <x:c r="R456" s="58"/>
      <x:c r="S456" s="47"/>
      <x:c r="T456" s="60"/>
      <x:c r="U456" s="58"/>
      <x:c r="V456" s="47"/>
      <x:c r="W456" s="60"/>
      <x:c r="X456" s="58"/>
      <x:c r="Y456" s="47"/>
      <x:c r="Z456" s="60"/>
      <x:c r="AA456" s="58"/>
      <x:c r="AB456" s="47"/>
      <x:c r="AC456" s="60"/>
      <x:c r="AD456" s="58"/>
      <x:c r="AE456" s="47"/>
      <x:c r="AF456" s="60"/>
      <x:c r="AG456" s="58"/>
      <x:c r="AH456" s="47"/>
      <x:c r="AI456" s="60"/>
      <x:c r="AJ456" s="58"/>
      <x:c r="AK456" s="47"/>
      <x:c r="AL456" s="60"/>
      <x:c r="AM456" s="58"/>
      <x:c r="AN456" s="47"/>
      <x:c r="AO456" s="60"/>
      <x:c r="AP456" s="58"/>
      <x:c r="AQ456" s="47"/>
      <x:c r="AR456" s="60"/>
      <x:c r="AS456" s="58"/>
      <x:c r="AT456" s="47"/>
      <x:c r="AU456" s="60"/>
      <x:c r="AV456" s="58"/>
      <x:c r="AW456" s="47"/>
      <x:c r="AX456" s="60"/>
      <x:c r="AY456" s="58"/>
      <x:c r="AZ456" s="47"/>
      <x:c r="BA456" s="60"/>
      <x:c r="BB456" s="58"/>
      <x:c r="BC456" s="47"/>
      <x:c r="BD456" s="60"/>
      <x:c r="BE456" s="58"/>
      <x:c r="BF456" s="47"/>
      <x:c r="BG456" s="60"/>
      <x:c r="BH456" s="58"/>
      <x:c r="BI456" s="47"/>
      <x:c r="BJ456" s="60"/>
      <x:c r="BK456" s="58"/>
      <x:c r="BL456" s="47"/>
      <x:c r="BM456" s="60"/>
      <x:c r="BN456" s="58"/>
      <x:c r="BO456" s="47"/>
      <x:c r="BP456" s="60"/>
      <x:c r="BQ456" s="58"/>
      <x:c r="BR456" s="47"/>
      <x:c r="BS456" s="60"/>
      <x:c r="BT456" s="58"/>
      <x:c r="BU456" s="47"/>
      <x:c r="BV456" s="60"/>
      <x:c r="BW456" s="58"/>
      <x:c r="BX456" s="47"/>
      <x:c r="BY456" s="60"/>
      <x:c r="BZ456" s="58"/>
      <x:c r="CA456" s="47"/>
      <x:c r="CB456" s="60"/>
      <x:c r="CC456" s="58"/>
      <x:c r="CD456" s="47"/>
      <x:c r="CE456" s="60"/>
      <x:c r="CF456" s="58"/>
      <x:c r="CG456" s="47"/>
      <x:c r="CH456" s="60"/>
      <x:c r="CI456" s="58"/>
      <x:c r="CJ456" s="47"/>
      <x:c r="CK456" s="60"/>
      <x:c r="CL456" s="58"/>
      <x:c r="CM456" s="47"/>
      <x:c r="CN456" s="60"/>
      <x:c r="CO456" s="58"/>
      <x:c r="CP456" s="47"/>
      <x:c r="CQ456" s="60"/>
      <x:c r="CR456" s="58"/>
      <x:c r="CS456" s="47"/>
      <x:c r="CT456" s="60"/>
      <x:c r="CU456" s="58"/>
      <x:c r="CV456" s="47"/>
      <x:c r="CW456" s="60"/>
      <x:c r="CX456" s="58"/>
      <x:c r="CY456" s="47"/>
      <x:c r="CZ456" s="60"/>
      <x:c r="DA456" s="58"/>
      <x:c r="DB456" s="47"/>
      <x:c r="DC456" s="60"/>
      <x:c r="DD456" s="58"/>
      <x:c r="DE456" s="47"/>
      <x:c r="DF456" s="60"/>
      <x:c r="DG456" s="58"/>
      <x:c r="DH456" s="47"/>
      <x:c r="DI456" s="60"/>
      <x:c r="DJ456" s="58"/>
      <x:c r="DK456" s="47"/>
      <x:c r="DL456" s="60"/>
      <x:c r="DM456" s="58"/>
      <x:c r="DN456" s="11"/>
      <x:c r="DO456" s="61"/>
      <x:c r="DP456" s="62"/>
      <x:c r="DQ456" s="11"/>
      <x:c r="DR456" s="61"/>
      <x:c r="DS456" s="62"/>
      <x:c r="DT456" s="11"/>
      <x:c r="DU456" s="61"/>
      <x:c r="DV456" s="62"/>
    </x:row>
    <x:row r="457" spans="1:126" x14ac:dyDescent="0.3">
      <x:c r="A457" s="47"/>
      <x:c r="B457" s="70"/>
      <x:c r="C457" s="70"/>
      <x:c r="D457" s="70"/>
      <x:c r="E457" s="70"/>
      <x:c r="F457" s="70"/>
      <x:c r="G457" s="70"/>
      <x:c r="H457" s="70"/>
      <x:c r="I457" s="70"/>
      <x:c r="J457" s="70"/>
      <x:c r="K457" s="190"/>
      <x:c r="L457" s="195"/>
      <x:c r="M457" s="192"/>
      <x:c r="N457" s="192"/>
      <x:c r="O457" s="69"/>
      <x:c r="P457" s="47"/>
      <x:c r="Q457" s="60"/>
      <x:c r="R457" s="58"/>
      <x:c r="S457" s="47"/>
      <x:c r="T457" s="60"/>
      <x:c r="U457" s="58"/>
      <x:c r="V457" s="47"/>
      <x:c r="W457" s="60"/>
      <x:c r="X457" s="58"/>
      <x:c r="Y457" s="47"/>
      <x:c r="Z457" s="60"/>
      <x:c r="AA457" s="58"/>
      <x:c r="AB457" s="47"/>
      <x:c r="AC457" s="60"/>
      <x:c r="AD457" s="58"/>
      <x:c r="AE457" s="47"/>
      <x:c r="AF457" s="60"/>
      <x:c r="AG457" s="58"/>
      <x:c r="AH457" s="47"/>
      <x:c r="AI457" s="60"/>
      <x:c r="AJ457" s="58"/>
      <x:c r="AK457" s="47"/>
      <x:c r="AL457" s="60"/>
      <x:c r="AM457" s="58"/>
      <x:c r="AN457" s="47"/>
      <x:c r="AO457" s="60"/>
      <x:c r="AP457" s="58"/>
      <x:c r="AQ457" s="47"/>
      <x:c r="AR457" s="60"/>
      <x:c r="AS457" s="58"/>
      <x:c r="AT457" s="47"/>
      <x:c r="AU457" s="60"/>
      <x:c r="AV457" s="58"/>
      <x:c r="AW457" s="47"/>
      <x:c r="AX457" s="60"/>
      <x:c r="AY457" s="58"/>
      <x:c r="AZ457" s="47"/>
      <x:c r="BA457" s="60"/>
      <x:c r="BB457" s="58"/>
      <x:c r="BC457" s="47"/>
      <x:c r="BD457" s="60"/>
      <x:c r="BE457" s="58"/>
      <x:c r="BF457" s="47"/>
      <x:c r="BG457" s="60"/>
      <x:c r="BH457" s="58"/>
      <x:c r="BI457" s="47"/>
      <x:c r="BJ457" s="60"/>
      <x:c r="BK457" s="58"/>
      <x:c r="BL457" s="47"/>
      <x:c r="BM457" s="60"/>
      <x:c r="BN457" s="58"/>
      <x:c r="BO457" s="47"/>
      <x:c r="BP457" s="60"/>
      <x:c r="BQ457" s="58"/>
      <x:c r="BR457" s="47"/>
      <x:c r="BS457" s="60"/>
      <x:c r="BT457" s="58"/>
      <x:c r="BU457" s="47"/>
      <x:c r="BV457" s="60"/>
      <x:c r="BW457" s="58"/>
      <x:c r="BX457" s="47"/>
      <x:c r="BY457" s="60"/>
      <x:c r="BZ457" s="58"/>
      <x:c r="CA457" s="47"/>
      <x:c r="CB457" s="60"/>
      <x:c r="CC457" s="58"/>
      <x:c r="CD457" s="47"/>
      <x:c r="CE457" s="60"/>
      <x:c r="CF457" s="58"/>
      <x:c r="CG457" s="47"/>
      <x:c r="CH457" s="60"/>
      <x:c r="CI457" s="58"/>
      <x:c r="CJ457" s="47"/>
      <x:c r="CK457" s="60"/>
      <x:c r="CL457" s="58"/>
      <x:c r="CM457" s="47"/>
      <x:c r="CN457" s="60"/>
      <x:c r="CO457" s="58"/>
      <x:c r="CP457" s="47"/>
      <x:c r="CQ457" s="60"/>
      <x:c r="CR457" s="58"/>
      <x:c r="CS457" s="47"/>
      <x:c r="CT457" s="60"/>
      <x:c r="CU457" s="58"/>
      <x:c r="CV457" s="47"/>
      <x:c r="CW457" s="60"/>
      <x:c r="CX457" s="58"/>
      <x:c r="CY457" s="47"/>
      <x:c r="CZ457" s="60"/>
      <x:c r="DA457" s="58"/>
      <x:c r="DB457" s="47"/>
      <x:c r="DC457" s="60"/>
      <x:c r="DD457" s="58"/>
      <x:c r="DE457" s="47"/>
      <x:c r="DF457" s="60"/>
      <x:c r="DG457" s="58"/>
      <x:c r="DH457" s="47"/>
      <x:c r="DI457" s="60"/>
      <x:c r="DJ457" s="58"/>
      <x:c r="DK457" s="47"/>
      <x:c r="DL457" s="60"/>
      <x:c r="DM457" s="58"/>
      <x:c r="DN457" s="11"/>
      <x:c r="DO457" s="61"/>
      <x:c r="DP457" s="62"/>
      <x:c r="DQ457" s="11"/>
      <x:c r="DR457" s="61"/>
      <x:c r="DS457" s="62"/>
      <x:c r="DT457" s="11"/>
      <x:c r="DU457" s="61"/>
      <x:c r="DV457" s="62"/>
    </x:row>
    <x:row r="458" spans="1:126" x14ac:dyDescent="0.3">
      <x:c r="A458" s="47"/>
      <x:c r="B458" s="70"/>
      <x:c r="C458" s="70"/>
      <x:c r="D458" s="70"/>
      <x:c r="E458" s="70"/>
      <x:c r="F458" s="70"/>
      <x:c r="G458" s="70"/>
      <x:c r="H458" s="70"/>
      <x:c r="I458" s="70"/>
      <x:c r="J458" s="70"/>
      <x:c r="K458" s="190"/>
      <x:c r="L458" s="195"/>
      <x:c r="M458" s="192"/>
      <x:c r="N458" s="192"/>
      <x:c r="O458" s="69"/>
      <x:c r="P458" s="47"/>
      <x:c r="Q458" s="60"/>
      <x:c r="R458" s="58"/>
      <x:c r="S458" s="47"/>
      <x:c r="T458" s="60"/>
      <x:c r="U458" s="58"/>
      <x:c r="V458" s="47"/>
      <x:c r="W458" s="60"/>
      <x:c r="X458" s="58"/>
      <x:c r="Y458" s="47"/>
      <x:c r="Z458" s="60"/>
      <x:c r="AA458" s="58"/>
      <x:c r="AB458" s="47"/>
      <x:c r="AC458" s="60"/>
      <x:c r="AD458" s="58"/>
      <x:c r="AE458" s="47"/>
      <x:c r="AF458" s="60"/>
      <x:c r="AG458" s="58"/>
      <x:c r="AH458" s="47"/>
      <x:c r="AI458" s="60"/>
      <x:c r="AJ458" s="58"/>
      <x:c r="AK458" s="47"/>
      <x:c r="AL458" s="60"/>
      <x:c r="AM458" s="58"/>
      <x:c r="AN458" s="47"/>
      <x:c r="AO458" s="60"/>
      <x:c r="AP458" s="58"/>
      <x:c r="AQ458" s="47"/>
      <x:c r="AR458" s="60"/>
      <x:c r="AS458" s="58"/>
      <x:c r="AT458" s="47"/>
      <x:c r="AU458" s="60"/>
      <x:c r="AV458" s="58"/>
      <x:c r="AW458" s="47"/>
      <x:c r="AX458" s="60"/>
      <x:c r="AY458" s="58"/>
      <x:c r="AZ458" s="47"/>
      <x:c r="BA458" s="60"/>
      <x:c r="BB458" s="58"/>
      <x:c r="BC458" s="47"/>
      <x:c r="BD458" s="60"/>
      <x:c r="BE458" s="58"/>
      <x:c r="BF458" s="47"/>
      <x:c r="BG458" s="60"/>
      <x:c r="BH458" s="58"/>
      <x:c r="BI458" s="47"/>
      <x:c r="BJ458" s="60"/>
      <x:c r="BK458" s="58"/>
      <x:c r="BL458" s="47"/>
      <x:c r="BM458" s="60"/>
      <x:c r="BN458" s="58"/>
      <x:c r="BO458" s="47"/>
      <x:c r="BP458" s="60"/>
      <x:c r="BQ458" s="58"/>
      <x:c r="BR458" s="47"/>
      <x:c r="BS458" s="60"/>
      <x:c r="BT458" s="58"/>
      <x:c r="BU458" s="47"/>
      <x:c r="BV458" s="60"/>
      <x:c r="BW458" s="58"/>
      <x:c r="BX458" s="47"/>
      <x:c r="BY458" s="60"/>
      <x:c r="BZ458" s="58"/>
      <x:c r="CA458" s="47"/>
      <x:c r="CB458" s="60"/>
      <x:c r="CC458" s="58"/>
      <x:c r="CD458" s="47"/>
      <x:c r="CE458" s="60"/>
      <x:c r="CF458" s="58"/>
      <x:c r="CG458" s="47"/>
      <x:c r="CH458" s="60"/>
      <x:c r="CI458" s="58"/>
      <x:c r="CJ458" s="47"/>
      <x:c r="CK458" s="60"/>
      <x:c r="CL458" s="58"/>
      <x:c r="CM458" s="47"/>
      <x:c r="CN458" s="60"/>
      <x:c r="CO458" s="58"/>
      <x:c r="CP458" s="47"/>
      <x:c r="CQ458" s="60"/>
      <x:c r="CR458" s="58"/>
      <x:c r="CS458" s="47"/>
      <x:c r="CT458" s="60"/>
      <x:c r="CU458" s="58"/>
      <x:c r="CV458" s="47"/>
      <x:c r="CW458" s="60"/>
      <x:c r="CX458" s="58"/>
      <x:c r="CY458" s="47"/>
      <x:c r="CZ458" s="60"/>
      <x:c r="DA458" s="58"/>
      <x:c r="DB458" s="47"/>
      <x:c r="DC458" s="60"/>
      <x:c r="DD458" s="58"/>
      <x:c r="DE458" s="47"/>
      <x:c r="DF458" s="60"/>
      <x:c r="DG458" s="58"/>
      <x:c r="DH458" s="47"/>
      <x:c r="DI458" s="60"/>
      <x:c r="DJ458" s="58"/>
      <x:c r="DK458" s="47"/>
      <x:c r="DL458" s="60"/>
      <x:c r="DM458" s="58"/>
      <x:c r="DN458" s="11"/>
      <x:c r="DO458" s="61"/>
      <x:c r="DP458" s="62"/>
      <x:c r="DQ458" s="11"/>
      <x:c r="DR458" s="61"/>
      <x:c r="DS458" s="62"/>
      <x:c r="DT458" s="11"/>
      <x:c r="DU458" s="61"/>
      <x:c r="DV458" s="62"/>
    </x:row>
    <x:row r="459" spans="1:126" x14ac:dyDescent="0.3">
      <x:c r="A459" s="47"/>
      <x:c r="B459" s="70"/>
      <x:c r="C459" s="70"/>
      <x:c r="D459" s="70"/>
      <x:c r="E459" s="70"/>
      <x:c r="F459" s="70"/>
      <x:c r="G459" s="70"/>
      <x:c r="H459" s="70"/>
      <x:c r="I459" s="70"/>
      <x:c r="J459" s="70"/>
      <x:c r="K459" s="190"/>
      <x:c r="L459" s="195"/>
      <x:c r="M459" s="192"/>
      <x:c r="N459" s="192"/>
      <x:c r="O459" s="69"/>
      <x:c r="P459" s="47"/>
      <x:c r="Q459" s="60"/>
      <x:c r="R459" s="58"/>
      <x:c r="S459" s="47"/>
      <x:c r="T459" s="60"/>
      <x:c r="U459" s="58"/>
      <x:c r="V459" s="47"/>
      <x:c r="W459" s="60"/>
      <x:c r="X459" s="58"/>
      <x:c r="Y459" s="47"/>
      <x:c r="Z459" s="60"/>
      <x:c r="AA459" s="58"/>
      <x:c r="AB459" s="47"/>
      <x:c r="AC459" s="60"/>
      <x:c r="AD459" s="58"/>
      <x:c r="AE459" s="47"/>
      <x:c r="AF459" s="60"/>
      <x:c r="AG459" s="58"/>
      <x:c r="AH459" s="47"/>
      <x:c r="AI459" s="60"/>
      <x:c r="AJ459" s="58"/>
      <x:c r="AK459" s="47"/>
      <x:c r="AL459" s="60"/>
      <x:c r="AM459" s="58"/>
      <x:c r="AN459" s="47"/>
      <x:c r="AO459" s="60"/>
      <x:c r="AP459" s="58"/>
      <x:c r="AQ459" s="47"/>
      <x:c r="AR459" s="60"/>
      <x:c r="AS459" s="58"/>
      <x:c r="AT459" s="47"/>
      <x:c r="AU459" s="60"/>
      <x:c r="AV459" s="58"/>
      <x:c r="AW459" s="47"/>
      <x:c r="AX459" s="60"/>
      <x:c r="AY459" s="58"/>
      <x:c r="AZ459" s="47"/>
      <x:c r="BA459" s="60"/>
      <x:c r="BB459" s="58"/>
      <x:c r="BC459" s="47"/>
      <x:c r="BD459" s="60"/>
      <x:c r="BE459" s="58"/>
      <x:c r="BF459" s="47"/>
      <x:c r="BG459" s="60"/>
      <x:c r="BH459" s="58"/>
      <x:c r="BI459" s="47"/>
      <x:c r="BJ459" s="60"/>
      <x:c r="BK459" s="58"/>
      <x:c r="BL459" s="47"/>
      <x:c r="BM459" s="60"/>
      <x:c r="BN459" s="58"/>
      <x:c r="BO459" s="47"/>
      <x:c r="BP459" s="60"/>
      <x:c r="BQ459" s="58"/>
      <x:c r="BR459" s="47"/>
      <x:c r="BS459" s="60"/>
      <x:c r="BT459" s="58"/>
      <x:c r="BU459" s="47"/>
      <x:c r="BV459" s="60"/>
      <x:c r="BW459" s="58"/>
      <x:c r="BX459" s="47"/>
      <x:c r="BY459" s="60"/>
      <x:c r="BZ459" s="58"/>
      <x:c r="CA459" s="47"/>
      <x:c r="CB459" s="60"/>
      <x:c r="CC459" s="58"/>
      <x:c r="CD459" s="47"/>
      <x:c r="CE459" s="60"/>
      <x:c r="CF459" s="58"/>
      <x:c r="CG459" s="47"/>
      <x:c r="CH459" s="60"/>
      <x:c r="CI459" s="58"/>
      <x:c r="CJ459" s="47"/>
      <x:c r="CK459" s="60"/>
      <x:c r="CL459" s="58"/>
      <x:c r="CM459" s="47"/>
      <x:c r="CN459" s="60"/>
      <x:c r="CO459" s="58"/>
      <x:c r="CP459" s="47"/>
      <x:c r="CQ459" s="60"/>
      <x:c r="CR459" s="58"/>
      <x:c r="CS459" s="47"/>
      <x:c r="CT459" s="60"/>
      <x:c r="CU459" s="58"/>
      <x:c r="CV459" s="47"/>
      <x:c r="CW459" s="60"/>
      <x:c r="CX459" s="58"/>
      <x:c r="CY459" s="47"/>
      <x:c r="CZ459" s="60"/>
      <x:c r="DA459" s="58"/>
      <x:c r="DB459" s="47"/>
      <x:c r="DC459" s="60"/>
      <x:c r="DD459" s="58"/>
      <x:c r="DE459" s="47"/>
      <x:c r="DF459" s="60"/>
      <x:c r="DG459" s="58"/>
      <x:c r="DH459" s="47"/>
      <x:c r="DI459" s="60"/>
      <x:c r="DJ459" s="58"/>
      <x:c r="DK459" s="47"/>
      <x:c r="DL459" s="60"/>
      <x:c r="DM459" s="58"/>
      <x:c r="DN459" s="11"/>
      <x:c r="DO459" s="61"/>
      <x:c r="DP459" s="62"/>
      <x:c r="DQ459" s="11"/>
      <x:c r="DR459" s="61"/>
      <x:c r="DS459" s="62"/>
      <x:c r="DT459" s="11"/>
      <x:c r="DU459" s="61"/>
      <x:c r="DV459" s="62"/>
    </x:row>
    <x:row r="460" spans="1:126" x14ac:dyDescent="0.3">
      <x:c r="A460" s="47"/>
      <x:c r="B460" s="70"/>
      <x:c r="C460" s="70"/>
      <x:c r="D460" s="70"/>
      <x:c r="E460" s="70"/>
      <x:c r="F460" s="70"/>
      <x:c r="G460" s="70"/>
      <x:c r="H460" s="70"/>
      <x:c r="I460" s="70"/>
      <x:c r="J460" s="70"/>
      <x:c r="K460" s="190"/>
      <x:c r="L460" s="195"/>
      <x:c r="M460" s="192"/>
      <x:c r="N460" s="192"/>
      <x:c r="O460" s="69"/>
      <x:c r="P460" s="47"/>
      <x:c r="Q460" s="60"/>
      <x:c r="R460" s="58"/>
      <x:c r="S460" s="47"/>
      <x:c r="T460" s="60"/>
      <x:c r="U460" s="58"/>
      <x:c r="V460" s="47"/>
      <x:c r="W460" s="60"/>
      <x:c r="X460" s="58"/>
      <x:c r="Y460" s="47"/>
      <x:c r="Z460" s="60"/>
      <x:c r="AA460" s="58"/>
      <x:c r="AB460" s="47"/>
      <x:c r="AC460" s="60"/>
      <x:c r="AD460" s="58"/>
      <x:c r="AE460" s="47"/>
      <x:c r="AF460" s="60"/>
      <x:c r="AG460" s="58"/>
      <x:c r="AH460" s="47"/>
      <x:c r="AI460" s="60"/>
      <x:c r="AJ460" s="58"/>
      <x:c r="AK460" s="47"/>
      <x:c r="AL460" s="60"/>
      <x:c r="AM460" s="58"/>
      <x:c r="AN460" s="47"/>
      <x:c r="AO460" s="60"/>
      <x:c r="AP460" s="58"/>
      <x:c r="AQ460" s="47"/>
      <x:c r="AR460" s="60"/>
      <x:c r="AS460" s="58"/>
      <x:c r="AT460" s="47"/>
      <x:c r="AU460" s="60"/>
      <x:c r="AV460" s="58"/>
      <x:c r="AW460" s="47"/>
      <x:c r="AX460" s="60"/>
      <x:c r="AY460" s="58"/>
      <x:c r="AZ460" s="47"/>
      <x:c r="BA460" s="60"/>
      <x:c r="BB460" s="58"/>
      <x:c r="BC460" s="47"/>
      <x:c r="BD460" s="60"/>
      <x:c r="BE460" s="58"/>
      <x:c r="BF460" s="47"/>
      <x:c r="BG460" s="60"/>
      <x:c r="BH460" s="58"/>
      <x:c r="BI460" s="47"/>
      <x:c r="BJ460" s="60"/>
      <x:c r="BK460" s="58"/>
      <x:c r="BL460" s="47"/>
      <x:c r="BM460" s="60"/>
      <x:c r="BN460" s="58"/>
      <x:c r="BO460" s="47"/>
      <x:c r="BP460" s="60"/>
      <x:c r="BQ460" s="58"/>
      <x:c r="BR460" s="47"/>
      <x:c r="BS460" s="60"/>
      <x:c r="BT460" s="58"/>
      <x:c r="BU460" s="47"/>
      <x:c r="BV460" s="60"/>
      <x:c r="BW460" s="58"/>
      <x:c r="BX460" s="47"/>
      <x:c r="BY460" s="60"/>
      <x:c r="BZ460" s="58"/>
      <x:c r="CA460" s="47"/>
      <x:c r="CB460" s="60"/>
      <x:c r="CC460" s="58"/>
      <x:c r="CD460" s="47"/>
      <x:c r="CE460" s="60"/>
      <x:c r="CF460" s="58"/>
      <x:c r="CG460" s="47"/>
      <x:c r="CH460" s="60"/>
      <x:c r="CI460" s="58"/>
      <x:c r="CJ460" s="47"/>
      <x:c r="CK460" s="60"/>
      <x:c r="CL460" s="58"/>
      <x:c r="CM460" s="47"/>
      <x:c r="CN460" s="60"/>
      <x:c r="CO460" s="58"/>
      <x:c r="CP460" s="47"/>
      <x:c r="CQ460" s="60"/>
      <x:c r="CR460" s="58"/>
      <x:c r="CS460" s="47"/>
      <x:c r="CT460" s="60"/>
      <x:c r="CU460" s="58"/>
      <x:c r="CV460" s="47"/>
      <x:c r="CW460" s="60"/>
      <x:c r="CX460" s="58"/>
      <x:c r="CY460" s="47"/>
      <x:c r="CZ460" s="60"/>
      <x:c r="DA460" s="58"/>
      <x:c r="DB460" s="47"/>
      <x:c r="DC460" s="60"/>
      <x:c r="DD460" s="58"/>
      <x:c r="DE460" s="47"/>
      <x:c r="DF460" s="60"/>
      <x:c r="DG460" s="58"/>
      <x:c r="DH460" s="47"/>
      <x:c r="DI460" s="60"/>
      <x:c r="DJ460" s="58"/>
      <x:c r="DK460" s="47"/>
      <x:c r="DL460" s="60"/>
      <x:c r="DM460" s="58"/>
      <x:c r="DN460" s="11"/>
      <x:c r="DO460" s="61"/>
      <x:c r="DP460" s="62"/>
      <x:c r="DQ460" s="11"/>
      <x:c r="DR460" s="61"/>
      <x:c r="DS460" s="62"/>
      <x:c r="DT460" s="11"/>
      <x:c r="DU460" s="61"/>
      <x:c r="DV460" s="62"/>
    </x:row>
    <x:row r="461" spans="1:126" x14ac:dyDescent="0.3">
      <x:c r="A461" s="47"/>
      <x:c r="B461" s="70"/>
      <x:c r="C461" s="70"/>
      <x:c r="D461" s="70"/>
      <x:c r="E461" s="70"/>
      <x:c r="F461" s="70"/>
      <x:c r="G461" s="70"/>
      <x:c r="H461" s="70"/>
      <x:c r="I461" s="70"/>
      <x:c r="J461" s="70"/>
      <x:c r="K461" s="190"/>
      <x:c r="L461" s="195"/>
      <x:c r="M461" s="192"/>
      <x:c r="N461" s="192"/>
      <x:c r="O461" s="69"/>
      <x:c r="P461" s="47"/>
      <x:c r="Q461" s="60"/>
      <x:c r="R461" s="58"/>
      <x:c r="S461" s="47"/>
      <x:c r="T461" s="60"/>
      <x:c r="U461" s="58"/>
      <x:c r="V461" s="47"/>
      <x:c r="W461" s="60"/>
      <x:c r="X461" s="58"/>
      <x:c r="Y461" s="47"/>
      <x:c r="Z461" s="60"/>
      <x:c r="AA461" s="58"/>
      <x:c r="AB461" s="47"/>
      <x:c r="AC461" s="60"/>
      <x:c r="AD461" s="58"/>
      <x:c r="AE461" s="47"/>
      <x:c r="AF461" s="60"/>
      <x:c r="AG461" s="58"/>
      <x:c r="AH461" s="47"/>
      <x:c r="AI461" s="60"/>
      <x:c r="AJ461" s="58"/>
      <x:c r="AK461" s="47"/>
      <x:c r="AL461" s="60"/>
      <x:c r="AM461" s="58"/>
      <x:c r="AN461" s="47"/>
      <x:c r="AO461" s="60"/>
      <x:c r="AP461" s="58"/>
      <x:c r="AQ461" s="47"/>
      <x:c r="AR461" s="60"/>
      <x:c r="AS461" s="58"/>
      <x:c r="AT461" s="47"/>
      <x:c r="AU461" s="60"/>
      <x:c r="AV461" s="58"/>
      <x:c r="AW461" s="47"/>
      <x:c r="AX461" s="60"/>
      <x:c r="AY461" s="58"/>
      <x:c r="AZ461" s="47"/>
      <x:c r="BA461" s="60"/>
      <x:c r="BB461" s="58"/>
      <x:c r="BC461" s="47"/>
      <x:c r="BD461" s="60"/>
      <x:c r="BE461" s="58"/>
      <x:c r="BF461" s="47"/>
      <x:c r="BG461" s="60"/>
      <x:c r="BH461" s="58"/>
      <x:c r="BI461" s="47"/>
      <x:c r="BJ461" s="60"/>
      <x:c r="BK461" s="58"/>
      <x:c r="BL461" s="47"/>
      <x:c r="BM461" s="60"/>
      <x:c r="BN461" s="58"/>
      <x:c r="BO461" s="47"/>
      <x:c r="BP461" s="60"/>
      <x:c r="BQ461" s="58"/>
      <x:c r="BR461" s="47"/>
      <x:c r="BS461" s="60"/>
      <x:c r="BT461" s="58"/>
      <x:c r="BU461" s="47"/>
      <x:c r="BV461" s="60"/>
      <x:c r="BW461" s="58"/>
      <x:c r="BX461" s="47"/>
      <x:c r="BY461" s="60"/>
      <x:c r="BZ461" s="58"/>
      <x:c r="CA461" s="47"/>
      <x:c r="CB461" s="60"/>
      <x:c r="CC461" s="58"/>
      <x:c r="CD461" s="47"/>
      <x:c r="CE461" s="60"/>
      <x:c r="CF461" s="58"/>
      <x:c r="CG461" s="47"/>
      <x:c r="CH461" s="60"/>
      <x:c r="CI461" s="58"/>
      <x:c r="CJ461" s="47"/>
      <x:c r="CK461" s="60"/>
      <x:c r="CL461" s="58"/>
      <x:c r="CM461" s="47"/>
      <x:c r="CN461" s="60"/>
      <x:c r="CO461" s="58"/>
      <x:c r="CP461" s="47"/>
      <x:c r="CQ461" s="60"/>
      <x:c r="CR461" s="58"/>
      <x:c r="CS461" s="47"/>
      <x:c r="CT461" s="60"/>
      <x:c r="CU461" s="58"/>
      <x:c r="CV461" s="47"/>
      <x:c r="CW461" s="60"/>
      <x:c r="CX461" s="58"/>
      <x:c r="CY461" s="47"/>
      <x:c r="CZ461" s="60"/>
      <x:c r="DA461" s="58"/>
      <x:c r="DB461" s="47"/>
      <x:c r="DC461" s="60"/>
      <x:c r="DD461" s="58"/>
      <x:c r="DE461" s="47"/>
      <x:c r="DF461" s="60"/>
      <x:c r="DG461" s="58"/>
      <x:c r="DH461" s="47"/>
      <x:c r="DI461" s="60"/>
      <x:c r="DJ461" s="58"/>
      <x:c r="DK461" s="47"/>
      <x:c r="DL461" s="60"/>
      <x:c r="DM461" s="58"/>
      <x:c r="DN461" s="11"/>
      <x:c r="DO461" s="61"/>
      <x:c r="DP461" s="62"/>
      <x:c r="DQ461" s="11"/>
      <x:c r="DR461" s="61"/>
      <x:c r="DS461" s="62"/>
      <x:c r="DT461" s="11"/>
      <x:c r="DU461" s="61"/>
      <x:c r="DV461" s="62"/>
    </x:row>
    <x:row r="462" spans="1:126" x14ac:dyDescent="0.3">
      <x:c r="A462" s="47"/>
      <x:c r="B462" s="70"/>
      <x:c r="C462" s="70"/>
      <x:c r="D462" s="70"/>
      <x:c r="E462" s="70"/>
      <x:c r="F462" s="70"/>
      <x:c r="G462" s="70"/>
      <x:c r="H462" s="70"/>
      <x:c r="I462" s="70"/>
      <x:c r="J462" s="70"/>
      <x:c r="K462" s="190"/>
      <x:c r="L462" s="195"/>
      <x:c r="M462" s="192"/>
      <x:c r="N462" s="192"/>
      <x:c r="O462" s="69"/>
      <x:c r="P462" s="47"/>
      <x:c r="Q462" s="60"/>
      <x:c r="R462" s="58"/>
      <x:c r="S462" s="47"/>
      <x:c r="T462" s="60"/>
      <x:c r="U462" s="58"/>
      <x:c r="V462" s="47"/>
      <x:c r="W462" s="60"/>
      <x:c r="X462" s="58"/>
      <x:c r="Y462" s="47"/>
      <x:c r="Z462" s="60"/>
      <x:c r="AA462" s="58"/>
      <x:c r="AB462" s="47"/>
      <x:c r="AC462" s="60"/>
      <x:c r="AD462" s="58"/>
      <x:c r="AE462" s="47"/>
      <x:c r="AF462" s="60"/>
      <x:c r="AG462" s="58"/>
      <x:c r="AH462" s="47"/>
      <x:c r="AI462" s="60"/>
      <x:c r="AJ462" s="58"/>
      <x:c r="AK462" s="47"/>
      <x:c r="AL462" s="60"/>
      <x:c r="AM462" s="58"/>
      <x:c r="AN462" s="47"/>
      <x:c r="AO462" s="60"/>
      <x:c r="AP462" s="58"/>
      <x:c r="AQ462" s="47"/>
      <x:c r="AR462" s="60"/>
      <x:c r="AS462" s="58"/>
      <x:c r="AT462" s="47"/>
      <x:c r="AU462" s="60"/>
      <x:c r="AV462" s="58"/>
      <x:c r="AW462" s="47"/>
      <x:c r="AX462" s="60"/>
      <x:c r="AY462" s="58"/>
      <x:c r="AZ462" s="47"/>
      <x:c r="BA462" s="60"/>
      <x:c r="BB462" s="58"/>
      <x:c r="BC462" s="47"/>
      <x:c r="BD462" s="60"/>
      <x:c r="BE462" s="58"/>
      <x:c r="BF462" s="47"/>
      <x:c r="BG462" s="60"/>
      <x:c r="BH462" s="58"/>
      <x:c r="BI462" s="47"/>
      <x:c r="BJ462" s="60"/>
      <x:c r="BK462" s="58"/>
      <x:c r="BL462" s="47"/>
      <x:c r="BM462" s="60"/>
      <x:c r="BN462" s="58"/>
      <x:c r="BO462" s="47"/>
      <x:c r="BP462" s="60"/>
      <x:c r="BQ462" s="58"/>
      <x:c r="BR462" s="47"/>
      <x:c r="BS462" s="60"/>
      <x:c r="BT462" s="58"/>
      <x:c r="BU462" s="47"/>
      <x:c r="BV462" s="60"/>
      <x:c r="BW462" s="58"/>
      <x:c r="BX462" s="47"/>
      <x:c r="BY462" s="60"/>
      <x:c r="BZ462" s="58"/>
      <x:c r="CA462" s="47"/>
      <x:c r="CB462" s="60"/>
      <x:c r="CC462" s="58"/>
      <x:c r="CD462" s="47"/>
      <x:c r="CE462" s="60"/>
      <x:c r="CF462" s="58"/>
      <x:c r="CG462" s="47"/>
      <x:c r="CH462" s="60"/>
      <x:c r="CI462" s="58"/>
      <x:c r="CJ462" s="47"/>
      <x:c r="CK462" s="60"/>
      <x:c r="CL462" s="58"/>
      <x:c r="CM462" s="47"/>
      <x:c r="CN462" s="60"/>
      <x:c r="CO462" s="58"/>
      <x:c r="CP462" s="47"/>
      <x:c r="CQ462" s="60"/>
      <x:c r="CR462" s="58"/>
      <x:c r="CS462" s="47"/>
      <x:c r="CT462" s="60"/>
      <x:c r="CU462" s="58"/>
      <x:c r="CV462" s="47"/>
      <x:c r="CW462" s="60"/>
      <x:c r="CX462" s="58"/>
      <x:c r="CY462" s="47"/>
      <x:c r="CZ462" s="60"/>
      <x:c r="DA462" s="58"/>
      <x:c r="DB462" s="47"/>
      <x:c r="DC462" s="60"/>
      <x:c r="DD462" s="58"/>
      <x:c r="DE462" s="47"/>
      <x:c r="DF462" s="60"/>
      <x:c r="DG462" s="58"/>
      <x:c r="DH462" s="47"/>
      <x:c r="DI462" s="60"/>
      <x:c r="DJ462" s="58"/>
      <x:c r="DK462" s="47"/>
      <x:c r="DL462" s="60"/>
      <x:c r="DM462" s="58"/>
      <x:c r="DN462" s="11"/>
      <x:c r="DO462" s="61"/>
      <x:c r="DP462" s="62"/>
      <x:c r="DQ462" s="11"/>
      <x:c r="DR462" s="61"/>
      <x:c r="DS462" s="62"/>
      <x:c r="DT462" s="11"/>
      <x:c r="DU462" s="61"/>
      <x:c r="DV462" s="62"/>
    </x:row>
    <x:row r="463" spans="1:126" x14ac:dyDescent="0.3">
      <x:c r="A463" s="47"/>
      <x:c r="B463" s="70"/>
      <x:c r="C463" s="70"/>
      <x:c r="D463" s="70"/>
      <x:c r="E463" s="70"/>
      <x:c r="F463" s="70"/>
      <x:c r="G463" s="70"/>
      <x:c r="H463" s="70"/>
      <x:c r="I463" s="70"/>
      <x:c r="J463" s="70"/>
      <x:c r="K463" s="190"/>
      <x:c r="L463" s="195"/>
      <x:c r="M463" s="192"/>
      <x:c r="N463" s="192"/>
      <x:c r="O463" s="69"/>
      <x:c r="P463" s="47"/>
      <x:c r="Q463" s="60"/>
      <x:c r="R463" s="58"/>
      <x:c r="S463" s="47"/>
      <x:c r="T463" s="60"/>
      <x:c r="U463" s="58"/>
      <x:c r="V463" s="47"/>
      <x:c r="W463" s="60"/>
      <x:c r="X463" s="58"/>
      <x:c r="Y463" s="47"/>
      <x:c r="Z463" s="60"/>
      <x:c r="AA463" s="58"/>
      <x:c r="AB463" s="47"/>
      <x:c r="AC463" s="60"/>
      <x:c r="AD463" s="58"/>
      <x:c r="AE463" s="47"/>
      <x:c r="AF463" s="60"/>
      <x:c r="AG463" s="58"/>
      <x:c r="AH463" s="47"/>
      <x:c r="AI463" s="60"/>
      <x:c r="AJ463" s="58"/>
      <x:c r="AK463" s="47"/>
      <x:c r="AL463" s="60"/>
      <x:c r="AM463" s="58"/>
      <x:c r="AN463" s="47"/>
      <x:c r="AO463" s="60"/>
      <x:c r="AP463" s="58"/>
      <x:c r="AQ463" s="47"/>
      <x:c r="AR463" s="60"/>
      <x:c r="AS463" s="58"/>
      <x:c r="AT463" s="47"/>
      <x:c r="AU463" s="60"/>
      <x:c r="AV463" s="58"/>
      <x:c r="AW463" s="47"/>
      <x:c r="AX463" s="60"/>
      <x:c r="AY463" s="58"/>
      <x:c r="AZ463" s="47"/>
      <x:c r="BA463" s="60"/>
      <x:c r="BB463" s="58"/>
      <x:c r="BC463" s="47"/>
      <x:c r="BD463" s="60"/>
      <x:c r="BE463" s="58"/>
      <x:c r="BF463" s="47"/>
      <x:c r="BG463" s="60"/>
      <x:c r="BH463" s="58"/>
      <x:c r="BI463" s="47"/>
      <x:c r="BJ463" s="60"/>
      <x:c r="BK463" s="58"/>
      <x:c r="BL463" s="47"/>
      <x:c r="BM463" s="60"/>
      <x:c r="BN463" s="58"/>
      <x:c r="BO463" s="47"/>
      <x:c r="BP463" s="60"/>
      <x:c r="BQ463" s="58"/>
      <x:c r="BR463" s="47"/>
      <x:c r="BS463" s="60"/>
      <x:c r="BT463" s="58"/>
      <x:c r="BU463" s="47"/>
      <x:c r="BV463" s="60"/>
      <x:c r="BW463" s="58"/>
      <x:c r="BX463" s="47"/>
      <x:c r="BY463" s="60"/>
      <x:c r="BZ463" s="58"/>
      <x:c r="CA463" s="47"/>
      <x:c r="CB463" s="60"/>
      <x:c r="CC463" s="58"/>
      <x:c r="CD463" s="47"/>
      <x:c r="CE463" s="60"/>
      <x:c r="CF463" s="58"/>
      <x:c r="CG463" s="47"/>
      <x:c r="CH463" s="60"/>
      <x:c r="CI463" s="58"/>
      <x:c r="CJ463" s="47"/>
      <x:c r="CK463" s="60"/>
      <x:c r="CL463" s="58"/>
      <x:c r="CM463" s="47"/>
      <x:c r="CN463" s="60"/>
      <x:c r="CO463" s="58"/>
      <x:c r="CP463" s="47"/>
      <x:c r="CQ463" s="60"/>
      <x:c r="CR463" s="58"/>
      <x:c r="CS463" s="47"/>
      <x:c r="CT463" s="60"/>
      <x:c r="CU463" s="58"/>
      <x:c r="CV463" s="47"/>
      <x:c r="CW463" s="60"/>
      <x:c r="CX463" s="58"/>
      <x:c r="CY463" s="47"/>
      <x:c r="CZ463" s="60"/>
      <x:c r="DA463" s="58"/>
      <x:c r="DB463" s="47"/>
      <x:c r="DC463" s="60"/>
      <x:c r="DD463" s="58"/>
      <x:c r="DE463" s="47"/>
      <x:c r="DF463" s="60"/>
      <x:c r="DG463" s="58"/>
      <x:c r="DH463" s="47"/>
      <x:c r="DI463" s="60"/>
      <x:c r="DJ463" s="58"/>
      <x:c r="DK463" s="47"/>
      <x:c r="DL463" s="60"/>
      <x:c r="DM463" s="58"/>
      <x:c r="DN463" s="11"/>
      <x:c r="DO463" s="61"/>
      <x:c r="DP463" s="62"/>
      <x:c r="DQ463" s="11"/>
      <x:c r="DR463" s="61"/>
      <x:c r="DS463" s="62"/>
      <x:c r="DT463" s="11"/>
      <x:c r="DU463" s="61"/>
      <x:c r="DV463" s="62"/>
    </x:row>
    <x:row r="464" spans="1:126" x14ac:dyDescent="0.3">
      <x:c r="A464" s="47"/>
      <x:c r="B464" s="70"/>
      <x:c r="C464" s="70"/>
      <x:c r="D464" s="70"/>
      <x:c r="E464" s="70"/>
      <x:c r="F464" s="70"/>
      <x:c r="G464" s="70"/>
      <x:c r="H464" s="70"/>
      <x:c r="I464" s="70"/>
      <x:c r="J464" s="70"/>
      <x:c r="K464" s="190"/>
      <x:c r="L464" s="195"/>
      <x:c r="M464" s="192"/>
      <x:c r="N464" s="192"/>
      <x:c r="O464" s="69"/>
      <x:c r="P464" s="47"/>
      <x:c r="Q464" s="60"/>
      <x:c r="R464" s="58"/>
      <x:c r="S464" s="47"/>
      <x:c r="T464" s="60"/>
      <x:c r="U464" s="58"/>
      <x:c r="V464" s="47"/>
      <x:c r="W464" s="60"/>
      <x:c r="X464" s="58"/>
      <x:c r="Y464" s="47"/>
      <x:c r="Z464" s="60"/>
      <x:c r="AA464" s="58"/>
      <x:c r="AB464" s="47"/>
      <x:c r="AC464" s="60"/>
      <x:c r="AD464" s="58"/>
      <x:c r="AE464" s="47"/>
      <x:c r="AF464" s="60"/>
      <x:c r="AG464" s="58"/>
      <x:c r="AH464" s="47"/>
      <x:c r="AI464" s="60"/>
      <x:c r="AJ464" s="58"/>
      <x:c r="AK464" s="47"/>
      <x:c r="AL464" s="60"/>
      <x:c r="AM464" s="58"/>
      <x:c r="AN464" s="47"/>
      <x:c r="AO464" s="60"/>
      <x:c r="AP464" s="58"/>
      <x:c r="AQ464" s="47"/>
      <x:c r="AR464" s="60"/>
      <x:c r="AS464" s="58"/>
      <x:c r="AT464" s="47"/>
      <x:c r="AU464" s="60"/>
      <x:c r="AV464" s="58"/>
      <x:c r="AW464" s="47"/>
      <x:c r="AX464" s="60"/>
      <x:c r="AY464" s="58"/>
      <x:c r="AZ464" s="47"/>
      <x:c r="BA464" s="60"/>
      <x:c r="BB464" s="58"/>
      <x:c r="BC464" s="47"/>
      <x:c r="BD464" s="60"/>
      <x:c r="BE464" s="58"/>
      <x:c r="BF464" s="47"/>
      <x:c r="BG464" s="60"/>
      <x:c r="BH464" s="58"/>
      <x:c r="BI464" s="47"/>
      <x:c r="BJ464" s="60"/>
      <x:c r="BK464" s="58"/>
      <x:c r="BL464" s="47"/>
      <x:c r="BM464" s="60"/>
      <x:c r="BN464" s="58"/>
      <x:c r="BO464" s="47"/>
      <x:c r="BP464" s="60"/>
      <x:c r="BQ464" s="58"/>
      <x:c r="BR464" s="47"/>
      <x:c r="BS464" s="60"/>
      <x:c r="BT464" s="58"/>
      <x:c r="BU464" s="47"/>
      <x:c r="BV464" s="60"/>
      <x:c r="BW464" s="58"/>
      <x:c r="BX464" s="47"/>
      <x:c r="BY464" s="60"/>
      <x:c r="BZ464" s="58"/>
      <x:c r="CA464" s="47"/>
      <x:c r="CB464" s="60"/>
      <x:c r="CC464" s="58"/>
      <x:c r="CD464" s="47"/>
      <x:c r="CE464" s="60"/>
      <x:c r="CF464" s="58"/>
      <x:c r="CG464" s="47"/>
      <x:c r="CH464" s="60"/>
      <x:c r="CI464" s="58"/>
      <x:c r="CJ464" s="47"/>
      <x:c r="CK464" s="60"/>
      <x:c r="CL464" s="58"/>
      <x:c r="CM464" s="47"/>
      <x:c r="CN464" s="60"/>
      <x:c r="CO464" s="58"/>
      <x:c r="CP464" s="47"/>
      <x:c r="CQ464" s="60"/>
      <x:c r="CR464" s="58"/>
      <x:c r="CS464" s="47"/>
      <x:c r="CT464" s="60"/>
      <x:c r="CU464" s="58"/>
      <x:c r="CV464" s="47"/>
      <x:c r="CW464" s="60"/>
      <x:c r="CX464" s="58"/>
      <x:c r="CY464" s="47"/>
      <x:c r="CZ464" s="60"/>
      <x:c r="DA464" s="58"/>
      <x:c r="DB464" s="47"/>
      <x:c r="DC464" s="60"/>
      <x:c r="DD464" s="58"/>
      <x:c r="DE464" s="47"/>
      <x:c r="DF464" s="60"/>
      <x:c r="DG464" s="58"/>
      <x:c r="DH464" s="47"/>
      <x:c r="DI464" s="60"/>
      <x:c r="DJ464" s="58"/>
      <x:c r="DK464" s="47"/>
      <x:c r="DL464" s="60"/>
      <x:c r="DM464" s="58"/>
      <x:c r="DN464" s="11"/>
      <x:c r="DO464" s="61"/>
      <x:c r="DP464" s="62"/>
      <x:c r="DQ464" s="11"/>
      <x:c r="DR464" s="61"/>
      <x:c r="DS464" s="62"/>
      <x:c r="DT464" s="11"/>
      <x:c r="DU464" s="61"/>
      <x:c r="DV464" s="62"/>
    </x:row>
    <x:row r="465" spans="1:126" x14ac:dyDescent="0.3">
      <x:c r="A465" s="47"/>
      <x:c r="B465" s="70"/>
      <x:c r="C465" s="70"/>
      <x:c r="D465" s="70"/>
      <x:c r="E465" s="70"/>
      <x:c r="F465" s="70"/>
      <x:c r="G465" s="70"/>
      <x:c r="H465" s="70"/>
      <x:c r="I465" s="70"/>
      <x:c r="J465" s="70"/>
      <x:c r="K465" s="190"/>
      <x:c r="L465" s="195"/>
      <x:c r="M465" s="192"/>
      <x:c r="N465" s="192"/>
      <x:c r="O465" s="69"/>
      <x:c r="P465" s="47"/>
      <x:c r="Q465" s="60"/>
      <x:c r="R465" s="58"/>
      <x:c r="S465" s="47"/>
      <x:c r="T465" s="60"/>
      <x:c r="U465" s="58"/>
      <x:c r="V465" s="47"/>
      <x:c r="W465" s="60"/>
      <x:c r="X465" s="58"/>
      <x:c r="Y465" s="47"/>
      <x:c r="Z465" s="60"/>
      <x:c r="AA465" s="58"/>
      <x:c r="AB465" s="47"/>
      <x:c r="AC465" s="60"/>
      <x:c r="AD465" s="58"/>
      <x:c r="AE465" s="47"/>
      <x:c r="AF465" s="60"/>
      <x:c r="AG465" s="58"/>
      <x:c r="AH465" s="47"/>
      <x:c r="AI465" s="60"/>
      <x:c r="AJ465" s="58"/>
      <x:c r="AK465" s="47"/>
      <x:c r="AL465" s="60"/>
      <x:c r="AM465" s="58"/>
      <x:c r="AN465" s="47"/>
      <x:c r="AO465" s="60"/>
      <x:c r="AP465" s="58"/>
      <x:c r="AQ465" s="47"/>
      <x:c r="AR465" s="60"/>
      <x:c r="AS465" s="58"/>
      <x:c r="AT465" s="47"/>
      <x:c r="AU465" s="60"/>
      <x:c r="AV465" s="58"/>
      <x:c r="AW465" s="47"/>
      <x:c r="AX465" s="60"/>
      <x:c r="AY465" s="58"/>
      <x:c r="AZ465" s="47"/>
      <x:c r="BA465" s="60"/>
      <x:c r="BB465" s="58"/>
      <x:c r="BC465" s="47"/>
      <x:c r="BD465" s="60"/>
      <x:c r="BE465" s="58"/>
      <x:c r="BF465" s="47"/>
      <x:c r="BG465" s="60"/>
      <x:c r="BH465" s="58"/>
      <x:c r="BI465" s="47"/>
      <x:c r="BJ465" s="60"/>
      <x:c r="BK465" s="58"/>
      <x:c r="BL465" s="47"/>
      <x:c r="BM465" s="60"/>
      <x:c r="BN465" s="58"/>
      <x:c r="BO465" s="47"/>
      <x:c r="BP465" s="60"/>
      <x:c r="BQ465" s="58"/>
      <x:c r="BR465" s="47"/>
      <x:c r="BS465" s="60"/>
      <x:c r="BT465" s="58"/>
      <x:c r="BU465" s="47"/>
      <x:c r="BV465" s="60"/>
      <x:c r="BW465" s="58"/>
      <x:c r="BX465" s="47"/>
      <x:c r="BY465" s="60"/>
      <x:c r="BZ465" s="58"/>
      <x:c r="CA465" s="47"/>
      <x:c r="CB465" s="60"/>
      <x:c r="CC465" s="58"/>
      <x:c r="CD465" s="47"/>
      <x:c r="CE465" s="60"/>
      <x:c r="CF465" s="58"/>
      <x:c r="CG465" s="47"/>
      <x:c r="CH465" s="60"/>
      <x:c r="CI465" s="58"/>
      <x:c r="CJ465" s="47"/>
      <x:c r="CK465" s="60"/>
      <x:c r="CL465" s="58"/>
      <x:c r="CM465" s="47"/>
      <x:c r="CN465" s="60"/>
      <x:c r="CO465" s="58"/>
      <x:c r="CP465" s="47"/>
      <x:c r="CQ465" s="60"/>
      <x:c r="CR465" s="58"/>
      <x:c r="CS465" s="47"/>
      <x:c r="CT465" s="60"/>
      <x:c r="CU465" s="58"/>
      <x:c r="CV465" s="47"/>
      <x:c r="CW465" s="60"/>
      <x:c r="CX465" s="58"/>
      <x:c r="CY465" s="47"/>
      <x:c r="CZ465" s="60"/>
      <x:c r="DA465" s="58"/>
      <x:c r="DB465" s="47"/>
      <x:c r="DC465" s="60"/>
      <x:c r="DD465" s="58"/>
      <x:c r="DE465" s="47"/>
      <x:c r="DF465" s="60"/>
      <x:c r="DG465" s="58"/>
      <x:c r="DH465" s="47"/>
      <x:c r="DI465" s="60"/>
      <x:c r="DJ465" s="58"/>
      <x:c r="DK465" s="47"/>
      <x:c r="DL465" s="60"/>
      <x:c r="DM465" s="58"/>
      <x:c r="DN465" s="11"/>
      <x:c r="DO465" s="61"/>
      <x:c r="DP465" s="62"/>
      <x:c r="DQ465" s="11"/>
      <x:c r="DR465" s="61"/>
      <x:c r="DS465" s="62"/>
      <x:c r="DT465" s="11"/>
      <x:c r="DU465" s="61"/>
      <x:c r="DV465" s="62"/>
    </x:row>
    <x:row r="466" spans="1:126" x14ac:dyDescent="0.3">
      <x:c r="A466" s="47"/>
      <x:c r="B466" s="70"/>
      <x:c r="C466" s="70"/>
      <x:c r="D466" s="70"/>
      <x:c r="E466" s="70"/>
      <x:c r="F466" s="70"/>
      <x:c r="G466" s="70"/>
      <x:c r="H466" s="70"/>
      <x:c r="I466" s="70"/>
      <x:c r="J466" s="70"/>
      <x:c r="K466" s="190"/>
      <x:c r="L466" s="195"/>
      <x:c r="M466" s="192"/>
      <x:c r="N466" s="192"/>
      <x:c r="O466" s="69"/>
      <x:c r="P466" s="47"/>
      <x:c r="Q466" s="60"/>
      <x:c r="R466" s="58"/>
      <x:c r="S466" s="47"/>
      <x:c r="T466" s="60"/>
      <x:c r="U466" s="58"/>
      <x:c r="V466" s="47"/>
      <x:c r="W466" s="60"/>
      <x:c r="X466" s="58"/>
      <x:c r="Y466" s="47"/>
      <x:c r="Z466" s="60"/>
      <x:c r="AA466" s="58"/>
      <x:c r="AB466" s="47"/>
      <x:c r="AC466" s="60"/>
      <x:c r="AD466" s="58"/>
      <x:c r="AE466" s="47"/>
      <x:c r="AF466" s="60"/>
      <x:c r="AG466" s="58"/>
      <x:c r="AH466" s="47"/>
      <x:c r="AI466" s="60"/>
      <x:c r="AJ466" s="58"/>
      <x:c r="AK466" s="47"/>
      <x:c r="AL466" s="60"/>
      <x:c r="AM466" s="58"/>
      <x:c r="AN466" s="47"/>
      <x:c r="AO466" s="60"/>
      <x:c r="AP466" s="58"/>
      <x:c r="AQ466" s="47"/>
      <x:c r="AR466" s="60"/>
      <x:c r="AS466" s="58"/>
      <x:c r="AT466" s="47"/>
      <x:c r="AU466" s="60"/>
      <x:c r="AV466" s="58"/>
      <x:c r="AW466" s="47"/>
      <x:c r="AX466" s="60"/>
      <x:c r="AY466" s="58"/>
      <x:c r="AZ466" s="47"/>
      <x:c r="BA466" s="60"/>
      <x:c r="BB466" s="58"/>
      <x:c r="BC466" s="47"/>
      <x:c r="BD466" s="60"/>
      <x:c r="BE466" s="58"/>
      <x:c r="BF466" s="47"/>
      <x:c r="BG466" s="60"/>
      <x:c r="BH466" s="58"/>
      <x:c r="BI466" s="47"/>
      <x:c r="BJ466" s="60"/>
      <x:c r="BK466" s="58"/>
      <x:c r="BL466" s="47"/>
      <x:c r="BM466" s="60"/>
      <x:c r="BN466" s="58"/>
      <x:c r="BO466" s="47"/>
      <x:c r="BP466" s="60"/>
      <x:c r="BQ466" s="58"/>
      <x:c r="BR466" s="47"/>
      <x:c r="BS466" s="60"/>
      <x:c r="BT466" s="58"/>
      <x:c r="BU466" s="47"/>
      <x:c r="BV466" s="60"/>
      <x:c r="BW466" s="58"/>
      <x:c r="BX466" s="47"/>
      <x:c r="BY466" s="60"/>
      <x:c r="BZ466" s="58"/>
      <x:c r="CA466" s="47"/>
      <x:c r="CB466" s="60"/>
      <x:c r="CC466" s="58"/>
      <x:c r="CD466" s="47"/>
      <x:c r="CE466" s="60"/>
      <x:c r="CF466" s="58"/>
      <x:c r="CG466" s="47"/>
      <x:c r="CH466" s="60"/>
      <x:c r="CI466" s="58"/>
      <x:c r="CJ466" s="47"/>
      <x:c r="CK466" s="60"/>
      <x:c r="CL466" s="58"/>
      <x:c r="CM466" s="47"/>
      <x:c r="CN466" s="60"/>
      <x:c r="CO466" s="58"/>
      <x:c r="CP466" s="47"/>
      <x:c r="CQ466" s="60"/>
      <x:c r="CR466" s="58"/>
      <x:c r="CS466" s="47"/>
      <x:c r="CT466" s="60"/>
      <x:c r="CU466" s="58"/>
      <x:c r="CV466" s="47"/>
      <x:c r="CW466" s="60"/>
      <x:c r="CX466" s="58"/>
      <x:c r="CY466" s="47"/>
      <x:c r="CZ466" s="60"/>
      <x:c r="DA466" s="58"/>
      <x:c r="DB466" s="47"/>
      <x:c r="DC466" s="60"/>
      <x:c r="DD466" s="58"/>
      <x:c r="DE466" s="47"/>
      <x:c r="DF466" s="60"/>
      <x:c r="DG466" s="58"/>
      <x:c r="DH466" s="47"/>
      <x:c r="DI466" s="60"/>
      <x:c r="DJ466" s="58"/>
      <x:c r="DK466" s="47"/>
      <x:c r="DL466" s="60"/>
      <x:c r="DM466" s="58"/>
      <x:c r="DN466" s="11"/>
      <x:c r="DO466" s="61"/>
      <x:c r="DP466" s="62"/>
      <x:c r="DQ466" s="11"/>
      <x:c r="DR466" s="61"/>
      <x:c r="DS466" s="62"/>
      <x:c r="DT466" s="11"/>
      <x:c r="DU466" s="61"/>
      <x:c r="DV466" s="62"/>
    </x:row>
    <x:row r="467" spans="1:126" x14ac:dyDescent="0.3">
      <x:c r="A467" s="47"/>
      <x:c r="B467" s="70"/>
      <x:c r="C467" s="70"/>
      <x:c r="D467" s="70"/>
      <x:c r="E467" s="70"/>
      <x:c r="F467" s="70"/>
      <x:c r="G467" s="70"/>
      <x:c r="H467" s="70"/>
      <x:c r="I467" s="70"/>
      <x:c r="J467" s="70"/>
      <x:c r="K467" s="190"/>
      <x:c r="L467" s="195"/>
      <x:c r="M467" s="192"/>
      <x:c r="N467" s="192"/>
      <x:c r="O467" s="69"/>
      <x:c r="P467" s="47"/>
      <x:c r="Q467" s="60"/>
      <x:c r="R467" s="58"/>
      <x:c r="S467" s="47"/>
      <x:c r="T467" s="60"/>
      <x:c r="U467" s="58"/>
      <x:c r="V467" s="47"/>
      <x:c r="W467" s="60"/>
      <x:c r="X467" s="58"/>
      <x:c r="Y467" s="47"/>
      <x:c r="Z467" s="60"/>
      <x:c r="AA467" s="58"/>
      <x:c r="AB467" s="47"/>
      <x:c r="AC467" s="60"/>
      <x:c r="AD467" s="58"/>
      <x:c r="AE467" s="47"/>
      <x:c r="AF467" s="60"/>
      <x:c r="AG467" s="58"/>
      <x:c r="AH467" s="47"/>
      <x:c r="AI467" s="60"/>
      <x:c r="AJ467" s="58"/>
      <x:c r="AK467" s="47"/>
      <x:c r="AL467" s="60"/>
      <x:c r="AM467" s="58"/>
      <x:c r="AN467" s="47"/>
      <x:c r="AO467" s="60"/>
      <x:c r="AP467" s="58"/>
      <x:c r="AQ467" s="47"/>
      <x:c r="AR467" s="60"/>
      <x:c r="AS467" s="58"/>
      <x:c r="AT467" s="47"/>
      <x:c r="AU467" s="60"/>
      <x:c r="AV467" s="58"/>
      <x:c r="AW467" s="47"/>
      <x:c r="AX467" s="60"/>
      <x:c r="AY467" s="58"/>
      <x:c r="AZ467" s="47"/>
      <x:c r="BA467" s="60"/>
      <x:c r="BB467" s="58"/>
      <x:c r="BC467" s="47"/>
      <x:c r="BD467" s="60"/>
      <x:c r="BE467" s="58"/>
      <x:c r="BF467" s="47"/>
      <x:c r="BG467" s="60"/>
      <x:c r="BH467" s="58"/>
      <x:c r="BI467" s="47"/>
      <x:c r="BJ467" s="60"/>
      <x:c r="BK467" s="58"/>
      <x:c r="BL467" s="47"/>
      <x:c r="BM467" s="60"/>
      <x:c r="BN467" s="58"/>
      <x:c r="BO467" s="47"/>
      <x:c r="BP467" s="60"/>
      <x:c r="BQ467" s="58"/>
      <x:c r="BR467" s="47"/>
      <x:c r="BS467" s="60"/>
      <x:c r="BT467" s="58"/>
      <x:c r="BU467" s="47"/>
      <x:c r="BV467" s="60"/>
      <x:c r="BW467" s="58"/>
      <x:c r="BX467" s="47"/>
      <x:c r="BY467" s="60"/>
      <x:c r="BZ467" s="58"/>
      <x:c r="CA467" s="47"/>
      <x:c r="CB467" s="60"/>
      <x:c r="CC467" s="58"/>
      <x:c r="CD467" s="47"/>
      <x:c r="CE467" s="60"/>
      <x:c r="CF467" s="58"/>
      <x:c r="CG467" s="47"/>
      <x:c r="CH467" s="60"/>
      <x:c r="CI467" s="58"/>
      <x:c r="CJ467" s="47"/>
      <x:c r="CK467" s="60"/>
      <x:c r="CL467" s="58"/>
      <x:c r="CM467" s="47"/>
      <x:c r="CN467" s="60"/>
      <x:c r="CO467" s="58"/>
      <x:c r="CP467" s="47"/>
      <x:c r="CQ467" s="60"/>
      <x:c r="CR467" s="58"/>
      <x:c r="CS467" s="47"/>
      <x:c r="CT467" s="60"/>
      <x:c r="CU467" s="58"/>
      <x:c r="CV467" s="47"/>
      <x:c r="CW467" s="60"/>
      <x:c r="CX467" s="58"/>
      <x:c r="CY467" s="47"/>
      <x:c r="CZ467" s="60"/>
      <x:c r="DA467" s="58"/>
      <x:c r="DB467" s="47"/>
      <x:c r="DC467" s="60"/>
      <x:c r="DD467" s="58"/>
      <x:c r="DE467" s="47"/>
      <x:c r="DF467" s="60"/>
      <x:c r="DG467" s="58"/>
      <x:c r="DH467" s="47"/>
      <x:c r="DI467" s="60"/>
      <x:c r="DJ467" s="58"/>
      <x:c r="DK467" s="47"/>
      <x:c r="DL467" s="60"/>
      <x:c r="DM467" s="58"/>
      <x:c r="DN467" s="11"/>
      <x:c r="DO467" s="61"/>
      <x:c r="DP467" s="62"/>
      <x:c r="DQ467" s="11"/>
      <x:c r="DR467" s="61"/>
      <x:c r="DS467" s="62"/>
      <x:c r="DT467" s="11"/>
      <x:c r="DU467" s="61"/>
      <x:c r="DV467" s="62"/>
    </x:row>
    <x:row r="468" spans="1:126" x14ac:dyDescent="0.3">
      <x:c r="A468" s="47"/>
      <x:c r="B468" s="70"/>
      <x:c r="C468" s="70"/>
      <x:c r="D468" s="70"/>
      <x:c r="E468" s="70"/>
      <x:c r="F468" s="70"/>
      <x:c r="G468" s="70"/>
      <x:c r="H468" s="70"/>
      <x:c r="I468" s="70"/>
      <x:c r="J468" s="70"/>
      <x:c r="K468" s="190"/>
      <x:c r="L468" s="195"/>
      <x:c r="M468" s="192"/>
      <x:c r="N468" s="192"/>
      <x:c r="O468" s="69"/>
      <x:c r="P468" s="47"/>
      <x:c r="Q468" s="60"/>
      <x:c r="R468" s="58"/>
      <x:c r="S468" s="47"/>
      <x:c r="T468" s="60"/>
      <x:c r="U468" s="58"/>
      <x:c r="V468" s="47"/>
      <x:c r="W468" s="60"/>
      <x:c r="X468" s="58"/>
      <x:c r="Y468" s="47"/>
      <x:c r="Z468" s="60"/>
      <x:c r="AA468" s="58"/>
      <x:c r="AB468" s="47"/>
      <x:c r="AC468" s="60"/>
      <x:c r="AD468" s="58"/>
      <x:c r="AE468" s="47"/>
      <x:c r="AF468" s="60"/>
      <x:c r="AG468" s="58"/>
      <x:c r="AH468" s="47"/>
      <x:c r="AI468" s="60"/>
      <x:c r="AJ468" s="58"/>
      <x:c r="AK468" s="47"/>
      <x:c r="AL468" s="60"/>
      <x:c r="AM468" s="58"/>
      <x:c r="AN468" s="47"/>
      <x:c r="AO468" s="60"/>
      <x:c r="AP468" s="58"/>
      <x:c r="AQ468" s="47"/>
      <x:c r="AR468" s="60"/>
      <x:c r="AS468" s="58"/>
      <x:c r="AT468" s="47"/>
      <x:c r="AU468" s="60"/>
      <x:c r="AV468" s="58"/>
      <x:c r="AW468" s="47"/>
      <x:c r="AX468" s="60"/>
      <x:c r="AY468" s="58"/>
      <x:c r="AZ468" s="47"/>
      <x:c r="BA468" s="60"/>
      <x:c r="BB468" s="58"/>
      <x:c r="BC468" s="47"/>
      <x:c r="BD468" s="60"/>
      <x:c r="BE468" s="58"/>
      <x:c r="BF468" s="47"/>
      <x:c r="BG468" s="60"/>
      <x:c r="BH468" s="58"/>
      <x:c r="BI468" s="47"/>
      <x:c r="BJ468" s="60"/>
      <x:c r="BK468" s="58"/>
      <x:c r="BL468" s="47"/>
      <x:c r="BM468" s="60"/>
      <x:c r="BN468" s="58"/>
      <x:c r="BO468" s="47"/>
      <x:c r="BP468" s="60"/>
      <x:c r="BQ468" s="58"/>
      <x:c r="BR468" s="47"/>
      <x:c r="BS468" s="60"/>
      <x:c r="BT468" s="58"/>
      <x:c r="BU468" s="47"/>
      <x:c r="BV468" s="60"/>
      <x:c r="BW468" s="58"/>
      <x:c r="BX468" s="47"/>
      <x:c r="BY468" s="60"/>
      <x:c r="BZ468" s="58"/>
      <x:c r="CA468" s="47"/>
      <x:c r="CB468" s="60"/>
      <x:c r="CC468" s="58"/>
      <x:c r="CD468" s="47"/>
      <x:c r="CE468" s="60"/>
      <x:c r="CF468" s="58"/>
      <x:c r="CG468" s="47"/>
      <x:c r="CH468" s="60"/>
      <x:c r="CI468" s="58"/>
      <x:c r="CJ468" s="47"/>
      <x:c r="CK468" s="60"/>
      <x:c r="CL468" s="58"/>
      <x:c r="CM468" s="47"/>
      <x:c r="CN468" s="60"/>
      <x:c r="CO468" s="58"/>
      <x:c r="CP468" s="47"/>
      <x:c r="CQ468" s="60"/>
      <x:c r="CR468" s="58"/>
      <x:c r="CS468" s="47"/>
      <x:c r="CT468" s="60"/>
      <x:c r="CU468" s="58"/>
      <x:c r="CV468" s="47"/>
      <x:c r="CW468" s="60"/>
      <x:c r="CX468" s="58"/>
      <x:c r="CY468" s="47"/>
      <x:c r="CZ468" s="60"/>
      <x:c r="DA468" s="58"/>
      <x:c r="DB468" s="47"/>
      <x:c r="DC468" s="60"/>
      <x:c r="DD468" s="58"/>
      <x:c r="DE468" s="47"/>
      <x:c r="DF468" s="60"/>
      <x:c r="DG468" s="58"/>
      <x:c r="DH468" s="47"/>
      <x:c r="DI468" s="60"/>
      <x:c r="DJ468" s="58"/>
      <x:c r="DK468" s="47"/>
      <x:c r="DL468" s="60"/>
      <x:c r="DM468" s="58"/>
      <x:c r="DN468" s="11"/>
      <x:c r="DO468" s="61"/>
      <x:c r="DP468" s="62"/>
      <x:c r="DQ468" s="11"/>
      <x:c r="DR468" s="61"/>
      <x:c r="DS468" s="62"/>
      <x:c r="DT468" s="11"/>
      <x:c r="DU468" s="61"/>
      <x:c r="DV468" s="62"/>
    </x:row>
    <x:row r="469" spans="1:126" x14ac:dyDescent="0.3">
      <x:c r="A469" s="47"/>
      <x:c r="B469" s="70"/>
      <x:c r="C469" s="70"/>
      <x:c r="D469" s="70"/>
      <x:c r="E469" s="70"/>
      <x:c r="F469" s="70"/>
      <x:c r="G469" s="70"/>
      <x:c r="H469" s="70"/>
      <x:c r="I469" s="70"/>
      <x:c r="J469" s="70"/>
      <x:c r="K469" s="190"/>
      <x:c r="L469" s="195"/>
      <x:c r="M469" s="192"/>
      <x:c r="N469" s="192"/>
      <x:c r="O469" s="69"/>
      <x:c r="P469" s="47"/>
      <x:c r="Q469" s="60"/>
      <x:c r="R469" s="58"/>
      <x:c r="S469" s="47"/>
      <x:c r="T469" s="60"/>
      <x:c r="U469" s="58"/>
      <x:c r="V469" s="47"/>
      <x:c r="W469" s="60"/>
      <x:c r="X469" s="58"/>
      <x:c r="Y469" s="47"/>
      <x:c r="Z469" s="60"/>
      <x:c r="AA469" s="58"/>
      <x:c r="AB469" s="47"/>
      <x:c r="AC469" s="60"/>
      <x:c r="AD469" s="58"/>
      <x:c r="AE469" s="47"/>
      <x:c r="AF469" s="60"/>
      <x:c r="AG469" s="58"/>
      <x:c r="AH469" s="47"/>
      <x:c r="AI469" s="60"/>
      <x:c r="AJ469" s="58"/>
      <x:c r="AK469" s="47"/>
      <x:c r="AL469" s="60"/>
      <x:c r="AM469" s="58"/>
      <x:c r="AN469" s="47"/>
      <x:c r="AO469" s="60"/>
      <x:c r="AP469" s="58"/>
      <x:c r="AQ469" s="47"/>
      <x:c r="AR469" s="60"/>
      <x:c r="AS469" s="58"/>
      <x:c r="AT469" s="47"/>
      <x:c r="AU469" s="60"/>
      <x:c r="AV469" s="58"/>
      <x:c r="AW469" s="47"/>
      <x:c r="AX469" s="60"/>
      <x:c r="AY469" s="58"/>
      <x:c r="AZ469" s="47"/>
      <x:c r="BA469" s="60"/>
      <x:c r="BB469" s="58"/>
      <x:c r="BC469" s="47"/>
      <x:c r="BD469" s="60"/>
      <x:c r="BE469" s="58"/>
      <x:c r="BF469" s="47"/>
      <x:c r="BG469" s="60"/>
      <x:c r="BH469" s="58"/>
      <x:c r="BI469" s="47"/>
      <x:c r="BJ469" s="60"/>
      <x:c r="BK469" s="58"/>
      <x:c r="BL469" s="47"/>
      <x:c r="BM469" s="60"/>
      <x:c r="BN469" s="58"/>
      <x:c r="BO469" s="47"/>
      <x:c r="BP469" s="60"/>
      <x:c r="BQ469" s="58"/>
      <x:c r="BR469" s="47"/>
      <x:c r="BS469" s="60"/>
      <x:c r="BT469" s="58"/>
      <x:c r="BU469" s="47"/>
      <x:c r="BV469" s="60"/>
      <x:c r="BW469" s="58"/>
      <x:c r="BX469" s="47"/>
      <x:c r="BY469" s="60"/>
      <x:c r="BZ469" s="58"/>
      <x:c r="CA469" s="47"/>
      <x:c r="CB469" s="60"/>
      <x:c r="CC469" s="58"/>
      <x:c r="CD469" s="47"/>
      <x:c r="CE469" s="60"/>
      <x:c r="CF469" s="58"/>
      <x:c r="CG469" s="47"/>
      <x:c r="CH469" s="60"/>
      <x:c r="CI469" s="58"/>
      <x:c r="CJ469" s="47"/>
      <x:c r="CK469" s="60"/>
      <x:c r="CL469" s="58"/>
      <x:c r="CM469" s="47"/>
      <x:c r="CN469" s="60"/>
      <x:c r="CO469" s="58"/>
      <x:c r="CP469" s="47"/>
      <x:c r="CQ469" s="60"/>
      <x:c r="CR469" s="58"/>
      <x:c r="CS469" s="47"/>
      <x:c r="CT469" s="60"/>
      <x:c r="CU469" s="58"/>
      <x:c r="CV469" s="47"/>
      <x:c r="CW469" s="60"/>
      <x:c r="CX469" s="58"/>
      <x:c r="CY469" s="47"/>
      <x:c r="CZ469" s="60"/>
      <x:c r="DA469" s="58"/>
      <x:c r="DB469" s="47"/>
      <x:c r="DC469" s="60"/>
      <x:c r="DD469" s="58"/>
      <x:c r="DE469" s="47"/>
      <x:c r="DF469" s="60"/>
      <x:c r="DG469" s="58"/>
      <x:c r="DH469" s="47"/>
      <x:c r="DI469" s="60"/>
      <x:c r="DJ469" s="58"/>
      <x:c r="DK469" s="47"/>
      <x:c r="DL469" s="60"/>
      <x:c r="DM469" s="58"/>
      <x:c r="DN469" s="11"/>
      <x:c r="DO469" s="61"/>
      <x:c r="DP469" s="62"/>
      <x:c r="DQ469" s="11"/>
      <x:c r="DR469" s="61"/>
      <x:c r="DS469" s="62"/>
      <x:c r="DT469" s="11"/>
      <x:c r="DU469" s="61"/>
      <x:c r="DV469" s="62"/>
    </x:row>
    <x:row r="470" spans="1:126" x14ac:dyDescent="0.3">
      <x:c r="A470" s="47"/>
      <x:c r="B470" s="70"/>
      <x:c r="C470" s="70"/>
      <x:c r="D470" s="70"/>
      <x:c r="E470" s="70"/>
      <x:c r="F470" s="70"/>
      <x:c r="G470" s="70"/>
      <x:c r="H470" s="70"/>
      <x:c r="I470" s="70"/>
      <x:c r="J470" s="70"/>
      <x:c r="K470" s="190"/>
      <x:c r="L470" s="195"/>
      <x:c r="M470" s="192"/>
      <x:c r="N470" s="192"/>
      <x:c r="O470" s="69"/>
      <x:c r="P470" s="47"/>
      <x:c r="Q470" s="60"/>
      <x:c r="R470" s="58"/>
      <x:c r="S470" s="47"/>
      <x:c r="T470" s="60"/>
      <x:c r="U470" s="58"/>
      <x:c r="V470" s="47"/>
      <x:c r="W470" s="60"/>
      <x:c r="X470" s="58"/>
      <x:c r="Y470" s="47"/>
      <x:c r="Z470" s="60"/>
      <x:c r="AA470" s="58"/>
      <x:c r="AB470" s="47"/>
      <x:c r="AC470" s="60"/>
      <x:c r="AD470" s="58"/>
      <x:c r="AE470" s="47"/>
      <x:c r="AF470" s="60"/>
      <x:c r="AG470" s="58"/>
      <x:c r="AH470" s="47"/>
      <x:c r="AI470" s="60"/>
      <x:c r="AJ470" s="58"/>
      <x:c r="AK470" s="47"/>
      <x:c r="AL470" s="60"/>
      <x:c r="AM470" s="58"/>
      <x:c r="AN470" s="47"/>
      <x:c r="AO470" s="60"/>
      <x:c r="AP470" s="58"/>
      <x:c r="AQ470" s="47"/>
      <x:c r="AR470" s="60"/>
      <x:c r="AS470" s="58"/>
      <x:c r="AT470" s="47"/>
      <x:c r="AU470" s="60"/>
      <x:c r="AV470" s="58"/>
      <x:c r="AW470" s="47"/>
      <x:c r="AX470" s="60"/>
      <x:c r="AY470" s="58"/>
      <x:c r="AZ470" s="47"/>
      <x:c r="BA470" s="60"/>
      <x:c r="BB470" s="58"/>
      <x:c r="BC470" s="47"/>
      <x:c r="BD470" s="60"/>
      <x:c r="BE470" s="58"/>
      <x:c r="BF470" s="47"/>
      <x:c r="BG470" s="60"/>
      <x:c r="BH470" s="58"/>
      <x:c r="BI470" s="47"/>
      <x:c r="BJ470" s="60"/>
      <x:c r="BK470" s="58"/>
      <x:c r="BL470" s="47"/>
      <x:c r="BM470" s="60"/>
      <x:c r="BN470" s="58"/>
      <x:c r="BO470" s="47"/>
      <x:c r="BP470" s="60"/>
      <x:c r="BQ470" s="58"/>
      <x:c r="BR470" s="47"/>
      <x:c r="BS470" s="60"/>
      <x:c r="BT470" s="58"/>
      <x:c r="BU470" s="47"/>
      <x:c r="BV470" s="60"/>
      <x:c r="BW470" s="58"/>
      <x:c r="BX470" s="47"/>
      <x:c r="BY470" s="60"/>
      <x:c r="BZ470" s="58"/>
      <x:c r="CA470" s="47"/>
      <x:c r="CB470" s="60"/>
      <x:c r="CC470" s="58"/>
      <x:c r="CD470" s="47"/>
      <x:c r="CE470" s="60"/>
      <x:c r="CF470" s="58"/>
      <x:c r="CG470" s="47"/>
      <x:c r="CH470" s="60"/>
      <x:c r="CI470" s="58"/>
      <x:c r="CJ470" s="47"/>
      <x:c r="CK470" s="60"/>
      <x:c r="CL470" s="58"/>
      <x:c r="CM470" s="47"/>
      <x:c r="CN470" s="60"/>
      <x:c r="CO470" s="58"/>
      <x:c r="CP470" s="47"/>
      <x:c r="CQ470" s="60"/>
      <x:c r="CR470" s="58"/>
      <x:c r="CS470" s="47"/>
      <x:c r="CT470" s="60"/>
      <x:c r="CU470" s="58"/>
      <x:c r="CV470" s="47"/>
      <x:c r="CW470" s="60"/>
      <x:c r="CX470" s="58"/>
      <x:c r="CY470" s="47"/>
      <x:c r="CZ470" s="60"/>
      <x:c r="DA470" s="58"/>
      <x:c r="DB470" s="47"/>
      <x:c r="DC470" s="60"/>
      <x:c r="DD470" s="58"/>
      <x:c r="DE470" s="47"/>
      <x:c r="DF470" s="60"/>
      <x:c r="DG470" s="58"/>
      <x:c r="DH470" s="47"/>
      <x:c r="DI470" s="60"/>
      <x:c r="DJ470" s="58"/>
      <x:c r="DK470" s="47"/>
      <x:c r="DL470" s="60"/>
      <x:c r="DM470" s="58"/>
      <x:c r="DN470" s="11"/>
      <x:c r="DO470" s="61"/>
      <x:c r="DP470" s="62"/>
      <x:c r="DQ470" s="11"/>
      <x:c r="DR470" s="61"/>
      <x:c r="DS470" s="62"/>
      <x:c r="DT470" s="11"/>
      <x:c r="DU470" s="61"/>
      <x:c r="DV470" s="62"/>
    </x:row>
    <x:row r="471" spans="1:126" x14ac:dyDescent="0.3">
      <x:c r="A471" s="47"/>
      <x:c r="B471" s="70"/>
      <x:c r="C471" s="70"/>
      <x:c r="D471" s="70"/>
      <x:c r="E471" s="70"/>
      <x:c r="F471" s="70"/>
      <x:c r="G471" s="70"/>
      <x:c r="H471" s="70"/>
      <x:c r="I471" s="70"/>
      <x:c r="J471" s="70"/>
      <x:c r="K471" s="190"/>
      <x:c r="L471" s="195"/>
      <x:c r="M471" s="192"/>
      <x:c r="N471" s="192"/>
      <x:c r="O471" s="69"/>
      <x:c r="P471" s="47"/>
      <x:c r="Q471" s="60"/>
      <x:c r="R471" s="58"/>
      <x:c r="S471" s="47"/>
      <x:c r="T471" s="60"/>
      <x:c r="U471" s="58"/>
      <x:c r="V471" s="47"/>
      <x:c r="W471" s="60"/>
      <x:c r="X471" s="58"/>
      <x:c r="Y471" s="47"/>
      <x:c r="Z471" s="60"/>
      <x:c r="AA471" s="58"/>
      <x:c r="AB471" s="47"/>
      <x:c r="AC471" s="60"/>
      <x:c r="AD471" s="58"/>
      <x:c r="AE471" s="47"/>
      <x:c r="AF471" s="60"/>
      <x:c r="AG471" s="58"/>
      <x:c r="AH471" s="47"/>
      <x:c r="AI471" s="60"/>
      <x:c r="AJ471" s="58"/>
      <x:c r="AK471" s="47"/>
      <x:c r="AL471" s="60"/>
      <x:c r="AM471" s="58"/>
      <x:c r="AN471" s="47"/>
      <x:c r="AO471" s="60"/>
      <x:c r="AP471" s="58"/>
      <x:c r="AQ471" s="47"/>
      <x:c r="AR471" s="60"/>
      <x:c r="AS471" s="58"/>
      <x:c r="AT471" s="47"/>
      <x:c r="AU471" s="60"/>
      <x:c r="AV471" s="58"/>
      <x:c r="AW471" s="47"/>
      <x:c r="AX471" s="60"/>
      <x:c r="AY471" s="58"/>
      <x:c r="AZ471" s="47"/>
      <x:c r="BA471" s="60"/>
      <x:c r="BB471" s="58"/>
      <x:c r="BC471" s="47"/>
      <x:c r="BD471" s="60"/>
      <x:c r="BE471" s="58"/>
      <x:c r="BF471" s="47"/>
      <x:c r="BG471" s="60"/>
      <x:c r="BH471" s="58"/>
      <x:c r="BI471" s="47"/>
      <x:c r="BJ471" s="60"/>
      <x:c r="BK471" s="58"/>
      <x:c r="BL471" s="47"/>
      <x:c r="BM471" s="60"/>
      <x:c r="BN471" s="58"/>
      <x:c r="BO471" s="47"/>
      <x:c r="BP471" s="60"/>
      <x:c r="BQ471" s="58"/>
      <x:c r="BR471" s="47"/>
      <x:c r="BS471" s="60"/>
      <x:c r="BT471" s="58"/>
      <x:c r="BU471" s="47"/>
      <x:c r="BV471" s="60"/>
      <x:c r="BW471" s="58"/>
      <x:c r="BX471" s="47"/>
      <x:c r="BY471" s="60"/>
      <x:c r="BZ471" s="58"/>
      <x:c r="CA471" s="47"/>
      <x:c r="CB471" s="60"/>
      <x:c r="CC471" s="58"/>
      <x:c r="CD471" s="47"/>
      <x:c r="CE471" s="60"/>
      <x:c r="CF471" s="58"/>
      <x:c r="CG471" s="47"/>
      <x:c r="CH471" s="60"/>
      <x:c r="CI471" s="58"/>
      <x:c r="CJ471" s="47"/>
      <x:c r="CK471" s="60"/>
      <x:c r="CL471" s="58"/>
      <x:c r="CM471" s="47"/>
      <x:c r="CN471" s="60"/>
      <x:c r="CO471" s="58"/>
      <x:c r="CP471" s="47"/>
      <x:c r="CQ471" s="60"/>
      <x:c r="CR471" s="58"/>
      <x:c r="CS471" s="47"/>
      <x:c r="CT471" s="60"/>
      <x:c r="CU471" s="58"/>
      <x:c r="CV471" s="47"/>
      <x:c r="CW471" s="60"/>
      <x:c r="CX471" s="58"/>
      <x:c r="CY471" s="47"/>
      <x:c r="CZ471" s="60"/>
      <x:c r="DA471" s="58"/>
      <x:c r="DB471" s="47"/>
      <x:c r="DC471" s="60"/>
      <x:c r="DD471" s="58"/>
      <x:c r="DE471" s="47"/>
      <x:c r="DF471" s="60"/>
      <x:c r="DG471" s="58"/>
      <x:c r="DH471" s="47"/>
      <x:c r="DI471" s="60"/>
      <x:c r="DJ471" s="58"/>
      <x:c r="DK471" s="47"/>
      <x:c r="DL471" s="60"/>
      <x:c r="DM471" s="58"/>
      <x:c r="DN471" s="11"/>
      <x:c r="DO471" s="61"/>
      <x:c r="DP471" s="62"/>
      <x:c r="DQ471" s="11"/>
      <x:c r="DR471" s="61"/>
      <x:c r="DS471" s="62"/>
      <x:c r="DT471" s="11"/>
      <x:c r="DU471" s="61"/>
      <x:c r="DV471" s="62"/>
    </x:row>
    <x:row r="472" spans="1:126" x14ac:dyDescent="0.3">
      <x:c r="A472" s="47"/>
      <x:c r="B472" s="70"/>
      <x:c r="C472" s="70"/>
      <x:c r="D472" s="70"/>
      <x:c r="E472" s="70"/>
      <x:c r="F472" s="70"/>
      <x:c r="G472" s="70"/>
      <x:c r="H472" s="70"/>
      <x:c r="I472" s="70"/>
      <x:c r="J472" s="70"/>
      <x:c r="K472" s="190"/>
      <x:c r="L472" s="195"/>
      <x:c r="M472" s="192"/>
      <x:c r="N472" s="192"/>
      <x:c r="O472" s="69"/>
      <x:c r="P472" s="47"/>
      <x:c r="Q472" s="60"/>
      <x:c r="R472" s="58"/>
      <x:c r="S472" s="47"/>
      <x:c r="T472" s="60"/>
      <x:c r="U472" s="58"/>
      <x:c r="V472" s="47"/>
      <x:c r="W472" s="60"/>
      <x:c r="X472" s="58"/>
      <x:c r="Y472" s="47"/>
      <x:c r="Z472" s="60"/>
      <x:c r="AA472" s="58"/>
      <x:c r="AB472" s="47"/>
      <x:c r="AC472" s="60"/>
      <x:c r="AD472" s="58"/>
      <x:c r="AE472" s="47"/>
      <x:c r="AF472" s="60"/>
      <x:c r="AG472" s="58"/>
      <x:c r="AH472" s="47"/>
      <x:c r="AI472" s="60"/>
      <x:c r="AJ472" s="58"/>
      <x:c r="AK472" s="47"/>
      <x:c r="AL472" s="60"/>
      <x:c r="AM472" s="58"/>
      <x:c r="AN472" s="47"/>
      <x:c r="AO472" s="60"/>
      <x:c r="AP472" s="58"/>
      <x:c r="AQ472" s="47"/>
      <x:c r="AR472" s="60"/>
      <x:c r="AS472" s="58"/>
      <x:c r="AT472" s="47"/>
      <x:c r="AU472" s="60"/>
      <x:c r="AV472" s="58"/>
      <x:c r="AW472" s="47"/>
      <x:c r="AX472" s="60"/>
      <x:c r="AY472" s="58"/>
      <x:c r="AZ472" s="47"/>
      <x:c r="BA472" s="60"/>
      <x:c r="BB472" s="58"/>
      <x:c r="BC472" s="47"/>
      <x:c r="BD472" s="60"/>
      <x:c r="BE472" s="58"/>
      <x:c r="BF472" s="47"/>
      <x:c r="BG472" s="60"/>
      <x:c r="BH472" s="58"/>
      <x:c r="BI472" s="47"/>
      <x:c r="BJ472" s="60"/>
      <x:c r="BK472" s="58"/>
      <x:c r="BL472" s="47"/>
      <x:c r="BM472" s="60"/>
      <x:c r="BN472" s="58"/>
      <x:c r="BO472" s="47"/>
      <x:c r="BP472" s="60"/>
      <x:c r="BQ472" s="58"/>
      <x:c r="BR472" s="47"/>
      <x:c r="BS472" s="60"/>
      <x:c r="BT472" s="58"/>
      <x:c r="BU472" s="47"/>
      <x:c r="BV472" s="60"/>
      <x:c r="BW472" s="58"/>
      <x:c r="BX472" s="47"/>
      <x:c r="BY472" s="60"/>
      <x:c r="BZ472" s="58"/>
      <x:c r="CA472" s="47"/>
      <x:c r="CB472" s="60"/>
      <x:c r="CC472" s="58"/>
      <x:c r="CD472" s="47"/>
      <x:c r="CE472" s="60"/>
      <x:c r="CF472" s="58"/>
      <x:c r="CG472" s="47"/>
      <x:c r="CH472" s="60"/>
      <x:c r="CI472" s="58"/>
      <x:c r="CJ472" s="47"/>
      <x:c r="CK472" s="60"/>
      <x:c r="CL472" s="58"/>
      <x:c r="CM472" s="47"/>
      <x:c r="CN472" s="60"/>
      <x:c r="CO472" s="58"/>
      <x:c r="CP472" s="47"/>
      <x:c r="CQ472" s="60"/>
      <x:c r="CR472" s="58"/>
      <x:c r="CS472" s="47"/>
      <x:c r="CT472" s="60"/>
      <x:c r="CU472" s="58"/>
      <x:c r="CV472" s="47"/>
      <x:c r="CW472" s="60"/>
      <x:c r="CX472" s="58"/>
      <x:c r="CY472" s="47"/>
      <x:c r="CZ472" s="60"/>
      <x:c r="DA472" s="58"/>
      <x:c r="DB472" s="47"/>
      <x:c r="DC472" s="60"/>
      <x:c r="DD472" s="58"/>
      <x:c r="DE472" s="47"/>
      <x:c r="DF472" s="60"/>
      <x:c r="DG472" s="58"/>
      <x:c r="DH472" s="47"/>
      <x:c r="DI472" s="60"/>
      <x:c r="DJ472" s="58"/>
      <x:c r="DK472" s="47"/>
      <x:c r="DL472" s="60"/>
      <x:c r="DM472" s="58"/>
      <x:c r="DN472" s="11"/>
      <x:c r="DO472" s="61"/>
      <x:c r="DP472" s="62"/>
      <x:c r="DQ472" s="11"/>
      <x:c r="DR472" s="61"/>
      <x:c r="DS472" s="62"/>
      <x:c r="DT472" s="11"/>
      <x:c r="DU472" s="61"/>
      <x:c r="DV472" s="62"/>
    </x:row>
    <x:row r="473" spans="1:126" x14ac:dyDescent="0.3">
      <x:c r="A473" s="47"/>
      <x:c r="B473" s="70"/>
      <x:c r="C473" s="70"/>
      <x:c r="D473" s="70"/>
      <x:c r="E473" s="70"/>
      <x:c r="F473" s="70"/>
      <x:c r="G473" s="70"/>
      <x:c r="H473" s="70"/>
      <x:c r="I473" s="70"/>
      <x:c r="J473" s="70"/>
      <x:c r="K473" s="190"/>
      <x:c r="L473" s="195"/>
      <x:c r="M473" s="192"/>
      <x:c r="N473" s="192"/>
      <x:c r="O473" s="69"/>
      <x:c r="P473" s="47"/>
      <x:c r="Q473" s="60"/>
      <x:c r="R473" s="58"/>
      <x:c r="S473" s="47"/>
      <x:c r="T473" s="60"/>
      <x:c r="U473" s="58"/>
      <x:c r="V473" s="47"/>
      <x:c r="W473" s="60"/>
      <x:c r="X473" s="58"/>
      <x:c r="Y473" s="47"/>
      <x:c r="Z473" s="60"/>
      <x:c r="AA473" s="58"/>
      <x:c r="AB473" s="47"/>
      <x:c r="AC473" s="60"/>
      <x:c r="AD473" s="58"/>
      <x:c r="AE473" s="47"/>
      <x:c r="AF473" s="60"/>
      <x:c r="AG473" s="58"/>
      <x:c r="AH473" s="47"/>
      <x:c r="AI473" s="60"/>
      <x:c r="AJ473" s="58"/>
      <x:c r="AK473" s="47"/>
      <x:c r="AL473" s="60"/>
      <x:c r="AM473" s="58"/>
      <x:c r="AN473" s="47"/>
      <x:c r="AO473" s="60"/>
      <x:c r="AP473" s="58"/>
      <x:c r="AQ473" s="47"/>
      <x:c r="AR473" s="60"/>
      <x:c r="AS473" s="58"/>
      <x:c r="AT473" s="47"/>
      <x:c r="AU473" s="60"/>
      <x:c r="AV473" s="58"/>
      <x:c r="AW473" s="47"/>
      <x:c r="AX473" s="60"/>
      <x:c r="AY473" s="58"/>
      <x:c r="AZ473" s="47"/>
      <x:c r="BA473" s="60"/>
      <x:c r="BB473" s="58"/>
      <x:c r="BC473" s="47"/>
      <x:c r="BD473" s="60"/>
      <x:c r="BE473" s="58"/>
      <x:c r="BF473" s="47"/>
      <x:c r="BG473" s="60"/>
      <x:c r="BH473" s="58"/>
      <x:c r="BI473" s="47"/>
      <x:c r="BJ473" s="60"/>
      <x:c r="BK473" s="58"/>
      <x:c r="BL473" s="47"/>
      <x:c r="BM473" s="60"/>
      <x:c r="BN473" s="58"/>
      <x:c r="BO473" s="47"/>
      <x:c r="BP473" s="60"/>
      <x:c r="BQ473" s="58"/>
      <x:c r="BR473" s="47"/>
      <x:c r="BS473" s="60"/>
      <x:c r="BT473" s="58"/>
      <x:c r="BU473" s="47"/>
      <x:c r="BV473" s="60"/>
      <x:c r="BW473" s="58"/>
      <x:c r="BX473" s="47"/>
      <x:c r="BY473" s="60"/>
      <x:c r="BZ473" s="58"/>
      <x:c r="CA473" s="47"/>
      <x:c r="CB473" s="60"/>
      <x:c r="CC473" s="58"/>
      <x:c r="CD473" s="47"/>
      <x:c r="CE473" s="60"/>
      <x:c r="CF473" s="58"/>
      <x:c r="CG473" s="47"/>
      <x:c r="CH473" s="60"/>
      <x:c r="CI473" s="58"/>
      <x:c r="CJ473" s="47"/>
      <x:c r="CK473" s="60"/>
      <x:c r="CL473" s="58"/>
      <x:c r="CM473" s="47"/>
      <x:c r="CN473" s="60"/>
      <x:c r="CO473" s="58"/>
      <x:c r="CP473" s="47"/>
      <x:c r="CQ473" s="60"/>
      <x:c r="CR473" s="58"/>
      <x:c r="CS473" s="47"/>
      <x:c r="CT473" s="60"/>
      <x:c r="CU473" s="58"/>
      <x:c r="CV473" s="47"/>
      <x:c r="CW473" s="60"/>
      <x:c r="CX473" s="58"/>
      <x:c r="CY473" s="47"/>
      <x:c r="CZ473" s="60"/>
      <x:c r="DA473" s="58"/>
      <x:c r="DB473" s="47"/>
      <x:c r="DC473" s="60"/>
      <x:c r="DD473" s="58"/>
      <x:c r="DE473" s="47"/>
      <x:c r="DF473" s="60"/>
      <x:c r="DG473" s="58"/>
      <x:c r="DH473" s="47"/>
      <x:c r="DI473" s="60"/>
      <x:c r="DJ473" s="58"/>
      <x:c r="DK473" s="47"/>
      <x:c r="DL473" s="60"/>
      <x:c r="DM473" s="58"/>
      <x:c r="DN473" s="11"/>
      <x:c r="DO473" s="61"/>
      <x:c r="DP473" s="62"/>
      <x:c r="DQ473" s="11"/>
      <x:c r="DR473" s="61"/>
      <x:c r="DS473" s="62"/>
      <x:c r="DT473" s="11"/>
      <x:c r="DU473" s="61"/>
      <x:c r="DV473" s="62"/>
    </x:row>
    <x:row r="474" spans="1:126" x14ac:dyDescent="0.3">
      <x:c r="A474" s="47"/>
      <x:c r="B474" s="70"/>
      <x:c r="C474" s="70"/>
      <x:c r="D474" s="70"/>
      <x:c r="E474" s="70"/>
      <x:c r="F474" s="70"/>
      <x:c r="G474" s="70"/>
      <x:c r="H474" s="70"/>
      <x:c r="I474" s="70"/>
      <x:c r="J474" s="70"/>
      <x:c r="K474" s="190"/>
      <x:c r="L474" s="195"/>
      <x:c r="M474" s="192"/>
      <x:c r="N474" s="192"/>
      <x:c r="O474" s="69"/>
      <x:c r="P474" s="47"/>
      <x:c r="Q474" s="60"/>
      <x:c r="R474" s="58"/>
      <x:c r="S474" s="47"/>
      <x:c r="T474" s="60"/>
      <x:c r="U474" s="58"/>
      <x:c r="V474" s="47"/>
      <x:c r="W474" s="60"/>
      <x:c r="X474" s="58"/>
      <x:c r="Y474" s="47"/>
      <x:c r="Z474" s="60"/>
      <x:c r="AA474" s="58"/>
      <x:c r="AB474" s="47"/>
      <x:c r="AC474" s="60"/>
      <x:c r="AD474" s="58"/>
      <x:c r="AE474" s="47"/>
      <x:c r="AF474" s="60"/>
      <x:c r="AG474" s="58"/>
      <x:c r="AH474" s="47"/>
      <x:c r="AI474" s="60"/>
      <x:c r="AJ474" s="58"/>
      <x:c r="AK474" s="47"/>
      <x:c r="AL474" s="60"/>
      <x:c r="AM474" s="58"/>
      <x:c r="AN474" s="47"/>
      <x:c r="AO474" s="60"/>
      <x:c r="AP474" s="58"/>
      <x:c r="AQ474" s="47"/>
      <x:c r="AR474" s="60"/>
      <x:c r="AS474" s="58"/>
      <x:c r="AT474" s="47"/>
      <x:c r="AU474" s="60"/>
      <x:c r="AV474" s="58"/>
      <x:c r="AW474" s="47"/>
      <x:c r="AX474" s="60"/>
      <x:c r="AY474" s="58"/>
      <x:c r="AZ474" s="47"/>
      <x:c r="BA474" s="60"/>
      <x:c r="BB474" s="58"/>
      <x:c r="BC474" s="47"/>
      <x:c r="BD474" s="60"/>
      <x:c r="BE474" s="58"/>
      <x:c r="BF474" s="47"/>
      <x:c r="BG474" s="60"/>
      <x:c r="BH474" s="58"/>
      <x:c r="BI474" s="47"/>
      <x:c r="BJ474" s="60"/>
      <x:c r="BK474" s="58"/>
      <x:c r="BL474" s="47"/>
      <x:c r="BM474" s="60"/>
      <x:c r="BN474" s="58"/>
      <x:c r="BO474" s="47"/>
      <x:c r="BP474" s="60"/>
      <x:c r="BQ474" s="58"/>
      <x:c r="BR474" s="47"/>
      <x:c r="BS474" s="60"/>
      <x:c r="BT474" s="58"/>
      <x:c r="BU474" s="47"/>
      <x:c r="BV474" s="60"/>
      <x:c r="BW474" s="58"/>
      <x:c r="BX474" s="47"/>
      <x:c r="BY474" s="60"/>
      <x:c r="BZ474" s="58"/>
      <x:c r="CA474" s="47"/>
      <x:c r="CB474" s="60"/>
      <x:c r="CC474" s="58"/>
      <x:c r="CD474" s="47"/>
      <x:c r="CE474" s="60"/>
      <x:c r="CF474" s="58"/>
      <x:c r="CG474" s="47"/>
      <x:c r="CH474" s="60"/>
      <x:c r="CI474" s="58"/>
      <x:c r="CJ474" s="47"/>
      <x:c r="CK474" s="60"/>
      <x:c r="CL474" s="58"/>
      <x:c r="CM474" s="47"/>
      <x:c r="CN474" s="60"/>
      <x:c r="CO474" s="58"/>
      <x:c r="CP474" s="47"/>
      <x:c r="CQ474" s="60"/>
      <x:c r="CR474" s="58"/>
      <x:c r="CS474" s="47"/>
      <x:c r="CT474" s="60"/>
      <x:c r="CU474" s="58"/>
      <x:c r="CV474" s="47"/>
      <x:c r="CW474" s="60"/>
      <x:c r="CX474" s="58"/>
      <x:c r="CY474" s="47"/>
      <x:c r="CZ474" s="60"/>
      <x:c r="DA474" s="58"/>
      <x:c r="DB474" s="47"/>
      <x:c r="DC474" s="60"/>
      <x:c r="DD474" s="58"/>
      <x:c r="DE474" s="47"/>
      <x:c r="DF474" s="60"/>
      <x:c r="DG474" s="58"/>
      <x:c r="DH474" s="47"/>
      <x:c r="DI474" s="60"/>
      <x:c r="DJ474" s="58"/>
      <x:c r="DK474" s="47"/>
      <x:c r="DL474" s="60"/>
      <x:c r="DM474" s="58"/>
      <x:c r="DN474" s="11"/>
      <x:c r="DO474" s="61"/>
      <x:c r="DP474" s="62"/>
      <x:c r="DQ474" s="11"/>
      <x:c r="DR474" s="61"/>
      <x:c r="DS474" s="62"/>
      <x:c r="DT474" s="11"/>
      <x:c r="DU474" s="61"/>
      <x:c r="DV474" s="62"/>
    </x:row>
    <x:row r="475" spans="1:126" x14ac:dyDescent="0.3">
      <x:c r="A475" s="47"/>
      <x:c r="B475" s="70"/>
      <x:c r="C475" s="70"/>
      <x:c r="D475" s="70"/>
      <x:c r="E475" s="70"/>
      <x:c r="F475" s="70"/>
      <x:c r="G475" s="70"/>
      <x:c r="H475" s="70"/>
      <x:c r="I475" s="70"/>
      <x:c r="J475" s="70"/>
      <x:c r="K475" s="190"/>
      <x:c r="L475" s="195"/>
      <x:c r="M475" s="192"/>
      <x:c r="N475" s="192"/>
      <x:c r="O475" s="69"/>
      <x:c r="P475" s="47"/>
      <x:c r="Q475" s="60"/>
      <x:c r="R475" s="58"/>
      <x:c r="S475" s="47"/>
      <x:c r="T475" s="60"/>
      <x:c r="U475" s="58"/>
      <x:c r="V475" s="47"/>
      <x:c r="W475" s="60"/>
      <x:c r="X475" s="58"/>
      <x:c r="Y475" s="47"/>
      <x:c r="Z475" s="60"/>
      <x:c r="AA475" s="58"/>
      <x:c r="AB475" s="47"/>
      <x:c r="AC475" s="60"/>
      <x:c r="AD475" s="58"/>
      <x:c r="AE475" s="47"/>
      <x:c r="AF475" s="60"/>
      <x:c r="AG475" s="58"/>
      <x:c r="AH475" s="47"/>
      <x:c r="AI475" s="60"/>
      <x:c r="AJ475" s="58"/>
      <x:c r="AK475" s="47"/>
      <x:c r="AL475" s="60"/>
      <x:c r="AM475" s="58"/>
      <x:c r="AN475" s="47"/>
      <x:c r="AO475" s="60"/>
      <x:c r="AP475" s="58"/>
      <x:c r="AQ475" s="47"/>
      <x:c r="AR475" s="60"/>
      <x:c r="AS475" s="58"/>
      <x:c r="AT475" s="47"/>
      <x:c r="AU475" s="60"/>
      <x:c r="AV475" s="58"/>
      <x:c r="AW475" s="47"/>
      <x:c r="AX475" s="60"/>
      <x:c r="AY475" s="58"/>
      <x:c r="AZ475" s="47"/>
      <x:c r="BA475" s="60"/>
      <x:c r="BB475" s="58"/>
      <x:c r="BC475" s="47"/>
      <x:c r="BD475" s="60"/>
      <x:c r="BE475" s="58"/>
      <x:c r="BF475" s="47"/>
      <x:c r="BG475" s="60"/>
      <x:c r="BH475" s="58"/>
      <x:c r="BI475" s="47"/>
      <x:c r="BJ475" s="60"/>
      <x:c r="BK475" s="58"/>
      <x:c r="BL475" s="47"/>
      <x:c r="BM475" s="60"/>
      <x:c r="BN475" s="58"/>
      <x:c r="BO475" s="47"/>
      <x:c r="BP475" s="60"/>
      <x:c r="BQ475" s="58"/>
      <x:c r="BR475" s="47"/>
      <x:c r="BS475" s="60"/>
      <x:c r="BT475" s="58"/>
      <x:c r="BU475" s="47"/>
      <x:c r="BV475" s="60"/>
      <x:c r="BW475" s="58"/>
      <x:c r="BX475" s="47"/>
      <x:c r="BY475" s="60"/>
      <x:c r="BZ475" s="58"/>
      <x:c r="CA475" s="47"/>
      <x:c r="CB475" s="60"/>
      <x:c r="CC475" s="58"/>
      <x:c r="CD475" s="47"/>
      <x:c r="CE475" s="60"/>
      <x:c r="CF475" s="58"/>
      <x:c r="CG475" s="47"/>
      <x:c r="CH475" s="60"/>
      <x:c r="CI475" s="58"/>
      <x:c r="CJ475" s="47"/>
      <x:c r="CK475" s="60"/>
      <x:c r="CL475" s="58"/>
      <x:c r="CM475" s="47"/>
      <x:c r="CN475" s="60"/>
      <x:c r="CO475" s="58"/>
      <x:c r="CP475" s="47"/>
      <x:c r="CQ475" s="60"/>
      <x:c r="CR475" s="58"/>
      <x:c r="CS475" s="47"/>
      <x:c r="CT475" s="60"/>
      <x:c r="CU475" s="58"/>
      <x:c r="CV475" s="47"/>
      <x:c r="CW475" s="60"/>
      <x:c r="CX475" s="58"/>
      <x:c r="CY475" s="47"/>
      <x:c r="CZ475" s="60"/>
      <x:c r="DA475" s="58"/>
      <x:c r="DB475" s="47"/>
      <x:c r="DC475" s="60"/>
      <x:c r="DD475" s="58"/>
      <x:c r="DE475" s="47"/>
      <x:c r="DF475" s="60"/>
      <x:c r="DG475" s="58"/>
      <x:c r="DH475" s="47"/>
      <x:c r="DI475" s="60"/>
      <x:c r="DJ475" s="58"/>
      <x:c r="DK475" s="47"/>
      <x:c r="DL475" s="60"/>
      <x:c r="DM475" s="58"/>
      <x:c r="DN475" s="11"/>
      <x:c r="DO475" s="61"/>
      <x:c r="DP475" s="62"/>
      <x:c r="DQ475" s="11"/>
      <x:c r="DR475" s="61"/>
      <x:c r="DS475" s="62"/>
      <x:c r="DT475" s="11"/>
      <x:c r="DU475" s="61"/>
      <x:c r="DV475" s="62"/>
    </x:row>
    <x:row r="476" spans="1:126" x14ac:dyDescent="0.3">
      <x:c r="A476" s="47"/>
      <x:c r="B476" s="70"/>
      <x:c r="C476" s="70"/>
      <x:c r="D476" s="70"/>
      <x:c r="E476" s="70"/>
      <x:c r="F476" s="70"/>
      <x:c r="G476" s="70"/>
      <x:c r="H476" s="70"/>
      <x:c r="I476" s="70"/>
      <x:c r="J476" s="70"/>
      <x:c r="K476" s="190"/>
      <x:c r="L476" s="195"/>
      <x:c r="M476" s="192"/>
      <x:c r="N476" s="192"/>
      <x:c r="O476" s="69"/>
      <x:c r="P476" s="47"/>
      <x:c r="Q476" s="60"/>
      <x:c r="R476" s="58"/>
      <x:c r="S476" s="47"/>
      <x:c r="T476" s="60"/>
      <x:c r="U476" s="58"/>
      <x:c r="V476" s="47"/>
      <x:c r="W476" s="60"/>
      <x:c r="X476" s="58"/>
      <x:c r="Y476" s="47"/>
      <x:c r="Z476" s="60"/>
      <x:c r="AA476" s="58"/>
      <x:c r="AB476" s="47"/>
      <x:c r="AC476" s="60"/>
      <x:c r="AD476" s="58"/>
      <x:c r="AE476" s="47"/>
      <x:c r="AF476" s="60"/>
      <x:c r="AG476" s="58"/>
      <x:c r="AH476" s="47"/>
      <x:c r="AI476" s="60"/>
      <x:c r="AJ476" s="58"/>
      <x:c r="AK476" s="47"/>
      <x:c r="AL476" s="60"/>
      <x:c r="AM476" s="58"/>
      <x:c r="AN476" s="47"/>
      <x:c r="AO476" s="60"/>
      <x:c r="AP476" s="58"/>
      <x:c r="AQ476" s="47"/>
      <x:c r="AR476" s="60"/>
      <x:c r="AS476" s="58"/>
      <x:c r="AT476" s="47"/>
      <x:c r="AU476" s="60"/>
      <x:c r="AV476" s="58"/>
      <x:c r="AW476" s="47"/>
      <x:c r="AX476" s="60"/>
      <x:c r="AY476" s="58"/>
      <x:c r="AZ476" s="47"/>
      <x:c r="BA476" s="60"/>
      <x:c r="BB476" s="58"/>
      <x:c r="BC476" s="47"/>
      <x:c r="BD476" s="60"/>
      <x:c r="BE476" s="58"/>
      <x:c r="BF476" s="47"/>
      <x:c r="BG476" s="60"/>
      <x:c r="BH476" s="58"/>
      <x:c r="BI476" s="47"/>
      <x:c r="BJ476" s="60"/>
      <x:c r="BK476" s="58"/>
      <x:c r="BL476" s="47"/>
      <x:c r="BM476" s="60"/>
      <x:c r="BN476" s="58"/>
      <x:c r="BO476" s="47"/>
      <x:c r="BP476" s="60"/>
      <x:c r="BQ476" s="58"/>
      <x:c r="BR476" s="47"/>
      <x:c r="BS476" s="60"/>
      <x:c r="BT476" s="58"/>
      <x:c r="BU476" s="47"/>
      <x:c r="BV476" s="60"/>
      <x:c r="BW476" s="58"/>
      <x:c r="BX476" s="47"/>
      <x:c r="BY476" s="60"/>
      <x:c r="BZ476" s="58"/>
      <x:c r="CA476" s="47"/>
      <x:c r="CB476" s="60"/>
      <x:c r="CC476" s="58"/>
      <x:c r="CD476" s="47"/>
      <x:c r="CE476" s="60"/>
      <x:c r="CF476" s="58"/>
      <x:c r="CG476" s="47"/>
      <x:c r="CH476" s="60"/>
      <x:c r="CI476" s="58"/>
      <x:c r="CJ476" s="47"/>
      <x:c r="CK476" s="60"/>
      <x:c r="CL476" s="58"/>
      <x:c r="CM476" s="47"/>
      <x:c r="CN476" s="60"/>
      <x:c r="CO476" s="58"/>
      <x:c r="CP476" s="47"/>
      <x:c r="CQ476" s="60"/>
      <x:c r="CR476" s="58"/>
      <x:c r="CS476" s="47"/>
      <x:c r="CT476" s="60"/>
      <x:c r="CU476" s="58"/>
      <x:c r="CV476" s="47"/>
      <x:c r="CW476" s="60"/>
      <x:c r="CX476" s="58"/>
      <x:c r="CY476" s="47"/>
      <x:c r="CZ476" s="60"/>
      <x:c r="DA476" s="58"/>
      <x:c r="DB476" s="47"/>
      <x:c r="DC476" s="60"/>
      <x:c r="DD476" s="58"/>
      <x:c r="DE476" s="47"/>
      <x:c r="DF476" s="60"/>
      <x:c r="DG476" s="58"/>
      <x:c r="DH476" s="47"/>
      <x:c r="DI476" s="60"/>
      <x:c r="DJ476" s="58"/>
      <x:c r="DK476" s="47"/>
      <x:c r="DL476" s="60"/>
      <x:c r="DM476" s="58"/>
      <x:c r="DN476" s="11"/>
      <x:c r="DO476" s="61"/>
      <x:c r="DP476" s="62"/>
      <x:c r="DQ476" s="11"/>
      <x:c r="DR476" s="61"/>
      <x:c r="DS476" s="62"/>
      <x:c r="DT476" s="11"/>
      <x:c r="DU476" s="61"/>
      <x:c r="DV476" s="62"/>
    </x:row>
    <x:row r="477" spans="1:126" x14ac:dyDescent="0.3">
      <x:c r="A477" s="47"/>
      <x:c r="B477" s="70"/>
      <x:c r="C477" s="70"/>
      <x:c r="D477" s="70"/>
      <x:c r="E477" s="70"/>
      <x:c r="F477" s="70"/>
      <x:c r="G477" s="70"/>
      <x:c r="H477" s="70"/>
      <x:c r="I477" s="70"/>
      <x:c r="J477" s="70"/>
      <x:c r="K477" s="190"/>
      <x:c r="L477" s="195"/>
      <x:c r="M477" s="192"/>
      <x:c r="N477" s="192"/>
      <x:c r="O477" s="69"/>
      <x:c r="P477" s="47"/>
      <x:c r="Q477" s="60"/>
      <x:c r="R477" s="58"/>
      <x:c r="S477" s="47"/>
      <x:c r="T477" s="60"/>
      <x:c r="U477" s="58"/>
      <x:c r="V477" s="47"/>
      <x:c r="W477" s="60"/>
      <x:c r="X477" s="58"/>
      <x:c r="Y477" s="47"/>
      <x:c r="Z477" s="60"/>
      <x:c r="AA477" s="58"/>
      <x:c r="AB477" s="47"/>
      <x:c r="AC477" s="60"/>
      <x:c r="AD477" s="58"/>
      <x:c r="AE477" s="47"/>
      <x:c r="AF477" s="60"/>
      <x:c r="AG477" s="58"/>
      <x:c r="AH477" s="47"/>
      <x:c r="AI477" s="60"/>
      <x:c r="AJ477" s="58"/>
      <x:c r="AK477" s="47"/>
      <x:c r="AL477" s="60"/>
      <x:c r="AM477" s="58"/>
      <x:c r="AN477" s="47"/>
      <x:c r="AO477" s="60"/>
      <x:c r="AP477" s="58"/>
      <x:c r="AQ477" s="47"/>
      <x:c r="AR477" s="60"/>
      <x:c r="AS477" s="58"/>
      <x:c r="AT477" s="47"/>
      <x:c r="AU477" s="60"/>
      <x:c r="AV477" s="58"/>
      <x:c r="AW477" s="47"/>
      <x:c r="AX477" s="60"/>
      <x:c r="AY477" s="58"/>
      <x:c r="AZ477" s="47"/>
      <x:c r="BA477" s="60"/>
      <x:c r="BB477" s="58"/>
      <x:c r="BC477" s="47"/>
      <x:c r="BD477" s="60"/>
      <x:c r="BE477" s="58"/>
      <x:c r="BF477" s="47"/>
      <x:c r="BG477" s="60"/>
      <x:c r="BH477" s="58"/>
      <x:c r="BI477" s="47"/>
      <x:c r="BJ477" s="60"/>
      <x:c r="BK477" s="58"/>
      <x:c r="BL477" s="47"/>
      <x:c r="BM477" s="60"/>
      <x:c r="BN477" s="58"/>
      <x:c r="BO477" s="47"/>
      <x:c r="BP477" s="60"/>
      <x:c r="BQ477" s="58"/>
      <x:c r="BR477" s="47"/>
      <x:c r="BS477" s="60"/>
      <x:c r="BT477" s="58"/>
      <x:c r="BU477" s="47"/>
      <x:c r="BV477" s="60"/>
      <x:c r="BW477" s="58"/>
      <x:c r="BX477" s="47"/>
      <x:c r="BY477" s="60"/>
      <x:c r="BZ477" s="58"/>
      <x:c r="CA477" s="47"/>
      <x:c r="CB477" s="60"/>
      <x:c r="CC477" s="58"/>
      <x:c r="CD477" s="47"/>
      <x:c r="CE477" s="60"/>
      <x:c r="CF477" s="58"/>
      <x:c r="CG477" s="47"/>
      <x:c r="CH477" s="60"/>
      <x:c r="CI477" s="58"/>
      <x:c r="CJ477" s="47"/>
      <x:c r="CK477" s="60"/>
      <x:c r="CL477" s="58"/>
      <x:c r="CM477" s="47"/>
      <x:c r="CN477" s="60"/>
      <x:c r="CO477" s="58"/>
      <x:c r="CP477" s="47"/>
      <x:c r="CQ477" s="60"/>
      <x:c r="CR477" s="58"/>
      <x:c r="CS477" s="47"/>
      <x:c r="CT477" s="60"/>
      <x:c r="CU477" s="58"/>
      <x:c r="CV477" s="47"/>
      <x:c r="CW477" s="60"/>
      <x:c r="CX477" s="58"/>
      <x:c r="CY477" s="47"/>
      <x:c r="CZ477" s="60"/>
      <x:c r="DA477" s="58"/>
      <x:c r="DB477" s="47"/>
      <x:c r="DC477" s="60"/>
      <x:c r="DD477" s="58"/>
      <x:c r="DE477" s="47"/>
      <x:c r="DF477" s="60"/>
      <x:c r="DG477" s="58"/>
      <x:c r="DH477" s="47"/>
      <x:c r="DI477" s="60"/>
      <x:c r="DJ477" s="58"/>
      <x:c r="DK477" s="47"/>
      <x:c r="DL477" s="60"/>
      <x:c r="DM477" s="58"/>
      <x:c r="DN477" s="11"/>
      <x:c r="DO477" s="61"/>
      <x:c r="DP477" s="62"/>
      <x:c r="DQ477" s="11"/>
      <x:c r="DR477" s="61"/>
      <x:c r="DS477" s="62"/>
      <x:c r="DT477" s="11"/>
      <x:c r="DU477" s="61"/>
      <x:c r="DV477" s="62"/>
    </x:row>
    <x:row r="478" spans="1:126" x14ac:dyDescent="0.3">
      <x:c r="A478" s="47"/>
      <x:c r="B478" s="70"/>
      <x:c r="C478" s="70"/>
      <x:c r="D478" s="70"/>
      <x:c r="E478" s="70"/>
      <x:c r="F478" s="70"/>
      <x:c r="G478" s="70"/>
      <x:c r="H478" s="70"/>
      <x:c r="I478" s="70"/>
      <x:c r="J478" s="70"/>
      <x:c r="K478" s="190"/>
      <x:c r="L478" s="195"/>
      <x:c r="M478" s="192"/>
      <x:c r="N478" s="192"/>
      <x:c r="O478" s="69"/>
      <x:c r="P478" s="47"/>
      <x:c r="Q478" s="60"/>
      <x:c r="R478" s="58"/>
      <x:c r="S478" s="47"/>
      <x:c r="T478" s="60"/>
      <x:c r="U478" s="58"/>
      <x:c r="V478" s="47"/>
      <x:c r="W478" s="60"/>
      <x:c r="X478" s="58"/>
      <x:c r="Y478" s="47"/>
      <x:c r="Z478" s="60"/>
      <x:c r="AA478" s="58"/>
      <x:c r="AB478" s="47"/>
      <x:c r="AC478" s="60"/>
      <x:c r="AD478" s="58"/>
      <x:c r="AE478" s="47"/>
      <x:c r="AF478" s="60"/>
      <x:c r="AG478" s="58"/>
      <x:c r="AH478" s="47"/>
      <x:c r="AI478" s="60"/>
      <x:c r="AJ478" s="58"/>
      <x:c r="AK478" s="47"/>
      <x:c r="AL478" s="60"/>
      <x:c r="AM478" s="58"/>
      <x:c r="AN478" s="47"/>
      <x:c r="AO478" s="60"/>
      <x:c r="AP478" s="58"/>
      <x:c r="AQ478" s="47"/>
      <x:c r="AR478" s="60"/>
      <x:c r="AS478" s="58"/>
      <x:c r="AT478" s="47"/>
      <x:c r="AU478" s="60"/>
      <x:c r="AV478" s="58"/>
      <x:c r="AW478" s="47"/>
      <x:c r="AX478" s="60"/>
      <x:c r="AY478" s="58"/>
      <x:c r="AZ478" s="47"/>
      <x:c r="BA478" s="60"/>
      <x:c r="BB478" s="58"/>
      <x:c r="BC478" s="47"/>
      <x:c r="BD478" s="60"/>
      <x:c r="BE478" s="58"/>
      <x:c r="BF478" s="47"/>
      <x:c r="BG478" s="60"/>
      <x:c r="BH478" s="58"/>
      <x:c r="BI478" s="47"/>
      <x:c r="BJ478" s="60"/>
      <x:c r="BK478" s="58"/>
      <x:c r="BL478" s="47"/>
      <x:c r="BM478" s="60"/>
      <x:c r="BN478" s="58"/>
      <x:c r="BO478" s="47"/>
      <x:c r="BP478" s="60"/>
      <x:c r="BQ478" s="58"/>
      <x:c r="BR478" s="47"/>
      <x:c r="BS478" s="60"/>
      <x:c r="BT478" s="58"/>
      <x:c r="BU478" s="47"/>
      <x:c r="BV478" s="60"/>
      <x:c r="BW478" s="58"/>
      <x:c r="BX478" s="47"/>
      <x:c r="BY478" s="60"/>
      <x:c r="BZ478" s="58"/>
      <x:c r="CA478" s="47"/>
      <x:c r="CB478" s="60"/>
      <x:c r="CC478" s="58"/>
      <x:c r="CD478" s="47"/>
      <x:c r="CE478" s="60"/>
      <x:c r="CF478" s="58"/>
      <x:c r="CG478" s="47"/>
      <x:c r="CH478" s="60"/>
      <x:c r="CI478" s="58"/>
      <x:c r="CJ478" s="47"/>
      <x:c r="CK478" s="60"/>
      <x:c r="CL478" s="58"/>
      <x:c r="CM478" s="47"/>
      <x:c r="CN478" s="60"/>
      <x:c r="CO478" s="58"/>
      <x:c r="CP478" s="47"/>
      <x:c r="CQ478" s="60"/>
      <x:c r="CR478" s="58"/>
      <x:c r="CS478" s="47"/>
      <x:c r="CT478" s="60"/>
      <x:c r="CU478" s="58"/>
      <x:c r="CV478" s="47"/>
      <x:c r="CW478" s="60"/>
      <x:c r="CX478" s="58"/>
      <x:c r="CY478" s="47"/>
      <x:c r="CZ478" s="60"/>
      <x:c r="DA478" s="58"/>
      <x:c r="DB478" s="47"/>
      <x:c r="DC478" s="60"/>
      <x:c r="DD478" s="58"/>
      <x:c r="DE478" s="47"/>
      <x:c r="DF478" s="60"/>
      <x:c r="DG478" s="58"/>
      <x:c r="DH478" s="47"/>
      <x:c r="DI478" s="60"/>
      <x:c r="DJ478" s="58"/>
      <x:c r="DK478" s="47"/>
      <x:c r="DL478" s="60"/>
      <x:c r="DM478" s="58"/>
      <x:c r="DN478" s="11"/>
      <x:c r="DO478" s="61"/>
      <x:c r="DP478" s="62"/>
      <x:c r="DQ478" s="11"/>
      <x:c r="DR478" s="61"/>
      <x:c r="DS478" s="62"/>
      <x:c r="DT478" s="11"/>
      <x:c r="DU478" s="61"/>
      <x:c r="DV478" s="62"/>
    </x:row>
    <x:row r="479" spans="1:126" x14ac:dyDescent="0.3">
      <x:c r="A479" s="47"/>
      <x:c r="B479" s="70"/>
      <x:c r="C479" s="70"/>
      <x:c r="D479" s="70"/>
      <x:c r="E479" s="70"/>
      <x:c r="F479" s="70"/>
      <x:c r="G479" s="70"/>
      <x:c r="H479" s="70"/>
      <x:c r="I479" s="70"/>
      <x:c r="J479" s="70"/>
      <x:c r="K479" s="190"/>
      <x:c r="L479" s="195"/>
      <x:c r="M479" s="192"/>
      <x:c r="N479" s="192"/>
      <x:c r="O479" s="69"/>
      <x:c r="P479" s="47"/>
      <x:c r="Q479" s="60"/>
      <x:c r="R479" s="58"/>
      <x:c r="S479" s="47"/>
      <x:c r="T479" s="60"/>
      <x:c r="U479" s="58"/>
      <x:c r="V479" s="47"/>
      <x:c r="W479" s="60"/>
      <x:c r="X479" s="58"/>
      <x:c r="Y479" s="47"/>
      <x:c r="Z479" s="60"/>
      <x:c r="AA479" s="58"/>
      <x:c r="AB479" s="47"/>
      <x:c r="AC479" s="60"/>
      <x:c r="AD479" s="58"/>
      <x:c r="AE479" s="47"/>
      <x:c r="AF479" s="60"/>
      <x:c r="AG479" s="58"/>
      <x:c r="AH479" s="47"/>
      <x:c r="AI479" s="60"/>
      <x:c r="AJ479" s="58"/>
      <x:c r="AK479" s="47"/>
      <x:c r="AL479" s="60"/>
      <x:c r="AM479" s="58"/>
      <x:c r="AN479" s="47"/>
      <x:c r="AO479" s="60"/>
      <x:c r="AP479" s="58"/>
      <x:c r="AQ479" s="47"/>
      <x:c r="AR479" s="60"/>
      <x:c r="AS479" s="58"/>
      <x:c r="AT479" s="47"/>
      <x:c r="AU479" s="60"/>
      <x:c r="AV479" s="58"/>
      <x:c r="AW479" s="47"/>
      <x:c r="AX479" s="60"/>
      <x:c r="AY479" s="58"/>
      <x:c r="AZ479" s="47"/>
      <x:c r="BA479" s="60"/>
      <x:c r="BB479" s="58"/>
      <x:c r="BC479" s="47"/>
      <x:c r="BD479" s="60"/>
      <x:c r="BE479" s="58"/>
      <x:c r="BF479" s="47"/>
      <x:c r="BG479" s="60"/>
      <x:c r="BH479" s="58"/>
      <x:c r="BI479" s="47"/>
      <x:c r="BJ479" s="60"/>
      <x:c r="BK479" s="58"/>
      <x:c r="BL479" s="47"/>
      <x:c r="BM479" s="60"/>
      <x:c r="BN479" s="58"/>
      <x:c r="BO479" s="47"/>
      <x:c r="BP479" s="60"/>
      <x:c r="BQ479" s="58"/>
      <x:c r="BR479" s="47"/>
      <x:c r="BS479" s="60"/>
      <x:c r="BT479" s="58"/>
      <x:c r="BU479" s="47"/>
      <x:c r="BV479" s="60"/>
      <x:c r="BW479" s="58"/>
      <x:c r="BX479" s="47"/>
      <x:c r="BY479" s="60"/>
      <x:c r="BZ479" s="58"/>
      <x:c r="CA479" s="47"/>
      <x:c r="CB479" s="60"/>
      <x:c r="CC479" s="58"/>
      <x:c r="CD479" s="47"/>
      <x:c r="CE479" s="60"/>
      <x:c r="CF479" s="58"/>
      <x:c r="CG479" s="47"/>
      <x:c r="CH479" s="60"/>
      <x:c r="CI479" s="58"/>
      <x:c r="CJ479" s="47"/>
      <x:c r="CK479" s="60"/>
      <x:c r="CL479" s="58"/>
      <x:c r="CM479" s="47"/>
      <x:c r="CN479" s="60"/>
      <x:c r="CO479" s="58"/>
      <x:c r="CP479" s="47"/>
      <x:c r="CQ479" s="60"/>
      <x:c r="CR479" s="58"/>
      <x:c r="CS479" s="47"/>
      <x:c r="CT479" s="60"/>
      <x:c r="CU479" s="58"/>
      <x:c r="CV479" s="47"/>
      <x:c r="CW479" s="60"/>
      <x:c r="CX479" s="58"/>
      <x:c r="CY479" s="47"/>
      <x:c r="CZ479" s="60"/>
      <x:c r="DA479" s="58"/>
      <x:c r="DB479" s="47"/>
      <x:c r="DC479" s="60"/>
      <x:c r="DD479" s="58"/>
      <x:c r="DE479" s="47"/>
      <x:c r="DF479" s="60"/>
      <x:c r="DG479" s="58"/>
      <x:c r="DH479" s="47"/>
      <x:c r="DI479" s="60"/>
      <x:c r="DJ479" s="58"/>
      <x:c r="DK479" s="47"/>
      <x:c r="DL479" s="60"/>
      <x:c r="DM479" s="58"/>
      <x:c r="DN479" s="11"/>
      <x:c r="DO479" s="61"/>
      <x:c r="DP479" s="62"/>
      <x:c r="DQ479" s="11"/>
      <x:c r="DR479" s="61"/>
      <x:c r="DS479" s="62"/>
      <x:c r="DT479" s="11"/>
      <x:c r="DU479" s="61"/>
      <x:c r="DV479" s="62"/>
    </x:row>
    <x:row r="480" spans="1:126" x14ac:dyDescent="0.3">
      <x:c r="A480" s="47"/>
      <x:c r="B480" s="70"/>
      <x:c r="C480" s="70"/>
      <x:c r="D480" s="70"/>
      <x:c r="E480" s="70"/>
      <x:c r="F480" s="70"/>
      <x:c r="G480" s="70"/>
      <x:c r="H480" s="70"/>
      <x:c r="I480" s="70"/>
      <x:c r="J480" s="70"/>
      <x:c r="K480" s="190"/>
      <x:c r="L480" s="195"/>
      <x:c r="M480" s="192"/>
      <x:c r="N480" s="192"/>
      <x:c r="O480" s="69"/>
      <x:c r="P480" s="47"/>
      <x:c r="Q480" s="60"/>
      <x:c r="R480" s="58"/>
      <x:c r="S480" s="47"/>
      <x:c r="T480" s="60"/>
      <x:c r="U480" s="58"/>
      <x:c r="V480" s="47"/>
      <x:c r="W480" s="60"/>
      <x:c r="X480" s="58"/>
      <x:c r="Y480" s="47"/>
      <x:c r="Z480" s="60"/>
      <x:c r="AA480" s="58"/>
      <x:c r="AB480" s="47"/>
      <x:c r="AC480" s="60"/>
      <x:c r="AD480" s="58"/>
      <x:c r="AE480" s="47"/>
      <x:c r="AF480" s="60"/>
      <x:c r="AG480" s="58"/>
      <x:c r="AH480" s="47"/>
      <x:c r="AI480" s="60"/>
      <x:c r="AJ480" s="58"/>
      <x:c r="AK480" s="47"/>
      <x:c r="AL480" s="60"/>
      <x:c r="AM480" s="58"/>
      <x:c r="AN480" s="47"/>
      <x:c r="AO480" s="60"/>
      <x:c r="AP480" s="58"/>
      <x:c r="AQ480" s="47"/>
      <x:c r="AR480" s="60"/>
      <x:c r="AS480" s="58"/>
      <x:c r="AT480" s="47"/>
      <x:c r="AU480" s="60"/>
      <x:c r="AV480" s="58"/>
      <x:c r="AW480" s="47"/>
      <x:c r="AX480" s="60"/>
      <x:c r="AY480" s="58"/>
      <x:c r="AZ480" s="47"/>
      <x:c r="BA480" s="60"/>
      <x:c r="BB480" s="58"/>
      <x:c r="BC480" s="47"/>
      <x:c r="BD480" s="60"/>
      <x:c r="BE480" s="58"/>
      <x:c r="BF480" s="47"/>
      <x:c r="BG480" s="60"/>
      <x:c r="BH480" s="58"/>
      <x:c r="BI480" s="47"/>
      <x:c r="BJ480" s="60"/>
      <x:c r="BK480" s="58"/>
      <x:c r="BL480" s="47"/>
      <x:c r="BM480" s="60"/>
      <x:c r="BN480" s="58"/>
      <x:c r="BO480" s="47"/>
      <x:c r="BP480" s="60"/>
      <x:c r="BQ480" s="58"/>
      <x:c r="BR480" s="47"/>
      <x:c r="BS480" s="60"/>
      <x:c r="BT480" s="58"/>
      <x:c r="BU480" s="47"/>
      <x:c r="BV480" s="60"/>
      <x:c r="BW480" s="58"/>
      <x:c r="BX480" s="47"/>
      <x:c r="BY480" s="60"/>
      <x:c r="BZ480" s="58"/>
      <x:c r="CA480" s="47"/>
      <x:c r="CB480" s="60"/>
      <x:c r="CC480" s="58"/>
      <x:c r="CD480" s="47"/>
      <x:c r="CE480" s="60"/>
      <x:c r="CF480" s="58"/>
      <x:c r="CG480" s="47"/>
      <x:c r="CH480" s="60"/>
      <x:c r="CI480" s="58"/>
      <x:c r="CJ480" s="47"/>
      <x:c r="CK480" s="60"/>
      <x:c r="CL480" s="58"/>
      <x:c r="CM480" s="47"/>
      <x:c r="CN480" s="60"/>
      <x:c r="CO480" s="58"/>
      <x:c r="CP480" s="47"/>
      <x:c r="CQ480" s="60"/>
      <x:c r="CR480" s="58"/>
      <x:c r="CS480" s="47"/>
      <x:c r="CT480" s="60"/>
      <x:c r="CU480" s="58"/>
      <x:c r="CV480" s="47"/>
      <x:c r="CW480" s="60"/>
      <x:c r="CX480" s="58"/>
      <x:c r="CY480" s="47"/>
      <x:c r="CZ480" s="60"/>
      <x:c r="DA480" s="58"/>
      <x:c r="DB480" s="47"/>
      <x:c r="DC480" s="60"/>
      <x:c r="DD480" s="58"/>
      <x:c r="DE480" s="47"/>
      <x:c r="DF480" s="60"/>
      <x:c r="DG480" s="58"/>
      <x:c r="DH480" s="47"/>
      <x:c r="DI480" s="60"/>
      <x:c r="DJ480" s="58"/>
      <x:c r="DK480" s="47"/>
      <x:c r="DL480" s="60"/>
      <x:c r="DM480" s="58"/>
      <x:c r="DN480" s="11"/>
      <x:c r="DO480" s="61"/>
      <x:c r="DP480" s="62"/>
      <x:c r="DQ480" s="11"/>
      <x:c r="DR480" s="61"/>
      <x:c r="DS480" s="62"/>
      <x:c r="DT480" s="11"/>
      <x:c r="DU480" s="61"/>
      <x:c r="DV480" s="62"/>
    </x:row>
    <x:row r="481" spans="1:126" x14ac:dyDescent="0.3">
      <x:c r="A481" s="47"/>
      <x:c r="B481" s="70"/>
      <x:c r="C481" s="70"/>
      <x:c r="D481" s="70"/>
      <x:c r="E481" s="70"/>
      <x:c r="F481" s="70"/>
      <x:c r="G481" s="70"/>
      <x:c r="H481" s="70"/>
      <x:c r="I481" s="70"/>
      <x:c r="J481" s="70"/>
      <x:c r="K481" s="190"/>
      <x:c r="L481" s="195"/>
      <x:c r="M481" s="192"/>
      <x:c r="N481" s="192"/>
      <x:c r="O481" s="69"/>
      <x:c r="P481" s="47"/>
      <x:c r="Q481" s="60"/>
      <x:c r="R481" s="58"/>
      <x:c r="S481" s="47"/>
      <x:c r="T481" s="60"/>
      <x:c r="U481" s="58"/>
      <x:c r="V481" s="47"/>
      <x:c r="W481" s="60"/>
      <x:c r="X481" s="58"/>
      <x:c r="Y481" s="47"/>
      <x:c r="Z481" s="60"/>
      <x:c r="AA481" s="58"/>
      <x:c r="AB481" s="47"/>
      <x:c r="AC481" s="60"/>
      <x:c r="AD481" s="58"/>
      <x:c r="AE481" s="47"/>
      <x:c r="AF481" s="60"/>
      <x:c r="AG481" s="58"/>
      <x:c r="AH481" s="47"/>
      <x:c r="AI481" s="60"/>
      <x:c r="AJ481" s="58"/>
      <x:c r="AK481" s="47"/>
      <x:c r="AL481" s="60"/>
      <x:c r="AM481" s="58"/>
      <x:c r="AN481" s="47"/>
      <x:c r="AO481" s="60"/>
      <x:c r="AP481" s="58"/>
      <x:c r="AQ481" s="47"/>
      <x:c r="AR481" s="60"/>
      <x:c r="AS481" s="58"/>
      <x:c r="AT481" s="47"/>
      <x:c r="AU481" s="60"/>
      <x:c r="AV481" s="58"/>
      <x:c r="AW481" s="47"/>
      <x:c r="AX481" s="60"/>
      <x:c r="AY481" s="58"/>
      <x:c r="AZ481" s="47"/>
      <x:c r="BA481" s="60"/>
      <x:c r="BB481" s="58"/>
      <x:c r="BC481" s="47"/>
      <x:c r="BD481" s="60"/>
      <x:c r="BE481" s="58"/>
      <x:c r="BF481" s="47"/>
      <x:c r="BG481" s="60"/>
      <x:c r="BH481" s="58"/>
      <x:c r="BI481" s="47"/>
      <x:c r="BJ481" s="60"/>
      <x:c r="BK481" s="58"/>
      <x:c r="BL481" s="47"/>
      <x:c r="BM481" s="60"/>
      <x:c r="BN481" s="58"/>
      <x:c r="BO481" s="47"/>
      <x:c r="BP481" s="60"/>
      <x:c r="BQ481" s="58"/>
      <x:c r="BR481" s="47"/>
      <x:c r="BS481" s="60"/>
      <x:c r="BT481" s="58"/>
      <x:c r="BU481" s="47"/>
      <x:c r="BV481" s="60"/>
      <x:c r="BW481" s="58"/>
      <x:c r="BX481" s="47"/>
      <x:c r="BY481" s="60"/>
      <x:c r="BZ481" s="58"/>
      <x:c r="CA481" s="47"/>
      <x:c r="CB481" s="60"/>
      <x:c r="CC481" s="58"/>
      <x:c r="CD481" s="47"/>
      <x:c r="CE481" s="60"/>
      <x:c r="CF481" s="58"/>
      <x:c r="CG481" s="47"/>
      <x:c r="CH481" s="60"/>
      <x:c r="CI481" s="58"/>
      <x:c r="CJ481" s="47"/>
      <x:c r="CK481" s="60"/>
      <x:c r="CL481" s="58"/>
      <x:c r="CM481" s="47"/>
      <x:c r="CN481" s="60"/>
      <x:c r="CO481" s="58"/>
      <x:c r="CP481" s="47"/>
      <x:c r="CQ481" s="60"/>
      <x:c r="CR481" s="58"/>
      <x:c r="CS481" s="47"/>
      <x:c r="CT481" s="60"/>
      <x:c r="CU481" s="58"/>
      <x:c r="CV481" s="47"/>
      <x:c r="CW481" s="60"/>
      <x:c r="CX481" s="58"/>
      <x:c r="CY481" s="47"/>
      <x:c r="CZ481" s="60"/>
      <x:c r="DA481" s="58"/>
      <x:c r="DB481" s="47"/>
      <x:c r="DC481" s="60"/>
      <x:c r="DD481" s="58"/>
      <x:c r="DE481" s="47"/>
      <x:c r="DF481" s="60"/>
      <x:c r="DG481" s="58"/>
      <x:c r="DH481" s="47"/>
      <x:c r="DI481" s="60"/>
      <x:c r="DJ481" s="58"/>
      <x:c r="DK481" s="47"/>
      <x:c r="DL481" s="60"/>
      <x:c r="DM481" s="58"/>
      <x:c r="DN481" s="11"/>
      <x:c r="DO481" s="61"/>
      <x:c r="DP481" s="62"/>
      <x:c r="DQ481" s="11"/>
      <x:c r="DR481" s="61"/>
      <x:c r="DS481" s="62"/>
      <x:c r="DT481" s="11"/>
      <x:c r="DU481" s="61"/>
      <x:c r="DV481" s="62"/>
    </x:row>
    <x:row r="482" spans="1:126" x14ac:dyDescent="0.3">
      <x:c r="A482" s="47"/>
      <x:c r="B482" s="70"/>
      <x:c r="C482" s="70"/>
      <x:c r="D482" s="70"/>
      <x:c r="E482" s="70"/>
      <x:c r="F482" s="70"/>
      <x:c r="G482" s="70"/>
      <x:c r="H482" s="70"/>
      <x:c r="I482" s="70"/>
      <x:c r="J482" s="70"/>
      <x:c r="K482" s="190"/>
      <x:c r="L482" s="195"/>
      <x:c r="M482" s="192"/>
      <x:c r="N482" s="192"/>
      <x:c r="O482" s="69"/>
      <x:c r="P482" s="47"/>
      <x:c r="Q482" s="60"/>
      <x:c r="R482" s="58"/>
      <x:c r="S482" s="47"/>
      <x:c r="T482" s="60"/>
      <x:c r="U482" s="58"/>
      <x:c r="V482" s="47"/>
      <x:c r="W482" s="60"/>
      <x:c r="X482" s="58"/>
      <x:c r="Y482" s="47"/>
      <x:c r="Z482" s="60"/>
      <x:c r="AA482" s="58"/>
      <x:c r="AB482" s="47"/>
      <x:c r="AC482" s="60"/>
      <x:c r="AD482" s="58"/>
      <x:c r="AE482" s="47"/>
      <x:c r="AF482" s="60"/>
      <x:c r="AG482" s="58"/>
      <x:c r="AH482" s="47"/>
      <x:c r="AI482" s="60"/>
      <x:c r="AJ482" s="58"/>
      <x:c r="AK482" s="47"/>
      <x:c r="AL482" s="60"/>
      <x:c r="AM482" s="58"/>
      <x:c r="AN482" s="47"/>
      <x:c r="AO482" s="60"/>
      <x:c r="AP482" s="58"/>
      <x:c r="AQ482" s="47"/>
      <x:c r="AR482" s="60"/>
      <x:c r="AS482" s="58"/>
      <x:c r="AT482" s="47"/>
      <x:c r="AU482" s="60"/>
      <x:c r="AV482" s="58"/>
      <x:c r="AW482" s="47"/>
      <x:c r="AX482" s="60"/>
      <x:c r="AY482" s="58"/>
      <x:c r="AZ482" s="47"/>
      <x:c r="BA482" s="60"/>
      <x:c r="BB482" s="58"/>
      <x:c r="BC482" s="47"/>
      <x:c r="BD482" s="60"/>
      <x:c r="BE482" s="58"/>
      <x:c r="BF482" s="47"/>
      <x:c r="BG482" s="60"/>
      <x:c r="BH482" s="58"/>
      <x:c r="BI482" s="47"/>
      <x:c r="BJ482" s="60"/>
      <x:c r="BK482" s="58"/>
      <x:c r="BL482" s="47"/>
      <x:c r="BM482" s="60"/>
      <x:c r="BN482" s="58"/>
      <x:c r="BO482" s="47"/>
      <x:c r="BP482" s="60"/>
      <x:c r="BQ482" s="58"/>
      <x:c r="BR482" s="47"/>
      <x:c r="BS482" s="60"/>
      <x:c r="BT482" s="58"/>
      <x:c r="BU482" s="47"/>
      <x:c r="BV482" s="60"/>
      <x:c r="BW482" s="58"/>
      <x:c r="BX482" s="47"/>
      <x:c r="BY482" s="60"/>
      <x:c r="BZ482" s="58"/>
      <x:c r="CA482" s="47"/>
      <x:c r="CB482" s="60"/>
      <x:c r="CC482" s="58"/>
      <x:c r="CD482" s="47"/>
      <x:c r="CE482" s="60"/>
      <x:c r="CF482" s="58"/>
      <x:c r="CG482" s="47"/>
      <x:c r="CH482" s="60"/>
      <x:c r="CI482" s="58"/>
      <x:c r="CJ482" s="47"/>
      <x:c r="CK482" s="60"/>
      <x:c r="CL482" s="58"/>
      <x:c r="CM482" s="47"/>
      <x:c r="CN482" s="60"/>
      <x:c r="CO482" s="58"/>
      <x:c r="CP482" s="47"/>
      <x:c r="CQ482" s="60"/>
      <x:c r="CR482" s="58"/>
      <x:c r="CS482" s="47"/>
      <x:c r="CT482" s="60"/>
      <x:c r="CU482" s="58"/>
      <x:c r="CV482" s="47"/>
      <x:c r="CW482" s="60"/>
      <x:c r="CX482" s="58"/>
      <x:c r="CY482" s="47"/>
      <x:c r="CZ482" s="60"/>
      <x:c r="DA482" s="58"/>
      <x:c r="DB482" s="47"/>
      <x:c r="DC482" s="60"/>
      <x:c r="DD482" s="58"/>
      <x:c r="DE482" s="47"/>
      <x:c r="DF482" s="60"/>
      <x:c r="DG482" s="58"/>
      <x:c r="DH482" s="47"/>
      <x:c r="DI482" s="60"/>
      <x:c r="DJ482" s="58"/>
      <x:c r="DK482" s="47"/>
      <x:c r="DL482" s="60"/>
      <x:c r="DM482" s="58"/>
      <x:c r="DN482" s="11"/>
      <x:c r="DO482" s="61"/>
      <x:c r="DP482" s="62"/>
      <x:c r="DQ482" s="11"/>
      <x:c r="DR482" s="61"/>
      <x:c r="DS482" s="62"/>
      <x:c r="DT482" s="11"/>
      <x:c r="DU482" s="61"/>
      <x:c r="DV482" s="62"/>
    </x:row>
    <x:row r="483" spans="1:126" x14ac:dyDescent="0.3">
      <x:c r="A483" s="47"/>
      <x:c r="B483" s="70"/>
      <x:c r="C483" s="70"/>
      <x:c r="D483" s="70"/>
      <x:c r="E483" s="70"/>
      <x:c r="F483" s="70"/>
      <x:c r="G483" s="70"/>
      <x:c r="H483" s="70"/>
      <x:c r="I483" s="70"/>
      <x:c r="J483" s="70"/>
      <x:c r="K483" s="190"/>
      <x:c r="L483" s="195"/>
      <x:c r="M483" s="192"/>
      <x:c r="N483" s="192"/>
      <x:c r="O483" s="69"/>
      <x:c r="P483" s="47"/>
      <x:c r="Q483" s="60"/>
      <x:c r="R483" s="58"/>
      <x:c r="S483" s="47"/>
      <x:c r="T483" s="60"/>
      <x:c r="U483" s="58"/>
      <x:c r="V483" s="47"/>
      <x:c r="W483" s="60"/>
      <x:c r="X483" s="58"/>
      <x:c r="Y483" s="47"/>
      <x:c r="Z483" s="60"/>
      <x:c r="AA483" s="58"/>
      <x:c r="AB483" s="47"/>
      <x:c r="AC483" s="60"/>
      <x:c r="AD483" s="58"/>
      <x:c r="AE483" s="47"/>
      <x:c r="AF483" s="60"/>
      <x:c r="AG483" s="58"/>
      <x:c r="AH483" s="47"/>
      <x:c r="AI483" s="60"/>
      <x:c r="AJ483" s="58"/>
      <x:c r="AK483" s="47"/>
      <x:c r="AL483" s="60"/>
      <x:c r="AM483" s="58"/>
      <x:c r="AN483" s="47"/>
      <x:c r="AO483" s="60"/>
      <x:c r="AP483" s="58"/>
      <x:c r="AQ483" s="47"/>
      <x:c r="AR483" s="60"/>
      <x:c r="AS483" s="58"/>
      <x:c r="AT483" s="47"/>
      <x:c r="AU483" s="60"/>
      <x:c r="AV483" s="58"/>
      <x:c r="AW483" s="47"/>
      <x:c r="AX483" s="60"/>
      <x:c r="AY483" s="58"/>
      <x:c r="AZ483" s="47"/>
      <x:c r="BA483" s="60"/>
      <x:c r="BB483" s="58"/>
      <x:c r="BC483" s="47"/>
      <x:c r="BD483" s="60"/>
      <x:c r="BE483" s="58"/>
      <x:c r="BF483" s="47"/>
      <x:c r="BG483" s="60"/>
      <x:c r="BH483" s="58"/>
      <x:c r="BI483" s="47"/>
      <x:c r="BJ483" s="60"/>
      <x:c r="BK483" s="58"/>
      <x:c r="BL483" s="47"/>
      <x:c r="BM483" s="60"/>
      <x:c r="BN483" s="58"/>
      <x:c r="BO483" s="47"/>
      <x:c r="BP483" s="60"/>
      <x:c r="BQ483" s="58"/>
      <x:c r="BR483" s="47"/>
      <x:c r="BS483" s="60"/>
      <x:c r="BT483" s="58"/>
      <x:c r="BU483" s="47"/>
      <x:c r="BV483" s="60"/>
      <x:c r="BW483" s="58"/>
      <x:c r="BX483" s="47"/>
      <x:c r="BY483" s="60"/>
      <x:c r="BZ483" s="58"/>
      <x:c r="CA483" s="47"/>
      <x:c r="CB483" s="60"/>
      <x:c r="CC483" s="58"/>
      <x:c r="CD483" s="47"/>
      <x:c r="CE483" s="60"/>
      <x:c r="CF483" s="58"/>
      <x:c r="CG483" s="47"/>
      <x:c r="CH483" s="60"/>
      <x:c r="CI483" s="58"/>
      <x:c r="CJ483" s="47"/>
      <x:c r="CK483" s="60"/>
      <x:c r="CL483" s="58"/>
      <x:c r="CM483" s="47"/>
      <x:c r="CN483" s="60"/>
      <x:c r="CO483" s="58"/>
      <x:c r="CP483" s="47"/>
      <x:c r="CQ483" s="60"/>
      <x:c r="CR483" s="58"/>
      <x:c r="CS483" s="47"/>
      <x:c r="CT483" s="60"/>
      <x:c r="CU483" s="58"/>
      <x:c r="CV483" s="47"/>
      <x:c r="CW483" s="60"/>
      <x:c r="CX483" s="58"/>
      <x:c r="CY483" s="47"/>
      <x:c r="CZ483" s="60"/>
      <x:c r="DA483" s="58"/>
      <x:c r="DB483" s="47"/>
      <x:c r="DC483" s="60"/>
      <x:c r="DD483" s="58"/>
      <x:c r="DE483" s="47"/>
      <x:c r="DF483" s="60"/>
      <x:c r="DG483" s="58"/>
      <x:c r="DH483" s="47"/>
      <x:c r="DI483" s="60"/>
      <x:c r="DJ483" s="58"/>
      <x:c r="DK483" s="47"/>
      <x:c r="DL483" s="60"/>
      <x:c r="DM483" s="58"/>
      <x:c r="DN483" s="11"/>
      <x:c r="DO483" s="61"/>
      <x:c r="DP483" s="62"/>
      <x:c r="DQ483" s="11"/>
      <x:c r="DR483" s="61"/>
      <x:c r="DS483" s="62"/>
      <x:c r="DT483" s="11"/>
      <x:c r="DU483" s="61"/>
      <x:c r="DV483" s="62"/>
    </x:row>
    <x:row r="484" spans="1:126" x14ac:dyDescent="0.3">
      <x:c r="A484" s="47"/>
      <x:c r="B484" s="70"/>
      <x:c r="C484" s="70"/>
      <x:c r="D484" s="70"/>
      <x:c r="E484" s="70"/>
      <x:c r="F484" s="70"/>
      <x:c r="G484" s="70"/>
      <x:c r="H484" s="70"/>
      <x:c r="I484" s="70"/>
      <x:c r="J484" s="70"/>
      <x:c r="K484" s="190"/>
      <x:c r="L484" s="195"/>
      <x:c r="M484" s="192"/>
      <x:c r="N484" s="192"/>
      <x:c r="O484" s="69"/>
      <x:c r="P484" s="47"/>
      <x:c r="Q484" s="60"/>
      <x:c r="R484" s="58"/>
      <x:c r="S484" s="47"/>
      <x:c r="T484" s="60"/>
      <x:c r="U484" s="58"/>
      <x:c r="V484" s="47"/>
      <x:c r="W484" s="60"/>
      <x:c r="X484" s="58"/>
      <x:c r="Y484" s="47"/>
      <x:c r="Z484" s="60"/>
      <x:c r="AA484" s="58"/>
      <x:c r="AB484" s="47"/>
      <x:c r="AC484" s="60"/>
      <x:c r="AD484" s="58"/>
      <x:c r="AE484" s="47"/>
      <x:c r="AF484" s="60"/>
      <x:c r="AG484" s="58"/>
      <x:c r="AH484" s="47"/>
      <x:c r="AI484" s="60"/>
      <x:c r="AJ484" s="58"/>
      <x:c r="AK484" s="47"/>
      <x:c r="AL484" s="60"/>
      <x:c r="AM484" s="58"/>
      <x:c r="AN484" s="47"/>
      <x:c r="AO484" s="60"/>
      <x:c r="AP484" s="58"/>
      <x:c r="AQ484" s="47"/>
      <x:c r="AR484" s="60"/>
      <x:c r="AS484" s="58"/>
      <x:c r="AT484" s="47"/>
      <x:c r="AU484" s="60"/>
      <x:c r="AV484" s="58"/>
      <x:c r="AW484" s="47"/>
      <x:c r="AX484" s="60"/>
      <x:c r="AY484" s="58"/>
      <x:c r="AZ484" s="47"/>
      <x:c r="BA484" s="60"/>
      <x:c r="BB484" s="58"/>
      <x:c r="BC484" s="47"/>
      <x:c r="BD484" s="60"/>
      <x:c r="BE484" s="58"/>
      <x:c r="BF484" s="47"/>
      <x:c r="BG484" s="60"/>
      <x:c r="BH484" s="58"/>
      <x:c r="BI484" s="47"/>
      <x:c r="BJ484" s="60"/>
      <x:c r="BK484" s="58"/>
      <x:c r="BL484" s="47"/>
      <x:c r="BM484" s="60"/>
      <x:c r="BN484" s="58"/>
      <x:c r="BO484" s="47"/>
      <x:c r="BP484" s="60"/>
      <x:c r="BQ484" s="58"/>
      <x:c r="BR484" s="47"/>
      <x:c r="BS484" s="60"/>
      <x:c r="BT484" s="58"/>
      <x:c r="BU484" s="47"/>
      <x:c r="BV484" s="60"/>
      <x:c r="BW484" s="58"/>
      <x:c r="BX484" s="47"/>
      <x:c r="BY484" s="60"/>
      <x:c r="BZ484" s="58"/>
      <x:c r="CA484" s="47"/>
      <x:c r="CB484" s="60"/>
      <x:c r="CC484" s="58"/>
      <x:c r="CD484" s="47"/>
      <x:c r="CE484" s="60"/>
      <x:c r="CF484" s="58"/>
      <x:c r="CG484" s="47"/>
      <x:c r="CH484" s="60"/>
      <x:c r="CI484" s="58"/>
      <x:c r="CJ484" s="47"/>
      <x:c r="CK484" s="60"/>
      <x:c r="CL484" s="58"/>
      <x:c r="CM484" s="47"/>
      <x:c r="CN484" s="60"/>
      <x:c r="CO484" s="58"/>
      <x:c r="CP484" s="47"/>
      <x:c r="CQ484" s="60"/>
      <x:c r="CR484" s="58"/>
      <x:c r="CS484" s="47"/>
      <x:c r="CT484" s="60"/>
      <x:c r="CU484" s="58"/>
      <x:c r="CV484" s="47"/>
      <x:c r="CW484" s="60"/>
      <x:c r="CX484" s="58"/>
      <x:c r="CY484" s="47"/>
      <x:c r="CZ484" s="60"/>
      <x:c r="DA484" s="58"/>
      <x:c r="DB484" s="47"/>
      <x:c r="DC484" s="60"/>
      <x:c r="DD484" s="58"/>
      <x:c r="DE484" s="47"/>
      <x:c r="DF484" s="60"/>
      <x:c r="DG484" s="58"/>
      <x:c r="DH484" s="47"/>
      <x:c r="DI484" s="60"/>
      <x:c r="DJ484" s="58"/>
      <x:c r="DK484" s="47"/>
      <x:c r="DL484" s="60"/>
      <x:c r="DM484" s="58"/>
      <x:c r="DN484" s="11"/>
      <x:c r="DO484" s="61"/>
      <x:c r="DP484" s="62"/>
      <x:c r="DQ484" s="11"/>
      <x:c r="DR484" s="61"/>
      <x:c r="DS484" s="62"/>
      <x:c r="DT484" s="11"/>
      <x:c r="DU484" s="61"/>
      <x:c r="DV484" s="62"/>
    </x:row>
    <x:row r="485" spans="1:126" x14ac:dyDescent="0.3">
      <x:c r="A485" s="47"/>
      <x:c r="B485" s="70"/>
      <x:c r="C485" s="70"/>
      <x:c r="D485" s="70"/>
      <x:c r="E485" s="70"/>
      <x:c r="F485" s="70"/>
      <x:c r="G485" s="70"/>
      <x:c r="H485" s="70"/>
      <x:c r="I485" s="70"/>
      <x:c r="J485" s="70"/>
      <x:c r="K485" s="190"/>
      <x:c r="L485" s="195"/>
      <x:c r="M485" s="192"/>
      <x:c r="N485" s="192"/>
      <x:c r="O485" s="69"/>
      <x:c r="P485" s="47"/>
      <x:c r="Q485" s="60"/>
      <x:c r="R485" s="58"/>
      <x:c r="S485" s="47"/>
      <x:c r="T485" s="60"/>
      <x:c r="U485" s="58"/>
      <x:c r="V485" s="47"/>
      <x:c r="W485" s="60"/>
      <x:c r="X485" s="58"/>
      <x:c r="Y485" s="47"/>
      <x:c r="Z485" s="60"/>
      <x:c r="AA485" s="58"/>
      <x:c r="AB485" s="47"/>
      <x:c r="AC485" s="60"/>
      <x:c r="AD485" s="58"/>
      <x:c r="AE485" s="47"/>
      <x:c r="AF485" s="60"/>
      <x:c r="AG485" s="58"/>
      <x:c r="AH485" s="47"/>
      <x:c r="AI485" s="60"/>
      <x:c r="AJ485" s="58"/>
      <x:c r="AK485" s="47"/>
      <x:c r="AL485" s="60"/>
      <x:c r="AM485" s="58"/>
      <x:c r="AN485" s="47"/>
      <x:c r="AO485" s="60"/>
      <x:c r="AP485" s="58"/>
      <x:c r="AQ485" s="47"/>
      <x:c r="AR485" s="60"/>
      <x:c r="AS485" s="58"/>
      <x:c r="AT485" s="47"/>
      <x:c r="AU485" s="60"/>
      <x:c r="AV485" s="58"/>
      <x:c r="AW485" s="47"/>
      <x:c r="AX485" s="60"/>
      <x:c r="AY485" s="58"/>
      <x:c r="AZ485" s="47"/>
      <x:c r="BA485" s="60"/>
      <x:c r="BB485" s="58"/>
      <x:c r="BC485" s="47"/>
      <x:c r="BD485" s="60"/>
      <x:c r="BE485" s="58"/>
      <x:c r="BF485" s="47"/>
      <x:c r="BG485" s="60"/>
      <x:c r="BH485" s="58"/>
      <x:c r="BI485" s="47"/>
      <x:c r="BJ485" s="60"/>
      <x:c r="BK485" s="58"/>
      <x:c r="BL485" s="47"/>
      <x:c r="BM485" s="60"/>
      <x:c r="BN485" s="58"/>
      <x:c r="BO485" s="47"/>
      <x:c r="BP485" s="60"/>
      <x:c r="BQ485" s="58"/>
      <x:c r="BR485" s="47"/>
      <x:c r="BS485" s="60"/>
      <x:c r="BT485" s="58"/>
      <x:c r="BU485" s="47"/>
      <x:c r="BV485" s="60"/>
      <x:c r="BW485" s="58"/>
      <x:c r="BX485" s="47"/>
      <x:c r="BY485" s="60"/>
      <x:c r="BZ485" s="58"/>
      <x:c r="CA485" s="47"/>
      <x:c r="CB485" s="60"/>
      <x:c r="CC485" s="58"/>
      <x:c r="CD485" s="47"/>
      <x:c r="CE485" s="60"/>
      <x:c r="CF485" s="58"/>
      <x:c r="CG485" s="47"/>
      <x:c r="CH485" s="60"/>
      <x:c r="CI485" s="58"/>
      <x:c r="CJ485" s="47"/>
      <x:c r="CK485" s="60"/>
      <x:c r="CL485" s="58"/>
      <x:c r="CM485" s="47"/>
      <x:c r="CN485" s="60"/>
      <x:c r="CO485" s="58"/>
      <x:c r="CP485" s="47"/>
      <x:c r="CQ485" s="60"/>
      <x:c r="CR485" s="58"/>
      <x:c r="CS485" s="47"/>
      <x:c r="CT485" s="60"/>
      <x:c r="CU485" s="58"/>
      <x:c r="CV485" s="47"/>
      <x:c r="CW485" s="60"/>
      <x:c r="CX485" s="58"/>
      <x:c r="CY485" s="47"/>
      <x:c r="CZ485" s="60"/>
      <x:c r="DA485" s="58"/>
      <x:c r="DB485" s="47"/>
      <x:c r="DC485" s="60"/>
      <x:c r="DD485" s="58"/>
      <x:c r="DE485" s="47"/>
      <x:c r="DF485" s="60"/>
      <x:c r="DG485" s="58"/>
      <x:c r="DH485" s="47"/>
      <x:c r="DI485" s="60"/>
      <x:c r="DJ485" s="58"/>
      <x:c r="DK485" s="47"/>
      <x:c r="DL485" s="60"/>
      <x:c r="DM485" s="58"/>
      <x:c r="DN485" s="11"/>
      <x:c r="DO485" s="61"/>
      <x:c r="DP485" s="62"/>
      <x:c r="DQ485" s="11"/>
      <x:c r="DR485" s="61"/>
      <x:c r="DS485" s="62"/>
      <x:c r="DT485" s="11"/>
      <x:c r="DU485" s="61"/>
      <x:c r="DV485" s="62"/>
    </x:row>
    <x:row r="486" spans="1:126" x14ac:dyDescent="0.3">
      <x:c r="A486" s="47"/>
      <x:c r="B486" s="70"/>
      <x:c r="C486" s="70"/>
      <x:c r="D486" s="70"/>
      <x:c r="E486" s="70"/>
      <x:c r="F486" s="70"/>
      <x:c r="G486" s="70"/>
      <x:c r="H486" s="70"/>
      <x:c r="I486" s="70"/>
      <x:c r="J486" s="70"/>
      <x:c r="K486" s="190"/>
      <x:c r="L486" s="195"/>
      <x:c r="M486" s="192"/>
      <x:c r="N486" s="192"/>
      <x:c r="O486" s="69"/>
      <x:c r="P486" s="47"/>
      <x:c r="Q486" s="60"/>
      <x:c r="R486" s="58"/>
      <x:c r="S486" s="47"/>
      <x:c r="T486" s="60"/>
      <x:c r="U486" s="58"/>
      <x:c r="V486" s="47"/>
      <x:c r="W486" s="60"/>
      <x:c r="X486" s="58"/>
      <x:c r="Y486" s="47"/>
      <x:c r="Z486" s="60"/>
      <x:c r="AA486" s="58"/>
      <x:c r="AB486" s="47"/>
      <x:c r="AC486" s="60"/>
      <x:c r="AD486" s="58"/>
      <x:c r="AE486" s="47"/>
      <x:c r="AF486" s="60"/>
      <x:c r="AG486" s="58"/>
      <x:c r="AH486" s="47"/>
      <x:c r="AI486" s="60"/>
      <x:c r="AJ486" s="58"/>
      <x:c r="AK486" s="47"/>
      <x:c r="AL486" s="60"/>
      <x:c r="AM486" s="58"/>
      <x:c r="AN486" s="47"/>
      <x:c r="AO486" s="60"/>
      <x:c r="AP486" s="58"/>
      <x:c r="AQ486" s="47"/>
      <x:c r="AR486" s="60"/>
      <x:c r="AS486" s="58"/>
      <x:c r="AT486" s="47"/>
      <x:c r="AU486" s="60"/>
      <x:c r="AV486" s="58"/>
      <x:c r="AW486" s="47"/>
      <x:c r="AX486" s="60"/>
      <x:c r="AY486" s="58"/>
      <x:c r="AZ486" s="47"/>
      <x:c r="BA486" s="60"/>
      <x:c r="BB486" s="58"/>
      <x:c r="BC486" s="47"/>
      <x:c r="BD486" s="60"/>
      <x:c r="BE486" s="58"/>
      <x:c r="BF486" s="47"/>
      <x:c r="BG486" s="60"/>
      <x:c r="BH486" s="58"/>
      <x:c r="BI486" s="47"/>
      <x:c r="BJ486" s="60"/>
      <x:c r="BK486" s="58"/>
      <x:c r="BL486" s="47"/>
      <x:c r="BM486" s="60"/>
      <x:c r="BN486" s="58"/>
      <x:c r="BO486" s="47"/>
      <x:c r="BP486" s="60"/>
      <x:c r="BQ486" s="58"/>
      <x:c r="BR486" s="47"/>
      <x:c r="BS486" s="60"/>
      <x:c r="BT486" s="58"/>
      <x:c r="BU486" s="47"/>
      <x:c r="BV486" s="60"/>
      <x:c r="BW486" s="58"/>
      <x:c r="BX486" s="47"/>
      <x:c r="BY486" s="60"/>
      <x:c r="BZ486" s="58"/>
      <x:c r="CA486" s="47"/>
      <x:c r="CB486" s="60"/>
      <x:c r="CC486" s="58"/>
      <x:c r="CD486" s="47"/>
      <x:c r="CE486" s="60"/>
      <x:c r="CF486" s="58"/>
      <x:c r="CG486" s="47"/>
      <x:c r="CH486" s="60"/>
      <x:c r="CI486" s="58"/>
      <x:c r="CJ486" s="47"/>
      <x:c r="CK486" s="60"/>
      <x:c r="CL486" s="58"/>
      <x:c r="CM486" s="47"/>
      <x:c r="CN486" s="60"/>
      <x:c r="CO486" s="58"/>
      <x:c r="CP486" s="47"/>
      <x:c r="CQ486" s="60"/>
      <x:c r="CR486" s="58"/>
      <x:c r="CS486" s="47"/>
      <x:c r="CT486" s="60"/>
      <x:c r="CU486" s="58"/>
      <x:c r="CV486" s="47"/>
      <x:c r="CW486" s="60"/>
      <x:c r="CX486" s="58"/>
      <x:c r="CY486" s="47"/>
      <x:c r="CZ486" s="60"/>
      <x:c r="DA486" s="58"/>
      <x:c r="DB486" s="47"/>
      <x:c r="DC486" s="60"/>
      <x:c r="DD486" s="58"/>
      <x:c r="DE486" s="47"/>
      <x:c r="DF486" s="60"/>
      <x:c r="DG486" s="58"/>
      <x:c r="DH486" s="47"/>
      <x:c r="DI486" s="60"/>
      <x:c r="DJ486" s="58"/>
      <x:c r="DK486" s="47"/>
      <x:c r="DL486" s="60"/>
      <x:c r="DM486" s="58"/>
      <x:c r="DN486" s="11"/>
      <x:c r="DO486" s="61"/>
      <x:c r="DP486" s="62"/>
      <x:c r="DQ486" s="11"/>
      <x:c r="DR486" s="61"/>
      <x:c r="DS486" s="62"/>
      <x:c r="DT486" s="11"/>
      <x:c r="DU486" s="61"/>
      <x:c r="DV486" s="62"/>
    </x:row>
    <x:row r="487" spans="1:126" x14ac:dyDescent="0.3">
      <x:c r="A487" s="47"/>
      <x:c r="B487" s="70"/>
      <x:c r="C487" s="70"/>
      <x:c r="D487" s="70"/>
      <x:c r="E487" s="70"/>
      <x:c r="F487" s="70"/>
      <x:c r="G487" s="70"/>
      <x:c r="H487" s="70"/>
      <x:c r="I487" s="70"/>
      <x:c r="J487" s="70"/>
      <x:c r="K487" s="190"/>
      <x:c r="L487" s="195"/>
      <x:c r="M487" s="192"/>
      <x:c r="N487" s="192"/>
      <x:c r="O487" s="69"/>
      <x:c r="P487" s="47"/>
      <x:c r="Q487" s="60"/>
      <x:c r="R487" s="58"/>
      <x:c r="S487" s="47"/>
      <x:c r="T487" s="60"/>
      <x:c r="U487" s="58"/>
      <x:c r="V487" s="47"/>
      <x:c r="W487" s="60"/>
      <x:c r="X487" s="58"/>
      <x:c r="Y487" s="47"/>
      <x:c r="Z487" s="60"/>
      <x:c r="AA487" s="58"/>
      <x:c r="AB487" s="47"/>
      <x:c r="AC487" s="60"/>
      <x:c r="AD487" s="58"/>
      <x:c r="AE487" s="47"/>
      <x:c r="AF487" s="60"/>
      <x:c r="AG487" s="58"/>
      <x:c r="AH487" s="47"/>
      <x:c r="AI487" s="60"/>
      <x:c r="AJ487" s="58"/>
      <x:c r="AK487" s="47"/>
      <x:c r="AL487" s="60"/>
      <x:c r="AM487" s="58"/>
      <x:c r="AN487" s="47"/>
      <x:c r="AO487" s="60"/>
      <x:c r="AP487" s="58"/>
      <x:c r="AQ487" s="47"/>
      <x:c r="AR487" s="60"/>
      <x:c r="AS487" s="58"/>
      <x:c r="AT487" s="47"/>
      <x:c r="AU487" s="60"/>
      <x:c r="AV487" s="58"/>
      <x:c r="AW487" s="47"/>
      <x:c r="AX487" s="60"/>
      <x:c r="AY487" s="58"/>
      <x:c r="AZ487" s="47"/>
      <x:c r="BA487" s="60"/>
      <x:c r="BB487" s="58"/>
      <x:c r="BC487" s="47"/>
      <x:c r="BD487" s="60"/>
      <x:c r="BE487" s="58"/>
      <x:c r="BF487" s="47"/>
      <x:c r="BG487" s="60"/>
      <x:c r="BH487" s="58"/>
      <x:c r="BI487" s="47"/>
      <x:c r="BJ487" s="60"/>
      <x:c r="BK487" s="58"/>
      <x:c r="BL487" s="47"/>
      <x:c r="BM487" s="60"/>
      <x:c r="BN487" s="58"/>
      <x:c r="BO487" s="47"/>
      <x:c r="BP487" s="60"/>
      <x:c r="BQ487" s="58"/>
      <x:c r="BR487" s="47"/>
      <x:c r="BS487" s="60"/>
      <x:c r="BT487" s="58"/>
      <x:c r="BU487" s="47"/>
      <x:c r="BV487" s="60"/>
      <x:c r="BW487" s="58"/>
      <x:c r="BX487" s="47"/>
      <x:c r="BY487" s="60"/>
      <x:c r="BZ487" s="58"/>
      <x:c r="CA487" s="47"/>
      <x:c r="CB487" s="60"/>
      <x:c r="CC487" s="58"/>
      <x:c r="CD487" s="47"/>
      <x:c r="CE487" s="60"/>
      <x:c r="CF487" s="58"/>
      <x:c r="CG487" s="47"/>
      <x:c r="CH487" s="60"/>
      <x:c r="CI487" s="58"/>
      <x:c r="CJ487" s="47"/>
      <x:c r="CK487" s="60"/>
      <x:c r="CL487" s="58"/>
      <x:c r="CM487" s="47"/>
      <x:c r="CN487" s="60"/>
      <x:c r="CO487" s="58"/>
      <x:c r="CP487" s="47"/>
      <x:c r="CQ487" s="60"/>
      <x:c r="CR487" s="58"/>
      <x:c r="CS487" s="47"/>
      <x:c r="CT487" s="60"/>
      <x:c r="CU487" s="58"/>
      <x:c r="CV487" s="47"/>
      <x:c r="CW487" s="60"/>
      <x:c r="CX487" s="58"/>
      <x:c r="CY487" s="47"/>
      <x:c r="CZ487" s="60"/>
      <x:c r="DA487" s="58"/>
      <x:c r="DB487" s="47"/>
      <x:c r="DC487" s="60"/>
      <x:c r="DD487" s="58"/>
      <x:c r="DE487" s="47"/>
      <x:c r="DF487" s="60"/>
      <x:c r="DG487" s="58"/>
      <x:c r="DH487" s="47"/>
      <x:c r="DI487" s="60"/>
      <x:c r="DJ487" s="58"/>
      <x:c r="DK487" s="47"/>
      <x:c r="DL487" s="60"/>
      <x:c r="DM487" s="58"/>
      <x:c r="DN487" s="11"/>
      <x:c r="DO487" s="61"/>
      <x:c r="DP487" s="62"/>
      <x:c r="DQ487" s="11"/>
      <x:c r="DR487" s="61"/>
      <x:c r="DS487" s="62"/>
      <x:c r="DT487" s="11"/>
      <x:c r="DU487" s="61"/>
      <x:c r="DV487" s="62"/>
    </x:row>
    <x:row r="488" spans="1:126" x14ac:dyDescent="0.3">
      <x:c r="A488" s="47"/>
      <x:c r="B488" s="70"/>
      <x:c r="C488" s="70"/>
      <x:c r="D488" s="70"/>
      <x:c r="E488" s="70"/>
      <x:c r="F488" s="70"/>
      <x:c r="G488" s="70"/>
      <x:c r="H488" s="70"/>
      <x:c r="I488" s="70"/>
      <x:c r="J488" s="70"/>
      <x:c r="K488" s="190"/>
      <x:c r="L488" s="195"/>
      <x:c r="M488" s="192"/>
      <x:c r="N488" s="192"/>
      <x:c r="O488" s="69"/>
      <x:c r="P488" s="47"/>
      <x:c r="Q488" s="60"/>
      <x:c r="R488" s="58"/>
      <x:c r="S488" s="47"/>
      <x:c r="T488" s="60"/>
      <x:c r="U488" s="58"/>
      <x:c r="V488" s="47"/>
      <x:c r="W488" s="60"/>
      <x:c r="X488" s="58"/>
      <x:c r="Y488" s="47"/>
      <x:c r="Z488" s="60"/>
      <x:c r="AA488" s="58"/>
      <x:c r="AB488" s="47"/>
      <x:c r="AC488" s="60"/>
      <x:c r="AD488" s="58"/>
      <x:c r="AE488" s="47"/>
      <x:c r="AF488" s="60"/>
      <x:c r="AG488" s="58"/>
      <x:c r="AH488" s="47"/>
      <x:c r="AI488" s="60"/>
      <x:c r="AJ488" s="58"/>
      <x:c r="AK488" s="47"/>
      <x:c r="AL488" s="60"/>
      <x:c r="AM488" s="58"/>
      <x:c r="AN488" s="47"/>
      <x:c r="AO488" s="60"/>
      <x:c r="AP488" s="58"/>
      <x:c r="AQ488" s="47"/>
      <x:c r="AR488" s="60"/>
      <x:c r="AS488" s="58"/>
      <x:c r="AT488" s="47"/>
      <x:c r="AU488" s="60"/>
      <x:c r="AV488" s="58"/>
      <x:c r="AW488" s="47"/>
      <x:c r="AX488" s="60"/>
      <x:c r="AY488" s="58"/>
      <x:c r="AZ488" s="47"/>
      <x:c r="BA488" s="60"/>
      <x:c r="BB488" s="58"/>
      <x:c r="BC488" s="47"/>
      <x:c r="BD488" s="60"/>
      <x:c r="BE488" s="58"/>
      <x:c r="BF488" s="47"/>
      <x:c r="BG488" s="60"/>
      <x:c r="BH488" s="58"/>
      <x:c r="BI488" s="47"/>
      <x:c r="BJ488" s="60"/>
      <x:c r="BK488" s="58"/>
      <x:c r="BL488" s="47"/>
      <x:c r="BM488" s="60"/>
      <x:c r="BN488" s="58"/>
      <x:c r="BO488" s="47"/>
      <x:c r="BP488" s="60"/>
      <x:c r="BQ488" s="58"/>
      <x:c r="BR488" s="47"/>
      <x:c r="BS488" s="60"/>
      <x:c r="BT488" s="58"/>
      <x:c r="BU488" s="47"/>
      <x:c r="BV488" s="60"/>
      <x:c r="BW488" s="58"/>
      <x:c r="BX488" s="47"/>
      <x:c r="BY488" s="60"/>
      <x:c r="BZ488" s="58"/>
      <x:c r="CA488" s="47"/>
      <x:c r="CB488" s="60"/>
      <x:c r="CC488" s="58"/>
      <x:c r="CD488" s="47"/>
      <x:c r="CE488" s="60"/>
      <x:c r="CF488" s="58"/>
      <x:c r="CG488" s="47"/>
      <x:c r="CH488" s="60"/>
      <x:c r="CI488" s="58"/>
      <x:c r="CJ488" s="47"/>
      <x:c r="CK488" s="60"/>
      <x:c r="CL488" s="58"/>
      <x:c r="CM488" s="47"/>
      <x:c r="CN488" s="60"/>
      <x:c r="CO488" s="58"/>
      <x:c r="CP488" s="47"/>
      <x:c r="CQ488" s="60"/>
      <x:c r="CR488" s="58"/>
      <x:c r="CS488" s="47"/>
      <x:c r="CT488" s="60"/>
      <x:c r="CU488" s="58"/>
      <x:c r="CV488" s="47"/>
      <x:c r="CW488" s="60"/>
      <x:c r="CX488" s="58"/>
      <x:c r="CY488" s="47"/>
      <x:c r="CZ488" s="60"/>
      <x:c r="DA488" s="58"/>
      <x:c r="DB488" s="47"/>
      <x:c r="DC488" s="60"/>
      <x:c r="DD488" s="58"/>
      <x:c r="DE488" s="47"/>
      <x:c r="DF488" s="60"/>
      <x:c r="DG488" s="58"/>
      <x:c r="DH488" s="47"/>
      <x:c r="DI488" s="60"/>
      <x:c r="DJ488" s="58"/>
      <x:c r="DK488" s="47"/>
      <x:c r="DL488" s="60"/>
      <x:c r="DM488" s="58"/>
      <x:c r="DN488" s="11"/>
      <x:c r="DO488" s="61"/>
      <x:c r="DP488" s="62"/>
      <x:c r="DQ488" s="11"/>
      <x:c r="DR488" s="61"/>
      <x:c r="DS488" s="62"/>
      <x:c r="DT488" s="11"/>
      <x:c r="DU488" s="61"/>
      <x:c r="DV488" s="62"/>
    </x:row>
    <x:row r="489" spans="1:126" x14ac:dyDescent="0.3">
      <x:c r="A489" s="47"/>
      <x:c r="B489" s="70"/>
      <x:c r="C489" s="70"/>
      <x:c r="D489" s="70"/>
      <x:c r="E489" s="70"/>
      <x:c r="F489" s="70"/>
      <x:c r="G489" s="70"/>
      <x:c r="H489" s="70"/>
      <x:c r="I489" s="70"/>
      <x:c r="J489" s="70"/>
      <x:c r="K489" s="190"/>
      <x:c r="L489" s="195"/>
      <x:c r="M489" s="192"/>
      <x:c r="N489" s="192"/>
      <x:c r="O489" s="69"/>
      <x:c r="P489" s="47"/>
      <x:c r="Q489" s="60"/>
      <x:c r="R489" s="58"/>
      <x:c r="S489" s="47"/>
      <x:c r="T489" s="60"/>
      <x:c r="U489" s="58"/>
      <x:c r="V489" s="47"/>
      <x:c r="W489" s="60"/>
      <x:c r="X489" s="58"/>
      <x:c r="Y489" s="47"/>
      <x:c r="Z489" s="60"/>
      <x:c r="AA489" s="58"/>
      <x:c r="AB489" s="47"/>
      <x:c r="AC489" s="60"/>
      <x:c r="AD489" s="58"/>
      <x:c r="AE489" s="47"/>
      <x:c r="AF489" s="60"/>
      <x:c r="AG489" s="58"/>
      <x:c r="AH489" s="47"/>
      <x:c r="AI489" s="60"/>
      <x:c r="AJ489" s="58"/>
      <x:c r="AK489" s="47"/>
      <x:c r="AL489" s="60"/>
      <x:c r="AM489" s="58"/>
      <x:c r="AN489" s="47"/>
      <x:c r="AO489" s="60"/>
      <x:c r="AP489" s="58"/>
      <x:c r="AQ489" s="47"/>
      <x:c r="AR489" s="60"/>
      <x:c r="AS489" s="58"/>
      <x:c r="AT489" s="47"/>
      <x:c r="AU489" s="60"/>
      <x:c r="AV489" s="58"/>
      <x:c r="AW489" s="47"/>
      <x:c r="AX489" s="60"/>
      <x:c r="AY489" s="58"/>
      <x:c r="AZ489" s="47"/>
      <x:c r="BA489" s="60"/>
      <x:c r="BB489" s="58"/>
      <x:c r="BC489" s="47"/>
      <x:c r="BD489" s="60"/>
      <x:c r="BE489" s="58"/>
      <x:c r="BF489" s="47"/>
      <x:c r="BG489" s="60"/>
      <x:c r="BH489" s="58"/>
      <x:c r="BI489" s="47"/>
      <x:c r="BJ489" s="60"/>
      <x:c r="BK489" s="58"/>
      <x:c r="BL489" s="47"/>
      <x:c r="BM489" s="60"/>
      <x:c r="BN489" s="58"/>
      <x:c r="BO489" s="47"/>
      <x:c r="BP489" s="60"/>
      <x:c r="BQ489" s="58"/>
      <x:c r="BR489" s="47"/>
      <x:c r="BS489" s="60"/>
      <x:c r="BT489" s="58"/>
      <x:c r="BU489" s="47"/>
      <x:c r="BV489" s="60"/>
      <x:c r="BW489" s="58"/>
      <x:c r="BX489" s="47"/>
      <x:c r="BY489" s="60"/>
      <x:c r="BZ489" s="58"/>
      <x:c r="CA489" s="47"/>
      <x:c r="CB489" s="60"/>
      <x:c r="CC489" s="58"/>
      <x:c r="CD489" s="47"/>
      <x:c r="CE489" s="60"/>
      <x:c r="CF489" s="58"/>
      <x:c r="CG489" s="47"/>
      <x:c r="CH489" s="60"/>
      <x:c r="CI489" s="58"/>
      <x:c r="CJ489" s="47"/>
      <x:c r="CK489" s="60"/>
      <x:c r="CL489" s="58"/>
      <x:c r="CM489" s="47"/>
      <x:c r="CN489" s="60"/>
      <x:c r="CO489" s="58"/>
      <x:c r="CP489" s="47"/>
      <x:c r="CQ489" s="60"/>
      <x:c r="CR489" s="58"/>
      <x:c r="CS489" s="47"/>
      <x:c r="CT489" s="60"/>
      <x:c r="CU489" s="58"/>
      <x:c r="CV489" s="47"/>
      <x:c r="CW489" s="60"/>
      <x:c r="CX489" s="58"/>
      <x:c r="CY489" s="47"/>
      <x:c r="CZ489" s="60"/>
      <x:c r="DA489" s="58"/>
      <x:c r="DB489" s="47"/>
      <x:c r="DC489" s="60"/>
      <x:c r="DD489" s="58"/>
      <x:c r="DE489" s="47"/>
      <x:c r="DF489" s="60"/>
      <x:c r="DG489" s="58"/>
      <x:c r="DH489" s="47"/>
      <x:c r="DI489" s="60"/>
      <x:c r="DJ489" s="58"/>
      <x:c r="DK489" s="47"/>
      <x:c r="DL489" s="60"/>
      <x:c r="DM489" s="58"/>
      <x:c r="DN489" s="11"/>
      <x:c r="DO489" s="61"/>
      <x:c r="DP489" s="62"/>
      <x:c r="DQ489" s="11"/>
      <x:c r="DR489" s="61"/>
      <x:c r="DS489" s="62"/>
      <x:c r="DT489" s="11"/>
      <x:c r="DU489" s="61"/>
      <x:c r="DV489" s="62"/>
    </x:row>
    <x:row r="490" spans="1:126" x14ac:dyDescent="0.3">
      <x:c r="A490" s="47"/>
      <x:c r="B490" s="70"/>
      <x:c r="C490" s="70"/>
      <x:c r="D490" s="70"/>
      <x:c r="E490" s="70"/>
      <x:c r="F490" s="70"/>
      <x:c r="G490" s="70"/>
      <x:c r="H490" s="70"/>
      <x:c r="I490" s="70"/>
      <x:c r="J490" s="70"/>
      <x:c r="K490" s="190"/>
      <x:c r="L490" s="195"/>
      <x:c r="M490" s="192"/>
      <x:c r="N490" s="192"/>
      <x:c r="O490" s="69"/>
      <x:c r="P490" s="47"/>
      <x:c r="Q490" s="60"/>
      <x:c r="R490" s="58"/>
      <x:c r="S490" s="47"/>
      <x:c r="T490" s="60"/>
      <x:c r="U490" s="58"/>
      <x:c r="V490" s="47"/>
      <x:c r="W490" s="60"/>
      <x:c r="X490" s="58"/>
      <x:c r="Y490" s="47"/>
      <x:c r="Z490" s="60"/>
      <x:c r="AA490" s="58"/>
      <x:c r="AB490" s="47"/>
      <x:c r="AC490" s="60"/>
      <x:c r="AD490" s="58"/>
      <x:c r="AE490" s="47"/>
      <x:c r="AF490" s="60"/>
      <x:c r="AG490" s="58"/>
      <x:c r="AH490" s="47"/>
      <x:c r="AI490" s="60"/>
      <x:c r="AJ490" s="58"/>
      <x:c r="AK490" s="47"/>
      <x:c r="AL490" s="60"/>
      <x:c r="AM490" s="58"/>
      <x:c r="AN490" s="47"/>
      <x:c r="AO490" s="60"/>
      <x:c r="AP490" s="58"/>
      <x:c r="AQ490" s="47"/>
      <x:c r="AR490" s="60"/>
      <x:c r="AS490" s="58"/>
      <x:c r="AT490" s="47"/>
      <x:c r="AU490" s="60"/>
      <x:c r="AV490" s="58"/>
      <x:c r="AW490" s="47"/>
      <x:c r="AX490" s="60"/>
      <x:c r="AY490" s="58"/>
      <x:c r="AZ490" s="47"/>
      <x:c r="BA490" s="60"/>
      <x:c r="BB490" s="58"/>
      <x:c r="BC490" s="47"/>
      <x:c r="BD490" s="60"/>
      <x:c r="BE490" s="58"/>
      <x:c r="BF490" s="47"/>
      <x:c r="BG490" s="60"/>
      <x:c r="BH490" s="58"/>
      <x:c r="BI490" s="47"/>
      <x:c r="BJ490" s="60"/>
      <x:c r="BK490" s="58"/>
      <x:c r="BL490" s="47"/>
      <x:c r="BM490" s="60"/>
      <x:c r="BN490" s="58"/>
      <x:c r="BO490" s="47"/>
      <x:c r="BP490" s="60"/>
      <x:c r="BQ490" s="58"/>
      <x:c r="BR490" s="47"/>
      <x:c r="BS490" s="60"/>
      <x:c r="BT490" s="58"/>
      <x:c r="BU490" s="47"/>
      <x:c r="BV490" s="60"/>
      <x:c r="BW490" s="58"/>
      <x:c r="BX490" s="47"/>
      <x:c r="BY490" s="60"/>
      <x:c r="BZ490" s="58"/>
      <x:c r="CA490" s="47"/>
      <x:c r="CB490" s="60"/>
      <x:c r="CC490" s="58"/>
      <x:c r="CD490" s="47"/>
      <x:c r="CE490" s="60"/>
      <x:c r="CF490" s="58"/>
      <x:c r="CG490" s="47"/>
      <x:c r="CH490" s="60"/>
      <x:c r="CI490" s="58"/>
      <x:c r="CJ490" s="47"/>
      <x:c r="CK490" s="60"/>
      <x:c r="CL490" s="58"/>
      <x:c r="CM490" s="47"/>
      <x:c r="CN490" s="60"/>
      <x:c r="CO490" s="58"/>
      <x:c r="CP490" s="47"/>
      <x:c r="CQ490" s="60"/>
      <x:c r="CR490" s="58"/>
      <x:c r="CS490" s="47"/>
      <x:c r="CT490" s="60"/>
      <x:c r="CU490" s="58"/>
      <x:c r="CV490" s="47"/>
      <x:c r="CW490" s="60"/>
      <x:c r="CX490" s="58"/>
      <x:c r="CY490" s="47"/>
      <x:c r="CZ490" s="60"/>
      <x:c r="DA490" s="58"/>
      <x:c r="DB490" s="47"/>
      <x:c r="DC490" s="60"/>
      <x:c r="DD490" s="58"/>
      <x:c r="DE490" s="47"/>
      <x:c r="DF490" s="60"/>
      <x:c r="DG490" s="58"/>
      <x:c r="DH490" s="47"/>
      <x:c r="DI490" s="60"/>
      <x:c r="DJ490" s="58"/>
      <x:c r="DK490" s="47"/>
      <x:c r="DL490" s="60"/>
      <x:c r="DM490" s="58"/>
      <x:c r="DN490" s="11"/>
      <x:c r="DO490" s="61"/>
      <x:c r="DP490" s="62"/>
      <x:c r="DQ490" s="11"/>
      <x:c r="DR490" s="61"/>
      <x:c r="DS490" s="62"/>
      <x:c r="DT490" s="11"/>
      <x:c r="DU490" s="61"/>
      <x:c r="DV490" s="62"/>
    </x:row>
    <x:row r="491" spans="1:126" x14ac:dyDescent="0.3">
      <x:c r="A491" s="47"/>
      <x:c r="B491" s="70"/>
      <x:c r="C491" s="70"/>
      <x:c r="D491" s="70"/>
      <x:c r="E491" s="70"/>
      <x:c r="F491" s="70"/>
      <x:c r="G491" s="70"/>
      <x:c r="H491" s="70"/>
      <x:c r="I491" s="70"/>
      <x:c r="J491" s="70"/>
      <x:c r="K491" s="190"/>
      <x:c r="L491" s="195"/>
      <x:c r="M491" s="192"/>
      <x:c r="N491" s="192"/>
      <x:c r="O491" s="69"/>
      <x:c r="P491" s="47"/>
      <x:c r="Q491" s="60"/>
      <x:c r="R491" s="58"/>
      <x:c r="S491" s="47"/>
      <x:c r="T491" s="60"/>
      <x:c r="U491" s="58"/>
      <x:c r="V491" s="47"/>
      <x:c r="W491" s="60"/>
      <x:c r="X491" s="58"/>
      <x:c r="Y491" s="47"/>
      <x:c r="Z491" s="60"/>
      <x:c r="AA491" s="58"/>
      <x:c r="AB491" s="47"/>
      <x:c r="AC491" s="60"/>
      <x:c r="AD491" s="58"/>
      <x:c r="AE491" s="47"/>
      <x:c r="AF491" s="60"/>
      <x:c r="AG491" s="58"/>
      <x:c r="AH491" s="47"/>
      <x:c r="AI491" s="60"/>
      <x:c r="AJ491" s="58"/>
      <x:c r="AK491" s="47"/>
      <x:c r="AL491" s="60"/>
      <x:c r="AM491" s="58"/>
      <x:c r="AN491" s="47"/>
      <x:c r="AO491" s="60"/>
      <x:c r="AP491" s="58"/>
      <x:c r="AQ491" s="47"/>
      <x:c r="AR491" s="60"/>
      <x:c r="AS491" s="58"/>
      <x:c r="AT491" s="47"/>
      <x:c r="AU491" s="60"/>
      <x:c r="AV491" s="58"/>
      <x:c r="AW491" s="47"/>
      <x:c r="AX491" s="60"/>
      <x:c r="AY491" s="58"/>
      <x:c r="AZ491" s="47"/>
      <x:c r="BA491" s="60"/>
      <x:c r="BB491" s="58"/>
      <x:c r="BC491" s="47"/>
      <x:c r="BD491" s="60"/>
      <x:c r="BE491" s="58"/>
      <x:c r="BF491" s="47"/>
      <x:c r="BG491" s="60"/>
      <x:c r="BH491" s="58"/>
      <x:c r="BI491" s="47"/>
      <x:c r="BJ491" s="60"/>
      <x:c r="BK491" s="58"/>
      <x:c r="BL491" s="47"/>
      <x:c r="BM491" s="60"/>
      <x:c r="BN491" s="58"/>
      <x:c r="BO491" s="47"/>
      <x:c r="BP491" s="60"/>
      <x:c r="BQ491" s="58"/>
      <x:c r="BR491" s="47"/>
      <x:c r="BS491" s="60"/>
      <x:c r="BT491" s="58"/>
      <x:c r="BU491" s="47"/>
      <x:c r="BV491" s="60"/>
      <x:c r="BW491" s="58"/>
      <x:c r="BX491" s="47"/>
      <x:c r="BY491" s="60"/>
      <x:c r="BZ491" s="58"/>
      <x:c r="CA491" s="47"/>
      <x:c r="CB491" s="60"/>
      <x:c r="CC491" s="58"/>
      <x:c r="CD491" s="47"/>
      <x:c r="CE491" s="60"/>
      <x:c r="CF491" s="58"/>
      <x:c r="CG491" s="47"/>
      <x:c r="CH491" s="60"/>
      <x:c r="CI491" s="58"/>
      <x:c r="CJ491" s="47"/>
      <x:c r="CK491" s="60"/>
      <x:c r="CL491" s="58"/>
      <x:c r="CM491" s="47"/>
      <x:c r="CN491" s="60"/>
      <x:c r="CO491" s="58"/>
      <x:c r="CP491" s="47"/>
      <x:c r="CQ491" s="60"/>
      <x:c r="CR491" s="58"/>
      <x:c r="CS491" s="47"/>
      <x:c r="CT491" s="60"/>
      <x:c r="CU491" s="58"/>
      <x:c r="CV491" s="47"/>
      <x:c r="CW491" s="60"/>
      <x:c r="CX491" s="58"/>
      <x:c r="CY491" s="47"/>
      <x:c r="CZ491" s="60"/>
      <x:c r="DA491" s="58"/>
      <x:c r="DB491" s="47"/>
      <x:c r="DC491" s="60"/>
      <x:c r="DD491" s="58"/>
      <x:c r="DE491" s="47"/>
      <x:c r="DF491" s="60"/>
      <x:c r="DG491" s="58"/>
      <x:c r="DH491" s="47"/>
      <x:c r="DI491" s="60"/>
      <x:c r="DJ491" s="58"/>
      <x:c r="DK491" s="47"/>
      <x:c r="DL491" s="60"/>
      <x:c r="DM491" s="58"/>
      <x:c r="DN491" s="11"/>
      <x:c r="DO491" s="61"/>
      <x:c r="DP491" s="62"/>
      <x:c r="DQ491" s="11"/>
      <x:c r="DR491" s="61"/>
      <x:c r="DS491" s="62"/>
      <x:c r="DT491" s="11"/>
      <x:c r="DU491" s="61"/>
      <x:c r="DV491" s="62"/>
    </x:row>
    <x:row r="492" spans="1:126" x14ac:dyDescent="0.3">
      <x:c r="A492" s="47"/>
      <x:c r="B492" s="70"/>
      <x:c r="C492" s="70"/>
      <x:c r="D492" s="70"/>
      <x:c r="E492" s="70"/>
      <x:c r="F492" s="70"/>
      <x:c r="G492" s="70"/>
      <x:c r="H492" s="70"/>
      <x:c r="I492" s="70"/>
      <x:c r="J492" s="70"/>
      <x:c r="K492" s="190"/>
      <x:c r="L492" s="195"/>
      <x:c r="M492" s="192"/>
      <x:c r="N492" s="192"/>
      <x:c r="O492" s="69"/>
      <x:c r="P492" s="47"/>
      <x:c r="Q492" s="60"/>
      <x:c r="R492" s="58"/>
      <x:c r="S492" s="47"/>
      <x:c r="T492" s="60"/>
      <x:c r="U492" s="58"/>
      <x:c r="V492" s="47"/>
      <x:c r="W492" s="60"/>
      <x:c r="X492" s="58"/>
      <x:c r="Y492" s="47"/>
      <x:c r="Z492" s="60"/>
      <x:c r="AA492" s="58"/>
      <x:c r="AB492" s="47"/>
      <x:c r="AC492" s="60"/>
      <x:c r="AD492" s="58"/>
      <x:c r="AE492" s="47"/>
      <x:c r="AF492" s="60"/>
      <x:c r="AG492" s="58"/>
      <x:c r="AH492" s="47"/>
      <x:c r="AI492" s="60"/>
      <x:c r="AJ492" s="58"/>
      <x:c r="AK492" s="47"/>
      <x:c r="AL492" s="60"/>
      <x:c r="AM492" s="58"/>
      <x:c r="AN492" s="47"/>
      <x:c r="AO492" s="60"/>
      <x:c r="AP492" s="58"/>
      <x:c r="AQ492" s="47"/>
      <x:c r="AR492" s="60"/>
      <x:c r="AS492" s="58"/>
      <x:c r="AT492" s="47"/>
      <x:c r="AU492" s="60"/>
      <x:c r="AV492" s="58"/>
      <x:c r="AW492" s="47"/>
      <x:c r="AX492" s="60"/>
      <x:c r="AY492" s="58"/>
      <x:c r="AZ492" s="47"/>
      <x:c r="BA492" s="60"/>
      <x:c r="BB492" s="58"/>
      <x:c r="BC492" s="47"/>
      <x:c r="BD492" s="60"/>
      <x:c r="BE492" s="58"/>
      <x:c r="BF492" s="47"/>
      <x:c r="BG492" s="60"/>
      <x:c r="BH492" s="58"/>
      <x:c r="BI492" s="47"/>
      <x:c r="BJ492" s="60"/>
      <x:c r="BK492" s="58"/>
      <x:c r="BL492" s="47"/>
      <x:c r="BM492" s="60"/>
      <x:c r="BN492" s="58"/>
      <x:c r="BO492" s="47"/>
      <x:c r="BP492" s="60"/>
      <x:c r="BQ492" s="58"/>
      <x:c r="BR492" s="47"/>
      <x:c r="BS492" s="60"/>
      <x:c r="BT492" s="58"/>
      <x:c r="BU492" s="47"/>
      <x:c r="BV492" s="60"/>
      <x:c r="BW492" s="58"/>
      <x:c r="BX492" s="47"/>
      <x:c r="BY492" s="60"/>
      <x:c r="BZ492" s="58"/>
      <x:c r="CA492" s="47"/>
      <x:c r="CB492" s="60"/>
      <x:c r="CC492" s="58"/>
      <x:c r="CD492" s="47"/>
      <x:c r="CE492" s="60"/>
      <x:c r="CF492" s="58"/>
      <x:c r="CG492" s="47"/>
      <x:c r="CH492" s="60"/>
      <x:c r="CI492" s="58"/>
      <x:c r="CJ492" s="47"/>
      <x:c r="CK492" s="60"/>
      <x:c r="CL492" s="58"/>
      <x:c r="CM492" s="47"/>
      <x:c r="CN492" s="60"/>
      <x:c r="CO492" s="58"/>
      <x:c r="CP492" s="47"/>
      <x:c r="CQ492" s="60"/>
      <x:c r="CR492" s="58"/>
      <x:c r="CS492" s="47"/>
      <x:c r="CT492" s="60"/>
      <x:c r="CU492" s="58"/>
      <x:c r="CV492" s="47"/>
      <x:c r="CW492" s="60"/>
      <x:c r="CX492" s="58"/>
      <x:c r="CY492" s="47"/>
      <x:c r="CZ492" s="60"/>
      <x:c r="DA492" s="58"/>
      <x:c r="DB492" s="47"/>
      <x:c r="DC492" s="60"/>
      <x:c r="DD492" s="58"/>
      <x:c r="DE492" s="47"/>
      <x:c r="DF492" s="60"/>
      <x:c r="DG492" s="58"/>
      <x:c r="DH492" s="47"/>
      <x:c r="DI492" s="60"/>
      <x:c r="DJ492" s="58"/>
      <x:c r="DK492" s="47"/>
      <x:c r="DL492" s="60"/>
      <x:c r="DM492" s="58"/>
      <x:c r="DN492" s="11"/>
      <x:c r="DO492" s="61"/>
      <x:c r="DP492" s="62"/>
      <x:c r="DQ492" s="11"/>
      <x:c r="DR492" s="61"/>
      <x:c r="DS492" s="62"/>
      <x:c r="DT492" s="11"/>
      <x:c r="DU492" s="61"/>
      <x:c r="DV492" s="62"/>
    </x:row>
    <x:row r="493" spans="1:126" x14ac:dyDescent="0.3">
      <x:c r="A493" s="47"/>
      <x:c r="B493" s="70"/>
      <x:c r="C493" s="70"/>
      <x:c r="D493" s="70"/>
      <x:c r="E493" s="70"/>
      <x:c r="F493" s="70"/>
      <x:c r="G493" s="70"/>
      <x:c r="H493" s="70"/>
      <x:c r="I493" s="70"/>
      <x:c r="J493" s="70"/>
      <x:c r="K493" s="190"/>
      <x:c r="L493" s="195"/>
      <x:c r="M493" s="192"/>
      <x:c r="N493" s="192"/>
      <x:c r="O493" s="69"/>
      <x:c r="P493" s="47"/>
      <x:c r="Q493" s="60"/>
      <x:c r="R493" s="58"/>
      <x:c r="S493" s="47"/>
      <x:c r="T493" s="60"/>
      <x:c r="U493" s="58"/>
      <x:c r="V493" s="47"/>
      <x:c r="W493" s="60"/>
      <x:c r="X493" s="58"/>
      <x:c r="Y493" s="47"/>
      <x:c r="Z493" s="60"/>
      <x:c r="AA493" s="58"/>
      <x:c r="AB493" s="47"/>
      <x:c r="AC493" s="60"/>
      <x:c r="AD493" s="58"/>
      <x:c r="AE493" s="47"/>
      <x:c r="AF493" s="60"/>
      <x:c r="AG493" s="58"/>
      <x:c r="AH493" s="47"/>
      <x:c r="AI493" s="60"/>
      <x:c r="AJ493" s="58"/>
      <x:c r="AK493" s="47"/>
      <x:c r="AL493" s="60"/>
      <x:c r="AM493" s="58"/>
      <x:c r="AN493" s="47"/>
      <x:c r="AO493" s="60"/>
      <x:c r="AP493" s="58"/>
      <x:c r="AQ493" s="47"/>
      <x:c r="AR493" s="60"/>
      <x:c r="AS493" s="58"/>
      <x:c r="AT493" s="47"/>
      <x:c r="AU493" s="60"/>
      <x:c r="AV493" s="58"/>
      <x:c r="AW493" s="47"/>
      <x:c r="AX493" s="60"/>
      <x:c r="AY493" s="58"/>
      <x:c r="AZ493" s="47"/>
      <x:c r="BA493" s="60"/>
      <x:c r="BB493" s="58"/>
      <x:c r="BC493" s="47"/>
      <x:c r="BD493" s="60"/>
      <x:c r="BE493" s="58"/>
      <x:c r="BF493" s="47"/>
      <x:c r="BG493" s="60"/>
      <x:c r="BH493" s="58"/>
      <x:c r="BI493" s="47"/>
      <x:c r="BJ493" s="60"/>
      <x:c r="BK493" s="58"/>
      <x:c r="BL493" s="47"/>
      <x:c r="BM493" s="60"/>
      <x:c r="BN493" s="58"/>
      <x:c r="BO493" s="47"/>
      <x:c r="BP493" s="60"/>
      <x:c r="BQ493" s="58"/>
      <x:c r="BR493" s="47"/>
      <x:c r="BS493" s="60"/>
      <x:c r="BT493" s="58"/>
      <x:c r="BU493" s="47"/>
      <x:c r="BV493" s="60"/>
      <x:c r="BW493" s="58"/>
      <x:c r="BX493" s="47"/>
      <x:c r="BY493" s="60"/>
      <x:c r="BZ493" s="58"/>
      <x:c r="CA493" s="47"/>
      <x:c r="CB493" s="60"/>
      <x:c r="CC493" s="58"/>
      <x:c r="CD493" s="47"/>
      <x:c r="CE493" s="60"/>
      <x:c r="CF493" s="58"/>
      <x:c r="CG493" s="47"/>
      <x:c r="CH493" s="60"/>
      <x:c r="CI493" s="58"/>
      <x:c r="CJ493" s="47"/>
      <x:c r="CK493" s="60"/>
      <x:c r="CL493" s="58"/>
      <x:c r="CM493" s="47"/>
      <x:c r="CN493" s="60"/>
      <x:c r="CO493" s="58"/>
      <x:c r="CP493" s="47"/>
      <x:c r="CQ493" s="60"/>
      <x:c r="CR493" s="58"/>
      <x:c r="CS493" s="47"/>
      <x:c r="CT493" s="60"/>
      <x:c r="CU493" s="58"/>
      <x:c r="CV493" s="47"/>
      <x:c r="CW493" s="60"/>
      <x:c r="CX493" s="58"/>
      <x:c r="CY493" s="47"/>
      <x:c r="CZ493" s="60"/>
      <x:c r="DA493" s="58"/>
      <x:c r="DB493" s="47"/>
      <x:c r="DC493" s="60"/>
      <x:c r="DD493" s="58"/>
      <x:c r="DE493" s="47"/>
      <x:c r="DF493" s="60"/>
      <x:c r="DG493" s="58"/>
      <x:c r="DH493" s="47"/>
      <x:c r="DI493" s="60"/>
      <x:c r="DJ493" s="58"/>
      <x:c r="DK493" s="47"/>
      <x:c r="DL493" s="60"/>
      <x:c r="DM493" s="58"/>
      <x:c r="DN493" s="11"/>
      <x:c r="DO493" s="61"/>
      <x:c r="DP493" s="62"/>
      <x:c r="DQ493" s="11"/>
      <x:c r="DR493" s="61"/>
      <x:c r="DS493" s="62"/>
      <x:c r="DT493" s="11"/>
      <x:c r="DU493" s="61"/>
      <x:c r="DV493" s="62"/>
    </x:row>
    <x:row r="494" spans="1:126" x14ac:dyDescent="0.3">
      <x:c r="A494" s="47"/>
      <x:c r="B494" s="70"/>
      <x:c r="C494" s="70"/>
      <x:c r="D494" s="70"/>
      <x:c r="E494" s="70"/>
      <x:c r="F494" s="70"/>
      <x:c r="G494" s="70"/>
      <x:c r="H494" s="70"/>
      <x:c r="I494" s="70"/>
      <x:c r="J494" s="70"/>
      <x:c r="K494" s="190"/>
      <x:c r="L494" s="195"/>
      <x:c r="M494" s="192"/>
      <x:c r="N494" s="192"/>
      <x:c r="O494" s="69"/>
      <x:c r="P494" s="47"/>
      <x:c r="Q494" s="60"/>
      <x:c r="R494" s="58"/>
      <x:c r="S494" s="47"/>
      <x:c r="T494" s="60"/>
      <x:c r="U494" s="58"/>
      <x:c r="V494" s="47"/>
      <x:c r="W494" s="60"/>
      <x:c r="X494" s="58"/>
      <x:c r="Y494" s="47"/>
      <x:c r="Z494" s="60"/>
      <x:c r="AA494" s="58"/>
      <x:c r="AB494" s="47"/>
      <x:c r="AC494" s="60"/>
      <x:c r="AD494" s="58"/>
      <x:c r="AE494" s="47"/>
      <x:c r="AF494" s="60"/>
      <x:c r="AG494" s="58"/>
      <x:c r="AH494" s="47"/>
      <x:c r="AI494" s="60"/>
      <x:c r="AJ494" s="58"/>
      <x:c r="AK494" s="47"/>
      <x:c r="AL494" s="60"/>
      <x:c r="AM494" s="58"/>
      <x:c r="AN494" s="47"/>
      <x:c r="AO494" s="60"/>
      <x:c r="AP494" s="58"/>
      <x:c r="AQ494" s="47"/>
      <x:c r="AR494" s="60"/>
      <x:c r="AS494" s="58"/>
      <x:c r="AT494" s="47"/>
      <x:c r="AU494" s="60"/>
      <x:c r="AV494" s="58"/>
      <x:c r="AW494" s="47"/>
      <x:c r="AX494" s="60"/>
      <x:c r="AY494" s="58"/>
      <x:c r="AZ494" s="47"/>
      <x:c r="BA494" s="60"/>
      <x:c r="BB494" s="58"/>
      <x:c r="BC494" s="47"/>
      <x:c r="BD494" s="60"/>
      <x:c r="BE494" s="58"/>
      <x:c r="BF494" s="47"/>
      <x:c r="BG494" s="60"/>
      <x:c r="BH494" s="58"/>
      <x:c r="BI494" s="47"/>
      <x:c r="BJ494" s="60"/>
      <x:c r="BK494" s="58"/>
      <x:c r="BL494" s="47"/>
      <x:c r="BM494" s="60"/>
      <x:c r="BN494" s="58"/>
      <x:c r="BO494" s="47"/>
      <x:c r="BP494" s="60"/>
      <x:c r="BQ494" s="58"/>
      <x:c r="BR494" s="47"/>
      <x:c r="BS494" s="60"/>
      <x:c r="BT494" s="58"/>
      <x:c r="BU494" s="47"/>
      <x:c r="BV494" s="60"/>
      <x:c r="BW494" s="58"/>
      <x:c r="BX494" s="47"/>
      <x:c r="BY494" s="60"/>
      <x:c r="BZ494" s="58"/>
      <x:c r="CA494" s="47"/>
      <x:c r="CB494" s="60"/>
      <x:c r="CC494" s="58"/>
      <x:c r="CD494" s="47"/>
      <x:c r="CE494" s="60"/>
      <x:c r="CF494" s="58"/>
      <x:c r="CG494" s="47"/>
      <x:c r="CH494" s="60"/>
      <x:c r="CI494" s="58"/>
      <x:c r="CJ494" s="47"/>
      <x:c r="CK494" s="60"/>
      <x:c r="CL494" s="58"/>
      <x:c r="CM494" s="47"/>
      <x:c r="CN494" s="60"/>
      <x:c r="CO494" s="58"/>
      <x:c r="CP494" s="47"/>
      <x:c r="CQ494" s="60"/>
      <x:c r="CR494" s="58"/>
      <x:c r="CS494" s="47"/>
      <x:c r="CT494" s="60"/>
      <x:c r="CU494" s="58"/>
      <x:c r="CV494" s="47"/>
      <x:c r="CW494" s="60"/>
      <x:c r="CX494" s="58"/>
      <x:c r="CY494" s="47"/>
      <x:c r="CZ494" s="60"/>
      <x:c r="DA494" s="58"/>
      <x:c r="DB494" s="47"/>
      <x:c r="DC494" s="60"/>
      <x:c r="DD494" s="58"/>
      <x:c r="DE494" s="47"/>
      <x:c r="DF494" s="60"/>
      <x:c r="DG494" s="58"/>
      <x:c r="DH494" s="47"/>
      <x:c r="DI494" s="60"/>
      <x:c r="DJ494" s="58"/>
      <x:c r="DK494" s="47"/>
      <x:c r="DL494" s="60"/>
      <x:c r="DM494" s="58"/>
      <x:c r="DN494" s="11"/>
      <x:c r="DO494" s="61"/>
      <x:c r="DP494" s="62"/>
      <x:c r="DQ494" s="11"/>
      <x:c r="DR494" s="61"/>
      <x:c r="DS494" s="62"/>
      <x:c r="DT494" s="11"/>
      <x:c r="DU494" s="61"/>
      <x:c r="DV494" s="62"/>
    </x:row>
    <x:row r="495" spans="1:126" x14ac:dyDescent="0.3">
      <x:c r="A495" s="47"/>
      <x:c r="B495" s="70"/>
      <x:c r="C495" s="70"/>
      <x:c r="D495" s="70"/>
      <x:c r="E495" s="70"/>
      <x:c r="F495" s="70"/>
      <x:c r="G495" s="70"/>
      <x:c r="H495" s="70"/>
      <x:c r="I495" s="70"/>
      <x:c r="J495" s="70"/>
      <x:c r="K495" s="190"/>
      <x:c r="L495" s="195"/>
      <x:c r="M495" s="192"/>
      <x:c r="N495" s="192"/>
      <x:c r="O495" s="69"/>
      <x:c r="P495" s="47"/>
      <x:c r="Q495" s="60"/>
      <x:c r="R495" s="58"/>
      <x:c r="S495" s="47"/>
      <x:c r="T495" s="60"/>
      <x:c r="U495" s="58"/>
      <x:c r="V495" s="47"/>
      <x:c r="W495" s="60"/>
      <x:c r="X495" s="58"/>
      <x:c r="Y495" s="47"/>
      <x:c r="Z495" s="60"/>
      <x:c r="AA495" s="58"/>
      <x:c r="AB495" s="47"/>
      <x:c r="AC495" s="60"/>
      <x:c r="AD495" s="58"/>
      <x:c r="AE495" s="47"/>
      <x:c r="AF495" s="60"/>
      <x:c r="AG495" s="58"/>
      <x:c r="AH495" s="47"/>
      <x:c r="AI495" s="60"/>
      <x:c r="AJ495" s="58"/>
      <x:c r="AK495" s="47"/>
      <x:c r="AL495" s="60"/>
      <x:c r="AM495" s="58"/>
      <x:c r="AN495" s="47"/>
      <x:c r="AO495" s="60"/>
      <x:c r="AP495" s="58"/>
      <x:c r="AQ495" s="47"/>
      <x:c r="AR495" s="60"/>
      <x:c r="AS495" s="58"/>
      <x:c r="AT495" s="47"/>
      <x:c r="AU495" s="60"/>
      <x:c r="AV495" s="58"/>
      <x:c r="AW495" s="47"/>
      <x:c r="AX495" s="60"/>
      <x:c r="AY495" s="58"/>
      <x:c r="AZ495" s="47"/>
      <x:c r="BA495" s="60"/>
      <x:c r="BB495" s="58"/>
      <x:c r="BC495" s="47"/>
      <x:c r="BD495" s="60"/>
      <x:c r="BE495" s="58"/>
      <x:c r="BF495" s="47"/>
      <x:c r="BG495" s="60"/>
      <x:c r="BH495" s="58"/>
      <x:c r="BI495" s="47"/>
      <x:c r="BJ495" s="60"/>
      <x:c r="BK495" s="58"/>
      <x:c r="BL495" s="47"/>
      <x:c r="BM495" s="60"/>
      <x:c r="BN495" s="58"/>
      <x:c r="BO495" s="47"/>
      <x:c r="BP495" s="60"/>
      <x:c r="BQ495" s="58"/>
      <x:c r="BR495" s="47"/>
      <x:c r="BS495" s="60"/>
      <x:c r="BT495" s="58"/>
      <x:c r="BU495" s="47"/>
      <x:c r="BV495" s="60"/>
      <x:c r="BW495" s="58"/>
      <x:c r="BX495" s="47"/>
      <x:c r="BY495" s="60"/>
      <x:c r="BZ495" s="58"/>
      <x:c r="CA495" s="47"/>
      <x:c r="CB495" s="60"/>
      <x:c r="CC495" s="58"/>
      <x:c r="CD495" s="47"/>
      <x:c r="CE495" s="60"/>
      <x:c r="CF495" s="58"/>
      <x:c r="CG495" s="47"/>
      <x:c r="CH495" s="60"/>
      <x:c r="CI495" s="58"/>
      <x:c r="CJ495" s="47"/>
      <x:c r="CK495" s="60"/>
      <x:c r="CL495" s="58"/>
      <x:c r="CM495" s="47"/>
      <x:c r="CN495" s="60"/>
      <x:c r="CO495" s="58"/>
      <x:c r="CP495" s="47"/>
      <x:c r="CQ495" s="60"/>
      <x:c r="CR495" s="58"/>
      <x:c r="CS495" s="47"/>
      <x:c r="CT495" s="60"/>
      <x:c r="CU495" s="58"/>
      <x:c r="CV495" s="47"/>
      <x:c r="CW495" s="60"/>
      <x:c r="CX495" s="58"/>
      <x:c r="CY495" s="47"/>
      <x:c r="CZ495" s="60"/>
      <x:c r="DA495" s="58"/>
      <x:c r="DB495" s="47"/>
      <x:c r="DC495" s="60"/>
      <x:c r="DD495" s="58"/>
      <x:c r="DE495" s="47"/>
      <x:c r="DF495" s="60"/>
      <x:c r="DG495" s="58"/>
      <x:c r="DH495" s="47"/>
      <x:c r="DI495" s="60"/>
      <x:c r="DJ495" s="58"/>
      <x:c r="DK495" s="47"/>
      <x:c r="DL495" s="60"/>
      <x:c r="DM495" s="58"/>
      <x:c r="DN495" s="11"/>
      <x:c r="DO495" s="61"/>
      <x:c r="DP495" s="62"/>
      <x:c r="DQ495" s="11"/>
      <x:c r="DR495" s="61"/>
      <x:c r="DS495" s="62"/>
      <x:c r="DT495" s="11"/>
      <x:c r="DU495" s="61"/>
      <x:c r="DV495" s="62"/>
    </x:row>
    <x:row r="496" spans="1:126" x14ac:dyDescent="0.3">
      <x:c r="A496" s="47"/>
      <x:c r="B496" s="70"/>
      <x:c r="C496" s="70"/>
      <x:c r="D496" s="70"/>
      <x:c r="E496" s="70"/>
      <x:c r="F496" s="70"/>
      <x:c r="G496" s="70"/>
      <x:c r="H496" s="70"/>
      <x:c r="I496" s="70"/>
      <x:c r="J496" s="70"/>
      <x:c r="K496" s="190"/>
      <x:c r="L496" s="195"/>
      <x:c r="M496" s="192"/>
      <x:c r="N496" s="192"/>
      <x:c r="O496" s="69"/>
      <x:c r="P496" s="47"/>
      <x:c r="Q496" s="60"/>
      <x:c r="R496" s="58"/>
      <x:c r="S496" s="47"/>
      <x:c r="T496" s="60"/>
      <x:c r="U496" s="58"/>
      <x:c r="V496" s="47"/>
      <x:c r="W496" s="60"/>
      <x:c r="X496" s="58"/>
      <x:c r="Y496" s="47"/>
      <x:c r="Z496" s="60"/>
      <x:c r="AA496" s="58"/>
      <x:c r="AB496" s="47"/>
      <x:c r="AC496" s="60"/>
      <x:c r="AD496" s="58"/>
      <x:c r="AE496" s="47"/>
      <x:c r="AF496" s="60"/>
      <x:c r="AG496" s="58"/>
      <x:c r="AH496" s="47"/>
      <x:c r="AI496" s="60"/>
      <x:c r="AJ496" s="58"/>
      <x:c r="AK496" s="47"/>
      <x:c r="AL496" s="60"/>
      <x:c r="AM496" s="58"/>
      <x:c r="AN496" s="47"/>
      <x:c r="AO496" s="60"/>
      <x:c r="AP496" s="58"/>
      <x:c r="AQ496" s="47"/>
      <x:c r="AR496" s="60"/>
      <x:c r="AS496" s="58"/>
      <x:c r="AT496" s="47"/>
      <x:c r="AU496" s="60"/>
      <x:c r="AV496" s="58"/>
      <x:c r="AW496" s="47"/>
      <x:c r="AX496" s="60"/>
      <x:c r="AY496" s="58"/>
      <x:c r="AZ496" s="47"/>
      <x:c r="BA496" s="60"/>
      <x:c r="BB496" s="58"/>
      <x:c r="BC496" s="47"/>
      <x:c r="BD496" s="60"/>
      <x:c r="BE496" s="58"/>
      <x:c r="BF496" s="47"/>
      <x:c r="BG496" s="60"/>
      <x:c r="BH496" s="58"/>
      <x:c r="BI496" s="47"/>
      <x:c r="BJ496" s="60"/>
      <x:c r="BK496" s="58"/>
      <x:c r="BL496" s="47"/>
      <x:c r="BM496" s="60"/>
      <x:c r="BN496" s="58"/>
      <x:c r="BO496" s="47"/>
      <x:c r="BP496" s="60"/>
      <x:c r="BQ496" s="58"/>
      <x:c r="BR496" s="47"/>
      <x:c r="BS496" s="60"/>
      <x:c r="BT496" s="58"/>
      <x:c r="BU496" s="47"/>
      <x:c r="BV496" s="60"/>
      <x:c r="BW496" s="58"/>
      <x:c r="BX496" s="47"/>
      <x:c r="BY496" s="60"/>
      <x:c r="BZ496" s="58"/>
      <x:c r="CA496" s="47"/>
      <x:c r="CB496" s="60"/>
      <x:c r="CC496" s="58"/>
      <x:c r="CD496" s="47"/>
      <x:c r="CE496" s="60"/>
      <x:c r="CF496" s="58"/>
      <x:c r="CG496" s="47"/>
      <x:c r="CH496" s="60"/>
      <x:c r="CI496" s="58"/>
      <x:c r="CJ496" s="47"/>
      <x:c r="CK496" s="60"/>
      <x:c r="CL496" s="58"/>
      <x:c r="CM496" s="47"/>
      <x:c r="CN496" s="60"/>
      <x:c r="CO496" s="58"/>
      <x:c r="CP496" s="47"/>
      <x:c r="CQ496" s="60"/>
      <x:c r="CR496" s="58"/>
      <x:c r="CS496" s="47"/>
      <x:c r="CT496" s="60"/>
      <x:c r="CU496" s="58"/>
      <x:c r="CV496" s="47"/>
      <x:c r="CW496" s="60"/>
      <x:c r="CX496" s="58"/>
      <x:c r="CY496" s="47"/>
      <x:c r="CZ496" s="60"/>
      <x:c r="DA496" s="58"/>
      <x:c r="DB496" s="47"/>
      <x:c r="DC496" s="60"/>
      <x:c r="DD496" s="58"/>
      <x:c r="DE496" s="47"/>
      <x:c r="DF496" s="60"/>
      <x:c r="DG496" s="58"/>
      <x:c r="DH496" s="47"/>
      <x:c r="DI496" s="60"/>
      <x:c r="DJ496" s="58"/>
      <x:c r="DK496" s="47"/>
      <x:c r="DL496" s="60"/>
      <x:c r="DM496" s="58"/>
      <x:c r="DN496" s="11"/>
      <x:c r="DO496" s="61"/>
      <x:c r="DP496" s="62"/>
      <x:c r="DQ496" s="11"/>
      <x:c r="DR496" s="61"/>
      <x:c r="DS496" s="62"/>
      <x:c r="DT496" s="11"/>
      <x:c r="DU496" s="61"/>
      <x:c r="DV496" s="62"/>
    </x:row>
    <x:row r="497" spans="1:126" x14ac:dyDescent="0.3">
      <x:c r="A497" s="47"/>
      <x:c r="B497" s="70"/>
      <x:c r="C497" s="70"/>
      <x:c r="D497" s="70"/>
      <x:c r="E497" s="70"/>
      <x:c r="F497" s="70"/>
      <x:c r="G497" s="70"/>
      <x:c r="H497" s="70"/>
      <x:c r="I497" s="70"/>
      <x:c r="J497" s="70"/>
      <x:c r="K497" s="190"/>
      <x:c r="L497" s="195"/>
      <x:c r="M497" s="192"/>
      <x:c r="N497" s="192"/>
      <x:c r="O497" s="69"/>
      <x:c r="P497" s="47"/>
      <x:c r="Q497" s="60"/>
      <x:c r="R497" s="58"/>
      <x:c r="S497" s="47"/>
      <x:c r="T497" s="60"/>
      <x:c r="U497" s="58"/>
      <x:c r="V497" s="47"/>
      <x:c r="W497" s="60"/>
      <x:c r="X497" s="58"/>
      <x:c r="Y497" s="47"/>
      <x:c r="Z497" s="60"/>
      <x:c r="AA497" s="58"/>
      <x:c r="AB497" s="47"/>
      <x:c r="AC497" s="60"/>
      <x:c r="AD497" s="58"/>
      <x:c r="AE497" s="47"/>
      <x:c r="AF497" s="60"/>
      <x:c r="AG497" s="58"/>
      <x:c r="AH497" s="47"/>
      <x:c r="AI497" s="60"/>
      <x:c r="AJ497" s="58"/>
      <x:c r="AK497" s="47"/>
      <x:c r="AL497" s="60"/>
      <x:c r="AM497" s="58"/>
      <x:c r="AN497" s="47"/>
      <x:c r="AO497" s="60"/>
      <x:c r="AP497" s="58"/>
      <x:c r="AQ497" s="47"/>
      <x:c r="AR497" s="60"/>
      <x:c r="AS497" s="58"/>
      <x:c r="AT497" s="47"/>
      <x:c r="AU497" s="60"/>
      <x:c r="AV497" s="58"/>
      <x:c r="AW497" s="47"/>
      <x:c r="AX497" s="60"/>
      <x:c r="AY497" s="58"/>
      <x:c r="AZ497" s="47"/>
      <x:c r="BA497" s="60"/>
      <x:c r="BB497" s="58"/>
      <x:c r="BC497" s="47"/>
      <x:c r="BD497" s="60"/>
      <x:c r="BE497" s="58"/>
      <x:c r="BF497" s="47"/>
      <x:c r="BG497" s="60"/>
      <x:c r="BH497" s="58"/>
      <x:c r="BI497" s="47"/>
      <x:c r="BJ497" s="60"/>
      <x:c r="BK497" s="58"/>
      <x:c r="BL497" s="47"/>
      <x:c r="BM497" s="60"/>
      <x:c r="BN497" s="58"/>
      <x:c r="BO497" s="47"/>
      <x:c r="BP497" s="60"/>
      <x:c r="BQ497" s="58"/>
      <x:c r="BR497" s="47"/>
      <x:c r="BS497" s="60"/>
      <x:c r="BT497" s="58"/>
      <x:c r="BU497" s="47"/>
      <x:c r="BV497" s="60"/>
      <x:c r="BW497" s="58"/>
      <x:c r="BX497" s="47"/>
      <x:c r="BY497" s="60"/>
      <x:c r="BZ497" s="58"/>
      <x:c r="CA497" s="47"/>
      <x:c r="CB497" s="60"/>
      <x:c r="CC497" s="58"/>
      <x:c r="CD497" s="47"/>
      <x:c r="CE497" s="60"/>
      <x:c r="CF497" s="58"/>
      <x:c r="CG497" s="47"/>
      <x:c r="CH497" s="60"/>
      <x:c r="CI497" s="58"/>
      <x:c r="CJ497" s="47"/>
      <x:c r="CK497" s="60"/>
      <x:c r="CL497" s="58"/>
      <x:c r="CM497" s="47"/>
      <x:c r="CN497" s="60"/>
      <x:c r="CO497" s="58"/>
      <x:c r="CP497" s="47"/>
      <x:c r="CQ497" s="60"/>
      <x:c r="CR497" s="58"/>
      <x:c r="CS497" s="47"/>
      <x:c r="CT497" s="60"/>
      <x:c r="CU497" s="58"/>
      <x:c r="CV497" s="47"/>
      <x:c r="CW497" s="60"/>
      <x:c r="CX497" s="58"/>
      <x:c r="CY497" s="47"/>
      <x:c r="CZ497" s="60"/>
      <x:c r="DA497" s="58"/>
      <x:c r="DB497" s="47"/>
      <x:c r="DC497" s="60"/>
      <x:c r="DD497" s="58"/>
      <x:c r="DE497" s="47"/>
      <x:c r="DF497" s="60"/>
      <x:c r="DG497" s="58"/>
      <x:c r="DH497" s="47"/>
      <x:c r="DI497" s="60"/>
      <x:c r="DJ497" s="58"/>
      <x:c r="DK497" s="47"/>
      <x:c r="DL497" s="60"/>
      <x:c r="DM497" s="58"/>
      <x:c r="DN497" s="11"/>
      <x:c r="DO497" s="61"/>
      <x:c r="DP497" s="62"/>
      <x:c r="DQ497" s="11"/>
      <x:c r="DR497" s="61"/>
      <x:c r="DS497" s="62"/>
      <x:c r="DT497" s="11"/>
      <x:c r="DU497" s="61"/>
      <x:c r="DV497" s="62"/>
    </x:row>
    <x:row r="498" spans="1:126" x14ac:dyDescent="0.3">
      <x:c r="A498" s="47"/>
      <x:c r="B498" s="70"/>
      <x:c r="C498" s="70"/>
      <x:c r="D498" s="70"/>
      <x:c r="E498" s="70"/>
      <x:c r="F498" s="70"/>
      <x:c r="G498" s="70"/>
      <x:c r="H498" s="70"/>
      <x:c r="I498" s="70"/>
      <x:c r="J498" s="70"/>
      <x:c r="K498" s="190"/>
      <x:c r="L498" s="195"/>
      <x:c r="M498" s="192"/>
      <x:c r="N498" s="192"/>
      <x:c r="O498" s="69"/>
      <x:c r="P498" s="47"/>
      <x:c r="Q498" s="60"/>
      <x:c r="R498" s="58"/>
      <x:c r="S498" s="47"/>
      <x:c r="T498" s="60"/>
      <x:c r="U498" s="58"/>
      <x:c r="V498" s="47"/>
      <x:c r="W498" s="60"/>
      <x:c r="X498" s="58"/>
      <x:c r="Y498" s="47"/>
      <x:c r="Z498" s="60"/>
      <x:c r="AA498" s="58"/>
      <x:c r="AB498" s="47"/>
      <x:c r="AC498" s="60"/>
      <x:c r="AD498" s="58"/>
      <x:c r="AE498" s="47"/>
      <x:c r="AF498" s="60"/>
      <x:c r="AG498" s="58"/>
      <x:c r="AH498" s="47"/>
      <x:c r="AI498" s="60"/>
      <x:c r="AJ498" s="58"/>
      <x:c r="AK498" s="47"/>
      <x:c r="AL498" s="60"/>
      <x:c r="AM498" s="58"/>
      <x:c r="AN498" s="47"/>
      <x:c r="AO498" s="60"/>
      <x:c r="AP498" s="58"/>
      <x:c r="AQ498" s="47"/>
      <x:c r="AR498" s="60"/>
      <x:c r="AS498" s="58"/>
      <x:c r="AT498" s="47"/>
      <x:c r="AU498" s="60"/>
      <x:c r="AV498" s="58"/>
      <x:c r="AW498" s="47"/>
      <x:c r="AX498" s="60"/>
      <x:c r="AY498" s="58"/>
      <x:c r="AZ498" s="47"/>
      <x:c r="BA498" s="60"/>
      <x:c r="BB498" s="58"/>
      <x:c r="BC498" s="47"/>
      <x:c r="BD498" s="60"/>
      <x:c r="BE498" s="58"/>
      <x:c r="BF498" s="47"/>
      <x:c r="BG498" s="60"/>
      <x:c r="BH498" s="58"/>
      <x:c r="BI498" s="47"/>
      <x:c r="BJ498" s="60"/>
      <x:c r="BK498" s="58"/>
      <x:c r="BL498" s="47"/>
      <x:c r="BM498" s="60"/>
      <x:c r="BN498" s="58"/>
      <x:c r="BO498" s="47"/>
      <x:c r="BP498" s="60"/>
      <x:c r="BQ498" s="58"/>
      <x:c r="BR498" s="47"/>
      <x:c r="BS498" s="60"/>
      <x:c r="BT498" s="58"/>
      <x:c r="BU498" s="47"/>
      <x:c r="BV498" s="60"/>
      <x:c r="BW498" s="58"/>
      <x:c r="BX498" s="47"/>
      <x:c r="BY498" s="60"/>
      <x:c r="BZ498" s="58"/>
      <x:c r="CA498" s="47"/>
      <x:c r="CB498" s="60"/>
      <x:c r="CC498" s="58"/>
      <x:c r="CD498" s="47"/>
      <x:c r="CE498" s="60"/>
      <x:c r="CF498" s="58"/>
      <x:c r="CG498" s="47"/>
      <x:c r="CH498" s="60"/>
      <x:c r="CI498" s="58"/>
      <x:c r="CJ498" s="47"/>
      <x:c r="CK498" s="60"/>
      <x:c r="CL498" s="58"/>
      <x:c r="CM498" s="47"/>
      <x:c r="CN498" s="60"/>
      <x:c r="CO498" s="58"/>
      <x:c r="CP498" s="47"/>
      <x:c r="CQ498" s="60"/>
      <x:c r="CR498" s="58"/>
      <x:c r="CS498" s="47"/>
      <x:c r="CT498" s="60"/>
      <x:c r="CU498" s="58"/>
      <x:c r="CV498" s="47"/>
      <x:c r="CW498" s="60"/>
      <x:c r="CX498" s="58"/>
      <x:c r="CY498" s="47"/>
      <x:c r="CZ498" s="60"/>
      <x:c r="DA498" s="58"/>
      <x:c r="DB498" s="47"/>
      <x:c r="DC498" s="60"/>
      <x:c r="DD498" s="58"/>
      <x:c r="DE498" s="47"/>
      <x:c r="DF498" s="60"/>
      <x:c r="DG498" s="58"/>
      <x:c r="DH498" s="47"/>
      <x:c r="DI498" s="60"/>
      <x:c r="DJ498" s="58"/>
      <x:c r="DK498" s="47"/>
      <x:c r="DL498" s="60"/>
      <x:c r="DM498" s="58"/>
      <x:c r="DN498" s="11"/>
      <x:c r="DO498" s="61"/>
      <x:c r="DP498" s="62"/>
      <x:c r="DQ498" s="11"/>
      <x:c r="DR498" s="61"/>
      <x:c r="DS498" s="62"/>
      <x:c r="DT498" s="11"/>
      <x:c r="DU498" s="61"/>
      <x:c r="DV498" s="62"/>
    </x:row>
    <x:row r="499" spans="1:126" x14ac:dyDescent="0.3">
      <x:c r="A499" s="47"/>
      <x:c r="B499" s="70"/>
      <x:c r="C499" s="70"/>
      <x:c r="D499" s="70"/>
      <x:c r="E499" s="70"/>
      <x:c r="F499" s="70"/>
      <x:c r="G499" s="70"/>
      <x:c r="H499" s="70"/>
      <x:c r="I499" s="70"/>
      <x:c r="J499" s="70"/>
      <x:c r="K499" s="190"/>
      <x:c r="L499" s="195"/>
      <x:c r="M499" s="192"/>
      <x:c r="N499" s="192"/>
      <x:c r="O499" s="69"/>
      <x:c r="P499" s="47"/>
      <x:c r="Q499" s="60"/>
      <x:c r="R499" s="58"/>
      <x:c r="S499" s="47"/>
      <x:c r="T499" s="60"/>
      <x:c r="U499" s="58"/>
      <x:c r="V499" s="47"/>
      <x:c r="W499" s="60"/>
      <x:c r="X499" s="58"/>
      <x:c r="Y499" s="47"/>
      <x:c r="Z499" s="60"/>
      <x:c r="AA499" s="58"/>
      <x:c r="AB499" s="47"/>
      <x:c r="AC499" s="60"/>
      <x:c r="AD499" s="58"/>
      <x:c r="AE499" s="47"/>
      <x:c r="AF499" s="60"/>
      <x:c r="AG499" s="58"/>
      <x:c r="AH499" s="47"/>
      <x:c r="AI499" s="60"/>
      <x:c r="AJ499" s="58"/>
      <x:c r="AK499" s="47"/>
      <x:c r="AL499" s="60"/>
      <x:c r="AM499" s="58"/>
      <x:c r="AN499" s="47"/>
      <x:c r="AO499" s="60"/>
      <x:c r="AP499" s="58"/>
      <x:c r="AQ499" s="47"/>
      <x:c r="AR499" s="60"/>
      <x:c r="AS499" s="58"/>
      <x:c r="AT499" s="47"/>
      <x:c r="AU499" s="60"/>
      <x:c r="AV499" s="58"/>
      <x:c r="AW499" s="47"/>
      <x:c r="AX499" s="60"/>
      <x:c r="AY499" s="58"/>
      <x:c r="AZ499" s="47"/>
      <x:c r="BA499" s="60"/>
      <x:c r="BB499" s="58"/>
      <x:c r="BC499" s="47"/>
      <x:c r="BD499" s="60"/>
      <x:c r="BE499" s="58"/>
      <x:c r="BF499" s="47"/>
      <x:c r="BG499" s="60"/>
      <x:c r="BH499" s="58"/>
      <x:c r="BI499" s="47"/>
      <x:c r="BJ499" s="60"/>
      <x:c r="BK499" s="58"/>
      <x:c r="BL499" s="47"/>
      <x:c r="BM499" s="60"/>
      <x:c r="BN499" s="58"/>
      <x:c r="BO499" s="47"/>
      <x:c r="BP499" s="60"/>
      <x:c r="BQ499" s="58"/>
      <x:c r="BR499" s="47"/>
      <x:c r="BS499" s="60"/>
      <x:c r="BT499" s="58"/>
      <x:c r="BU499" s="47"/>
      <x:c r="BV499" s="60"/>
      <x:c r="BW499" s="58"/>
      <x:c r="BX499" s="47"/>
      <x:c r="BY499" s="60"/>
      <x:c r="BZ499" s="58"/>
      <x:c r="CA499" s="47"/>
      <x:c r="CB499" s="60"/>
      <x:c r="CC499" s="58"/>
      <x:c r="CD499" s="47"/>
      <x:c r="CE499" s="60"/>
      <x:c r="CF499" s="58"/>
      <x:c r="CG499" s="47"/>
      <x:c r="CH499" s="60"/>
      <x:c r="CI499" s="58"/>
      <x:c r="CJ499" s="47"/>
      <x:c r="CK499" s="60"/>
      <x:c r="CL499" s="58"/>
      <x:c r="CM499" s="47"/>
      <x:c r="CN499" s="60"/>
      <x:c r="CO499" s="58"/>
      <x:c r="CP499" s="47"/>
      <x:c r="CQ499" s="60"/>
      <x:c r="CR499" s="58"/>
      <x:c r="CS499" s="47"/>
      <x:c r="CT499" s="60"/>
      <x:c r="CU499" s="58"/>
      <x:c r="CV499" s="47"/>
      <x:c r="CW499" s="60"/>
      <x:c r="CX499" s="58"/>
      <x:c r="CY499" s="47"/>
      <x:c r="CZ499" s="60"/>
      <x:c r="DA499" s="58"/>
      <x:c r="DB499" s="47"/>
      <x:c r="DC499" s="60"/>
      <x:c r="DD499" s="58"/>
      <x:c r="DE499" s="47"/>
      <x:c r="DF499" s="60"/>
      <x:c r="DG499" s="58"/>
      <x:c r="DH499" s="47"/>
      <x:c r="DI499" s="60"/>
      <x:c r="DJ499" s="58"/>
      <x:c r="DK499" s="47"/>
      <x:c r="DL499" s="60"/>
      <x:c r="DM499" s="58"/>
      <x:c r="DN499" s="11"/>
      <x:c r="DO499" s="61"/>
      <x:c r="DP499" s="62"/>
      <x:c r="DQ499" s="11"/>
      <x:c r="DR499" s="61"/>
      <x:c r="DS499" s="62"/>
      <x:c r="DT499" s="11"/>
      <x:c r="DU499" s="61"/>
      <x:c r="DV499" s="62"/>
    </x:row>
    <x:row r="500" spans="1:126" x14ac:dyDescent="0.3">
      <x:c r="A500" s="47"/>
      <x:c r="B500" s="70"/>
      <x:c r="C500" s="70"/>
      <x:c r="D500" s="70"/>
      <x:c r="E500" s="70"/>
      <x:c r="F500" s="70"/>
      <x:c r="G500" s="70"/>
      <x:c r="H500" s="70"/>
      <x:c r="I500" s="70"/>
      <x:c r="J500" s="70"/>
      <x:c r="K500" s="190"/>
      <x:c r="L500" s="195"/>
      <x:c r="M500" s="192"/>
      <x:c r="N500" s="192"/>
      <x:c r="O500" s="69"/>
      <x:c r="P500" s="47"/>
      <x:c r="Q500" s="60"/>
      <x:c r="R500" s="58"/>
      <x:c r="S500" s="47"/>
      <x:c r="T500" s="60"/>
      <x:c r="U500" s="58"/>
      <x:c r="V500" s="47"/>
      <x:c r="W500" s="60"/>
      <x:c r="X500" s="58"/>
      <x:c r="Y500" s="47"/>
      <x:c r="Z500" s="60"/>
      <x:c r="AA500" s="58"/>
      <x:c r="AB500" s="47"/>
      <x:c r="AC500" s="60"/>
      <x:c r="AD500" s="58"/>
      <x:c r="AE500" s="47"/>
      <x:c r="AF500" s="60"/>
      <x:c r="AG500" s="58"/>
      <x:c r="AH500" s="47"/>
      <x:c r="AI500" s="60"/>
      <x:c r="AJ500" s="58"/>
      <x:c r="AK500" s="47"/>
      <x:c r="AL500" s="60"/>
      <x:c r="AM500" s="58"/>
      <x:c r="AN500" s="47"/>
      <x:c r="AO500" s="60"/>
      <x:c r="AP500" s="58"/>
      <x:c r="AQ500" s="47"/>
      <x:c r="AR500" s="60"/>
      <x:c r="AS500" s="58"/>
      <x:c r="AT500" s="47"/>
      <x:c r="AU500" s="60"/>
      <x:c r="AV500" s="58"/>
      <x:c r="AW500" s="47"/>
      <x:c r="AX500" s="60"/>
      <x:c r="AY500" s="58"/>
      <x:c r="AZ500" s="47"/>
      <x:c r="BA500" s="60"/>
      <x:c r="BB500" s="58"/>
      <x:c r="BC500" s="47"/>
      <x:c r="BD500" s="60"/>
      <x:c r="BE500" s="58"/>
      <x:c r="BF500" s="47"/>
      <x:c r="BG500" s="60"/>
      <x:c r="BH500" s="58"/>
      <x:c r="BI500" s="47"/>
      <x:c r="BJ500" s="60"/>
      <x:c r="BK500" s="58"/>
      <x:c r="BL500" s="47"/>
      <x:c r="BM500" s="60"/>
      <x:c r="BN500" s="58"/>
      <x:c r="BO500" s="47"/>
      <x:c r="BP500" s="60"/>
      <x:c r="BQ500" s="58"/>
      <x:c r="BR500" s="47"/>
      <x:c r="BS500" s="60"/>
      <x:c r="BT500" s="58"/>
      <x:c r="BU500" s="47"/>
      <x:c r="BV500" s="60"/>
      <x:c r="BW500" s="58"/>
      <x:c r="BX500" s="47"/>
      <x:c r="BY500" s="60"/>
      <x:c r="BZ500" s="58"/>
      <x:c r="CA500" s="47"/>
      <x:c r="CB500" s="60"/>
      <x:c r="CC500" s="58"/>
      <x:c r="CD500" s="47"/>
      <x:c r="CE500" s="60"/>
      <x:c r="CF500" s="58"/>
      <x:c r="CG500" s="47"/>
      <x:c r="CH500" s="60"/>
      <x:c r="CI500" s="58"/>
      <x:c r="CJ500" s="47"/>
      <x:c r="CK500" s="60"/>
      <x:c r="CL500" s="58"/>
      <x:c r="CM500" s="47"/>
      <x:c r="CN500" s="60"/>
      <x:c r="CO500" s="58"/>
      <x:c r="CP500" s="47"/>
      <x:c r="CQ500" s="60"/>
      <x:c r="CR500" s="58"/>
      <x:c r="CS500" s="47"/>
      <x:c r="CT500" s="60"/>
      <x:c r="CU500" s="58"/>
      <x:c r="CV500" s="47"/>
      <x:c r="CW500" s="60"/>
      <x:c r="CX500" s="58"/>
      <x:c r="CY500" s="47"/>
      <x:c r="CZ500" s="60"/>
      <x:c r="DA500" s="58"/>
      <x:c r="DB500" s="47"/>
      <x:c r="DC500" s="60"/>
      <x:c r="DD500" s="58"/>
      <x:c r="DE500" s="47"/>
      <x:c r="DF500" s="60"/>
      <x:c r="DG500" s="58"/>
      <x:c r="DH500" s="47"/>
      <x:c r="DI500" s="60"/>
      <x:c r="DJ500" s="58"/>
      <x:c r="DK500" s="47"/>
      <x:c r="DL500" s="60"/>
      <x:c r="DM500" s="58"/>
      <x:c r="DN500" s="11"/>
      <x:c r="DO500" s="61"/>
      <x:c r="DP500" s="62"/>
      <x:c r="DQ500" s="11"/>
      <x:c r="DR500" s="61"/>
      <x:c r="DS500" s="62"/>
      <x:c r="DT500" s="11"/>
      <x:c r="DU500" s="61"/>
      <x:c r="DV500" s="62"/>
    </x:row>
    <x:row r="501" spans="1:126" x14ac:dyDescent="0.3">
      <x:c r="A501" s="47"/>
      <x:c r="B501" s="70"/>
      <x:c r="C501" s="70"/>
      <x:c r="D501" s="70"/>
      <x:c r="E501" s="70"/>
      <x:c r="F501" s="70"/>
      <x:c r="G501" s="70"/>
      <x:c r="H501" s="70"/>
      <x:c r="I501" s="70"/>
      <x:c r="J501" s="70"/>
      <x:c r="K501" s="190"/>
      <x:c r="L501" s="195"/>
      <x:c r="M501" s="192"/>
      <x:c r="N501" s="192"/>
      <x:c r="O501" s="69"/>
      <x:c r="P501" s="47"/>
      <x:c r="Q501" s="60"/>
      <x:c r="R501" s="58"/>
      <x:c r="S501" s="47"/>
      <x:c r="T501" s="60"/>
      <x:c r="U501" s="58"/>
      <x:c r="V501" s="47"/>
      <x:c r="W501" s="60"/>
      <x:c r="X501" s="58"/>
      <x:c r="Y501" s="47"/>
      <x:c r="Z501" s="60"/>
      <x:c r="AA501" s="58"/>
      <x:c r="AB501" s="47"/>
      <x:c r="AC501" s="60"/>
      <x:c r="AD501" s="58"/>
      <x:c r="AE501" s="47"/>
      <x:c r="AF501" s="60"/>
      <x:c r="AG501" s="58"/>
      <x:c r="AH501" s="47"/>
      <x:c r="AI501" s="60"/>
      <x:c r="AJ501" s="58"/>
      <x:c r="AK501" s="47"/>
      <x:c r="AL501" s="60"/>
      <x:c r="AM501" s="58"/>
      <x:c r="AN501" s="47"/>
      <x:c r="AO501" s="60"/>
      <x:c r="AP501" s="58"/>
      <x:c r="AQ501" s="47"/>
      <x:c r="AR501" s="60"/>
      <x:c r="AS501" s="58"/>
      <x:c r="AT501" s="47"/>
      <x:c r="AU501" s="60"/>
      <x:c r="AV501" s="58"/>
      <x:c r="AW501" s="47"/>
      <x:c r="AX501" s="60"/>
      <x:c r="AY501" s="58"/>
      <x:c r="AZ501" s="47"/>
      <x:c r="BA501" s="60"/>
      <x:c r="BB501" s="58"/>
      <x:c r="BC501" s="47"/>
      <x:c r="BD501" s="60"/>
      <x:c r="BE501" s="58"/>
      <x:c r="BF501" s="47"/>
      <x:c r="BG501" s="60"/>
      <x:c r="BH501" s="58"/>
      <x:c r="BI501" s="47"/>
      <x:c r="BJ501" s="60"/>
      <x:c r="BK501" s="58"/>
      <x:c r="BL501" s="47"/>
      <x:c r="BM501" s="60"/>
      <x:c r="BN501" s="58"/>
      <x:c r="BO501" s="47"/>
      <x:c r="BP501" s="60"/>
      <x:c r="BQ501" s="58"/>
      <x:c r="BR501" s="47"/>
      <x:c r="BS501" s="60"/>
      <x:c r="BT501" s="58"/>
      <x:c r="BU501" s="47"/>
      <x:c r="BV501" s="60"/>
      <x:c r="BW501" s="58"/>
      <x:c r="BX501" s="47"/>
      <x:c r="BY501" s="60"/>
      <x:c r="BZ501" s="58"/>
      <x:c r="CA501" s="47"/>
      <x:c r="CB501" s="60"/>
      <x:c r="CC501" s="58"/>
      <x:c r="CD501" s="47"/>
      <x:c r="CE501" s="60"/>
      <x:c r="CF501" s="58"/>
      <x:c r="CG501" s="47"/>
      <x:c r="CH501" s="60"/>
      <x:c r="CI501" s="58"/>
      <x:c r="CJ501" s="47"/>
      <x:c r="CK501" s="60"/>
      <x:c r="CL501" s="58"/>
      <x:c r="CM501" s="47"/>
      <x:c r="CN501" s="60"/>
      <x:c r="CO501" s="58"/>
      <x:c r="CP501" s="47"/>
      <x:c r="CQ501" s="60"/>
      <x:c r="CR501" s="58"/>
      <x:c r="CS501" s="47"/>
      <x:c r="CT501" s="60"/>
      <x:c r="CU501" s="58"/>
      <x:c r="CV501" s="47"/>
      <x:c r="CW501" s="60"/>
      <x:c r="CX501" s="58"/>
      <x:c r="CY501" s="47"/>
      <x:c r="CZ501" s="60"/>
      <x:c r="DA501" s="58"/>
      <x:c r="DB501" s="47"/>
      <x:c r="DC501" s="60"/>
      <x:c r="DD501" s="58"/>
      <x:c r="DE501" s="47"/>
      <x:c r="DF501" s="60"/>
      <x:c r="DG501" s="58"/>
      <x:c r="DH501" s="47"/>
      <x:c r="DI501" s="60"/>
      <x:c r="DJ501" s="58"/>
      <x:c r="DK501" s="47"/>
      <x:c r="DL501" s="60"/>
      <x:c r="DM501" s="58"/>
      <x:c r="DN501" s="11"/>
      <x:c r="DO501" s="61"/>
      <x:c r="DP501" s="62"/>
      <x:c r="DQ501" s="11"/>
      <x:c r="DR501" s="61"/>
      <x:c r="DS501" s="62"/>
      <x:c r="DT501" s="11"/>
      <x:c r="DU501" s="61"/>
      <x:c r="DV501" s="62"/>
    </x:row>
    <x:row r="502" spans="1:126" x14ac:dyDescent="0.3">
      <x:c r="A502" s="47"/>
      <x:c r="B502" s="70"/>
      <x:c r="C502" s="70"/>
      <x:c r="D502" s="70"/>
      <x:c r="E502" s="70"/>
      <x:c r="F502" s="70"/>
      <x:c r="G502" s="70"/>
      <x:c r="H502" s="70"/>
      <x:c r="I502" s="70"/>
      <x:c r="J502" s="70"/>
      <x:c r="K502" s="190"/>
      <x:c r="L502" s="195"/>
      <x:c r="M502" s="192"/>
      <x:c r="N502" s="192"/>
      <x:c r="O502" s="69"/>
      <x:c r="P502" s="47"/>
      <x:c r="Q502" s="60"/>
      <x:c r="R502" s="58"/>
      <x:c r="S502" s="47"/>
      <x:c r="T502" s="60"/>
      <x:c r="U502" s="58"/>
      <x:c r="V502" s="47"/>
      <x:c r="W502" s="60"/>
      <x:c r="X502" s="58"/>
      <x:c r="Y502" s="47"/>
      <x:c r="Z502" s="60"/>
      <x:c r="AA502" s="58"/>
      <x:c r="AB502" s="47"/>
      <x:c r="AC502" s="60"/>
      <x:c r="AD502" s="58"/>
      <x:c r="AE502" s="47"/>
      <x:c r="AF502" s="60"/>
      <x:c r="AG502" s="58"/>
      <x:c r="AH502" s="47"/>
      <x:c r="AI502" s="60"/>
      <x:c r="AJ502" s="58"/>
      <x:c r="AK502" s="47"/>
      <x:c r="AL502" s="60"/>
      <x:c r="AM502" s="58"/>
      <x:c r="AN502" s="47"/>
      <x:c r="AO502" s="60"/>
      <x:c r="AP502" s="58"/>
      <x:c r="AQ502" s="47"/>
      <x:c r="AR502" s="60"/>
      <x:c r="AS502" s="58"/>
      <x:c r="AT502" s="47"/>
      <x:c r="AU502" s="60"/>
      <x:c r="AV502" s="58"/>
      <x:c r="AW502" s="47"/>
      <x:c r="AX502" s="60"/>
      <x:c r="AY502" s="58"/>
      <x:c r="AZ502" s="47"/>
      <x:c r="BA502" s="60"/>
      <x:c r="BB502" s="58"/>
      <x:c r="BC502" s="47"/>
      <x:c r="BD502" s="60"/>
      <x:c r="BE502" s="58"/>
      <x:c r="BF502" s="47"/>
      <x:c r="BG502" s="60"/>
      <x:c r="BH502" s="58"/>
      <x:c r="BI502" s="47"/>
      <x:c r="BJ502" s="60"/>
      <x:c r="BK502" s="58"/>
      <x:c r="BL502" s="47"/>
      <x:c r="BM502" s="60"/>
      <x:c r="BN502" s="58"/>
      <x:c r="BO502" s="47"/>
      <x:c r="BP502" s="60"/>
      <x:c r="BQ502" s="58"/>
      <x:c r="BR502" s="47"/>
      <x:c r="BS502" s="60"/>
      <x:c r="BT502" s="58"/>
      <x:c r="BU502" s="47"/>
      <x:c r="BV502" s="60"/>
      <x:c r="BW502" s="58"/>
      <x:c r="BX502" s="47"/>
      <x:c r="BY502" s="60"/>
      <x:c r="BZ502" s="58"/>
      <x:c r="CA502" s="47"/>
      <x:c r="CB502" s="60"/>
      <x:c r="CC502" s="58"/>
      <x:c r="CD502" s="47"/>
      <x:c r="CE502" s="60"/>
      <x:c r="CF502" s="58"/>
      <x:c r="CG502" s="47"/>
      <x:c r="CH502" s="60"/>
      <x:c r="CI502" s="58"/>
      <x:c r="CJ502" s="47"/>
      <x:c r="CK502" s="60"/>
      <x:c r="CL502" s="58"/>
      <x:c r="CM502" s="47"/>
      <x:c r="CN502" s="60"/>
      <x:c r="CO502" s="58"/>
      <x:c r="CP502" s="47"/>
      <x:c r="CQ502" s="60"/>
      <x:c r="CR502" s="58"/>
      <x:c r="CS502" s="47"/>
      <x:c r="CT502" s="60"/>
      <x:c r="CU502" s="58"/>
      <x:c r="CV502" s="47"/>
      <x:c r="CW502" s="60"/>
      <x:c r="CX502" s="58"/>
      <x:c r="CY502" s="47"/>
      <x:c r="CZ502" s="60"/>
      <x:c r="DA502" s="58"/>
      <x:c r="DB502" s="47"/>
      <x:c r="DC502" s="60"/>
      <x:c r="DD502" s="58"/>
      <x:c r="DE502" s="47"/>
      <x:c r="DF502" s="60"/>
      <x:c r="DG502" s="58"/>
      <x:c r="DH502" s="47"/>
      <x:c r="DI502" s="60"/>
      <x:c r="DJ502" s="58"/>
      <x:c r="DK502" s="47"/>
      <x:c r="DL502" s="60"/>
      <x:c r="DM502" s="58"/>
      <x:c r="DN502" s="11"/>
      <x:c r="DO502" s="61"/>
      <x:c r="DP502" s="62"/>
      <x:c r="DQ502" s="11"/>
      <x:c r="DR502" s="61"/>
      <x:c r="DS502" s="62"/>
      <x:c r="DT502" s="11"/>
      <x:c r="DU502" s="61"/>
      <x:c r="DV502" s="62"/>
    </x:row>
    <x:row r="503" spans="1:126" x14ac:dyDescent="0.3">
      <x:c r="A503" s="47"/>
      <x:c r="B503" s="70"/>
      <x:c r="C503" s="70"/>
      <x:c r="D503" s="70"/>
      <x:c r="E503" s="70"/>
      <x:c r="F503" s="70"/>
      <x:c r="G503" s="70"/>
      <x:c r="H503" s="70"/>
      <x:c r="I503" s="70"/>
      <x:c r="J503" s="70"/>
      <x:c r="K503" s="190"/>
      <x:c r="L503" s="195"/>
      <x:c r="M503" s="192"/>
      <x:c r="N503" s="192"/>
      <x:c r="O503" s="69"/>
      <x:c r="P503" s="47"/>
      <x:c r="Q503" s="60"/>
      <x:c r="R503" s="58"/>
      <x:c r="S503" s="47"/>
      <x:c r="T503" s="60"/>
      <x:c r="U503" s="58"/>
      <x:c r="V503" s="47"/>
      <x:c r="W503" s="60"/>
      <x:c r="X503" s="58"/>
      <x:c r="Y503" s="47"/>
      <x:c r="Z503" s="60"/>
      <x:c r="AA503" s="58"/>
      <x:c r="AB503" s="47"/>
      <x:c r="AC503" s="60"/>
      <x:c r="AD503" s="58"/>
      <x:c r="AE503" s="47"/>
      <x:c r="AF503" s="60"/>
      <x:c r="AG503" s="58"/>
      <x:c r="AH503" s="47"/>
      <x:c r="AI503" s="60"/>
      <x:c r="AJ503" s="58"/>
      <x:c r="AK503" s="47"/>
      <x:c r="AL503" s="60"/>
      <x:c r="AM503" s="58"/>
      <x:c r="AN503" s="47"/>
      <x:c r="AO503" s="60"/>
      <x:c r="AP503" s="58"/>
      <x:c r="AQ503" s="47"/>
      <x:c r="AR503" s="60"/>
      <x:c r="AS503" s="58"/>
      <x:c r="AT503" s="47"/>
      <x:c r="AU503" s="60"/>
      <x:c r="AV503" s="58"/>
      <x:c r="AW503" s="47"/>
      <x:c r="AX503" s="60"/>
      <x:c r="AY503" s="58"/>
      <x:c r="AZ503" s="47"/>
      <x:c r="BA503" s="60"/>
      <x:c r="BB503" s="58"/>
      <x:c r="BC503" s="47"/>
      <x:c r="BD503" s="60"/>
      <x:c r="BE503" s="58"/>
      <x:c r="BF503" s="47"/>
      <x:c r="BG503" s="60"/>
      <x:c r="BH503" s="58"/>
      <x:c r="BI503" s="47"/>
      <x:c r="BJ503" s="60"/>
      <x:c r="BK503" s="58"/>
      <x:c r="BL503" s="47"/>
      <x:c r="BM503" s="60"/>
      <x:c r="BN503" s="58"/>
      <x:c r="BO503" s="47"/>
      <x:c r="BP503" s="60"/>
      <x:c r="BQ503" s="58"/>
      <x:c r="BR503" s="47"/>
      <x:c r="BS503" s="60"/>
      <x:c r="BT503" s="58"/>
      <x:c r="BU503" s="47"/>
      <x:c r="BV503" s="60"/>
      <x:c r="BW503" s="58"/>
      <x:c r="BX503" s="47"/>
      <x:c r="BY503" s="60"/>
      <x:c r="BZ503" s="58"/>
      <x:c r="CA503" s="47"/>
      <x:c r="CB503" s="60"/>
      <x:c r="CC503" s="58"/>
      <x:c r="CD503" s="47"/>
      <x:c r="CE503" s="60"/>
      <x:c r="CF503" s="58"/>
      <x:c r="CG503" s="47"/>
      <x:c r="CH503" s="60"/>
      <x:c r="CI503" s="58"/>
      <x:c r="CJ503" s="47"/>
      <x:c r="CK503" s="60"/>
      <x:c r="CL503" s="58"/>
      <x:c r="CM503" s="47"/>
      <x:c r="CN503" s="60"/>
      <x:c r="CO503" s="58"/>
      <x:c r="CP503" s="47"/>
      <x:c r="CQ503" s="60"/>
      <x:c r="CR503" s="58"/>
      <x:c r="CS503" s="47"/>
      <x:c r="CT503" s="60"/>
      <x:c r="CU503" s="58"/>
      <x:c r="CV503" s="47"/>
      <x:c r="CW503" s="60"/>
      <x:c r="CX503" s="58"/>
      <x:c r="CY503" s="47"/>
      <x:c r="CZ503" s="60"/>
      <x:c r="DA503" s="58"/>
      <x:c r="DB503" s="47"/>
      <x:c r="DC503" s="60"/>
      <x:c r="DD503" s="58"/>
      <x:c r="DE503" s="47"/>
      <x:c r="DF503" s="60"/>
      <x:c r="DG503" s="58"/>
      <x:c r="DH503" s="47"/>
      <x:c r="DI503" s="60"/>
      <x:c r="DJ503" s="58"/>
      <x:c r="DK503" s="47"/>
      <x:c r="DL503" s="60"/>
      <x:c r="DM503" s="58"/>
      <x:c r="DN503" s="11"/>
      <x:c r="DO503" s="61"/>
      <x:c r="DP503" s="62"/>
      <x:c r="DQ503" s="11"/>
      <x:c r="DR503" s="61"/>
      <x:c r="DS503" s="62"/>
      <x:c r="DT503" s="11"/>
      <x:c r="DU503" s="61"/>
      <x:c r="DV503" s="62"/>
    </x:row>
    <x:row r="504" spans="1:126" x14ac:dyDescent="0.3">
      <x:c r="A504" s="47"/>
      <x:c r="B504" s="70"/>
      <x:c r="C504" s="70"/>
      <x:c r="D504" s="70"/>
      <x:c r="E504" s="70"/>
      <x:c r="F504" s="70"/>
      <x:c r="G504" s="70"/>
      <x:c r="H504" s="70"/>
      <x:c r="I504" s="70"/>
      <x:c r="J504" s="70"/>
      <x:c r="K504" s="190"/>
      <x:c r="L504" s="195"/>
      <x:c r="M504" s="192"/>
      <x:c r="N504" s="192"/>
      <x:c r="O504" s="69"/>
      <x:c r="P504" s="47"/>
      <x:c r="Q504" s="60"/>
      <x:c r="R504" s="58"/>
      <x:c r="S504" s="47"/>
      <x:c r="T504" s="60"/>
      <x:c r="U504" s="58"/>
      <x:c r="V504" s="47"/>
      <x:c r="W504" s="60"/>
      <x:c r="X504" s="58"/>
      <x:c r="Y504" s="47"/>
      <x:c r="Z504" s="60"/>
      <x:c r="AA504" s="58"/>
      <x:c r="AB504" s="47"/>
      <x:c r="AC504" s="60"/>
      <x:c r="AD504" s="58"/>
      <x:c r="AE504" s="47"/>
      <x:c r="AF504" s="60"/>
      <x:c r="AG504" s="58"/>
      <x:c r="AH504" s="47"/>
      <x:c r="AI504" s="60"/>
      <x:c r="AJ504" s="58"/>
      <x:c r="AK504" s="47"/>
      <x:c r="AL504" s="60"/>
      <x:c r="AM504" s="58"/>
      <x:c r="AN504" s="47"/>
      <x:c r="AO504" s="60"/>
      <x:c r="AP504" s="58"/>
      <x:c r="AQ504" s="47"/>
      <x:c r="AR504" s="60"/>
      <x:c r="AS504" s="58"/>
      <x:c r="AT504" s="47"/>
      <x:c r="AU504" s="60"/>
      <x:c r="AV504" s="58"/>
      <x:c r="AW504" s="47"/>
      <x:c r="AX504" s="60"/>
      <x:c r="AY504" s="58"/>
      <x:c r="AZ504" s="47"/>
      <x:c r="BA504" s="60"/>
      <x:c r="BB504" s="58"/>
      <x:c r="BC504" s="47"/>
      <x:c r="BD504" s="60"/>
      <x:c r="BE504" s="58"/>
      <x:c r="BF504" s="47"/>
      <x:c r="BG504" s="60"/>
      <x:c r="BH504" s="58"/>
      <x:c r="BI504" s="47"/>
      <x:c r="BJ504" s="60"/>
      <x:c r="BK504" s="58"/>
      <x:c r="BL504" s="47"/>
      <x:c r="BM504" s="60"/>
      <x:c r="BN504" s="58"/>
      <x:c r="BO504" s="47"/>
      <x:c r="BP504" s="60"/>
      <x:c r="BQ504" s="58"/>
      <x:c r="BR504" s="47"/>
      <x:c r="BS504" s="60"/>
      <x:c r="BT504" s="58"/>
      <x:c r="BU504" s="47"/>
      <x:c r="BV504" s="60"/>
      <x:c r="BW504" s="58"/>
      <x:c r="BX504" s="47"/>
      <x:c r="BY504" s="60"/>
      <x:c r="BZ504" s="58"/>
      <x:c r="CA504" s="47"/>
      <x:c r="CB504" s="60"/>
      <x:c r="CC504" s="58"/>
      <x:c r="CD504" s="47"/>
      <x:c r="CE504" s="60"/>
      <x:c r="CF504" s="58"/>
      <x:c r="CG504" s="47"/>
      <x:c r="CH504" s="60"/>
      <x:c r="CI504" s="58"/>
      <x:c r="CJ504" s="47"/>
      <x:c r="CK504" s="60"/>
      <x:c r="CL504" s="58"/>
      <x:c r="CM504" s="47"/>
      <x:c r="CN504" s="60"/>
      <x:c r="CO504" s="58"/>
      <x:c r="CP504" s="47"/>
      <x:c r="CQ504" s="60"/>
      <x:c r="CR504" s="58"/>
      <x:c r="CS504" s="47"/>
      <x:c r="CT504" s="60"/>
      <x:c r="CU504" s="58"/>
      <x:c r="CV504" s="47"/>
      <x:c r="CW504" s="60"/>
      <x:c r="CX504" s="58"/>
      <x:c r="CY504" s="47"/>
      <x:c r="CZ504" s="60"/>
      <x:c r="DA504" s="58"/>
      <x:c r="DB504" s="47"/>
      <x:c r="DC504" s="60"/>
      <x:c r="DD504" s="58"/>
      <x:c r="DE504" s="47"/>
      <x:c r="DF504" s="60"/>
      <x:c r="DG504" s="58"/>
      <x:c r="DH504" s="47"/>
      <x:c r="DI504" s="60"/>
      <x:c r="DJ504" s="58"/>
      <x:c r="DK504" s="47"/>
      <x:c r="DL504" s="60"/>
      <x:c r="DM504" s="58"/>
      <x:c r="DN504" s="11"/>
      <x:c r="DO504" s="61"/>
      <x:c r="DP504" s="62"/>
      <x:c r="DQ504" s="11"/>
      <x:c r="DR504" s="61"/>
      <x:c r="DS504" s="62"/>
      <x:c r="DT504" s="11"/>
      <x:c r="DU504" s="61"/>
      <x:c r="DV504" s="62"/>
    </x:row>
    <x:row r="505" spans="1:126" x14ac:dyDescent="0.3">
      <x:c r="A505" s="47"/>
      <x:c r="B505" s="70"/>
      <x:c r="C505" s="70"/>
      <x:c r="D505" s="70"/>
      <x:c r="E505" s="70"/>
      <x:c r="F505" s="70"/>
      <x:c r="G505" s="70"/>
      <x:c r="H505" s="70"/>
      <x:c r="I505" s="70"/>
      <x:c r="J505" s="70"/>
      <x:c r="K505" s="190"/>
      <x:c r="L505" s="195"/>
      <x:c r="M505" s="192"/>
      <x:c r="N505" s="192"/>
      <x:c r="O505" s="69"/>
      <x:c r="P505" s="47"/>
      <x:c r="Q505" s="60"/>
      <x:c r="R505" s="58"/>
      <x:c r="S505" s="47"/>
      <x:c r="T505" s="60"/>
      <x:c r="U505" s="58"/>
      <x:c r="V505" s="47"/>
      <x:c r="W505" s="60"/>
      <x:c r="X505" s="58"/>
      <x:c r="Y505" s="47"/>
      <x:c r="Z505" s="60"/>
      <x:c r="AA505" s="58"/>
      <x:c r="AB505" s="47"/>
      <x:c r="AC505" s="60"/>
      <x:c r="AD505" s="58"/>
      <x:c r="AE505" s="47"/>
      <x:c r="AF505" s="60"/>
      <x:c r="AG505" s="58"/>
      <x:c r="AH505" s="47"/>
      <x:c r="AI505" s="60"/>
      <x:c r="AJ505" s="58"/>
      <x:c r="AK505" s="47"/>
      <x:c r="AL505" s="60"/>
      <x:c r="AM505" s="58"/>
      <x:c r="AN505" s="47"/>
      <x:c r="AO505" s="60"/>
      <x:c r="AP505" s="58"/>
      <x:c r="AQ505" s="47"/>
      <x:c r="AR505" s="60"/>
      <x:c r="AS505" s="58"/>
      <x:c r="AT505" s="47"/>
      <x:c r="AU505" s="60"/>
      <x:c r="AV505" s="58"/>
      <x:c r="AW505" s="47"/>
      <x:c r="AX505" s="60"/>
      <x:c r="AY505" s="58"/>
      <x:c r="AZ505" s="47"/>
      <x:c r="BA505" s="60"/>
      <x:c r="BB505" s="58"/>
      <x:c r="BC505" s="47"/>
      <x:c r="BD505" s="60"/>
      <x:c r="BE505" s="58"/>
      <x:c r="BF505" s="47"/>
      <x:c r="BG505" s="60"/>
      <x:c r="BH505" s="58"/>
      <x:c r="BI505" s="47"/>
      <x:c r="BJ505" s="60"/>
      <x:c r="BK505" s="58"/>
      <x:c r="BL505" s="47"/>
      <x:c r="BM505" s="60"/>
      <x:c r="BN505" s="58"/>
      <x:c r="BO505" s="47"/>
      <x:c r="BP505" s="60"/>
      <x:c r="BQ505" s="58"/>
      <x:c r="BR505" s="47"/>
      <x:c r="BS505" s="60"/>
      <x:c r="BT505" s="58"/>
      <x:c r="BU505" s="47"/>
      <x:c r="BV505" s="60"/>
      <x:c r="BW505" s="58"/>
      <x:c r="BX505" s="47"/>
      <x:c r="BY505" s="60"/>
      <x:c r="BZ505" s="58"/>
      <x:c r="CA505" s="47"/>
      <x:c r="CB505" s="60"/>
      <x:c r="CC505" s="58"/>
      <x:c r="CD505" s="47"/>
      <x:c r="CE505" s="60"/>
      <x:c r="CF505" s="58"/>
      <x:c r="CG505" s="47"/>
      <x:c r="CH505" s="60"/>
      <x:c r="CI505" s="58"/>
      <x:c r="CJ505" s="47"/>
      <x:c r="CK505" s="60"/>
      <x:c r="CL505" s="58"/>
      <x:c r="CM505" s="47"/>
      <x:c r="CN505" s="60"/>
      <x:c r="CO505" s="58"/>
      <x:c r="CP505" s="47"/>
      <x:c r="CQ505" s="60"/>
      <x:c r="CR505" s="58"/>
      <x:c r="CS505" s="47"/>
      <x:c r="CT505" s="60"/>
      <x:c r="CU505" s="58"/>
      <x:c r="CV505" s="47"/>
      <x:c r="CW505" s="60"/>
      <x:c r="CX505" s="58"/>
      <x:c r="CY505" s="47"/>
      <x:c r="CZ505" s="60"/>
      <x:c r="DA505" s="58"/>
      <x:c r="DB505" s="47"/>
      <x:c r="DC505" s="60"/>
      <x:c r="DD505" s="58"/>
      <x:c r="DE505" s="47"/>
      <x:c r="DF505" s="60"/>
      <x:c r="DG505" s="58"/>
      <x:c r="DH505" s="47"/>
      <x:c r="DI505" s="60"/>
      <x:c r="DJ505" s="58"/>
      <x:c r="DK505" s="47"/>
      <x:c r="DL505" s="60"/>
      <x:c r="DM505" s="58"/>
      <x:c r="DN505" s="11"/>
      <x:c r="DO505" s="61"/>
      <x:c r="DP505" s="62"/>
      <x:c r="DQ505" s="11"/>
      <x:c r="DR505" s="61"/>
      <x:c r="DS505" s="62"/>
      <x:c r="DT505" s="11"/>
      <x:c r="DU505" s="61"/>
      <x:c r="DV505" s="62"/>
    </x:row>
    <x:row r="506" spans="1:126" x14ac:dyDescent="0.3">
      <x:c r="A506" s="47"/>
      <x:c r="B506" s="70"/>
      <x:c r="C506" s="70"/>
      <x:c r="D506" s="70"/>
      <x:c r="E506" s="70"/>
      <x:c r="F506" s="70"/>
      <x:c r="G506" s="70"/>
      <x:c r="H506" s="70"/>
      <x:c r="I506" s="70"/>
      <x:c r="J506" s="70"/>
      <x:c r="K506" s="190"/>
      <x:c r="L506" s="195"/>
      <x:c r="M506" s="192"/>
      <x:c r="N506" s="192"/>
      <x:c r="O506" s="69"/>
      <x:c r="P506" s="47"/>
      <x:c r="Q506" s="60"/>
      <x:c r="R506" s="58"/>
      <x:c r="S506" s="47"/>
      <x:c r="T506" s="60"/>
      <x:c r="U506" s="58"/>
      <x:c r="V506" s="47"/>
      <x:c r="W506" s="60"/>
      <x:c r="X506" s="58"/>
      <x:c r="Y506" s="47"/>
      <x:c r="Z506" s="60"/>
      <x:c r="AA506" s="58"/>
      <x:c r="AB506" s="47"/>
      <x:c r="AC506" s="60"/>
      <x:c r="AD506" s="58"/>
      <x:c r="AE506" s="47"/>
      <x:c r="AF506" s="60"/>
      <x:c r="AG506" s="58"/>
      <x:c r="AH506" s="47"/>
      <x:c r="AI506" s="60"/>
      <x:c r="AJ506" s="58"/>
      <x:c r="AK506" s="47"/>
      <x:c r="AL506" s="60"/>
      <x:c r="AM506" s="58"/>
      <x:c r="AN506" s="47"/>
      <x:c r="AO506" s="60"/>
      <x:c r="AP506" s="58"/>
      <x:c r="AQ506" s="47"/>
      <x:c r="AR506" s="60"/>
      <x:c r="AS506" s="58"/>
      <x:c r="AT506" s="47"/>
      <x:c r="AU506" s="60"/>
      <x:c r="AV506" s="58"/>
      <x:c r="AW506" s="47"/>
      <x:c r="AX506" s="60"/>
      <x:c r="AY506" s="58"/>
      <x:c r="AZ506" s="47"/>
      <x:c r="BA506" s="60"/>
      <x:c r="BB506" s="58"/>
      <x:c r="BC506" s="47"/>
      <x:c r="BD506" s="60"/>
      <x:c r="BE506" s="58"/>
      <x:c r="BF506" s="47"/>
      <x:c r="BG506" s="60"/>
      <x:c r="BH506" s="58"/>
      <x:c r="BI506" s="47"/>
      <x:c r="BJ506" s="60"/>
      <x:c r="BK506" s="58"/>
      <x:c r="BL506" s="47"/>
      <x:c r="BM506" s="60"/>
      <x:c r="BN506" s="58"/>
      <x:c r="BO506" s="47"/>
      <x:c r="BP506" s="60"/>
      <x:c r="BQ506" s="58"/>
      <x:c r="BR506" s="47"/>
      <x:c r="BS506" s="60"/>
      <x:c r="BT506" s="58"/>
      <x:c r="BU506" s="47"/>
      <x:c r="BV506" s="60"/>
      <x:c r="BW506" s="58"/>
      <x:c r="BX506" s="47"/>
      <x:c r="BY506" s="60"/>
      <x:c r="BZ506" s="58"/>
      <x:c r="CA506" s="47"/>
      <x:c r="CB506" s="60"/>
      <x:c r="CC506" s="58"/>
      <x:c r="CD506" s="47"/>
      <x:c r="CE506" s="60"/>
      <x:c r="CF506" s="58"/>
      <x:c r="CG506" s="47"/>
      <x:c r="CH506" s="60"/>
      <x:c r="CI506" s="58"/>
      <x:c r="CJ506" s="47"/>
      <x:c r="CK506" s="60"/>
      <x:c r="CL506" s="58"/>
      <x:c r="CM506" s="47"/>
      <x:c r="CN506" s="60"/>
      <x:c r="CO506" s="58"/>
      <x:c r="CP506" s="47"/>
      <x:c r="CQ506" s="60"/>
      <x:c r="CR506" s="58"/>
      <x:c r="CS506" s="47"/>
      <x:c r="CT506" s="60"/>
      <x:c r="CU506" s="58"/>
      <x:c r="CV506" s="47"/>
      <x:c r="CW506" s="60"/>
      <x:c r="CX506" s="58"/>
      <x:c r="CY506" s="47"/>
      <x:c r="CZ506" s="60"/>
      <x:c r="DA506" s="58"/>
      <x:c r="DB506" s="47"/>
      <x:c r="DC506" s="60"/>
      <x:c r="DD506" s="58"/>
      <x:c r="DE506" s="47"/>
      <x:c r="DF506" s="60"/>
      <x:c r="DG506" s="58"/>
      <x:c r="DH506" s="47"/>
      <x:c r="DI506" s="60"/>
      <x:c r="DJ506" s="58"/>
      <x:c r="DK506" s="47"/>
      <x:c r="DL506" s="60"/>
      <x:c r="DM506" s="58"/>
      <x:c r="DN506" s="11"/>
      <x:c r="DO506" s="61"/>
      <x:c r="DP506" s="62"/>
      <x:c r="DQ506" s="11"/>
      <x:c r="DR506" s="61"/>
      <x:c r="DS506" s="62"/>
      <x:c r="DT506" s="11"/>
      <x:c r="DU506" s="61"/>
      <x:c r="DV506" s="62"/>
    </x:row>
    <x:row r="507" spans="1:126" x14ac:dyDescent="0.3">
      <x:c r="A507" s="47"/>
      <x:c r="B507" s="70"/>
      <x:c r="C507" s="70"/>
      <x:c r="D507" s="70"/>
      <x:c r="E507" s="70"/>
      <x:c r="F507" s="70"/>
      <x:c r="G507" s="70"/>
      <x:c r="H507" s="70"/>
      <x:c r="I507" s="70"/>
      <x:c r="J507" s="70"/>
      <x:c r="K507" s="190"/>
      <x:c r="L507" s="195"/>
      <x:c r="M507" s="192"/>
      <x:c r="N507" s="192"/>
      <x:c r="O507" s="69"/>
      <x:c r="P507" s="47"/>
      <x:c r="Q507" s="60"/>
      <x:c r="R507" s="58"/>
      <x:c r="S507" s="47"/>
      <x:c r="T507" s="60"/>
      <x:c r="U507" s="58"/>
      <x:c r="V507" s="47"/>
      <x:c r="W507" s="60"/>
      <x:c r="X507" s="58"/>
      <x:c r="Y507" s="47"/>
      <x:c r="Z507" s="60"/>
      <x:c r="AA507" s="58"/>
      <x:c r="AB507" s="47"/>
      <x:c r="AC507" s="60"/>
      <x:c r="AD507" s="58"/>
      <x:c r="AE507" s="47"/>
      <x:c r="AF507" s="60"/>
      <x:c r="AG507" s="58"/>
      <x:c r="AH507" s="47"/>
      <x:c r="AI507" s="60"/>
      <x:c r="AJ507" s="58"/>
      <x:c r="AK507" s="47"/>
      <x:c r="AL507" s="60"/>
      <x:c r="AM507" s="58"/>
      <x:c r="AN507" s="47"/>
      <x:c r="AO507" s="60"/>
      <x:c r="AP507" s="58"/>
      <x:c r="AQ507" s="47"/>
      <x:c r="AR507" s="60"/>
      <x:c r="AS507" s="58"/>
      <x:c r="AT507" s="47"/>
      <x:c r="AU507" s="60"/>
      <x:c r="AV507" s="58"/>
      <x:c r="AW507" s="47"/>
      <x:c r="AX507" s="60"/>
      <x:c r="AY507" s="58"/>
      <x:c r="AZ507" s="47"/>
      <x:c r="BA507" s="60"/>
      <x:c r="BB507" s="58"/>
      <x:c r="BC507" s="47"/>
      <x:c r="BD507" s="60"/>
      <x:c r="BE507" s="58"/>
      <x:c r="BF507" s="47"/>
      <x:c r="BG507" s="60"/>
      <x:c r="BH507" s="58"/>
      <x:c r="BI507" s="47"/>
      <x:c r="BJ507" s="60"/>
      <x:c r="BK507" s="58"/>
      <x:c r="BL507" s="47"/>
      <x:c r="BM507" s="60"/>
      <x:c r="BN507" s="58"/>
      <x:c r="BO507" s="47"/>
      <x:c r="BP507" s="60"/>
      <x:c r="BQ507" s="58"/>
      <x:c r="BR507" s="47"/>
      <x:c r="BS507" s="60"/>
      <x:c r="BT507" s="58"/>
      <x:c r="BU507" s="47"/>
      <x:c r="BV507" s="60"/>
      <x:c r="BW507" s="58"/>
      <x:c r="BX507" s="47"/>
      <x:c r="BY507" s="60"/>
      <x:c r="BZ507" s="58"/>
      <x:c r="CA507" s="47"/>
      <x:c r="CB507" s="60"/>
      <x:c r="CC507" s="58"/>
      <x:c r="CD507" s="47"/>
      <x:c r="CE507" s="60"/>
      <x:c r="CF507" s="58"/>
      <x:c r="CG507" s="47"/>
      <x:c r="CH507" s="60"/>
      <x:c r="CI507" s="58"/>
      <x:c r="CJ507" s="47"/>
      <x:c r="CK507" s="60"/>
      <x:c r="CL507" s="58"/>
      <x:c r="CM507" s="47"/>
      <x:c r="CN507" s="60"/>
      <x:c r="CO507" s="58"/>
      <x:c r="CP507" s="47"/>
      <x:c r="CQ507" s="60"/>
      <x:c r="CR507" s="58"/>
      <x:c r="CS507" s="47"/>
      <x:c r="CT507" s="60"/>
      <x:c r="CU507" s="58"/>
      <x:c r="CV507" s="47"/>
      <x:c r="CW507" s="60"/>
      <x:c r="CX507" s="58"/>
      <x:c r="CY507" s="47"/>
      <x:c r="CZ507" s="60"/>
      <x:c r="DA507" s="58"/>
      <x:c r="DB507" s="47"/>
      <x:c r="DC507" s="60"/>
      <x:c r="DD507" s="58"/>
      <x:c r="DE507" s="47"/>
      <x:c r="DF507" s="60"/>
      <x:c r="DG507" s="58"/>
      <x:c r="DH507" s="47"/>
      <x:c r="DI507" s="60"/>
      <x:c r="DJ507" s="58"/>
      <x:c r="DK507" s="47"/>
      <x:c r="DL507" s="60"/>
      <x:c r="DM507" s="58"/>
      <x:c r="DN507" s="11"/>
      <x:c r="DO507" s="61"/>
      <x:c r="DP507" s="62"/>
      <x:c r="DQ507" s="11"/>
      <x:c r="DR507" s="61"/>
      <x:c r="DS507" s="62"/>
      <x:c r="DT507" s="11"/>
      <x:c r="DU507" s="61"/>
      <x:c r="DV507" s="62"/>
    </x:row>
    <x:row r="508" spans="1:126" x14ac:dyDescent="0.3">
      <x:c r="A508" s="47"/>
      <x:c r="B508" s="70"/>
      <x:c r="C508" s="70"/>
      <x:c r="D508" s="70"/>
      <x:c r="E508" s="70"/>
      <x:c r="F508" s="70"/>
      <x:c r="G508" s="70"/>
      <x:c r="H508" s="70"/>
      <x:c r="I508" s="70"/>
      <x:c r="J508" s="70"/>
      <x:c r="K508" s="190"/>
      <x:c r="L508" s="195"/>
      <x:c r="M508" s="192"/>
      <x:c r="N508" s="192"/>
      <x:c r="O508" s="69"/>
      <x:c r="P508" s="47"/>
      <x:c r="Q508" s="60"/>
      <x:c r="R508" s="58"/>
      <x:c r="S508" s="47"/>
      <x:c r="T508" s="60"/>
      <x:c r="U508" s="58"/>
      <x:c r="V508" s="47"/>
      <x:c r="W508" s="60"/>
      <x:c r="X508" s="58"/>
      <x:c r="Y508" s="47"/>
      <x:c r="Z508" s="60"/>
      <x:c r="AA508" s="58"/>
      <x:c r="AB508" s="47"/>
      <x:c r="AC508" s="60"/>
      <x:c r="AD508" s="58"/>
      <x:c r="AE508" s="47"/>
      <x:c r="AF508" s="60"/>
      <x:c r="AG508" s="58"/>
      <x:c r="AH508" s="47"/>
      <x:c r="AI508" s="60"/>
      <x:c r="AJ508" s="58"/>
      <x:c r="AK508" s="47"/>
      <x:c r="AL508" s="60"/>
      <x:c r="AM508" s="58"/>
      <x:c r="AN508" s="47"/>
      <x:c r="AO508" s="60"/>
      <x:c r="AP508" s="58"/>
      <x:c r="AQ508" s="47"/>
      <x:c r="AR508" s="60"/>
      <x:c r="AS508" s="58"/>
      <x:c r="AT508" s="47"/>
      <x:c r="AU508" s="60"/>
      <x:c r="AV508" s="58"/>
      <x:c r="AW508" s="47"/>
      <x:c r="AX508" s="60"/>
      <x:c r="AY508" s="58"/>
      <x:c r="AZ508" s="47"/>
      <x:c r="BA508" s="60"/>
      <x:c r="BB508" s="58"/>
      <x:c r="BC508" s="47"/>
      <x:c r="BD508" s="60"/>
      <x:c r="BE508" s="58"/>
      <x:c r="BF508" s="47"/>
      <x:c r="BG508" s="60"/>
      <x:c r="BH508" s="58"/>
      <x:c r="BI508" s="47"/>
      <x:c r="BJ508" s="60"/>
      <x:c r="BK508" s="58"/>
      <x:c r="BL508" s="47"/>
      <x:c r="BM508" s="60"/>
      <x:c r="BN508" s="58"/>
      <x:c r="BO508" s="47"/>
      <x:c r="BP508" s="60"/>
      <x:c r="BQ508" s="58"/>
      <x:c r="BR508" s="47"/>
      <x:c r="BS508" s="60"/>
      <x:c r="BT508" s="58"/>
      <x:c r="BU508" s="47"/>
      <x:c r="BV508" s="60"/>
      <x:c r="BW508" s="58"/>
      <x:c r="BX508" s="47"/>
      <x:c r="BY508" s="60"/>
      <x:c r="BZ508" s="58"/>
      <x:c r="CA508" s="47"/>
      <x:c r="CB508" s="60"/>
      <x:c r="CC508" s="58"/>
      <x:c r="CD508" s="47"/>
      <x:c r="CE508" s="60"/>
      <x:c r="CF508" s="58"/>
      <x:c r="CG508" s="47"/>
      <x:c r="CH508" s="60"/>
      <x:c r="CI508" s="58"/>
      <x:c r="CJ508" s="47"/>
      <x:c r="CK508" s="60"/>
      <x:c r="CL508" s="58"/>
      <x:c r="CM508" s="47"/>
      <x:c r="CN508" s="60"/>
      <x:c r="CO508" s="58"/>
      <x:c r="CP508" s="47"/>
      <x:c r="CQ508" s="60"/>
      <x:c r="CR508" s="58"/>
      <x:c r="CS508" s="47"/>
      <x:c r="CT508" s="60"/>
      <x:c r="CU508" s="58"/>
      <x:c r="CV508" s="47"/>
      <x:c r="CW508" s="60"/>
      <x:c r="CX508" s="58"/>
      <x:c r="CY508" s="47"/>
      <x:c r="CZ508" s="60"/>
      <x:c r="DA508" s="58"/>
      <x:c r="DB508" s="47"/>
      <x:c r="DC508" s="60"/>
      <x:c r="DD508" s="58"/>
      <x:c r="DE508" s="47"/>
      <x:c r="DF508" s="60"/>
      <x:c r="DG508" s="58"/>
      <x:c r="DH508" s="47"/>
      <x:c r="DI508" s="60"/>
      <x:c r="DJ508" s="58"/>
      <x:c r="DK508" s="47"/>
      <x:c r="DL508" s="60"/>
      <x:c r="DM508" s="58"/>
      <x:c r="DN508" s="11"/>
      <x:c r="DO508" s="61"/>
      <x:c r="DP508" s="62"/>
      <x:c r="DQ508" s="11"/>
      <x:c r="DR508" s="61"/>
      <x:c r="DS508" s="62"/>
      <x:c r="DT508" s="11"/>
      <x:c r="DU508" s="61"/>
      <x:c r="DV508" s="62"/>
    </x:row>
    <x:row r="509" spans="1:126" x14ac:dyDescent="0.3">
      <x:c r="A509" s="47"/>
      <x:c r="B509" s="70"/>
      <x:c r="C509" s="70"/>
      <x:c r="D509" s="70"/>
      <x:c r="E509" s="70"/>
      <x:c r="F509" s="70"/>
      <x:c r="G509" s="70"/>
      <x:c r="H509" s="70"/>
      <x:c r="I509" s="70"/>
      <x:c r="J509" s="70"/>
      <x:c r="K509" s="190"/>
      <x:c r="L509" s="195"/>
      <x:c r="M509" s="192"/>
      <x:c r="N509" s="192"/>
      <x:c r="O509" s="69"/>
      <x:c r="P509" s="47"/>
      <x:c r="Q509" s="60"/>
      <x:c r="R509" s="58"/>
      <x:c r="S509" s="47"/>
      <x:c r="T509" s="60"/>
      <x:c r="U509" s="58"/>
      <x:c r="V509" s="47"/>
      <x:c r="W509" s="60"/>
      <x:c r="X509" s="58"/>
      <x:c r="Y509" s="47"/>
      <x:c r="Z509" s="60"/>
      <x:c r="AA509" s="58"/>
      <x:c r="AB509" s="47"/>
      <x:c r="AC509" s="60"/>
      <x:c r="AD509" s="58"/>
      <x:c r="AE509" s="47"/>
      <x:c r="AF509" s="60"/>
      <x:c r="AG509" s="58"/>
      <x:c r="AH509" s="47"/>
      <x:c r="AI509" s="60"/>
      <x:c r="AJ509" s="58"/>
      <x:c r="AK509" s="47"/>
      <x:c r="AL509" s="60"/>
      <x:c r="AM509" s="58"/>
      <x:c r="AN509" s="47"/>
      <x:c r="AO509" s="60"/>
      <x:c r="AP509" s="58"/>
      <x:c r="AQ509" s="47"/>
      <x:c r="AR509" s="60"/>
      <x:c r="AS509" s="58"/>
      <x:c r="AT509" s="47"/>
      <x:c r="AU509" s="60"/>
      <x:c r="AV509" s="58"/>
      <x:c r="AW509" s="47"/>
      <x:c r="AX509" s="60"/>
      <x:c r="AY509" s="58"/>
      <x:c r="AZ509" s="47"/>
      <x:c r="BA509" s="60"/>
      <x:c r="BB509" s="58"/>
      <x:c r="BC509" s="47"/>
      <x:c r="BD509" s="60"/>
      <x:c r="BE509" s="58"/>
      <x:c r="BF509" s="47"/>
      <x:c r="BG509" s="60"/>
      <x:c r="BH509" s="58"/>
      <x:c r="BI509" s="47"/>
      <x:c r="BJ509" s="60"/>
      <x:c r="BK509" s="58"/>
      <x:c r="BL509" s="47"/>
      <x:c r="BM509" s="60"/>
      <x:c r="BN509" s="58"/>
      <x:c r="BO509" s="47"/>
      <x:c r="BP509" s="60"/>
      <x:c r="BQ509" s="58"/>
      <x:c r="BR509" s="47"/>
      <x:c r="BS509" s="60"/>
      <x:c r="BT509" s="58"/>
      <x:c r="BU509" s="47"/>
      <x:c r="BV509" s="60"/>
      <x:c r="BW509" s="58"/>
      <x:c r="BX509" s="47"/>
      <x:c r="BY509" s="60"/>
      <x:c r="BZ509" s="58"/>
      <x:c r="CA509" s="47"/>
      <x:c r="CB509" s="60"/>
      <x:c r="CC509" s="58"/>
      <x:c r="CD509" s="47"/>
      <x:c r="CE509" s="60"/>
      <x:c r="CF509" s="58"/>
      <x:c r="CG509" s="47"/>
      <x:c r="CH509" s="60"/>
      <x:c r="CI509" s="58"/>
      <x:c r="CJ509" s="47"/>
      <x:c r="CK509" s="60"/>
      <x:c r="CL509" s="58"/>
      <x:c r="CM509" s="47"/>
      <x:c r="CN509" s="60"/>
      <x:c r="CO509" s="58"/>
      <x:c r="CP509" s="47"/>
      <x:c r="CQ509" s="60"/>
      <x:c r="CR509" s="58"/>
      <x:c r="CS509" s="47"/>
      <x:c r="CT509" s="60"/>
      <x:c r="CU509" s="58"/>
      <x:c r="CV509" s="47"/>
      <x:c r="CW509" s="60"/>
      <x:c r="CX509" s="58"/>
      <x:c r="CY509" s="47"/>
      <x:c r="CZ509" s="60"/>
      <x:c r="DA509" s="58"/>
      <x:c r="DB509" s="47"/>
      <x:c r="DC509" s="60"/>
      <x:c r="DD509" s="58"/>
      <x:c r="DE509" s="47"/>
      <x:c r="DF509" s="60"/>
      <x:c r="DG509" s="58"/>
      <x:c r="DH509" s="47"/>
      <x:c r="DI509" s="60"/>
      <x:c r="DJ509" s="58"/>
      <x:c r="DK509" s="47"/>
      <x:c r="DL509" s="60"/>
      <x:c r="DM509" s="58"/>
      <x:c r="DN509" s="11"/>
      <x:c r="DO509" s="61"/>
      <x:c r="DP509" s="62"/>
      <x:c r="DQ509" s="11"/>
      <x:c r="DR509" s="61"/>
      <x:c r="DS509" s="62"/>
      <x:c r="DT509" s="11"/>
      <x:c r="DU509" s="61"/>
      <x:c r="DV509" s="62"/>
    </x:row>
    <x:row r="510" spans="1:126" x14ac:dyDescent="0.3">
      <x:c r="A510" s="47"/>
      <x:c r="B510" s="70"/>
      <x:c r="C510" s="70"/>
      <x:c r="D510" s="70"/>
      <x:c r="E510" s="70"/>
      <x:c r="F510" s="70"/>
      <x:c r="G510" s="70"/>
      <x:c r="H510" s="70"/>
      <x:c r="I510" s="70"/>
      <x:c r="J510" s="70"/>
      <x:c r="K510" s="190"/>
      <x:c r="L510" s="195"/>
      <x:c r="M510" s="192"/>
      <x:c r="N510" s="192"/>
      <x:c r="O510" s="69"/>
      <x:c r="P510" s="47"/>
      <x:c r="Q510" s="60"/>
      <x:c r="R510" s="58"/>
      <x:c r="S510" s="47"/>
      <x:c r="T510" s="60"/>
      <x:c r="U510" s="58"/>
      <x:c r="V510" s="47"/>
      <x:c r="W510" s="60"/>
      <x:c r="X510" s="58"/>
      <x:c r="Y510" s="47"/>
      <x:c r="Z510" s="60"/>
      <x:c r="AA510" s="58"/>
      <x:c r="AB510" s="47"/>
      <x:c r="AC510" s="60"/>
      <x:c r="AD510" s="58"/>
      <x:c r="AE510" s="47"/>
      <x:c r="AF510" s="60"/>
      <x:c r="AG510" s="58"/>
      <x:c r="AH510" s="47"/>
      <x:c r="AI510" s="60"/>
      <x:c r="AJ510" s="58"/>
      <x:c r="AK510" s="47"/>
      <x:c r="AL510" s="60"/>
      <x:c r="AM510" s="58"/>
      <x:c r="AN510" s="47"/>
      <x:c r="AO510" s="60"/>
      <x:c r="AP510" s="58"/>
      <x:c r="AQ510" s="47"/>
      <x:c r="AR510" s="60"/>
      <x:c r="AS510" s="58"/>
      <x:c r="AT510" s="47"/>
      <x:c r="AU510" s="60"/>
      <x:c r="AV510" s="58"/>
      <x:c r="AW510" s="47"/>
      <x:c r="AX510" s="60"/>
      <x:c r="AY510" s="58"/>
      <x:c r="AZ510" s="47"/>
      <x:c r="BA510" s="60"/>
      <x:c r="BB510" s="58"/>
      <x:c r="BC510" s="47"/>
      <x:c r="BD510" s="60"/>
      <x:c r="BE510" s="58"/>
      <x:c r="BF510" s="47"/>
      <x:c r="BG510" s="60"/>
      <x:c r="BH510" s="58"/>
      <x:c r="BI510" s="47"/>
      <x:c r="BJ510" s="60"/>
      <x:c r="BK510" s="58"/>
      <x:c r="BL510" s="47"/>
      <x:c r="BM510" s="60"/>
      <x:c r="BN510" s="58"/>
      <x:c r="BO510" s="47"/>
      <x:c r="BP510" s="60"/>
      <x:c r="BQ510" s="58"/>
      <x:c r="BR510" s="47"/>
      <x:c r="BS510" s="60"/>
      <x:c r="BT510" s="58"/>
      <x:c r="BU510" s="47"/>
      <x:c r="BV510" s="60"/>
      <x:c r="BW510" s="58"/>
      <x:c r="BX510" s="47"/>
      <x:c r="BY510" s="60"/>
      <x:c r="BZ510" s="58"/>
      <x:c r="CA510" s="47"/>
      <x:c r="CB510" s="60"/>
      <x:c r="CC510" s="58"/>
      <x:c r="CD510" s="47"/>
      <x:c r="CE510" s="60"/>
      <x:c r="CF510" s="58"/>
      <x:c r="CG510" s="47"/>
      <x:c r="CH510" s="60"/>
      <x:c r="CI510" s="58"/>
      <x:c r="CJ510" s="47"/>
      <x:c r="CK510" s="60"/>
      <x:c r="CL510" s="58"/>
      <x:c r="CM510" s="47"/>
      <x:c r="CN510" s="60"/>
      <x:c r="CO510" s="58"/>
      <x:c r="CP510" s="47"/>
      <x:c r="CQ510" s="60"/>
      <x:c r="CR510" s="58"/>
      <x:c r="CS510" s="47"/>
      <x:c r="CT510" s="60"/>
      <x:c r="CU510" s="58"/>
      <x:c r="CV510" s="47"/>
      <x:c r="CW510" s="60"/>
      <x:c r="CX510" s="58"/>
      <x:c r="CY510" s="47"/>
      <x:c r="CZ510" s="60"/>
      <x:c r="DA510" s="58"/>
      <x:c r="DB510" s="47"/>
      <x:c r="DC510" s="60"/>
      <x:c r="DD510" s="58"/>
      <x:c r="DE510" s="47"/>
      <x:c r="DF510" s="60"/>
      <x:c r="DG510" s="58"/>
      <x:c r="DH510" s="47"/>
      <x:c r="DI510" s="60"/>
      <x:c r="DJ510" s="58"/>
      <x:c r="DK510" s="47"/>
      <x:c r="DL510" s="60"/>
      <x:c r="DM510" s="58"/>
      <x:c r="DN510" s="11"/>
      <x:c r="DO510" s="61"/>
      <x:c r="DP510" s="62"/>
      <x:c r="DQ510" s="11"/>
      <x:c r="DR510" s="61"/>
      <x:c r="DS510" s="62"/>
      <x:c r="DT510" s="11"/>
      <x:c r="DU510" s="61"/>
      <x:c r="DV510" s="62"/>
    </x:row>
    <x:row r="511" spans="1:126" x14ac:dyDescent="0.3">
      <x:c r="A511" s="47"/>
      <x:c r="B511" s="70"/>
      <x:c r="C511" s="70"/>
      <x:c r="D511" s="70"/>
      <x:c r="E511" s="70"/>
      <x:c r="F511" s="70"/>
      <x:c r="G511" s="70"/>
      <x:c r="H511" s="70"/>
      <x:c r="I511" s="70"/>
      <x:c r="J511" s="70"/>
      <x:c r="K511" s="190"/>
      <x:c r="L511" s="195"/>
      <x:c r="M511" s="192"/>
      <x:c r="N511" s="192"/>
      <x:c r="O511" s="69"/>
      <x:c r="P511" s="47"/>
      <x:c r="Q511" s="60"/>
      <x:c r="R511" s="58"/>
      <x:c r="S511" s="47"/>
      <x:c r="T511" s="60"/>
      <x:c r="U511" s="58"/>
      <x:c r="V511" s="47"/>
      <x:c r="W511" s="60"/>
      <x:c r="X511" s="58"/>
      <x:c r="Y511" s="47"/>
      <x:c r="Z511" s="60"/>
      <x:c r="AA511" s="58"/>
      <x:c r="AB511" s="47"/>
      <x:c r="AC511" s="60"/>
      <x:c r="AD511" s="58"/>
      <x:c r="AE511" s="47"/>
      <x:c r="AF511" s="60"/>
      <x:c r="AG511" s="58"/>
      <x:c r="AH511" s="47"/>
      <x:c r="AI511" s="60"/>
      <x:c r="AJ511" s="58"/>
      <x:c r="AK511" s="47"/>
      <x:c r="AL511" s="60"/>
      <x:c r="AM511" s="58"/>
      <x:c r="AN511" s="47"/>
      <x:c r="AO511" s="60"/>
      <x:c r="AP511" s="58"/>
      <x:c r="AQ511" s="47"/>
      <x:c r="AR511" s="60"/>
      <x:c r="AS511" s="58"/>
      <x:c r="AT511" s="47"/>
      <x:c r="AU511" s="60"/>
      <x:c r="AV511" s="58"/>
      <x:c r="AW511" s="47"/>
      <x:c r="AX511" s="60"/>
      <x:c r="AY511" s="58"/>
      <x:c r="AZ511" s="47"/>
      <x:c r="BA511" s="60"/>
      <x:c r="BB511" s="58"/>
      <x:c r="BC511" s="47"/>
      <x:c r="BD511" s="60"/>
      <x:c r="BE511" s="58"/>
      <x:c r="BF511" s="47"/>
      <x:c r="BG511" s="60"/>
      <x:c r="BH511" s="58"/>
      <x:c r="BI511" s="47"/>
      <x:c r="BJ511" s="60"/>
      <x:c r="BK511" s="58"/>
      <x:c r="BL511" s="47"/>
      <x:c r="BM511" s="60"/>
      <x:c r="BN511" s="58"/>
      <x:c r="BO511" s="47"/>
      <x:c r="BP511" s="60"/>
      <x:c r="BQ511" s="58"/>
      <x:c r="BR511" s="47"/>
      <x:c r="BS511" s="60"/>
      <x:c r="BT511" s="58"/>
      <x:c r="BU511" s="47"/>
      <x:c r="BV511" s="60"/>
      <x:c r="BW511" s="58"/>
      <x:c r="BX511" s="47"/>
      <x:c r="BY511" s="60"/>
      <x:c r="BZ511" s="58"/>
      <x:c r="CA511" s="47"/>
      <x:c r="CB511" s="60"/>
      <x:c r="CC511" s="58"/>
      <x:c r="CD511" s="47"/>
      <x:c r="CE511" s="60"/>
      <x:c r="CF511" s="58"/>
      <x:c r="CG511" s="47"/>
      <x:c r="CH511" s="60"/>
      <x:c r="CI511" s="58"/>
      <x:c r="CJ511" s="47"/>
      <x:c r="CK511" s="60"/>
      <x:c r="CL511" s="58"/>
      <x:c r="CM511" s="47"/>
      <x:c r="CN511" s="60"/>
      <x:c r="CO511" s="58"/>
      <x:c r="CP511" s="47"/>
      <x:c r="CQ511" s="60"/>
      <x:c r="CR511" s="58"/>
      <x:c r="CS511" s="47"/>
      <x:c r="CT511" s="60"/>
      <x:c r="CU511" s="58"/>
      <x:c r="CV511" s="47"/>
      <x:c r="CW511" s="60"/>
      <x:c r="CX511" s="58"/>
      <x:c r="CY511" s="47"/>
      <x:c r="CZ511" s="60"/>
      <x:c r="DA511" s="58"/>
      <x:c r="DB511" s="47"/>
      <x:c r="DC511" s="60"/>
      <x:c r="DD511" s="58"/>
      <x:c r="DE511" s="47"/>
      <x:c r="DF511" s="60"/>
      <x:c r="DG511" s="58"/>
      <x:c r="DH511" s="47"/>
      <x:c r="DI511" s="60"/>
      <x:c r="DJ511" s="58"/>
      <x:c r="DK511" s="47"/>
      <x:c r="DL511" s="60"/>
      <x:c r="DM511" s="58"/>
      <x:c r="DN511" s="11"/>
      <x:c r="DO511" s="61"/>
      <x:c r="DP511" s="62"/>
      <x:c r="DQ511" s="11"/>
      <x:c r="DR511" s="61"/>
      <x:c r="DS511" s="62"/>
      <x:c r="DT511" s="11"/>
      <x:c r="DU511" s="61"/>
      <x:c r="DV511" s="62"/>
    </x:row>
    <x:row r="512" spans="1:126" x14ac:dyDescent="0.3">
      <x:c r="A512" s="47"/>
      <x:c r="B512" s="70"/>
      <x:c r="C512" s="70"/>
      <x:c r="D512" s="70"/>
      <x:c r="E512" s="70"/>
      <x:c r="F512" s="70"/>
      <x:c r="G512" s="70"/>
      <x:c r="H512" s="70"/>
      <x:c r="I512" s="70"/>
      <x:c r="J512" s="70"/>
      <x:c r="K512" s="190"/>
      <x:c r="L512" s="195"/>
      <x:c r="M512" s="192"/>
      <x:c r="N512" s="192"/>
      <x:c r="O512" s="69"/>
      <x:c r="P512" s="47"/>
      <x:c r="Q512" s="60"/>
      <x:c r="R512" s="58"/>
      <x:c r="S512" s="47"/>
      <x:c r="T512" s="60"/>
      <x:c r="U512" s="58"/>
      <x:c r="V512" s="47"/>
      <x:c r="W512" s="60"/>
      <x:c r="X512" s="58"/>
      <x:c r="Y512" s="47"/>
      <x:c r="Z512" s="60"/>
      <x:c r="AA512" s="58"/>
      <x:c r="AB512" s="47"/>
      <x:c r="AC512" s="60"/>
      <x:c r="AD512" s="58"/>
      <x:c r="AE512" s="47"/>
      <x:c r="AF512" s="60"/>
      <x:c r="AG512" s="58"/>
      <x:c r="AH512" s="47"/>
      <x:c r="AI512" s="60"/>
      <x:c r="AJ512" s="58"/>
      <x:c r="AK512" s="47"/>
      <x:c r="AL512" s="60"/>
      <x:c r="AM512" s="58"/>
      <x:c r="AN512" s="47"/>
      <x:c r="AO512" s="60"/>
      <x:c r="AP512" s="58"/>
      <x:c r="AQ512" s="47"/>
      <x:c r="AR512" s="60"/>
      <x:c r="AS512" s="58"/>
      <x:c r="AT512" s="47"/>
      <x:c r="AU512" s="60"/>
      <x:c r="AV512" s="58"/>
      <x:c r="AW512" s="47"/>
      <x:c r="AX512" s="60"/>
      <x:c r="AY512" s="58"/>
      <x:c r="AZ512" s="47"/>
      <x:c r="BA512" s="60"/>
      <x:c r="BB512" s="58"/>
      <x:c r="BC512" s="47"/>
      <x:c r="BD512" s="60"/>
      <x:c r="BE512" s="58"/>
      <x:c r="BF512" s="47"/>
      <x:c r="BG512" s="60"/>
      <x:c r="BH512" s="58"/>
      <x:c r="BI512" s="47"/>
      <x:c r="BJ512" s="60"/>
      <x:c r="BK512" s="58"/>
      <x:c r="BL512" s="47"/>
      <x:c r="BM512" s="60"/>
      <x:c r="BN512" s="58"/>
      <x:c r="BO512" s="47"/>
      <x:c r="BP512" s="60"/>
      <x:c r="BQ512" s="58"/>
      <x:c r="BR512" s="47"/>
      <x:c r="BS512" s="60"/>
      <x:c r="BT512" s="58"/>
      <x:c r="BU512" s="47"/>
      <x:c r="BV512" s="60"/>
      <x:c r="BW512" s="58"/>
      <x:c r="BX512" s="47"/>
      <x:c r="BY512" s="60"/>
      <x:c r="BZ512" s="58"/>
      <x:c r="CA512" s="47"/>
      <x:c r="CB512" s="60"/>
      <x:c r="CC512" s="58"/>
      <x:c r="CD512" s="47"/>
      <x:c r="CE512" s="60"/>
      <x:c r="CF512" s="58"/>
      <x:c r="CG512" s="47"/>
      <x:c r="CH512" s="60"/>
      <x:c r="CI512" s="58"/>
      <x:c r="CJ512" s="47"/>
      <x:c r="CK512" s="60"/>
      <x:c r="CL512" s="58"/>
      <x:c r="CM512" s="47"/>
      <x:c r="CN512" s="60"/>
      <x:c r="CO512" s="58"/>
      <x:c r="CP512" s="47"/>
      <x:c r="CQ512" s="60"/>
      <x:c r="CR512" s="58"/>
      <x:c r="CS512" s="47"/>
      <x:c r="CT512" s="60"/>
      <x:c r="CU512" s="58"/>
      <x:c r="CV512" s="47"/>
      <x:c r="CW512" s="60"/>
      <x:c r="CX512" s="58"/>
      <x:c r="CY512" s="47"/>
      <x:c r="CZ512" s="60"/>
      <x:c r="DA512" s="58"/>
      <x:c r="DB512" s="47"/>
      <x:c r="DC512" s="60"/>
      <x:c r="DD512" s="58"/>
      <x:c r="DE512" s="47"/>
      <x:c r="DF512" s="60"/>
      <x:c r="DG512" s="58"/>
      <x:c r="DH512" s="47"/>
      <x:c r="DI512" s="60"/>
      <x:c r="DJ512" s="58"/>
      <x:c r="DK512" s="47"/>
      <x:c r="DL512" s="60"/>
      <x:c r="DM512" s="58"/>
      <x:c r="DN512" s="11"/>
      <x:c r="DO512" s="61"/>
      <x:c r="DP512" s="62"/>
      <x:c r="DQ512" s="11"/>
      <x:c r="DR512" s="61"/>
      <x:c r="DS512" s="62"/>
      <x:c r="DT512" s="11"/>
      <x:c r="DU512" s="61"/>
      <x:c r="DV512" s="62"/>
    </x:row>
    <x:row r="513" spans="1:126" x14ac:dyDescent="0.3">
      <x:c r="A513" s="47"/>
      <x:c r="B513" s="70"/>
      <x:c r="C513" s="70"/>
      <x:c r="D513" s="70"/>
      <x:c r="E513" s="70"/>
      <x:c r="F513" s="70"/>
      <x:c r="G513" s="70"/>
      <x:c r="H513" s="70"/>
      <x:c r="I513" s="70"/>
      <x:c r="J513" s="70"/>
      <x:c r="K513" s="190"/>
      <x:c r="L513" s="195"/>
      <x:c r="M513" s="192"/>
      <x:c r="N513" s="192"/>
      <x:c r="O513" s="69"/>
      <x:c r="P513" s="47"/>
      <x:c r="Q513" s="60"/>
      <x:c r="R513" s="58"/>
      <x:c r="S513" s="47"/>
      <x:c r="T513" s="60"/>
      <x:c r="U513" s="58"/>
      <x:c r="V513" s="47"/>
      <x:c r="W513" s="60"/>
      <x:c r="X513" s="58"/>
      <x:c r="Y513" s="47"/>
      <x:c r="Z513" s="60"/>
      <x:c r="AA513" s="58"/>
      <x:c r="AB513" s="47"/>
      <x:c r="AC513" s="60"/>
      <x:c r="AD513" s="58"/>
      <x:c r="AE513" s="47"/>
      <x:c r="AF513" s="60"/>
      <x:c r="AG513" s="58"/>
      <x:c r="AH513" s="47"/>
      <x:c r="AI513" s="60"/>
      <x:c r="AJ513" s="58"/>
      <x:c r="AK513" s="47"/>
      <x:c r="AL513" s="60"/>
      <x:c r="AM513" s="58"/>
      <x:c r="AN513" s="47"/>
      <x:c r="AO513" s="60"/>
      <x:c r="AP513" s="58"/>
      <x:c r="AQ513" s="47"/>
      <x:c r="AR513" s="60"/>
      <x:c r="AS513" s="58"/>
      <x:c r="AT513" s="47"/>
      <x:c r="AU513" s="60"/>
      <x:c r="AV513" s="58"/>
      <x:c r="AW513" s="47"/>
      <x:c r="AX513" s="60"/>
      <x:c r="AY513" s="58"/>
      <x:c r="AZ513" s="47"/>
      <x:c r="BA513" s="60"/>
      <x:c r="BB513" s="58"/>
      <x:c r="BC513" s="47"/>
      <x:c r="BD513" s="60"/>
      <x:c r="BE513" s="58"/>
      <x:c r="BF513" s="47"/>
      <x:c r="BG513" s="60"/>
      <x:c r="BH513" s="58"/>
      <x:c r="BI513" s="47"/>
      <x:c r="BJ513" s="60"/>
      <x:c r="BK513" s="58"/>
      <x:c r="BL513" s="47"/>
      <x:c r="BM513" s="60"/>
      <x:c r="BN513" s="58"/>
      <x:c r="BO513" s="47"/>
      <x:c r="BP513" s="60"/>
      <x:c r="BQ513" s="58"/>
      <x:c r="BR513" s="47"/>
      <x:c r="BS513" s="60"/>
      <x:c r="BT513" s="58"/>
      <x:c r="BU513" s="47"/>
      <x:c r="BV513" s="60"/>
      <x:c r="BW513" s="58"/>
      <x:c r="BX513" s="47"/>
      <x:c r="BY513" s="60"/>
      <x:c r="BZ513" s="58"/>
      <x:c r="CA513" s="47"/>
      <x:c r="CB513" s="60"/>
      <x:c r="CC513" s="58"/>
      <x:c r="CD513" s="47"/>
      <x:c r="CE513" s="60"/>
      <x:c r="CF513" s="58"/>
      <x:c r="CG513" s="47"/>
      <x:c r="CH513" s="60"/>
      <x:c r="CI513" s="58"/>
      <x:c r="CJ513" s="47"/>
      <x:c r="CK513" s="60"/>
      <x:c r="CL513" s="58"/>
      <x:c r="CM513" s="47"/>
      <x:c r="CN513" s="60"/>
      <x:c r="CO513" s="58"/>
      <x:c r="CP513" s="47"/>
      <x:c r="CQ513" s="60"/>
      <x:c r="CR513" s="58"/>
      <x:c r="CS513" s="47"/>
      <x:c r="CT513" s="60"/>
      <x:c r="CU513" s="58"/>
      <x:c r="CV513" s="47"/>
      <x:c r="CW513" s="60"/>
      <x:c r="CX513" s="58"/>
      <x:c r="CY513" s="47"/>
      <x:c r="CZ513" s="60"/>
      <x:c r="DA513" s="58"/>
      <x:c r="DB513" s="47"/>
      <x:c r="DC513" s="60"/>
      <x:c r="DD513" s="58"/>
      <x:c r="DE513" s="47"/>
      <x:c r="DF513" s="60"/>
      <x:c r="DG513" s="58"/>
      <x:c r="DH513" s="47"/>
      <x:c r="DI513" s="60"/>
      <x:c r="DJ513" s="58"/>
      <x:c r="DK513" s="47"/>
      <x:c r="DL513" s="60"/>
      <x:c r="DM513" s="58"/>
      <x:c r="DN513" s="11"/>
      <x:c r="DO513" s="61"/>
      <x:c r="DP513" s="62"/>
      <x:c r="DQ513" s="11"/>
      <x:c r="DR513" s="61"/>
      <x:c r="DS513" s="62"/>
      <x:c r="DT513" s="11"/>
      <x:c r="DU513" s="61"/>
      <x:c r="DV513" s="62"/>
    </x:row>
    <x:row r="514" spans="1:126" x14ac:dyDescent="0.3">
      <x:c r="A514" s="47"/>
      <x:c r="B514" s="70"/>
      <x:c r="C514" s="70"/>
      <x:c r="D514" s="70"/>
      <x:c r="E514" s="70"/>
      <x:c r="F514" s="70"/>
      <x:c r="G514" s="70"/>
      <x:c r="H514" s="70"/>
      <x:c r="I514" s="70"/>
      <x:c r="J514" s="70"/>
      <x:c r="K514" s="190"/>
      <x:c r="L514" s="195"/>
      <x:c r="M514" s="192"/>
      <x:c r="N514" s="192"/>
      <x:c r="O514" s="69"/>
      <x:c r="P514" s="47"/>
      <x:c r="Q514" s="60"/>
      <x:c r="R514" s="58"/>
      <x:c r="S514" s="47"/>
      <x:c r="T514" s="60"/>
      <x:c r="U514" s="58"/>
      <x:c r="V514" s="47"/>
      <x:c r="W514" s="60"/>
      <x:c r="X514" s="58"/>
      <x:c r="Y514" s="47"/>
      <x:c r="Z514" s="60"/>
      <x:c r="AA514" s="58"/>
      <x:c r="AB514" s="47"/>
      <x:c r="AC514" s="60"/>
      <x:c r="AD514" s="58"/>
      <x:c r="AE514" s="47"/>
      <x:c r="AF514" s="60"/>
      <x:c r="AG514" s="58"/>
      <x:c r="AH514" s="47"/>
      <x:c r="AI514" s="60"/>
      <x:c r="AJ514" s="58"/>
      <x:c r="AK514" s="47"/>
      <x:c r="AL514" s="60"/>
      <x:c r="AM514" s="58"/>
      <x:c r="AN514" s="47"/>
      <x:c r="AO514" s="60"/>
      <x:c r="AP514" s="58"/>
      <x:c r="AQ514" s="47"/>
      <x:c r="AR514" s="60"/>
      <x:c r="AS514" s="58"/>
      <x:c r="AT514" s="47"/>
      <x:c r="AU514" s="60"/>
      <x:c r="AV514" s="58"/>
      <x:c r="AW514" s="47"/>
      <x:c r="AX514" s="60"/>
      <x:c r="AY514" s="58"/>
      <x:c r="AZ514" s="47"/>
      <x:c r="BA514" s="60"/>
      <x:c r="BB514" s="58"/>
      <x:c r="BC514" s="47"/>
      <x:c r="BD514" s="60"/>
      <x:c r="BE514" s="58"/>
      <x:c r="BF514" s="47"/>
      <x:c r="BG514" s="60"/>
      <x:c r="BH514" s="58"/>
      <x:c r="BI514" s="47"/>
      <x:c r="BJ514" s="60"/>
      <x:c r="BK514" s="58"/>
      <x:c r="BL514" s="47"/>
      <x:c r="BM514" s="60"/>
      <x:c r="BN514" s="58"/>
      <x:c r="BO514" s="47"/>
      <x:c r="BP514" s="60"/>
      <x:c r="BQ514" s="58"/>
      <x:c r="BR514" s="47"/>
      <x:c r="BS514" s="60"/>
      <x:c r="BT514" s="58"/>
      <x:c r="BU514" s="47"/>
      <x:c r="BV514" s="60"/>
      <x:c r="BW514" s="58"/>
      <x:c r="BX514" s="47"/>
      <x:c r="BY514" s="60"/>
      <x:c r="BZ514" s="58"/>
      <x:c r="CA514" s="47"/>
      <x:c r="CB514" s="60"/>
      <x:c r="CC514" s="58"/>
      <x:c r="CD514" s="47"/>
      <x:c r="CE514" s="60"/>
      <x:c r="CF514" s="58"/>
      <x:c r="CG514" s="47"/>
      <x:c r="CH514" s="60"/>
      <x:c r="CI514" s="58"/>
      <x:c r="CJ514" s="47"/>
      <x:c r="CK514" s="60"/>
      <x:c r="CL514" s="58"/>
      <x:c r="CM514" s="47"/>
      <x:c r="CN514" s="60"/>
      <x:c r="CO514" s="58"/>
      <x:c r="CP514" s="47"/>
      <x:c r="CQ514" s="60"/>
      <x:c r="CR514" s="58"/>
      <x:c r="CS514" s="47"/>
      <x:c r="CT514" s="60"/>
      <x:c r="CU514" s="58"/>
      <x:c r="CV514" s="47"/>
      <x:c r="CW514" s="60"/>
      <x:c r="CX514" s="58"/>
      <x:c r="CY514" s="47"/>
      <x:c r="CZ514" s="60"/>
      <x:c r="DA514" s="58"/>
      <x:c r="DB514" s="47"/>
      <x:c r="DC514" s="60"/>
      <x:c r="DD514" s="58"/>
      <x:c r="DE514" s="47"/>
      <x:c r="DF514" s="60"/>
      <x:c r="DG514" s="58"/>
      <x:c r="DH514" s="47"/>
      <x:c r="DI514" s="60"/>
      <x:c r="DJ514" s="58"/>
      <x:c r="DK514" s="47"/>
      <x:c r="DL514" s="60"/>
      <x:c r="DM514" s="58"/>
      <x:c r="DN514" s="11"/>
      <x:c r="DO514" s="61"/>
      <x:c r="DP514" s="62"/>
      <x:c r="DQ514" s="11"/>
      <x:c r="DR514" s="61"/>
      <x:c r="DS514" s="62"/>
      <x:c r="DT514" s="11"/>
      <x:c r="DU514" s="61"/>
      <x:c r="DV514" s="62"/>
    </x:row>
    <x:row r="515" spans="1:126" x14ac:dyDescent="0.3">
      <x:c r="A515" s="47"/>
      <x:c r="B515" s="70"/>
      <x:c r="C515" s="70"/>
      <x:c r="D515" s="70"/>
      <x:c r="E515" s="70"/>
      <x:c r="F515" s="70"/>
      <x:c r="G515" s="70"/>
      <x:c r="H515" s="70"/>
      <x:c r="I515" s="70"/>
      <x:c r="J515" s="70"/>
      <x:c r="K515" s="190"/>
      <x:c r="L515" s="195"/>
      <x:c r="M515" s="192"/>
      <x:c r="N515" s="192"/>
      <x:c r="O515" s="69"/>
      <x:c r="P515" s="47"/>
      <x:c r="Q515" s="60"/>
      <x:c r="R515" s="58"/>
      <x:c r="S515" s="47"/>
      <x:c r="T515" s="60"/>
      <x:c r="U515" s="58"/>
      <x:c r="V515" s="47"/>
      <x:c r="W515" s="60"/>
      <x:c r="X515" s="58"/>
      <x:c r="Y515" s="47"/>
      <x:c r="Z515" s="60"/>
      <x:c r="AA515" s="58"/>
      <x:c r="AB515" s="47"/>
      <x:c r="AC515" s="60"/>
      <x:c r="AD515" s="58"/>
      <x:c r="AE515" s="47"/>
      <x:c r="AF515" s="60"/>
      <x:c r="AG515" s="58"/>
      <x:c r="AH515" s="47"/>
      <x:c r="AI515" s="60"/>
      <x:c r="AJ515" s="58"/>
      <x:c r="AK515" s="47"/>
      <x:c r="AL515" s="60"/>
      <x:c r="AM515" s="58"/>
      <x:c r="AN515" s="47"/>
      <x:c r="AO515" s="60"/>
      <x:c r="AP515" s="58"/>
      <x:c r="AQ515" s="47"/>
      <x:c r="AR515" s="60"/>
      <x:c r="AS515" s="58"/>
      <x:c r="AT515" s="47"/>
      <x:c r="AU515" s="60"/>
      <x:c r="AV515" s="58"/>
      <x:c r="AW515" s="47"/>
      <x:c r="AX515" s="60"/>
      <x:c r="AY515" s="58"/>
      <x:c r="AZ515" s="47"/>
      <x:c r="BA515" s="60"/>
      <x:c r="BB515" s="58"/>
      <x:c r="BC515" s="47"/>
      <x:c r="BD515" s="60"/>
      <x:c r="BE515" s="58"/>
      <x:c r="BF515" s="47"/>
      <x:c r="BG515" s="60"/>
      <x:c r="BH515" s="58"/>
      <x:c r="BI515" s="47"/>
      <x:c r="BJ515" s="60"/>
      <x:c r="BK515" s="58"/>
      <x:c r="BL515" s="47"/>
      <x:c r="BM515" s="60"/>
      <x:c r="BN515" s="58"/>
      <x:c r="BO515" s="47"/>
      <x:c r="BP515" s="60"/>
      <x:c r="BQ515" s="58"/>
      <x:c r="BR515" s="47"/>
      <x:c r="BS515" s="60"/>
      <x:c r="BT515" s="58"/>
      <x:c r="BU515" s="47"/>
      <x:c r="BV515" s="60"/>
      <x:c r="BW515" s="58"/>
      <x:c r="BX515" s="47"/>
      <x:c r="BY515" s="60"/>
      <x:c r="BZ515" s="58"/>
      <x:c r="CA515" s="47"/>
      <x:c r="CB515" s="60"/>
      <x:c r="CC515" s="58"/>
      <x:c r="CD515" s="47"/>
      <x:c r="CE515" s="60"/>
      <x:c r="CF515" s="58"/>
      <x:c r="CG515" s="47"/>
      <x:c r="CH515" s="60"/>
      <x:c r="CI515" s="58"/>
      <x:c r="CJ515" s="47"/>
      <x:c r="CK515" s="60"/>
      <x:c r="CL515" s="58"/>
      <x:c r="CM515" s="47"/>
      <x:c r="CN515" s="60"/>
      <x:c r="CO515" s="58"/>
      <x:c r="CP515" s="47"/>
      <x:c r="CQ515" s="60"/>
      <x:c r="CR515" s="58"/>
      <x:c r="CS515" s="47"/>
      <x:c r="CT515" s="60"/>
      <x:c r="CU515" s="58"/>
      <x:c r="CV515" s="47"/>
      <x:c r="CW515" s="60"/>
      <x:c r="CX515" s="58"/>
      <x:c r="CY515" s="47"/>
      <x:c r="CZ515" s="60"/>
      <x:c r="DA515" s="58"/>
      <x:c r="DB515" s="47"/>
      <x:c r="DC515" s="60"/>
      <x:c r="DD515" s="58"/>
      <x:c r="DE515" s="47"/>
      <x:c r="DF515" s="60"/>
      <x:c r="DG515" s="58"/>
      <x:c r="DH515" s="47"/>
      <x:c r="DI515" s="60"/>
      <x:c r="DJ515" s="58"/>
      <x:c r="DK515" s="47"/>
      <x:c r="DL515" s="60"/>
      <x:c r="DM515" s="58"/>
      <x:c r="DN515" s="11"/>
      <x:c r="DO515" s="61"/>
      <x:c r="DP515" s="62"/>
      <x:c r="DQ515" s="11"/>
      <x:c r="DR515" s="61"/>
      <x:c r="DS515" s="62"/>
      <x:c r="DT515" s="11"/>
      <x:c r="DU515" s="61"/>
      <x:c r="DV515" s="62"/>
    </x:row>
    <x:row r="516" spans="1:126" x14ac:dyDescent="0.3">
      <x:c r="A516" s="47"/>
      <x:c r="B516" s="70"/>
      <x:c r="C516" s="70"/>
      <x:c r="D516" s="70"/>
      <x:c r="E516" s="70"/>
      <x:c r="F516" s="70"/>
      <x:c r="G516" s="70"/>
      <x:c r="H516" s="70"/>
      <x:c r="I516" s="70"/>
      <x:c r="J516" s="70"/>
      <x:c r="K516" s="190"/>
      <x:c r="L516" s="195"/>
      <x:c r="M516" s="192"/>
      <x:c r="N516" s="192"/>
      <x:c r="O516" s="69"/>
      <x:c r="P516" s="47"/>
      <x:c r="Q516" s="60"/>
      <x:c r="R516" s="58"/>
      <x:c r="S516" s="47"/>
      <x:c r="T516" s="60"/>
      <x:c r="U516" s="58"/>
      <x:c r="V516" s="47"/>
      <x:c r="W516" s="60"/>
      <x:c r="X516" s="58"/>
      <x:c r="Y516" s="47"/>
      <x:c r="Z516" s="60"/>
      <x:c r="AA516" s="58"/>
      <x:c r="AB516" s="47"/>
      <x:c r="AC516" s="60"/>
      <x:c r="AD516" s="58"/>
      <x:c r="AE516" s="47"/>
      <x:c r="AF516" s="60"/>
      <x:c r="AG516" s="58"/>
      <x:c r="AH516" s="47"/>
      <x:c r="AI516" s="60"/>
      <x:c r="AJ516" s="58"/>
      <x:c r="AK516" s="47"/>
      <x:c r="AL516" s="60"/>
      <x:c r="AM516" s="58"/>
      <x:c r="AN516" s="47"/>
      <x:c r="AO516" s="60"/>
      <x:c r="AP516" s="58"/>
      <x:c r="AQ516" s="47"/>
      <x:c r="AR516" s="60"/>
      <x:c r="AS516" s="58"/>
      <x:c r="AT516" s="47"/>
      <x:c r="AU516" s="60"/>
      <x:c r="AV516" s="58"/>
      <x:c r="AW516" s="47"/>
      <x:c r="AX516" s="60"/>
      <x:c r="AY516" s="58"/>
      <x:c r="AZ516" s="47"/>
      <x:c r="BA516" s="60"/>
      <x:c r="BB516" s="58"/>
      <x:c r="BC516" s="47"/>
      <x:c r="BD516" s="60"/>
      <x:c r="BE516" s="58"/>
      <x:c r="BF516" s="47"/>
      <x:c r="BG516" s="60"/>
      <x:c r="BH516" s="58"/>
      <x:c r="BI516" s="47"/>
      <x:c r="BJ516" s="60"/>
      <x:c r="BK516" s="58"/>
      <x:c r="BL516" s="47"/>
      <x:c r="BM516" s="60"/>
      <x:c r="BN516" s="58"/>
      <x:c r="BO516" s="47"/>
      <x:c r="BP516" s="60"/>
      <x:c r="BQ516" s="58"/>
      <x:c r="BR516" s="47"/>
      <x:c r="BS516" s="60"/>
      <x:c r="BT516" s="58"/>
      <x:c r="BU516" s="47"/>
      <x:c r="BV516" s="60"/>
      <x:c r="BW516" s="58"/>
      <x:c r="BX516" s="47"/>
      <x:c r="BY516" s="60"/>
      <x:c r="BZ516" s="58"/>
      <x:c r="CA516" s="47"/>
      <x:c r="CB516" s="60"/>
      <x:c r="CC516" s="58"/>
      <x:c r="CD516" s="47"/>
      <x:c r="CE516" s="60"/>
      <x:c r="CF516" s="58"/>
      <x:c r="CG516" s="47"/>
      <x:c r="CH516" s="60"/>
      <x:c r="CI516" s="58"/>
      <x:c r="CJ516" s="47"/>
      <x:c r="CK516" s="60"/>
      <x:c r="CL516" s="58"/>
      <x:c r="CM516" s="47"/>
      <x:c r="CN516" s="60"/>
      <x:c r="CO516" s="58"/>
      <x:c r="CP516" s="47"/>
      <x:c r="CQ516" s="60"/>
      <x:c r="CR516" s="58"/>
      <x:c r="CS516" s="47"/>
      <x:c r="CT516" s="60"/>
      <x:c r="CU516" s="58"/>
      <x:c r="CV516" s="47"/>
      <x:c r="CW516" s="60"/>
      <x:c r="CX516" s="58"/>
      <x:c r="CY516" s="47"/>
      <x:c r="CZ516" s="60"/>
      <x:c r="DA516" s="58"/>
      <x:c r="DB516" s="47"/>
      <x:c r="DC516" s="60"/>
      <x:c r="DD516" s="58"/>
      <x:c r="DE516" s="47"/>
      <x:c r="DF516" s="60"/>
      <x:c r="DG516" s="58"/>
      <x:c r="DH516" s="47"/>
      <x:c r="DI516" s="60"/>
      <x:c r="DJ516" s="58"/>
      <x:c r="DK516" s="47"/>
      <x:c r="DL516" s="60"/>
      <x:c r="DM516" s="58"/>
      <x:c r="DN516" s="11"/>
      <x:c r="DO516" s="61"/>
      <x:c r="DP516" s="62"/>
      <x:c r="DQ516" s="11"/>
      <x:c r="DR516" s="61"/>
      <x:c r="DS516" s="62"/>
      <x:c r="DT516" s="11"/>
      <x:c r="DU516" s="61"/>
      <x:c r="DV516" s="62"/>
    </x:row>
    <x:row r="517" spans="1:126" x14ac:dyDescent="0.3">
      <x:c r="A517" s="47"/>
      <x:c r="B517" s="70"/>
      <x:c r="C517" s="70"/>
      <x:c r="D517" s="70"/>
      <x:c r="E517" s="70"/>
      <x:c r="F517" s="70"/>
      <x:c r="G517" s="70"/>
      <x:c r="H517" s="70"/>
      <x:c r="I517" s="70"/>
      <x:c r="J517" s="70"/>
      <x:c r="K517" s="190"/>
      <x:c r="L517" s="195"/>
      <x:c r="M517" s="192"/>
      <x:c r="N517" s="192"/>
      <x:c r="O517" s="69"/>
      <x:c r="P517" s="47"/>
      <x:c r="Q517" s="60"/>
      <x:c r="R517" s="58"/>
      <x:c r="S517" s="47"/>
      <x:c r="T517" s="60"/>
      <x:c r="U517" s="58"/>
      <x:c r="V517" s="47"/>
      <x:c r="W517" s="60"/>
      <x:c r="X517" s="58"/>
      <x:c r="Y517" s="47"/>
      <x:c r="Z517" s="60"/>
      <x:c r="AA517" s="58"/>
      <x:c r="AB517" s="47"/>
      <x:c r="AC517" s="60"/>
      <x:c r="AD517" s="58"/>
      <x:c r="AE517" s="47"/>
      <x:c r="AF517" s="60"/>
      <x:c r="AG517" s="58"/>
      <x:c r="AH517" s="47"/>
      <x:c r="AI517" s="60"/>
      <x:c r="AJ517" s="58"/>
      <x:c r="AK517" s="47"/>
      <x:c r="AL517" s="60"/>
      <x:c r="AM517" s="58"/>
      <x:c r="AN517" s="47"/>
      <x:c r="AO517" s="60"/>
      <x:c r="AP517" s="58"/>
      <x:c r="AQ517" s="47"/>
      <x:c r="AR517" s="60"/>
      <x:c r="AS517" s="58"/>
      <x:c r="AT517" s="47"/>
      <x:c r="AU517" s="60"/>
      <x:c r="AV517" s="58"/>
      <x:c r="AW517" s="47"/>
      <x:c r="AX517" s="60"/>
      <x:c r="AY517" s="58"/>
      <x:c r="AZ517" s="47"/>
      <x:c r="BA517" s="60"/>
      <x:c r="BB517" s="58"/>
      <x:c r="BC517" s="47"/>
      <x:c r="BD517" s="60"/>
      <x:c r="BE517" s="58"/>
      <x:c r="BF517" s="47"/>
      <x:c r="BG517" s="60"/>
      <x:c r="BH517" s="58"/>
      <x:c r="BI517" s="47"/>
      <x:c r="BJ517" s="60"/>
      <x:c r="BK517" s="58"/>
      <x:c r="BL517" s="47"/>
      <x:c r="BM517" s="60"/>
      <x:c r="BN517" s="58"/>
      <x:c r="BO517" s="47"/>
      <x:c r="BP517" s="60"/>
      <x:c r="BQ517" s="58"/>
      <x:c r="BR517" s="47"/>
      <x:c r="BS517" s="60"/>
      <x:c r="BT517" s="58"/>
      <x:c r="BU517" s="47"/>
      <x:c r="BV517" s="60"/>
      <x:c r="BW517" s="58"/>
      <x:c r="BX517" s="47"/>
      <x:c r="BY517" s="60"/>
      <x:c r="BZ517" s="58"/>
      <x:c r="CA517" s="47"/>
      <x:c r="CB517" s="60"/>
      <x:c r="CC517" s="58"/>
      <x:c r="CD517" s="47"/>
      <x:c r="CE517" s="60"/>
      <x:c r="CF517" s="58"/>
      <x:c r="CG517" s="47"/>
      <x:c r="CH517" s="60"/>
      <x:c r="CI517" s="58"/>
      <x:c r="CJ517" s="47"/>
      <x:c r="CK517" s="60"/>
      <x:c r="CL517" s="58"/>
      <x:c r="CM517" s="47"/>
      <x:c r="CN517" s="60"/>
      <x:c r="CO517" s="58"/>
      <x:c r="CP517" s="47"/>
      <x:c r="CQ517" s="60"/>
      <x:c r="CR517" s="58"/>
      <x:c r="CS517" s="47"/>
      <x:c r="CT517" s="60"/>
      <x:c r="CU517" s="58"/>
      <x:c r="CV517" s="47"/>
      <x:c r="CW517" s="60"/>
      <x:c r="CX517" s="58"/>
      <x:c r="CY517" s="47"/>
      <x:c r="CZ517" s="60"/>
      <x:c r="DA517" s="58"/>
      <x:c r="DB517" s="47"/>
      <x:c r="DC517" s="60"/>
      <x:c r="DD517" s="58"/>
      <x:c r="DE517" s="47"/>
      <x:c r="DF517" s="60"/>
      <x:c r="DG517" s="58"/>
      <x:c r="DH517" s="47"/>
      <x:c r="DI517" s="60"/>
      <x:c r="DJ517" s="58"/>
      <x:c r="DK517" s="47"/>
      <x:c r="DL517" s="60"/>
      <x:c r="DM517" s="58"/>
      <x:c r="DN517" s="11"/>
      <x:c r="DO517" s="61"/>
      <x:c r="DP517" s="62"/>
      <x:c r="DQ517" s="11"/>
      <x:c r="DR517" s="61"/>
      <x:c r="DS517" s="62"/>
      <x:c r="DT517" s="11"/>
      <x:c r="DU517" s="61"/>
      <x:c r="DV517" s="62"/>
    </x:row>
    <x:row r="518" spans="1:126" x14ac:dyDescent="0.3">
      <x:c r="A518" s="47"/>
      <x:c r="B518" s="70"/>
      <x:c r="C518" s="70"/>
      <x:c r="D518" s="70"/>
      <x:c r="E518" s="70"/>
      <x:c r="F518" s="70"/>
      <x:c r="G518" s="70"/>
      <x:c r="H518" s="70"/>
      <x:c r="I518" s="70"/>
      <x:c r="J518" s="70"/>
      <x:c r="K518" s="190"/>
      <x:c r="L518" s="195"/>
      <x:c r="M518" s="192"/>
      <x:c r="N518" s="192"/>
      <x:c r="O518" s="69"/>
      <x:c r="P518" s="47"/>
      <x:c r="Q518" s="60"/>
      <x:c r="R518" s="58"/>
      <x:c r="S518" s="47"/>
      <x:c r="T518" s="60"/>
      <x:c r="U518" s="58"/>
      <x:c r="V518" s="47"/>
      <x:c r="W518" s="60"/>
      <x:c r="X518" s="58"/>
      <x:c r="Y518" s="47"/>
      <x:c r="Z518" s="60"/>
      <x:c r="AA518" s="58"/>
      <x:c r="AB518" s="47"/>
      <x:c r="AC518" s="60"/>
      <x:c r="AD518" s="58"/>
      <x:c r="AE518" s="47"/>
      <x:c r="AF518" s="60"/>
      <x:c r="AG518" s="58"/>
      <x:c r="AH518" s="47"/>
      <x:c r="AI518" s="60"/>
      <x:c r="AJ518" s="58"/>
      <x:c r="AK518" s="47"/>
      <x:c r="AL518" s="60"/>
      <x:c r="AM518" s="58"/>
      <x:c r="AN518" s="47"/>
      <x:c r="AO518" s="60"/>
      <x:c r="AP518" s="58"/>
      <x:c r="AQ518" s="47"/>
      <x:c r="AR518" s="60"/>
      <x:c r="AS518" s="58"/>
      <x:c r="AT518" s="47"/>
      <x:c r="AU518" s="60"/>
      <x:c r="AV518" s="58"/>
      <x:c r="AW518" s="47"/>
      <x:c r="AX518" s="60"/>
      <x:c r="AY518" s="58"/>
      <x:c r="AZ518" s="47"/>
      <x:c r="BA518" s="60"/>
      <x:c r="BB518" s="58"/>
      <x:c r="BC518" s="47"/>
      <x:c r="BD518" s="60"/>
      <x:c r="BE518" s="58"/>
      <x:c r="BF518" s="47"/>
      <x:c r="BG518" s="60"/>
      <x:c r="BH518" s="58"/>
      <x:c r="BI518" s="47"/>
      <x:c r="BJ518" s="60"/>
      <x:c r="BK518" s="58"/>
      <x:c r="BL518" s="47"/>
      <x:c r="BM518" s="60"/>
      <x:c r="BN518" s="58"/>
      <x:c r="BO518" s="47"/>
      <x:c r="BP518" s="60"/>
      <x:c r="BQ518" s="58"/>
      <x:c r="BR518" s="47"/>
      <x:c r="BS518" s="60"/>
      <x:c r="BT518" s="58"/>
      <x:c r="BU518" s="47"/>
      <x:c r="BV518" s="60"/>
      <x:c r="BW518" s="58"/>
      <x:c r="BX518" s="47"/>
      <x:c r="BY518" s="60"/>
      <x:c r="BZ518" s="58"/>
      <x:c r="CA518" s="47"/>
      <x:c r="CB518" s="60"/>
      <x:c r="CC518" s="58"/>
      <x:c r="CD518" s="47"/>
      <x:c r="CE518" s="60"/>
      <x:c r="CF518" s="58"/>
      <x:c r="CG518" s="47"/>
      <x:c r="CH518" s="60"/>
      <x:c r="CI518" s="58"/>
      <x:c r="CJ518" s="47"/>
      <x:c r="CK518" s="60"/>
      <x:c r="CL518" s="58"/>
      <x:c r="CM518" s="47"/>
      <x:c r="CN518" s="60"/>
      <x:c r="CO518" s="58"/>
      <x:c r="CP518" s="47"/>
      <x:c r="CQ518" s="60"/>
      <x:c r="CR518" s="58"/>
      <x:c r="CS518" s="47"/>
      <x:c r="CT518" s="60"/>
      <x:c r="CU518" s="58"/>
      <x:c r="CV518" s="47"/>
      <x:c r="CW518" s="60"/>
      <x:c r="CX518" s="58"/>
      <x:c r="CY518" s="47"/>
      <x:c r="CZ518" s="60"/>
      <x:c r="DA518" s="58"/>
      <x:c r="DB518" s="47"/>
      <x:c r="DC518" s="60"/>
      <x:c r="DD518" s="58"/>
      <x:c r="DE518" s="47"/>
      <x:c r="DF518" s="60"/>
      <x:c r="DG518" s="58"/>
      <x:c r="DH518" s="47"/>
      <x:c r="DI518" s="60"/>
      <x:c r="DJ518" s="58"/>
      <x:c r="DK518" s="47"/>
      <x:c r="DL518" s="60"/>
      <x:c r="DM518" s="58"/>
      <x:c r="DN518" s="11"/>
      <x:c r="DO518" s="61"/>
      <x:c r="DP518" s="62"/>
      <x:c r="DQ518" s="11"/>
      <x:c r="DR518" s="61"/>
      <x:c r="DS518" s="62"/>
      <x:c r="DT518" s="11"/>
      <x:c r="DU518" s="61"/>
      <x:c r="DV518" s="62"/>
    </x:row>
    <x:row r="519" spans="1:126" x14ac:dyDescent="0.3">
      <x:c r="A519" s="47"/>
      <x:c r="B519" s="70"/>
      <x:c r="C519" s="70"/>
      <x:c r="D519" s="70"/>
      <x:c r="E519" s="70"/>
      <x:c r="F519" s="70"/>
      <x:c r="G519" s="70"/>
      <x:c r="H519" s="70"/>
      <x:c r="I519" s="70"/>
      <x:c r="J519" s="70"/>
      <x:c r="K519" s="190"/>
      <x:c r="L519" s="195"/>
      <x:c r="M519" s="192"/>
      <x:c r="N519" s="192"/>
      <x:c r="O519" s="69"/>
      <x:c r="P519" s="47"/>
      <x:c r="Q519" s="60"/>
      <x:c r="R519" s="58"/>
      <x:c r="S519" s="47"/>
      <x:c r="T519" s="60"/>
      <x:c r="U519" s="58"/>
      <x:c r="V519" s="47"/>
      <x:c r="W519" s="60"/>
      <x:c r="X519" s="58"/>
      <x:c r="Y519" s="47"/>
      <x:c r="Z519" s="60"/>
      <x:c r="AA519" s="58"/>
      <x:c r="AB519" s="47"/>
      <x:c r="AC519" s="60"/>
      <x:c r="AD519" s="58"/>
      <x:c r="AE519" s="47"/>
      <x:c r="AF519" s="60"/>
      <x:c r="AG519" s="58"/>
      <x:c r="AH519" s="47"/>
      <x:c r="AI519" s="60"/>
      <x:c r="AJ519" s="58"/>
      <x:c r="AK519" s="47"/>
      <x:c r="AL519" s="60"/>
      <x:c r="AM519" s="58"/>
      <x:c r="AN519" s="47"/>
      <x:c r="AO519" s="60"/>
      <x:c r="AP519" s="58"/>
      <x:c r="AQ519" s="47"/>
      <x:c r="AR519" s="60"/>
      <x:c r="AS519" s="58"/>
      <x:c r="AT519" s="47"/>
      <x:c r="AU519" s="60"/>
      <x:c r="AV519" s="58"/>
      <x:c r="AW519" s="47"/>
      <x:c r="AX519" s="60"/>
      <x:c r="AY519" s="58"/>
      <x:c r="AZ519" s="47"/>
      <x:c r="BA519" s="60"/>
      <x:c r="BB519" s="58"/>
      <x:c r="BC519" s="47"/>
      <x:c r="BD519" s="60"/>
      <x:c r="BE519" s="58"/>
      <x:c r="BF519" s="47"/>
      <x:c r="BG519" s="60"/>
      <x:c r="BH519" s="58"/>
      <x:c r="BI519" s="47"/>
      <x:c r="BJ519" s="60"/>
      <x:c r="BK519" s="58"/>
      <x:c r="BL519" s="47"/>
      <x:c r="BM519" s="60"/>
      <x:c r="BN519" s="58"/>
      <x:c r="BO519" s="47"/>
      <x:c r="BP519" s="60"/>
      <x:c r="BQ519" s="58"/>
      <x:c r="BR519" s="47"/>
      <x:c r="BS519" s="60"/>
      <x:c r="BT519" s="58"/>
      <x:c r="BU519" s="47"/>
      <x:c r="BV519" s="60"/>
      <x:c r="BW519" s="58"/>
      <x:c r="BX519" s="47"/>
      <x:c r="BY519" s="60"/>
      <x:c r="BZ519" s="58"/>
      <x:c r="CA519" s="47"/>
      <x:c r="CB519" s="60"/>
      <x:c r="CC519" s="58"/>
      <x:c r="CD519" s="47"/>
      <x:c r="CE519" s="60"/>
      <x:c r="CF519" s="58"/>
      <x:c r="CG519" s="47"/>
      <x:c r="CH519" s="60"/>
      <x:c r="CI519" s="58"/>
      <x:c r="CJ519" s="47"/>
      <x:c r="CK519" s="60"/>
      <x:c r="CL519" s="58"/>
      <x:c r="CM519" s="47"/>
      <x:c r="CN519" s="60"/>
      <x:c r="CO519" s="58"/>
      <x:c r="CP519" s="47"/>
      <x:c r="CQ519" s="60"/>
      <x:c r="CR519" s="58"/>
      <x:c r="CS519" s="47"/>
      <x:c r="CT519" s="60"/>
      <x:c r="CU519" s="58"/>
      <x:c r="CV519" s="47"/>
      <x:c r="CW519" s="60"/>
      <x:c r="CX519" s="58"/>
      <x:c r="CY519" s="47"/>
      <x:c r="CZ519" s="60"/>
      <x:c r="DA519" s="58"/>
      <x:c r="DB519" s="47"/>
      <x:c r="DC519" s="60"/>
      <x:c r="DD519" s="58"/>
      <x:c r="DE519" s="47"/>
      <x:c r="DF519" s="60"/>
      <x:c r="DG519" s="58"/>
      <x:c r="DH519" s="47"/>
      <x:c r="DI519" s="60"/>
      <x:c r="DJ519" s="58"/>
      <x:c r="DK519" s="47"/>
      <x:c r="DL519" s="60"/>
      <x:c r="DM519" s="58"/>
      <x:c r="DN519" s="11"/>
      <x:c r="DO519" s="61"/>
      <x:c r="DP519" s="62"/>
      <x:c r="DQ519" s="11"/>
      <x:c r="DR519" s="61"/>
      <x:c r="DS519" s="62"/>
      <x:c r="DT519" s="11"/>
      <x:c r="DU519" s="61"/>
      <x:c r="DV519" s="62"/>
    </x:row>
    <x:row r="520" spans="1:126" x14ac:dyDescent="0.3">
      <x:c r="A520" s="47"/>
      <x:c r="B520" s="70"/>
      <x:c r="C520" s="70"/>
      <x:c r="D520" s="70"/>
      <x:c r="E520" s="70"/>
      <x:c r="F520" s="70"/>
      <x:c r="G520" s="70"/>
      <x:c r="H520" s="70"/>
      <x:c r="I520" s="70"/>
      <x:c r="J520" s="70"/>
      <x:c r="K520" s="190"/>
      <x:c r="L520" s="195"/>
      <x:c r="M520" s="192"/>
      <x:c r="N520" s="192"/>
      <x:c r="O520" s="69"/>
      <x:c r="P520" s="47"/>
      <x:c r="Q520" s="60"/>
      <x:c r="R520" s="58"/>
      <x:c r="S520" s="47"/>
      <x:c r="T520" s="60"/>
      <x:c r="U520" s="58"/>
      <x:c r="V520" s="47"/>
      <x:c r="W520" s="60"/>
      <x:c r="X520" s="58"/>
      <x:c r="Y520" s="47"/>
      <x:c r="Z520" s="60"/>
      <x:c r="AA520" s="58"/>
      <x:c r="AB520" s="47"/>
      <x:c r="AC520" s="60"/>
      <x:c r="AD520" s="58"/>
      <x:c r="AE520" s="47"/>
      <x:c r="AF520" s="60"/>
      <x:c r="AG520" s="58"/>
      <x:c r="AH520" s="47"/>
      <x:c r="AI520" s="60"/>
      <x:c r="AJ520" s="58"/>
      <x:c r="AK520" s="47"/>
      <x:c r="AL520" s="60"/>
      <x:c r="AM520" s="58"/>
      <x:c r="AN520" s="47"/>
      <x:c r="AO520" s="60"/>
      <x:c r="AP520" s="58"/>
      <x:c r="AQ520" s="47"/>
      <x:c r="AR520" s="60"/>
      <x:c r="AS520" s="58"/>
      <x:c r="AT520" s="47"/>
      <x:c r="AU520" s="60"/>
      <x:c r="AV520" s="58"/>
      <x:c r="AW520" s="47"/>
      <x:c r="AX520" s="60"/>
      <x:c r="AY520" s="58"/>
      <x:c r="AZ520" s="47"/>
      <x:c r="BA520" s="60"/>
      <x:c r="BB520" s="58"/>
      <x:c r="BC520" s="47"/>
      <x:c r="BD520" s="60"/>
      <x:c r="BE520" s="58"/>
      <x:c r="BF520" s="47"/>
      <x:c r="BG520" s="60"/>
      <x:c r="BH520" s="58"/>
      <x:c r="BI520" s="47"/>
      <x:c r="BJ520" s="60"/>
      <x:c r="BK520" s="58"/>
      <x:c r="BL520" s="47"/>
      <x:c r="BM520" s="60"/>
      <x:c r="BN520" s="58"/>
      <x:c r="BO520" s="47"/>
      <x:c r="BP520" s="60"/>
      <x:c r="BQ520" s="58"/>
      <x:c r="BR520" s="47"/>
      <x:c r="BS520" s="60"/>
      <x:c r="BT520" s="58"/>
      <x:c r="BU520" s="47"/>
      <x:c r="BV520" s="60"/>
      <x:c r="BW520" s="58"/>
      <x:c r="BX520" s="47"/>
      <x:c r="BY520" s="60"/>
      <x:c r="BZ520" s="58"/>
      <x:c r="CA520" s="47"/>
      <x:c r="CB520" s="60"/>
      <x:c r="CC520" s="58"/>
      <x:c r="CD520" s="47"/>
      <x:c r="CE520" s="60"/>
      <x:c r="CF520" s="58"/>
      <x:c r="CG520" s="47"/>
      <x:c r="CH520" s="60"/>
      <x:c r="CI520" s="58"/>
      <x:c r="CJ520" s="47"/>
      <x:c r="CK520" s="60"/>
      <x:c r="CL520" s="58"/>
      <x:c r="CM520" s="47"/>
      <x:c r="CN520" s="60"/>
      <x:c r="CO520" s="58"/>
      <x:c r="CP520" s="47"/>
      <x:c r="CQ520" s="60"/>
      <x:c r="CR520" s="58"/>
      <x:c r="CS520" s="47"/>
      <x:c r="CT520" s="60"/>
      <x:c r="CU520" s="58"/>
      <x:c r="CV520" s="47"/>
      <x:c r="CW520" s="60"/>
      <x:c r="CX520" s="58"/>
      <x:c r="CY520" s="47"/>
      <x:c r="CZ520" s="60"/>
      <x:c r="DA520" s="58"/>
      <x:c r="DB520" s="47"/>
      <x:c r="DC520" s="60"/>
      <x:c r="DD520" s="58"/>
      <x:c r="DE520" s="47"/>
      <x:c r="DF520" s="60"/>
      <x:c r="DG520" s="58"/>
      <x:c r="DH520" s="47"/>
      <x:c r="DI520" s="60"/>
      <x:c r="DJ520" s="58"/>
      <x:c r="DK520" s="47"/>
      <x:c r="DL520" s="60"/>
      <x:c r="DM520" s="58"/>
      <x:c r="DN520" s="11"/>
      <x:c r="DO520" s="61"/>
      <x:c r="DP520" s="62"/>
      <x:c r="DQ520" s="11"/>
      <x:c r="DR520" s="61"/>
      <x:c r="DS520" s="62"/>
      <x:c r="DT520" s="11"/>
      <x:c r="DU520" s="61"/>
      <x:c r="DV520" s="62"/>
    </x:row>
    <x:row r="521" spans="1:126" x14ac:dyDescent="0.3">
      <x:c r="A521" s="47"/>
      <x:c r="B521" s="70"/>
      <x:c r="C521" s="70"/>
      <x:c r="D521" s="70"/>
      <x:c r="E521" s="70"/>
      <x:c r="F521" s="70"/>
      <x:c r="G521" s="70"/>
      <x:c r="H521" s="70"/>
      <x:c r="I521" s="70"/>
      <x:c r="J521" s="70"/>
      <x:c r="K521" s="190"/>
      <x:c r="L521" s="195"/>
      <x:c r="M521" s="192"/>
      <x:c r="N521" s="192"/>
      <x:c r="O521" s="69"/>
      <x:c r="P521" s="47"/>
      <x:c r="Q521" s="60"/>
      <x:c r="R521" s="58"/>
      <x:c r="S521" s="47"/>
      <x:c r="T521" s="60"/>
      <x:c r="U521" s="58"/>
      <x:c r="V521" s="47"/>
      <x:c r="W521" s="60"/>
      <x:c r="X521" s="58"/>
      <x:c r="Y521" s="47"/>
      <x:c r="Z521" s="60"/>
      <x:c r="AA521" s="58"/>
      <x:c r="AB521" s="47"/>
      <x:c r="AC521" s="60"/>
      <x:c r="AD521" s="58"/>
      <x:c r="AE521" s="47"/>
      <x:c r="AF521" s="60"/>
      <x:c r="AG521" s="58"/>
      <x:c r="AH521" s="47"/>
      <x:c r="AI521" s="60"/>
      <x:c r="AJ521" s="58"/>
      <x:c r="AK521" s="47"/>
      <x:c r="AL521" s="60"/>
      <x:c r="AM521" s="58"/>
      <x:c r="AN521" s="47"/>
      <x:c r="AO521" s="60"/>
      <x:c r="AP521" s="58"/>
      <x:c r="AQ521" s="47"/>
      <x:c r="AR521" s="60"/>
      <x:c r="AS521" s="58"/>
      <x:c r="AT521" s="47"/>
      <x:c r="AU521" s="60"/>
      <x:c r="AV521" s="58"/>
      <x:c r="AW521" s="47"/>
      <x:c r="AX521" s="60"/>
      <x:c r="AY521" s="58"/>
      <x:c r="AZ521" s="47"/>
      <x:c r="BA521" s="60"/>
      <x:c r="BB521" s="58"/>
      <x:c r="BC521" s="47"/>
      <x:c r="BD521" s="60"/>
      <x:c r="BE521" s="58"/>
      <x:c r="BF521" s="47"/>
      <x:c r="BG521" s="60"/>
      <x:c r="BH521" s="58"/>
      <x:c r="BI521" s="47"/>
      <x:c r="BJ521" s="60"/>
      <x:c r="BK521" s="58"/>
      <x:c r="BL521" s="47"/>
      <x:c r="BM521" s="60"/>
      <x:c r="BN521" s="58"/>
      <x:c r="BO521" s="47"/>
      <x:c r="BP521" s="60"/>
      <x:c r="BQ521" s="58"/>
      <x:c r="BR521" s="47"/>
      <x:c r="BS521" s="60"/>
      <x:c r="BT521" s="58"/>
      <x:c r="BU521" s="47"/>
      <x:c r="BV521" s="60"/>
      <x:c r="BW521" s="58"/>
      <x:c r="BX521" s="47"/>
      <x:c r="BY521" s="60"/>
      <x:c r="BZ521" s="58"/>
      <x:c r="CA521" s="47"/>
      <x:c r="CB521" s="60"/>
      <x:c r="CC521" s="58"/>
      <x:c r="CD521" s="47"/>
      <x:c r="CE521" s="60"/>
      <x:c r="CF521" s="58"/>
      <x:c r="CG521" s="47"/>
      <x:c r="CH521" s="60"/>
      <x:c r="CI521" s="58"/>
      <x:c r="CJ521" s="47"/>
      <x:c r="CK521" s="60"/>
      <x:c r="CL521" s="58"/>
      <x:c r="CM521" s="47"/>
      <x:c r="CN521" s="60"/>
      <x:c r="CO521" s="58"/>
      <x:c r="CP521" s="47"/>
      <x:c r="CQ521" s="60"/>
      <x:c r="CR521" s="58"/>
      <x:c r="CS521" s="47"/>
      <x:c r="CT521" s="60"/>
      <x:c r="CU521" s="58"/>
      <x:c r="CV521" s="47"/>
      <x:c r="CW521" s="60"/>
      <x:c r="CX521" s="58"/>
      <x:c r="CY521" s="47"/>
      <x:c r="CZ521" s="60"/>
      <x:c r="DA521" s="58"/>
      <x:c r="DB521" s="47"/>
      <x:c r="DC521" s="60"/>
      <x:c r="DD521" s="58"/>
      <x:c r="DE521" s="47"/>
      <x:c r="DF521" s="60"/>
      <x:c r="DG521" s="58"/>
      <x:c r="DH521" s="47"/>
      <x:c r="DI521" s="60"/>
      <x:c r="DJ521" s="58"/>
      <x:c r="DK521" s="47"/>
      <x:c r="DL521" s="60"/>
      <x:c r="DM521" s="58"/>
      <x:c r="DN521" s="11"/>
      <x:c r="DO521" s="61"/>
      <x:c r="DP521" s="62"/>
      <x:c r="DQ521" s="11"/>
      <x:c r="DR521" s="61"/>
      <x:c r="DS521" s="62"/>
      <x:c r="DT521" s="11"/>
      <x:c r="DU521" s="61"/>
      <x:c r="DV521" s="62"/>
    </x:row>
    <x:row r="522" spans="1:126" x14ac:dyDescent="0.3">
      <x:c r="A522" s="47"/>
      <x:c r="B522" s="70"/>
      <x:c r="C522" s="70"/>
      <x:c r="D522" s="70"/>
      <x:c r="E522" s="70"/>
      <x:c r="F522" s="70"/>
      <x:c r="G522" s="70"/>
      <x:c r="H522" s="70"/>
      <x:c r="I522" s="70"/>
      <x:c r="J522" s="70"/>
      <x:c r="K522" s="190"/>
      <x:c r="L522" s="195"/>
      <x:c r="M522" s="192"/>
      <x:c r="N522" s="192"/>
      <x:c r="O522" s="69"/>
      <x:c r="P522" s="47"/>
      <x:c r="Q522" s="60"/>
      <x:c r="R522" s="58"/>
      <x:c r="S522" s="47"/>
      <x:c r="T522" s="60"/>
      <x:c r="U522" s="58"/>
      <x:c r="V522" s="47"/>
      <x:c r="W522" s="60"/>
      <x:c r="X522" s="58"/>
      <x:c r="Y522" s="47"/>
      <x:c r="Z522" s="60"/>
      <x:c r="AA522" s="58"/>
      <x:c r="AB522" s="47"/>
      <x:c r="AC522" s="60"/>
      <x:c r="AD522" s="58"/>
      <x:c r="AE522" s="47"/>
      <x:c r="AF522" s="60"/>
      <x:c r="AG522" s="58"/>
      <x:c r="AH522" s="47"/>
      <x:c r="AI522" s="60"/>
      <x:c r="AJ522" s="58"/>
      <x:c r="AK522" s="47"/>
      <x:c r="AL522" s="60"/>
      <x:c r="AM522" s="58"/>
      <x:c r="AN522" s="47"/>
      <x:c r="AO522" s="60"/>
      <x:c r="AP522" s="58"/>
      <x:c r="AQ522" s="47"/>
      <x:c r="AR522" s="60"/>
      <x:c r="AS522" s="58"/>
      <x:c r="AT522" s="47"/>
      <x:c r="AU522" s="60"/>
      <x:c r="AV522" s="58"/>
      <x:c r="AW522" s="47"/>
      <x:c r="AX522" s="60"/>
      <x:c r="AY522" s="58"/>
      <x:c r="AZ522" s="47"/>
      <x:c r="BA522" s="60"/>
      <x:c r="BB522" s="58"/>
      <x:c r="BC522" s="47"/>
      <x:c r="BD522" s="60"/>
      <x:c r="BE522" s="58"/>
      <x:c r="BF522" s="47"/>
      <x:c r="BG522" s="60"/>
      <x:c r="BH522" s="58"/>
      <x:c r="BI522" s="47"/>
      <x:c r="BJ522" s="60"/>
      <x:c r="BK522" s="58"/>
      <x:c r="BL522" s="47"/>
      <x:c r="BM522" s="60"/>
      <x:c r="BN522" s="58"/>
      <x:c r="BO522" s="47"/>
      <x:c r="BP522" s="60"/>
      <x:c r="BQ522" s="58"/>
      <x:c r="BR522" s="47"/>
      <x:c r="BS522" s="60"/>
      <x:c r="BT522" s="58"/>
      <x:c r="BU522" s="47"/>
      <x:c r="BV522" s="60"/>
      <x:c r="BW522" s="58"/>
      <x:c r="BX522" s="47"/>
      <x:c r="BY522" s="60"/>
      <x:c r="BZ522" s="58"/>
      <x:c r="CA522" s="47"/>
      <x:c r="CB522" s="60"/>
      <x:c r="CC522" s="58"/>
      <x:c r="CD522" s="47"/>
      <x:c r="CE522" s="60"/>
      <x:c r="CF522" s="58"/>
      <x:c r="CG522" s="47"/>
      <x:c r="CH522" s="60"/>
      <x:c r="CI522" s="58"/>
      <x:c r="CJ522" s="47"/>
      <x:c r="CK522" s="60"/>
      <x:c r="CL522" s="58"/>
      <x:c r="CM522" s="47"/>
      <x:c r="CN522" s="60"/>
      <x:c r="CO522" s="58"/>
      <x:c r="CP522" s="47"/>
      <x:c r="CQ522" s="60"/>
      <x:c r="CR522" s="58"/>
      <x:c r="CS522" s="47"/>
      <x:c r="CT522" s="60"/>
      <x:c r="CU522" s="58"/>
      <x:c r="CV522" s="47"/>
      <x:c r="CW522" s="60"/>
      <x:c r="CX522" s="58"/>
      <x:c r="CY522" s="47"/>
      <x:c r="CZ522" s="60"/>
      <x:c r="DA522" s="58"/>
      <x:c r="DB522" s="47"/>
      <x:c r="DC522" s="60"/>
      <x:c r="DD522" s="58"/>
      <x:c r="DE522" s="47"/>
      <x:c r="DF522" s="60"/>
      <x:c r="DG522" s="58"/>
      <x:c r="DH522" s="47"/>
      <x:c r="DI522" s="60"/>
      <x:c r="DJ522" s="58"/>
      <x:c r="DK522" s="47"/>
      <x:c r="DL522" s="60"/>
      <x:c r="DM522" s="58"/>
      <x:c r="DN522" s="11"/>
      <x:c r="DO522" s="61"/>
      <x:c r="DP522" s="62"/>
      <x:c r="DQ522" s="11"/>
      <x:c r="DR522" s="61"/>
      <x:c r="DS522" s="62"/>
      <x:c r="DT522" s="11"/>
      <x:c r="DU522" s="61"/>
      <x:c r="DV522" s="62"/>
    </x:row>
    <x:row r="523" spans="1:126" x14ac:dyDescent="0.3">
      <x:c r="A523" s="47"/>
      <x:c r="B523" s="70"/>
      <x:c r="C523" s="70"/>
      <x:c r="D523" s="70"/>
      <x:c r="E523" s="70"/>
      <x:c r="F523" s="70"/>
      <x:c r="G523" s="70"/>
      <x:c r="H523" s="70"/>
      <x:c r="I523" s="70"/>
      <x:c r="J523" s="70"/>
      <x:c r="K523" s="190"/>
      <x:c r="L523" s="195"/>
      <x:c r="M523" s="192"/>
      <x:c r="N523" s="192"/>
      <x:c r="O523" s="69"/>
      <x:c r="P523" s="47"/>
      <x:c r="Q523" s="60"/>
      <x:c r="R523" s="58"/>
      <x:c r="S523" s="47"/>
      <x:c r="T523" s="60"/>
      <x:c r="U523" s="58"/>
      <x:c r="V523" s="47"/>
      <x:c r="W523" s="60"/>
      <x:c r="X523" s="58"/>
      <x:c r="Y523" s="47"/>
      <x:c r="Z523" s="60"/>
      <x:c r="AA523" s="58"/>
      <x:c r="AB523" s="47"/>
      <x:c r="AC523" s="60"/>
      <x:c r="AD523" s="58"/>
      <x:c r="AE523" s="47"/>
      <x:c r="AF523" s="60"/>
      <x:c r="AG523" s="58"/>
      <x:c r="AH523" s="47"/>
      <x:c r="AI523" s="60"/>
      <x:c r="AJ523" s="58"/>
      <x:c r="AK523" s="47"/>
      <x:c r="AL523" s="60"/>
      <x:c r="AM523" s="58"/>
      <x:c r="AN523" s="47"/>
      <x:c r="AO523" s="60"/>
      <x:c r="AP523" s="58"/>
      <x:c r="AQ523" s="47"/>
      <x:c r="AR523" s="60"/>
      <x:c r="AS523" s="58"/>
      <x:c r="AT523" s="47"/>
      <x:c r="AU523" s="60"/>
      <x:c r="AV523" s="58"/>
      <x:c r="AW523" s="47"/>
      <x:c r="AX523" s="60"/>
      <x:c r="AY523" s="58"/>
      <x:c r="AZ523" s="47"/>
      <x:c r="BA523" s="60"/>
      <x:c r="BB523" s="58"/>
      <x:c r="BC523" s="47"/>
      <x:c r="BD523" s="60"/>
      <x:c r="BE523" s="58"/>
      <x:c r="BF523" s="47"/>
      <x:c r="BG523" s="60"/>
      <x:c r="BH523" s="58"/>
      <x:c r="BI523" s="47"/>
      <x:c r="BJ523" s="60"/>
      <x:c r="BK523" s="58"/>
      <x:c r="BL523" s="47"/>
      <x:c r="BM523" s="60"/>
      <x:c r="BN523" s="58"/>
      <x:c r="BO523" s="47"/>
      <x:c r="BP523" s="60"/>
      <x:c r="BQ523" s="58"/>
      <x:c r="BR523" s="47"/>
      <x:c r="BS523" s="60"/>
      <x:c r="BT523" s="58"/>
      <x:c r="BU523" s="47"/>
      <x:c r="BV523" s="60"/>
      <x:c r="BW523" s="58"/>
      <x:c r="BX523" s="47"/>
      <x:c r="BY523" s="60"/>
      <x:c r="BZ523" s="58"/>
      <x:c r="CA523" s="47"/>
      <x:c r="CB523" s="60"/>
      <x:c r="CC523" s="58"/>
      <x:c r="CD523" s="47"/>
      <x:c r="CE523" s="60"/>
      <x:c r="CF523" s="58"/>
      <x:c r="CG523" s="47"/>
      <x:c r="CH523" s="60"/>
      <x:c r="CI523" s="58"/>
      <x:c r="CJ523" s="47"/>
      <x:c r="CK523" s="60"/>
      <x:c r="CL523" s="58"/>
      <x:c r="CM523" s="47"/>
      <x:c r="CN523" s="60"/>
      <x:c r="CO523" s="58"/>
      <x:c r="CP523" s="47"/>
      <x:c r="CQ523" s="60"/>
      <x:c r="CR523" s="58"/>
      <x:c r="CS523" s="47"/>
      <x:c r="CT523" s="60"/>
      <x:c r="CU523" s="58"/>
      <x:c r="CV523" s="47"/>
      <x:c r="CW523" s="60"/>
      <x:c r="CX523" s="58"/>
      <x:c r="CY523" s="47"/>
      <x:c r="CZ523" s="60"/>
      <x:c r="DA523" s="58"/>
      <x:c r="DB523" s="47"/>
      <x:c r="DC523" s="60"/>
      <x:c r="DD523" s="58"/>
      <x:c r="DE523" s="47"/>
      <x:c r="DF523" s="60"/>
      <x:c r="DG523" s="58"/>
      <x:c r="DH523" s="47"/>
      <x:c r="DI523" s="60"/>
      <x:c r="DJ523" s="58"/>
      <x:c r="DK523" s="47"/>
      <x:c r="DL523" s="60"/>
      <x:c r="DM523" s="58"/>
      <x:c r="DN523" s="11"/>
      <x:c r="DO523" s="61"/>
      <x:c r="DP523" s="62"/>
      <x:c r="DQ523" s="11"/>
      <x:c r="DR523" s="61"/>
      <x:c r="DS523" s="62"/>
      <x:c r="DT523" s="11"/>
      <x:c r="DU523" s="61"/>
      <x:c r="DV523" s="62"/>
    </x:row>
    <x:row r="524" spans="1:126" x14ac:dyDescent="0.3">
      <x:c r="A524" s="47"/>
      <x:c r="B524" s="70"/>
      <x:c r="C524" s="70"/>
      <x:c r="D524" s="70"/>
      <x:c r="E524" s="70"/>
      <x:c r="F524" s="70"/>
      <x:c r="G524" s="70"/>
      <x:c r="H524" s="70"/>
      <x:c r="I524" s="70"/>
      <x:c r="J524" s="70"/>
      <x:c r="K524" s="190"/>
      <x:c r="L524" s="195"/>
      <x:c r="M524" s="192"/>
      <x:c r="N524" s="192"/>
      <x:c r="O524" s="69"/>
      <x:c r="P524" s="47"/>
      <x:c r="Q524" s="60"/>
      <x:c r="R524" s="58"/>
      <x:c r="S524" s="47"/>
      <x:c r="T524" s="60"/>
      <x:c r="U524" s="58"/>
      <x:c r="V524" s="47"/>
      <x:c r="W524" s="60"/>
      <x:c r="X524" s="58"/>
      <x:c r="Y524" s="47"/>
      <x:c r="Z524" s="60"/>
      <x:c r="AA524" s="58"/>
      <x:c r="AB524" s="47"/>
      <x:c r="AC524" s="60"/>
      <x:c r="AD524" s="58"/>
      <x:c r="AE524" s="47"/>
      <x:c r="AF524" s="60"/>
      <x:c r="AG524" s="58"/>
      <x:c r="AH524" s="47"/>
      <x:c r="AI524" s="60"/>
      <x:c r="AJ524" s="58"/>
      <x:c r="AK524" s="47"/>
      <x:c r="AL524" s="60"/>
      <x:c r="AM524" s="58"/>
      <x:c r="AN524" s="47"/>
      <x:c r="AO524" s="60"/>
      <x:c r="AP524" s="58"/>
      <x:c r="AQ524" s="47"/>
      <x:c r="AR524" s="60"/>
      <x:c r="AS524" s="58"/>
      <x:c r="AT524" s="47"/>
      <x:c r="AU524" s="60"/>
      <x:c r="AV524" s="58"/>
      <x:c r="AW524" s="47"/>
      <x:c r="AX524" s="60"/>
      <x:c r="AY524" s="58"/>
      <x:c r="AZ524" s="47"/>
      <x:c r="BA524" s="60"/>
      <x:c r="BB524" s="58"/>
      <x:c r="BC524" s="47"/>
      <x:c r="BD524" s="60"/>
      <x:c r="BE524" s="58"/>
      <x:c r="BF524" s="47"/>
      <x:c r="BG524" s="60"/>
      <x:c r="BH524" s="58"/>
      <x:c r="BI524" s="47"/>
      <x:c r="BJ524" s="60"/>
      <x:c r="BK524" s="58"/>
      <x:c r="BL524" s="47"/>
      <x:c r="BM524" s="60"/>
      <x:c r="BN524" s="58"/>
      <x:c r="BO524" s="47"/>
      <x:c r="BP524" s="60"/>
      <x:c r="BQ524" s="58"/>
      <x:c r="BR524" s="47"/>
      <x:c r="BS524" s="60"/>
      <x:c r="BT524" s="58"/>
      <x:c r="BU524" s="47"/>
      <x:c r="BV524" s="60"/>
      <x:c r="BW524" s="58"/>
      <x:c r="BX524" s="47"/>
      <x:c r="BY524" s="60"/>
      <x:c r="BZ524" s="58"/>
      <x:c r="CA524" s="47"/>
      <x:c r="CB524" s="60"/>
      <x:c r="CC524" s="58"/>
      <x:c r="CD524" s="47"/>
      <x:c r="CE524" s="60"/>
      <x:c r="CF524" s="58"/>
      <x:c r="CG524" s="47"/>
      <x:c r="CH524" s="60"/>
      <x:c r="CI524" s="58"/>
      <x:c r="CJ524" s="47"/>
      <x:c r="CK524" s="60"/>
      <x:c r="CL524" s="58"/>
      <x:c r="CM524" s="47"/>
      <x:c r="CN524" s="60"/>
      <x:c r="CO524" s="58"/>
      <x:c r="CP524" s="47"/>
      <x:c r="CQ524" s="60"/>
      <x:c r="CR524" s="58"/>
      <x:c r="CS524" s="47"/>
      <x:c r="CT524" s="60"/>
      <x:c r="CU524" s="58"/>
      <x:c r="CV524" s="47"/>
      <x:c r="CW524" s="60"/>
      <x:c r="CX524" s="58"/>
      <x:c r="CY524" s="47"/>
      <x:c r="CZ524" s="60"/>
      <x:c r="DA524" s="58"/>
      <x:c r="DB524" s="47"/>
      <x:c r="DC524" s="60"/>
      <x:c r="DD524" s="58"/>
      <x:c r="DE524" s="47"/>
      <x:c r="DF524" s="60"/>
      <x:c r="DG524" s="58"/>
      <x:c r="DH524" s="47"/>
      <x:c r="DI524" s="60"/>
      <x:c r="DJ524" s="58"/>
      <x:c r="DK524" s="47"/>
      <x:c r="DL524" s="60"/>
      <x:c r="DM524" s="58"/>
      <x:c r="DN524" s="11"/>
      <x:c r="DO524" s="61"/>
      <x:c r="DP524" s="62"/>
      <x:c r="DQ524" s="11"/>
      <x:c r="DR524" s="61"/>
      <x:c r="DS524" s="62"/>
      <x:c r="DT524" s="11"/>
      <x:c r="DU524" s="61"/>
      <x:c r="DV524" s="62"/>
    </x:row>
    <x:row r="525" spans="1:126" x14ac:dyDescent="0.3">
      <x:c r="A525" s="47"/>
      <x:c r="B525" s="70"/>
      <x:c r="C525" s="70"/>
      <x:c r="D525" s="70"/>
      <x:c r="E525" s="70"/>
      <x:c r="F525" s="70"/>
      <x:c r="G525" s="70"/>
      <x:c r="H525" s="70"/>
      <x:c r="I525" s="70"/>
      <x:c r="J525" s="70"/>
      <x:c r="K525" s="190"/>
      <x:c r="L525" s="195"/>
      <x:c r="M525" s="192"/>
      <x:c r="N525" s="192"/>
      <x:c r="O525" s="69"/>
      <x:c r="P525" s="47"/>
      <x:c r="Q525" s="60"/>
      <x:c r="R525" s="58"/>
      <x:c r="S525" s="47"/>
      <x:c r="T525" s="60"/>
      <x:c r="U525" s="58"/>
      <x:c r="V525" s="47"/>
      <x:c r="W525" s="60"/>
      <x:c r="X525" s="58"/>
      <x:c r="Y525" s="47"/>
      <x:c r="Z525" s="60"/>
      <x:c r="AA525" s="58"/>
      <x:c r="AB525" s="47"/>
      <x:c r="AC525" s="60"/>
      <x:c r="AD525" s="58"/>
      <x:c r="AE525" s="47"/>
      <x:c r="AF525" s="60"/>
      <x:c r="AG525" s="58"/>
      <x:c r="AH525" s="47"/>
      <x:c r="AI525" s="60"/>
      <x:c r="AJ525" s="58"/>
      <x:c r="AK525" s="47"/>
      <x:c r="AL525" s="60"/>
      <x:c r="AM525" s="58"/>
      <x:c r="AN525" s="47"/>
      <x:c r="AO525" s="60"/>
      <x:c r="AP525" s="58"/>
      <x:c r="AQ525" s="47"/>
      <x:c r="AR525" s="60"/>
      <x:c r="AS525" s="58"/>
      <x:c r="AT525" s="47"/>
      <x:c r="AU525" s="60"/>
      <x:c r="AV525" s="58"/>
      <x:c r="AW525" s="47"/>
      <x:c r="AX525" s="60"/>
      <x:c r="AY525" s="58"/>
      <x:c r="AZ525" s="47"/>
      <x:c r="BA525" s="60"/>
      <x:c r="BB525" s="58"/>
      <x:c r="BC525" s="47"/>
      <x:c r="BD525" s="60"/>
      <x:c r="BE525" s="58"/>
      <x:c r="BF525" s="47"/>
      <x:c r="BG525" s="60"/>
      <x:c r="BH525" s="58"/>
      <x:c r="BI525" s="47"/>
      <x:c r="BJ525" s="60"/>
      <x:c r="BK525" s="58"/>
      <x:c r="BL525" s="47"/>
      <x:c r="BM525" s="60"/>
      <x:c r="BN525" s="58"/>
      <x:c r="BO525" s="47"/>
      <x:c r="BP525" s="60"/>
      <x:c r="BQ525" s="58"/>
      <x:c r="BR525" s="47"/>
      <x:c r="BS525" s="60"/>
      <x:c r="BT525" s="58"/>
      <x:c r="BU525" s="47"/>
      <x:c r="BV525" s="60"/>
      <x:c r="BW525" s="58"/>
      <x:c r="BX525" s="47"/>
      <x:c r="BY525" s="60"/>
      <x:c r="BZ525" s="58"/>
      <x:c r="CA525" s="47"/>
      <x:c r="CB525" s="60"/>
      <x:c r="CC525" s="58"/>
      <x:c r="CD525" s="47"/>
      <x:c r="CE525" s="60"/>
      <x:c r="CF525" s="58"/>
      <x:c r="CG525" s="47"/>
      <x:c r="CH525" s="60"/>
      <x:c r="CI525" s="58"/>
      <x:c r="CJ525" s="47"/>
      <x:c r="CK525" s="60"/>
      <x:c r="CL525" s="58"/>
      <x:c r="CM525" s="47"/>
      <x:c r="CN525" s="60"/>
      <x:c r="CO525" s="58"/>
      <x:c r="CP525" s="47"/>
      <x:c r="CQ525" s="60"/>
      <x:c r="CR525" s="58"/>
      <x:c r="CS525" s="47"/>
      <x:c r="CT525" s="60"/>
      <x:c r="CU525" s="58"/>
      <x:c r="CV525" s="47"/>
      <x:c r="CW525" s="60"/>
      <x:c r="CX525" s="58"/>
      <x:c r="CY525" s="47"/>
      <x:c r="CZ525" s="60"/>
      <x:c r="DA525" s="58"/>
      <x:c r="DB525" s="47"/>
      <x:c r="DC525" s="60"/>
      <x:c r="DD525" s="58"/>
      <x:c r="DE525" s="47"/>
      <x:c r="DF525" s="60"/>
      <x:c r="DG525" s="58"/>
      <x:c r="DH525" s="47"/>
      <x:c r="DI525" s="60"/>
      <x:c r="DJ525" s="58"/>
      <x:c r="DK525" s="47"/>
      <x:c r="DL525" s="60"/>
      <x:c r="DM525" s="58"/>
      <x:c r="DN525" s="11"/>
      <x:c r="DO525" s="61"/>
      <x:c r="DP525" s="62"/>
      <x:c r="DQ525" s="11"/>
      <x:c r="DR525" s="61"/>
      <x:c r="DS525" s="62"/>
      <x:c r="DT525" s="11"/>
      <x:c r="DU525" s="61"/>
      <x:c r="DV525" s="62"/>
    </x:row>
    <x:row r="526" spans="1:126" x14ac:dyDescent="0.3">
      <x:c r="A526" s="47"/>
      <x:c r="B526" s="70"/>
      <x:c r="C526" s="70"/>
      <x:c r="D526" s="70"/>
      <x:c r="E526" s="70"/>
      <x:c r="F526" s="70"/>
      <x:c r="G526" s="70"/>
      <x:c r="H526" s="70"/>
      <x:c r="I526" s="70"/>
      <x:c r="J526" s="70"/>
      <x:c r="K526" s="190"/>
      <x:c r="L526" s="195"/>
      <x:c r="M526" s="192"/>
      <x:c r="N526" s="192"/>
      <x:c r="O526" s="69"/>
      <x:c r="P526" s="47"/>
      <x:c r="Q526" s="60"/>
      <x:c r="R526" s="58"/>
      <x:c r="S526" s="47"/>
      <x:c r="T526" s="60"/>
      <x:c r="U526" s="58"/>
      <x:c r="V526" s="47"/>
      <x:c r="W526" s="60"/>
      <x:c r="X526" s="58"/>
      <x:c r="Y526" s="47"/>
      <x:c r="Z526" s="60"/>
      <x:c r="AA526" s="58"/>
      <x:c r="AB526" s="47"/>
      <x:c r="AC526" s="60"/>
      <x:c r="AD526" s="58"/>
      <x:c r="AE526" s="47"/>
      <x:c r="AF526" s="60"/>
      <x:c r="AG526" s="58"/>
      <x:c r="AH526" s="47"/>
      <x:c r="AI526" s="60"/>
      <x:c r="AJ526" s="58"/>
      <x:c r="AK526" s="47"/>
      <x:c r="AL526" s="60"/>
      <x:c r="AM526" s="58"/>
      <x:c r="AN526" s="47"/>
      <x:c r="AO526" s="60"/>
      <x:c r="AP526" s="58"/>
      <x:c r="AQ526" s="47"/>
      <x:c r="AR526" s="60"/>
      <x:c r="AS526" s="58"/>
      <x:c r="AT526" s="47"/>
      <x:c r="AU526" s="60"/>
      <x:c r="AV526" s="58"/>
      <x:c r="AW526" s="47"/>
      <x:c r="AX526" s="60"/>
      <x:c r="AY526" s="58"/>
      <x:c r="AZ526" s="47"/>
      <x:c r="BA526" s="60"/>
      <x:c r="BB526" s="58"/>
      <x:c r="BC526" s="47"/>
      <x:c r="BD526" s="60"/>
      <x:c r="BE526" s="58"/>
      <x:c r="BF526" s="47"/>
      <x:c r="BG526" s="60"/>
      <x:c r="BH526" s="58"/>
      <x:c r="BI526" s="47"/>
      <x:c r="BJ526" s="60"/>
      <x:c r="BK526" s="58"/>
      <x:c r="BL526" s="47"/>
      <x:c r="BM526" s="60"/>
      <x:c r="BN526" s="58"/>
      <x:c r="BO526" s="47"/>
      <x:c r="BP526" s="60"/>
      <x:c r="BQ526" s="58"/>
      <x:c r="BR526" s="47"/>
      <x:c r="BS526" s="60"/>
      <x:c r="BT526" s="58"/>
      <x:c r="BU526" s="47"/>
      <x:c r="BV526" s="60"/>
      <x:c r="BW526" s="58"/>
      <x:c r="BX526" s="47"/>
      <x:c r="BY526" s="60"/>
      <x:c r="BZ526" s="58"/>
      <x:c r="CA526" s="47"/>
      <x:c r="CB526" s="60"/>
      <x:c r="CC526" s="58"/>
      <x:c r="CD526" s="47"/>
      <x:c r="CE526" s="60"/>
      <x:c r="CF526" s="58"/>
      <x:c r="CG526" s="47"/>
      <x:c r="CH526" s="60"/>
      <x:c r="CI526" s="58"/>
      <x:c r="CJ526" s="47"/>
      <x:c r="CK526" s="60"/>
      <x:c r="CL526" s="58"/>
      <x:c r="CM526" s="47"/>
      <x:c r="CN526" s="60"/>
      <x:c r="CO526" s="58"/>
      <x:c r="CP526" s="47"/>
      <x:c r="CQ526" s="60"/>
      <x:c r="CR526" s="58"/>
      <x:c r="CS526" s="47"/>
      <x:c r="CT526" s="60"/>
      <x:c r="CU526" s="58"/>
      <x:c r="CV526" s="47"/>
      <x:c r="CW526" s="60"/>
      <x:c r="CX526" s="58"/>
      <x:c r="CY526" s="47"/>
      <x:c r="CZ526" s="60"/>
      <x:c r="DA526" s="58"/>
      <x:c r="DB526" s="47"/>
      <x:c r="DC526" s="60"/>
      <x:c r="DD526" s="58"/>
      <x:c r="DE526" s="47"/>
      <x:c r="DF526" s="60"/>
      <x:c r="DG526" s="58"/>
      <x:c r="DH526" s="47"/>
      <x:c r="DI526" s="60"/>
      <x:c r="DJ526" s="58"/>
      <x:c r="DK526" s="47"/>
      <x:c r="DL526" s="60"/>
      <x:c r="DM526" s="58"/>
      <x:c r="DN526" s="11"/>
      <x:c r="DO526" s="61"/>
      <x:c r="DP526" s="62"/>
      <x:c r="DQ526" s="11"/>
      <x:c r="DR526" s="61"/>
      <x:c r="DS526" s="62"/>
      <x:c r="DT526" s="11"/>
      <x:c r="DU526" s="61"/>
      <x:c r="DV526" s="62"/>
    </x:row>
    <x:row r="527" spans="1:126" x14ac:dyDescent="0.3">
      <x:c r="A527" s="47"/>
      <x:c r="B527" s="70"/>
      <x:c r="C527" s="70"/>
      <x:c r="D527" s="70"/>
      <x:c r="E527" s="70"/>
      <x:c r="F527" s="70"/>
      <x:c r="G527" s="70"/>
      <x:c r="H527" s="70"/>
      <x:c r="I527" s="70"/>
      <x:c r="J527" s="70"/>
      <x:c r="K527" s="190"/>
      <x:c r="L527" s="195"/>
      <x:c r="M527" s="192"/>
      <x:c r="N527" s="192"/>
      <x:c r="O527" s="69"/>
      <x:c r="P527" s="47"/>
      <x:c r="Q527" s="60"/>
      <x:c r="R527" s="58"/>
      <x:c r="S527" s="47"/>
      <x:c r="T527" s="60"/>
      <x:c r="U527" s="58"/>
      <x:c r="V527" s="47"/>
      <x:c r="W527" s="60"/>
      <x:c r="X527" s="58"/>
      <x:c r="Y527" s="47"/>
      <x:c r="Z527" s="60"/>
      <x:c r="AA527" s="58"/>
      <x:c r="AB527" s="47"/>
      <x:c r="AC527" s="60"/>
      <x:c r="AD527" s="58"/>
      <x:c r="AE527" s="47"/>
      <x:c r="AF527" s="60"/>
      <x:c r="AG527" s="58"/>
      <x:c r="AH527" s="47"/>
      <x:c r="AI527" s="60"/>
      <x:c r="AJ527" s="58"/>
      <x:c r="AK527" s="47"/>
      <x:c r="AL527" s="60"/>
      <x:c r="AM527" s="58"/>
      <x:c r="AN527" s="47"/>
      <x:c r="AO527" s="60"/>
      <x:c r="AP527" s="58"/>
      <x:c r="AQ527" s="47"/>
      <x:c r="AR527" s="60"/>
      <x:c r="AS527" s="58"/>
      <x:c r="AT527" s="47"/>
      <x:c r="AU527" s="60"/>
      <x:c r="AV527" s="58"/>
      <x:c r="AW527" s="47"/>
      <x:c r="AX527" s="60"/>
      <x:c r="AY527" s="58"/>
      <x:c r="AZ527" s="47"/>
      <x:c r="BA527" s="60"/>
      <x:c r="BB527" s="58"/>
      <x:c r="BC527" s="47"/>
      <x:c r="BD527" s="60"/>
      <x:c r="BE527" s="58"/>
      <x:c r="BF527" s="47"/>
      <x:c r="BG527" s="60"/>
      <x:c r="BH527" s="58"/>
      <x:c r="BI527" s="47"/>
      <x:c r="BJ527" s="60"/>
      <x:c r="BK527" s="58"/>
      <x:c r="BL527" s="47"/>
      <x:c r="BM527" s="60"/>
      <x:c r="BN527" s="58"/>
      <x:c r="BO527" s="47"/>
      <x:c r="BP527" s="60"/>
      <x:c r="BQ527" s="58"/>
      <x:c r="BR527" s="47"/>
      <x:c r="BS527" s="60"/>
      <x:c r="BT527" s="58"/>
      <x:c r="BU527" s="47"/>
      <x:c r="BV527" s="60"/>
      <x:c r="BW527" s="58"/>
      <x:c r="BX527" s="47"/>
      <x:c r="BY527" s="60"/>
      <x:c r="BZ527" s="58"/>
      <x:c r="CA527" s="47"/>
      <x:c r="CB527" s="60"/>
      <x:c r="CC527" s="58"/>
      <x:c r="CD527" s="47"/>
      <x:c r="CE527" s="60"/>
      <x:c r="CF527" s="58"/>
      <x:c r="CG527" s="47"/>
      <x:c r="CH527" s="60"/>
      <x:c r="CI527" s="58"/>
      <x:c r="CJ527" s="47"/>
      <x:c r="CK527" s="60"/>
      <x:c r="CL527" s="58"/>
      <x:c r="CM527" s="47"/>
      <x:c r="CN527" s="60"/>
      <x:c r="CO527" s="58"/>
      <x:c r="CP527" s="47"/>
      <x:c r="CQ527" s="60"/>
      <x:c r="CR527" s="58"/>
      <x:c r="CS527" s="47"/>
      <x:c r="CT527" s="60"/>
      <x:c r="CU527" s="58"/>
      <x:c r="CV527" s="47"/>
      <x:c r="CW527" s="60"/>
      <x:c r="CX527" s="58"/>
      <x:c r="CY527" s="47"/>
      <x:c r="CZ527" s="60"/>
      <x:c r="DA527" s="58"/>
      <x:c r="DB527" s="47"/>
      <x:c r="DC527" s="60"/>
      <x:c r="DD527" s="58"/>
      <x:c r="DE527" s="47"/>
      <x:c r="DF527" s="60"/>
      <x:c r="DG527" s="58"/>
      <x:c r="DH527" s="47"/>
      <x:c r="DI527" s="60"/>
      <x:c r="DJ527" s="58"/>
      <x:c r="DK527" s="47"/>
      <x:c r="DL527" s="60"/>
      <x:c r="DM527" s="58"/>
      <x:c r="DN527" s="11"/>
      <x:c r="DO527" s="61"/>
      <x:c r="DP527" s="62"/>
      <x:c r="DQ527" s="11"/>
      <x:c r="DR527" s="61"/>
      <x:c r="DS527" s="62"/>
      <x:c r="DT527" s="11"/>
      <x:c r="DU527" s="61"/>
      <x:c r="DV527" s="62"/>
    </x:row>
    <x:row r="528" spans="1:126" x14ac:dyDescent="0.3">
      <x:c r="A528" s="47"/>
      <x:c r="B528" s="70"/>
      <x:c r="C528" s="70"/>
      <x:c r="D528" s="70"/>
      <x:c r="E528" s="70"/>
      <x:c r="F528" s="70"/>
      <x:c r="G528" s="70"/>
      <x:c r="H528" s="70"/>
      <x:c r="I528" s="70"/>
      <x:c r="J528" s="70"/>
      <x:c r="K528" s="190"/>
      <x:c r="L528" s="195"/>
      <x:c r="M528" s="192"/>
      <x:c r="N528" s="192"/>
      <x:c r="O528" s="69"/>
      <x:c r="P528" s="47"/>
      <x:c r="Q528" s="60"/>
      <x:c r="R528" s="58"/>
      <x:c r="S528" s="47"/>
      <x:c r="T528" s="60"/>
      <x:c r="U528" s="58"/>
      <x:c r="V528" s="47"/>
      <x:c r="W528" s="60"/>
      <x:c r="X528" s="58"/>
      <x:c r="Y528" s="47"/>
      <x:c r="Z528" s="60"/>
      <x:c r="AA528" s="58"/>
      <x:c r="AB528" s="47"/>
      <x:c r="AC528" s="60"/>
      <x:c r="AD528" s="58"/>
      <x:c r="AE528" s="47"/>
      <x:c r="AF528" s="60"/>
      <x:c r="AG528" s="58"/>
      <x:c r="AH528" s="47"/>
      <x:c r="AI528" s="60"/>
      <x:c r="AJ528" s="58"/>
      <x:c r="AK528" s="47"/>
      <x:c r="AL528" s="60"/>
      <x:c r="AM528" s="58"/>
      <x:c r="AN528" s="47"/>
      <x:c r="AO528" s="60"/>
      <x:c r="AP528" s="58"/>
      <x:c r="AQ528" s="47"/>
      <x:c r="AR528" s="60"/>
      <x:c r="AS528" s="58"/>
      <x:c r="AT528" s="47"/>
      <x:c r="AU528" s="60"/>
      <x:c r="AV528" s="58"/>
      <x:c r="AW528" s="47"/>
      <x:c r="AX528" s="60"/>
      <x:c r="AY528" s="58"/>
      <x:c r="AZ528" s="47"/>
      <x:c r="BA528" s="60"/>
      <x:c r="BB528" s="58"/>
      <x:c r="BC528" s="47"/>
      <x:c r="BD528" s="60"/>
      <x:c r="BE528" s="58"/>
      <x:c r="BF528" s="47"/>
      <x:c r="BG528" s="60"/>
      <x:c r="BH528" s="58"/>
      <x:c r="BI528" s="47"/>
      <x:c r="BJ528" s="60"/>
      <x:c r="BK528" s="58"/>
      <x:c r="BL528" s="47"/>
      <x:c r="BM528" s="60"/>
      <x:c r="BN528" s="58"/>
      <x:c r="BO528" s="47"/>
      <x:c r="BP528" s="60"/>
      <x:c r="BQ528" s="58"/>
      <x:c r="BR528" s="47"/>
      <x:c r="BS528" s="60"/>
      <x:c r="BT528" s="58"/>
      <x:c r="BU528" s="47"/>
      <x:c r="BV528" s="60"/>
      <x:c r="BW528" s="58"/>
      <x:c r="BX528" s="47"/>
      <x:c r="BY528" s="60"/>
      <x:c r="BZ528" s="58"/>
      <x:c r="CA528" s="47"/>
      <x:c r="CB528" s="60"/>
      <x:c r="CC528" s="58"/>
      <x:c r="CD528" s="47"/>
      <x:c r="CE528" s="60"/>
      <x:c r="CF528" s="58"/>
      <x:c r="CG528" s="47"/>
      <x:c r="CH528" s="60"/>
      <x:c r="CI528" s="58"/>
      <x:c r="CJ528" s="47"/>
      <x:c r="CK528" s="60"/>
      <x:c r="CL528" s="58"/>
      <x:c r="CM528" s="47"/>
      <x:c r="CN528" s="60"/>
      <x:c r="CO528" s="58"/>
      <x:c r="CP528" s="47"/>
      <x:c r="CQ528" s="60"/>
      <x:c r="CR528" s="58"/>
      <x:c r="CS528" s="47"/>
      <x:c r="CT528" s="60"/>
      <x:c r="CU528" s="58"/>
      <x:c r="CV528" s="47"/>
      <x:c r="CW528" s="60"/>
      <x:c r="CX528" s="58"/>
      <x:c r="CY528" s="47"/>
      <x:c r="CZ528" s="60"/>
      <x:c r="DA528" s="58"/>
      <x:c r="DB528" s="47"/>
      <x:c r="DC528" s="60"/>
      <x:c r="DD528" s="58"/>
      <x:c r="DE528" s="47"/>
      <x:c r="DF528" s="60"/>
      <x:c r="DG528" s="58"/>
      <x:c r="DH528" s="47"/>
      <x:c r="DI528" s="60"/>
      <x:c r="DJ528" s="58"/>
      <x:c r="DK528" s="47"/>
      <x:c r="DL528" s="60"/>
      <x:c r="DM528" s="58"/>
      <x:c r="DN528" s="11"/>
      <x:c r="DO528" s="61"/>
      <x:c r="DP528" s="62"/>
      <x:c r="DQ528" s="11"/>
      <x:c r="DR528" s="61"/>
      <x:c r="DS528" s="62"/>
      <x:c r="DT528" s="11"/>
      <x:c r="DU528" s="61"/>
      <x:c r="DV528" s="62"/>
    </x:row>
    <x:row r="529" spans="1:126" x14ac:dyDescent="0.3">
      <x:c r="A529" s="47"/>
      <x:c r="B529" s="70"/>
      <x:c r="C529" s="70"/>
      <x:c r="D529" s="70"/>
      <x:c r="E529" s="70"/>
      <x:c r="F529" s="70"/>
      <x:c r="G529" s="70"/>
      <x:c r="H529" s="70"/>
      <x:c r="I529" s="70"/>
      <x:c r="J529" s="70"/>
      <x:c r="K529" s="190"/>
      <x:c r="L529" s="195"/>
      <x:c r="M529" s="192"/>
      <x:c r="N529" s="192"/>
      <x:c r="O529" s="69"/>
      <x:c r="P529" s="47"/>
      <x:c r="Q529" s="60"/>
      <x:c r="R529" s="58"/>
      <x:c r="S529" s="47"/>
      <x:c r="T529" s="60"/>
      <x:c r="U529" s="58"/>
      <x:c r="V529" s="47"/>
      <x:c r="W529" s="60"/>
      <x:c r="X529" s="58"/>
      <x:c r="Y529" s="47"/>
      <x:c r="Z529" s="60"/>
      <x:c r="AA529" s="58"/>
      <x:c r="AB529" s="47"/>
      <x:c r="AC529" s="60"/>
      <x:c r="AD529" s="58"/>
      <x:c r="AE529" s="47"/>
      <x:c r="AF529" s="60"/>
      <x:c r="AG529" s="58"/>
      <x:c r="AH529" s="47"/>
      <x:c r="AI529" s="60"/>
      <x:c r="AJ529" s="58"/>
      <x:c r="AK529" s="47"/>
      <x:c r="AL529" s="60"/>
      <x:c r="AM529" s="58"/>
      <x:c r="AN529" s="47"/>
      <x:c r="AO529" s="60"/>
      <x:c r="AP529" s="58"/>
      <x:c r="AQ529" s="47"/>
      <x:c r="AR529" s="60"/>
      <x:c r="AS529" s="58"/>
      <x:c r="AT529" s="47"/>
      <x:c r="AU529" s="60"/>
      <x:c r="AV529" s="58"/>
      <x:c r="AW529" s="47"/>
      <x:c r="AX529" s="60"/>
      <x:c r="AY529" s="58"/>
      <x:c r="AZ529" s="47"/>
      <x:c r="BA529" s="60"/>
      <x:c r="BB529" s="58"/>
      <x:c r="BC529" s="47"/>
      <x:c r="BD529" s="60"/>
      <x:c r="BE529" s="58"/>
      <x:c r="BF529" s="47"/>
      <x:c r="BG529" s="60"/>
      <x:c r="BH529" s="58"/>
      <x:c r="BI529" s="47"/>
      <x:c r="BJ529" s="60"/>
      <x:c r="BK529" s="58"/>
      <x:c r="BL529" s="47"/>
      <x:c r="BM529" s="60"/>
      <x:c r="BN529" s="58"/>
      <x:c r="BO529" s="47"/>
      <x:c r="BP529" s="60"/>
      <x:c r="BQ529" s="58"/>
      <x:c r="BR529" s="47"/>
      <x:c r="BS529" s="60"/>
      <x:c r="BT529" s="58"/>
      <x:c r="BU529" s="47"/>
      <x:c r="BV529" s="60"/>
      <x:c r="BW529" s="58"/>
      <x:c r="BX529" s="47"/>
      <x:c r="BY529" s="60"/>
      <x:c r="BZ529" s="58"/>
      <x:c r="CA529" s="47"/>
      <x:c r="CB529" s="60"/>
      <x:c r="CC529" s="58"/>
      <x:c r="CD529" s="47"/>
      <x:c r="CE529" s="60"/>
      <x:c r="CF529" s="58"/>
      <x:c r="CG529" s="47"/>
      <x:c r="CH529" s="60"/>
      <x:c r="CI529" s="58"/>
      <x:c r="CJ529" s="47"/>
      <x:c r="CK529" s="60"/>
      <x:c r="CL529" s="58"/>
      <x:c r="CM529" s="47"/>
      <x:c r="CN529" s="60"/>
      <x:c r="CO529" s="58"/>
      <x:c r="CP529" s="47"/>
      <x:c r="CQ529" s="60"/>
      <x:c r="CR529" s="58"/>
      <x:c r="CS529" s="47"/>
      <x:c r="CT529" s="60"/>
      <x:c r="CU529" s="58"/>
      <x:c r="CV529" s="47"/>
      <x:c r="CW529" s="60"/>
      <x:c r="CX529" s="58"/>
      <x:c r="CY529" s="47"/>
      <x:c r="CZ529" s="60"/>
      <x:c r="DA529" s="58"/>
      <x:c r="DB529" s="47"/>
      <x:c r="DC529" s="60"/>
      <x:c r="DD529" s="58"/>
      <x:c r="DE529" s="47"/>
      <x:c r="DF529" s="60"/>
      <x:c r="DG529" s="58"/>
      <x:c r="DH529" s="47"/>
      <x:c r="DI529" s="60"/>
      <x:c r="DJ529" s="58"/>
      <x:c r="DK529" s="47"/>
      <x:c r="DL529" s="60"/>
      <x:c r="DM529" s="58"/>
      <x:c r="DN529" s="11"/>
      <x:c r="DO529" s="61"/>
      <x:c r="DP529" s="62"/>
      <x:c r="DQ529" s="11"/>
      <x:c r="DR529" s="61"/>
      <x:c r="DS529" s="62"/>
      <x:c r="DT529" s="11"/>
      <x:c r="DU529" s="61"/>
      <x:c r="DV529" s="62"/>
    </x:row>
    <x:row r="530" spans="1:126" x14ac:dyDescent="0.3">
      <x:c r="A530" s="47"/>
      <x:c r="B530" s="70"/>
      <x:c r="C530" s="70"/>
      <x:c r="D530" s="70"/>
      <x:c r="E530" s="70"/>
      <x:c r="F530" s="70"/>
      <x:c r="G530" s="70"/>
      <x:c r="H530" s="70"/>
      <x:c r="I530" s="70"/>
      <x:c r="J530" s="70"/>
      <x:c r="K530" s="190"/>
      <x:c r="L530" s="195"/>
      <x:c r="M530" s="192"/>
      <x:c r="N530" s="192"/>
      <x:c r="O530" s="69"/>
      <x:c r="P530" s="47"/>
      <x:c r="Q530" s="60"/>
      <x:c r="R530" s="58"/>
      <x:c r="S530" s="47"/>
      <x:c r="T530" s="60"/>
      <x:c r="U530" s="58"/>
      <x:c r="V530" s="47"/>
      <x:c r="W530" s="60"/>
      <x:c r="X530" s="58"/>
      <x:c r="Y530" s="47"/>
      <x:c r="Z530" s="60"/>
      <x:c r="AA530" s="58"/>
      <x:c r="AB530" s="47"/>
      <x:c r="AC530" s="60"/>
      <x:c r="AD530" s="58"/>
      <x:c r="AE530" s="47"/>
      <x:c r="AF530" s="60"/>
      <x:c r="AG530" s="58"/>
      <x:c r="AH530" s="47"/>
      <x:c r="AI530" s="60"/>
      <x:c r="AJ530" s="58"/>
      <x:c r="AK530" s="47"/>
      <x:c r="AL530" s="60"/>
      <x:c r="AM530" s="58"/>
      <x:c r="AN530" s="47"/>
      <x:c r="AO530" s="60"/>
      <x:c r="AP530" s="58"/>
      <x:c r="AQ530" s="47"/>
      <x:c r="AR530" s="60"/>
      <x:c r="AS530" s="58"/>
      <x:c r="AT530" s="47"/>
      <x:c r="AU530" s="60"/>
      <x:c r="AV530" s="58"/>
      <x:c r="AW530" s="47"/>
      <x:c r="AX530" s="60"/>
      <x:c r="AY530" s="58"/>
      <x:c r="AZ530" s="47"/>
      <x:c r="BA530" s="60"/>
      <x:c r="BB530" s="58"/>
      <x:c r="BC530" s="47"/>
      <x:c r="BD530" s="60"/>
      <x:c r="BE530" s="58"/>
      <x:c r="BF530" s="47"/>
      <x:c r="BG530" s="60"/>
      <x:c r="BH530" s="58"/>
      <x:c r="BI530" s="47"/>
      <x:c r="BJ530" s="60"/>
      <x:c r="BK530" s="58"/>
      <x:c r="BL530" s="47"/>
      <x:c r="BM530" s="60"/>
      <x:c r="BN530" s="58"/>
      <x:c r="BO530" s="47"/>
      <x:c r="BP530" s="60"/>
      <x:c r="BQ530" s="58"/>
      <x:c r="BR530" s="47"/>
      <x:c r="BS530" s="60"/>
      <x:c r="BT530" s="58"/>
      <x:c r="BU530" s="47"/>
      <x:c r="BV530" s="60"/>
      <x:c r="BW530" s="58"/>
      <x:c r="BX530" s="47"/>
      <x:c r="BY530" s="60"/>
      <x:c r="BZ530" s="58"/>
      <x:c r="CA530" s="47"/>
      <x:c r="CB530" s="60"/>
      <x:c r="CC530" s="58"/>
      <x:c r="CD530" s="47"/>
      <x:c r="CE530" s="60"/>
      <x:c r="CF530" s="58"/>
      <x:c r="CG530" s="47"/>
      <x:c r="CH530" s="60"/>
      <x:c r="CI530" s="58"/>
      <x:c r="CJ530" s="47"/>
      <x:c r="CK530" s="60"/>
      <x:c r="CL530" s="58"/>
      <x:c r="CM530" s="47"/>
      <x:c r="CN530" s="60"/>
      <x:c r="CO530" s="58"/>
      <x:c r="CP530" s="47"/>
      <x:c r="CQ530" s="60"/>
      <x:c r="CR530" s="58"/>
      <x:c r="CS530" s="47"/>
      <x:c r="CT530" s="60"/>
      <x:c r="CU530" s="58"/>
      <x:c r="CV530" s="47"/>
      <x:c r="CW530" s="60"/>
      <x:c r="CX530" s="58"/>
      <x:c r="CY530" s="47"/>
      <x:c r="CZ530" s="60"/>
      <x:c r="DA530" s="58"/>
      <x:c r="DB530" s="47"/>
      <x:c r="DC530" s="60"/>
      <x:c r="DD530" s="58"/>
      <x:c r="DE530" s="47"/>
      <x:c r="DF530" s="60"/>
      <x:c r="DG530" s="58"/>
      <x:c r="DH530" s="47"/>
      <x:c r="DI530" s="60"/>
      <x:c r="DJ530" s="58"/>
      <x:c r="DK530" s="47"/>
      <x:c r="DL530" s="60"/>
      <x:c r="DM530" s="58"/>
      <x:c r="DN530" s="11"/>
      <x:c r="DO530" s="61"/>
      <x:c r="DP530" s="62"/>
      <x:c r="DQ530" s="11"/>
      <x:c r="DR530" s="61"/>
      <x:c r="DS530" s="62"/>
      <x:c r="DT530" s="11"/>
      <x:c r="DU530" s="61"/>
      <x:c r="DV530" s="62"/>
    </x:row>
    <x:row r="531" spans="1:126" x14ac:dyDescent="0.3">
      <x:c r="A531" s="47"/>
      <x:c r="B531" s="70"/>
      <x:c r="C531" s="70"/>
      <x:c r="D531" s="70"/>
      <x:c r="E531" s="70"/>
      <x:c r="F531" s="70"/>
      <x:c r="G531" s="70"/>
      <x:c r="H531" s="70"/>
      <x:c r="I531" s="70"/>
      <x:c r="J531" s="70"/>
      <x:c r="K531" s="190"/>
      <x:c r="L531" s="195"/>
      <x:c r="M531" s="192"/>
      <x:c r="N531" s="192"/>
      <x:c r="O531" s="69"/>
      <x:c r="P531" s="47"/>
      <x:c r="Q531" s="60"/>
      <x:c r="R531" s="58"/>
      <x:c r="S531" s="47"/>
      <x:c r="T531" s="60"/>
      <x:c r="U531" s="58"/>
      <x:c r="V531" s="47"/>
      <x:c r="W531" s="60"/>
      <x:c r="X531" s="58"/>
      <x:c r="Y531" s="47"/>
      <x:c r="Z531" s="60"/>
      <x:c r="AA531" s="58"/>
      <x:c r="AB531" s="47"/>
      <x:c r="AC531" s="60"/>
      <x:c r="AD531" s="58"/>
      <x:c r="AE531" s="47"/>
      <x:c r="AF531" s="60"/>
      <x:c r="AG531" s="58"/>
      <x:c r="AH531" s="47"/>
      <x:c r="AI531" s="60"/>
      <x:c r="AJ531" s="58"/>
      <x:c r="AK531" s="47"/>
      <x:c r="AL531" s="60"/>
      <x:c r="AM531" s="58"/>
      <x:c r="AN531" s="47"/>
      <x:c r="AO531" s="60"/>
      <x:c r="AP531" s="58"/>
      <x:c r="AQ531" s="47"/>
      <x:c r="AR531" s="60"/>
      <x:c r="AS531" s="58"/>
      <x:c r="AT531" s="47"/>
      <x:c r="AU531" s="60"/>
      <x:c r="AV531" s="58"/>
      <x:c r="AW531" s="47"/>
      <x:c r="AX531" s="60"/>
      <x:c r="AY531" s="58"/>
      <x:c r="AZ531" s="47"/>
      <x:c r="BA531" s="60"/>
      <x:c r="BB531" s="58"/>
      <x:c r="BC531" s="47"/>
      <x:c r="BD531" s="60"/>
      <x:c r="BE531" s="58"/>
      <x:c r="BF531" s="47"/>
      <x:c r="BG531" s="60"/>
      <x:c r="BH531" s="58"/>
      <x:c r="BI531" s="47"/>
      <x:c r="BJ531" s="60"/>
      <x:c r="BK531" s="58"/>
      <x:c r="BL531" s="47"/>
      <x:c r="BM531" s="60"/>
      <x:c r="BN531" s="58"/>
      <x:c r="BO531" s="47"/>
      <x:c r="BP531" s="60"/>
      <x:c r="BQ531" s="58"/>
      <x:c r="BR531" s="47"/>
      <x:c r="BS531" s="60"/>
      <x:c r="BT531" s="58"/>
      <x:c r="BU531" s="47"/>
      <x:c r="BV531" s="60"/>
      <x:c r="BW531" s="58"/>
      <x:c r="BX531" s="47"/>
      <x:c r="BY531" s="60"/>
      <x:c r="BZ531" s="58"/>
      <x:c r="CA531" s="47"/>
      <x:c r="CB531" s="60"/>
      <x:c r="CC531" s="58"/>
      <x:c r="CD531" s="47"/>
      <x:c r="CE531" s="60"/>
      <x:c r="CF531" s="58"/>
      <x:c r="CG531" s="47"/>
      <x:c r="CH531" s="60"/>
      <x:c r="CI531" s="58"/>
      <x:c r="CJ531" s="47"/>
      <x:c r="CK531" s="60"/>
      <x:c r="CL531" s="58"/>
      <x:c r="CM531" s="47"/>
      <x:c r="CN531" s="60"/>
      <x:c r="CO531" s="58"/>
      <x:c r="CP531" s="47"/>
      <x:c r="CQ531" s="60"/>
      <x:c r="CR531" s="58"/>
      <x:c r="CS531" s="47"/>
      <x:c r="CT531" s="60"/>
      <x:c r="CU531" s="58"/>
      <x:c r="CV531" s="47"/>
      <x:c r="CW531" s="60"/>
      <x:c r="CX531" s="58"/>
      <x:c r="CY531" s="47"/>
      <x:c r="CZ531" s="60"/>
      <x:c r="DA531" s="58"/>
      <x:c r="DB531" s="47"/>
      <x:c r="DC531" s="60"/>
      <x:c r="DD531" s="58"/>
      <x:c r="DE531" s="47"/>
      <x:c r="DF531" s="60"/>
      <x:c r="DG531" s="58"/>
      <x:c r="DH531" s="47"/>
      <x:c r="DI531" s="60"/>
      <x:c r="DJ531" s="58"/>
      <x:c r="DK531" s="47"/>
      <x:c r="DL531" s="60"/>
      <x:c r="DM531" s="58"/>
      <x:c r="DN531" s="11"/>
      <x:c r="DO531" s="61"/>
      <x:c r="DP531" s="62"/>
      <x:c r="DQ531" s="11"/>
      <x:c r="DR531" s="61"/>
      <x:c r="DS531" s="62"/>
      <x:c r="DT531" s="11"/>
      <x:c r="DU531" s="61"/>
      <x:c r="DV531" s="62"/>
    </x:row>
    <x:row r="532" spans="1:126" x14ac:dyDescent="0.3">
      <x:c r="A532" s="47"/>
      <x:c r="B532" s="70"/>
      <x:c r="C532" s="70"/>
      <x:c r="D532" s="70"/>
      <x:c r="E532" s="70"/>
      <x:c r="F532" s="70"/>
      <x:c r="G532" s="70"/>
      <x:c r="H532" s="70"/>
      <x:c r="I532" s="70"/>
      <x:c r="J532" s="70"/>
      <x:c r="K532" s="190"/>
      <x:c r="L532" s="195"/>
      <x:c r="M532" s="192"/>
      <x:c r="N532" s="192"/>
      <x:c r="O532" s="69"/>
      <x:c r="P532" s="47"/>
      <x:c r="Q532" s="60"/>
      <x:c r="R532" s="58"/>
      <x:c r="S532" s="47"/>
      <x:c r="T532" s="60"/>
      <x:c r="U532" s="58"/>
      <x:c r="V532" s="47"/>
      <x:c r="W532" s="60"/>
      <x:c r="X532" s="58"/>
      <x:c r="Y532" s="47"/>
      <x:c r="Z532" s="60"/>
      <x:c r="AA532" s="58"/>
      <x:c r="AB532" s="47"/>
      <x:c r="AC532" s="60"/>
      <x:c r="AD532" s="58"/>
      <x:c r="AE532" s="47"/>
      <x:c r="AF532" s="60"/>
      <x:c r="AG532" s="58"/>
      <x:c r="AH532" s="47"/>
      <x:c r="AI532" s="60"/>
      <x:c r="AJ532" s="58"/>
      <x:c r="AK532" s="47"/>
      <x:c r="AL532" s="60"/>
      <x:c r="AM532" s="58"/>
      <x:c r="AN532" s="47"/>
      <x:c r="AO532" s="60"/>
      <x:c r="AP532" s="58"/>
      <x:c r="AQ532" s="47"/>
      <x:c r="AR532" s="60"/>
      <x:c r="AS532" s="58"/>
      <x:c r="AT532" s="47"/>
      <x:c r="AU532" s="60"/>
      <x:c r="AV532" s="58"/>
      <x:c r="AW532" s="47"/>
      <x:c r="AX532" s="60"/>
      <x:c r="AY532" s="58"/>
      <x:c r="AZ532" s="47"/>
      <x:c r="BA532" s="60"/>
      <x:c r="BB532" s="58"/>
      <x:c r="BC532" s="47"/>
      <x:c r="BD532" s="60"/>
      <x:c r="BE532" s="58"/>
      <x:c r="BF532" s="47"/>
      <x:c r="BG532" s="60"/>
      <x:c r="BH532" s="58"/>
      <x:c r="BI532" s="47"/>
      <x:c r="BJ532" s="60"/>
      <x:c r="BK532" s="58"/>
      <x:c r="BL532" s="47"/>
      <x:c r="BM532" s="60"/>
      <x:c r="BN532" s="58"/>
      <x:c r="BO532" s="47"/>
      <x:c r="BP532" s="60"/>
      <x:c r="BQ532" s="58"/>
      <x:c r="BR532" s="47"/>
      <x:c r="BS532" s="60"/>
      <x:c r="BT532" s="58"/>
      <x:c r="BU532" s="47"/>
      <x:c r="BV532" s="60"/>
      <x:c r="BW532" s="58"/>
      <x:c r="BX532" s="47"/>
      <x:c r="BY532" s="60"/>
      <x:c r="BZ532" s="58"/>
      <x:c r="CA532" s="47"/>
      <x:c r="CB532" s="60"/>
      <x:c r="CC532" s="58"/>
      <x:c r="CD532" s="47"/>
      <x:c r="CE532" s="60"/>
      <x:c r="CF532" s="58"/>
      <x:c r="CG532" s="47"/>
      <x:c r="CH532" s="60"/>
      <x:c r="CI532" s="58"/>
      <x:c r="CJ532" s="47"/>
      <x:c r="CK532" s="60"/>
      <x:c r="CL532" s="58"/>
      <x:c r="CM532" s="47"/>
      <x:c r="CN532" s="60"/>
      <x:c r="CO532" s="58"/>
      <x:c r="CP532" s="47"/>
      <x:c r="CQ532" s="60"/>
      <x:c r="CR532" s="58"/>
      <x:c r="CS532" s="47"/>
      <x:c r="CT532" s="60"/>
      <x:c r="CU532" s="58"/>
      <x:c r="CV532" s="47"/>
      <x:c r="CW532" s="60"/>
      <x:c r="CX532" s="58"/>
      <x:c r="CY532" s="47"/>
      <x:c r="CZ532" s="60"/>
      <x:c r="DA532" s="58"/>
      <x:c r="DB532" s="47"/>
      <x:c r="DC532" s="60"/>
      <x:c r="DD532" s="58"/>
      <x:c r="DE532" s="47"/>
      <x:c r="DF532" s="60"/>
      <x:c r="DG532" s="58"/>
      <x:c r="DH532" s="47"/>
      <x:c r="DI532" s="60"/>
      <x:c r="DJ532" s="58"/>
      <x:c r="DK532" s="47"/>
      <x:c r="DL532" s="60"/>
      <x:c r="DM532" s="58"/>
      <x:c r="DN532" s="11"/>
      <x:c r="DO532" s="61"/>
      <x:c r="DP532" s="62"/>
      <x:c r="DQ532" s="11"/>
      <x:c r="DR532" s="61"/>
      <x:c r="DS532" s="62"/>
      <x:c r="DT532" s="11"/>
      <x:c r="DU532" s="61"/>
      <x:c r="DV532" s="62"/>
    </x:row>
    <x:row r="533" spans="1:126" x14ac:dyDescent="0.3">
      <x:c r="A533" s="47"/>
      <x:c r="B533" s="70"/>
      <x:c r="C533" s="70"/>
      <x:c r="D533" s="70"/>
      <x:c r="E533" s="70"/>
      <x:c r="F533" s="70"/>
      <x:c r="G533" s="70"/>
      <x:c r="H533" s="70"/>
      <x:c r="I533" s="70"/>
      <x:c r="J533" s="70"/>
      <x:c r="K533" s="190"/>
      <x:c r="L533" s="195"/>
      <x:c r="M533" s="192"/>
      <x:c r="N533" s="192"/>
      <x:c r="O533" s="69"/>
      <x:c r="P533" s="47"/>
      <x:c r="Q533" s="60"/>
      <x:c r="R533" s="58"/>
      <x:c r="S533" s="47"/>
      <x:c r="T533" s="60"/>
      <x:c r="U533" s="58"/>
      <x:c r="V533" s="47"/>
      <x:c r="W533" s="60"/>
      <x:c r="X533" s="58"/>
      <x:c r="Y533" s="47"/>
      <x:c r="Z533" s="60"/>
      <x:c r="AA533" s="58"/>
      <x:c r="AB533" s="47"/>
      <x:c r="AC533" s="60"/>
      <x:c r="AD533" s="58"/>
      <x:c r="AE533" s="47"/>
      <x:c r="AF533" s="60"/>
      <x:c r="AG533" s="58"/>
      <x:c r="AH533" s="47"/>
      <x:c r="AI533" s="60"/>
      <x:c r="AJ533" s="58"/>
      <x:c r="AK533" s="47"/>
      <x:c r="AL533" s="60"/>
      <x:c r="AM533" s="58"/>
      <x:c r="AN533" s="47"/>
      <x:c r="AO533" s="60"/>
      <x:c r="AP533" s="58"/>
      <x:c r="AQ533" s="47"/>
      <x:c r="AR533" s="60"/>
      <x:c r="AS533" s="58"/>
      <x:c r="AT533" s="47"/>
      <x:c r="AU533" s="60"/>
      <x:c r="AV533" s="58"/>
      <x:c r="AW533" s="47"/>
      <x:c r="AX533" s="60"/>
      <x:c r="AY533" s="58"/>
      <x:c r="AZ533" s="47"/>
      <x:c r="BA533" s="60"/>
      <x:c r="BB533" s="58"/>
      <x:c r="BC533" s="47"/>
      <x:c r="BD533" s="60"/>
      <x:c r="BE533" s="58"/>
      <x:c r="BF533" s="47"/>
      <x:c r="BG533" s="60"/>
      <x:c r="BH533" s="58"/>
      <x:c r="BI533" s="47"/>
      <x:c r="BJ533" s="60"/>
      <x:c r="BK533" s="58"/>
      <x:c r="BL533" s="47"/>
      <x:c r="BM533" s="60"/>
      <x:c r="BN533" s="58"/>
      <x:c r="BO533" s="47"/>
      <x:c r="BP533" s="60"/>
      <x:c r="BQ533" s="58"/>
      <x:c r="BR533" s="47"/>
      <x:c r="BS533" s="60"/>
      <x:c r="BT533" s="58"/>
      <x:c r="BU533" s="47"/>
      <x:c r="BV533" s="60"/>
      <x:c r="BW533" s="58"/>
      <x:c r="BX533" s="47"/>
      <x:c r="BY533" s="60"/>
      <x:c r="BZ533" s="58"/>
      <x:c r="CA533" s="47"/>
      <x:c r="CB533" s="60"/>
      <x:c r="CC533" s="58"/>
      <x:c r="CD533" s="47"/>
      <x:c r="CE533" s="60"/>
      <x:c r="CF533" s="58"/>
      <x:c r="CG533" s="47"/>
      <x:c r="CH533" s="60"/>
      <x:c r="CI533" s="58"/>
      <x:c r="CJ533" s="47"/>
      <x:c r="CK533" s="60"/>
      <x:c r="CL533" s="58"/>
      <x:c r="CM533" s="47"/>
      <x:c r="CN533" s="60"/>
      <x:c r="CO533" s="58"/>
      <x:c r="CP533" s="47"/>
      <x:c r="CQ533" s="60"/>
      <x:c r="CR533" s="58"/>
      <x:c r="CS533" s="47"/>
      <x:c r="CT533" s="60"/>
      <x:c r="CU533" s="58"/>
      <x:c r="CV533" s="47"/>
      <x:c r="CW533" s="60"/>
      <x:c r="CX533" s="58"/>
      <x:c r="CY533" s="47"/>
      <x:c r="CZ533" s="60"/>
      <x:c r="DA533" s="58"/>
      <x:c r="DB533" s="47"/>
      <x:c r="DC533" s="60"/>
      <x:c r="DD533" s="58"/>
      <x:c r="DE533" s="47"/>
      <x:c r="DF533" s="60"/>
      <x:c r="DG533" s="58"/>
      <x:c r="DH533" s="47"/>
      <x:c r="DI533" s="60"/>
      <x:c r="DJ533" s="58"/>
      <x:c r="DK533" s="47"/>
      <x:c r="DL533" s="60"/>
      <x:c r="DM533" s="58"/>
      <x:c r="DN533" s="11"/>
      <x:c r="DO533" s="61"/>
      <x:c r="DP533" s="62"/>
      <x:c r="DQ533" s="11"/>
      <x:c r="DR533" s="61"/>
      <x:c r="DS533" s="62"/>
      <x:c r="DT533" s="11"/>
      <x:c r="DU533" s="61"/>
      <x:c r="DV533" s="62"/>
    </x:row>
    <x:row r="534" spans="1:126" x14ac:dyDescent="0.3">
      <x:c r="A534" s="47"/>
      <x:c r="B534" s="70"/>
      <x:c r="C534" s="70"/>
      <x:c r="D534" s="70"/>
      <x:c r="E534" s="70"/>
      <x:c r="F534" s="70"/>
      <x:c r="G534" s="70"/>
      <x:c r="H534" s="70"/>
      <x:c r="I534" s="70"/>
      <x:c r="J534" s="70"/>
      <x:c r="K534" s="190"/>
      <x:c r="L534" s="195"/>
      <x:c r="M534" s="192"/>
      <x:c r="N534" s="192"/>
      <x:c r="O534" s="69"/>
      <x:c r="P534" s="47"/>
      <x:c r="Q534" s="60"/>
      <x:c r="R534" s="58"/>
      <x:c r="S534" s="47"/>
      <x:c r="T534" s="60"/>
      <x:c r="U534" s="58"/>
      <x:c r="V534" s="47"/>
      <x:c r="W534" s="60"/>
      <x:c r="X534" s="58"/>
      <x:c r="Y534" s="47"/>
      <x:c r="Z534" s="60"/>
      <x:c r="AA534" s="58"/>
      <x:c r="AB534" s="47"/>
      <x:c r="AC534" s="60"/>
      <x:c r="AD534" s="58"/>
      <x:c r="AE534" s="47"/>
      <x:c r="AF534" s="60"/>
      <x:c r="AG534" s="58"/>
      <x:c r="AH534" s="47"/>
      <x:c r="AI534" s="60"/>
      <x:c r="AJ534" s="58"/>
      <x:c r="AK534" s="47"/>
      <x:c r="AL534" s="60"/>
      <x:c r="AM534" s="58"/>
      <x:c r="AN534" s="47"/>
      <x:c r="AO534" s="60"/>
      <x:c r="AP534" s="58"/>
      <x:c r="AQ534" s="47"/>
      <x:c r="AR534" s="60"/>
      <x:c r="AS534" s="58"/>
      <x:c r="AT534" s="47"/>
      <x:c r="AU534" s="60"/>
      <x:c r="AV534" s="58"/>
      <x:c r="AW534" s="47"/>
      <x:c r="AX534" s="60"/>
      <x:c r="AY534" s="58"/>
      <x:c r="AZ534" s="47"/>
      <x:c r="BA534" s="60"/>
      <x:c r="BB534" s="58"/>
      <x:c r="BC534" s="47"/>
      <x:c r="BD534" s="60"/>
      <x:c r="BE534" s="58"/>
      <x:c r="BF534" s="47"/>
      <x:c r="BG534" s="60"/>
      <x:c r="BH534" s="58"/>
      <x:c r="BI534" s="47"/>
      <x:c r="BJ534" s="60"/>
      <x:c r="BK534" s="58"/>
      <x:c r="BL534" s="47"/>
      <x:c r="BM534" s="60"/>
      <x:c r="BN534" s="58"/>
      <x:c r="BO534" s="47"/>
      <x:c r="BP534" s="60"/>
      <x:c r="BQ534" s="58"/>
      <x:c r="BR534" s="47"/>
      <x:c r="BS534" s="60"/>
      <x:c r="BT534" s="58"/>
      <x:c r="BU534" s="47"/>
      <x:c r="BV534" s="60"/>
      <x:c r="BW534" s="58"/>
      <x:c r="BX534" s="47"/>
      <x:c r="BY534" s="60"/>
      <x:c r="BZ534" s="58"/>
      <x:c r="CA534" s="47"/>
      <x:c r="CB534" s="60"/>
      <x:c r="CC534" s="58"/>
      <x:c r="CD534" s="47"/>
      <x:c r="CE534" s="60"/>
      <x:c r="CF534" s="58"/>
      <x:c r="CG534" s="47"/>
      <x:c r="CH534" s="60"/>
      <x:c r="CI534" s="58"/>
      <x:c r="CJ534" s="47"/>
      <x:c r="CK534" s="60"/>
      <x:c r="CL534" s="58"/>
      <x:c r="CM534" s="47"/>
      <x:c r="CN534" s="60"/>
      <x:c r="CO534" s="58"/>
      <x:c r="CP534" s="47"/>
      <x:c r="CQ534" s="60"/>
      <x:c r="CR534" s="58"/>
      <x:c r="CS534" s="47"/>
      <x:c r="CT534" s="60"/>
      <x:c r="CU534" s="58"/>
      <x:c r="CV534" s="47"/>
      <x:c r="CW534" s="60"/>
      <x:c r="CX534" s="58"/>
      <x:c r="CY534" s="47"/>
      <x:c r="CZ534" s="60"/>
      <x:c r="DA534" s="58"/>
      <x:c r="DB534" s="47"/>
      <x:c r="DC534" s="60"/>
      <x:c r="DD534" s="58"/>
      <x:c r="DE534" s="47"/>
      <x:c r="DF534" s="60"/>
      <x:c r="DG534" s="58"/>
      <x:c r="DH534" s="47"/>
      <x:c r="DI534" s="60"/>
      <x:c r="DJ534" s="58"/>
      <x:c r="DK534" s="47"/>
      <x:c r="DL534" s="60"/>
      <x:c r="DM534" s="58"/>
      <x:c r="DN534" s="11"/>
      <x:c r="DO534" s="61"/>
      <x:c r="DP534" s="62"/>
      <x:c r="DQ534" s="11"/>
      <x:c r="DR534" s="61"/>
      <x:c r="DS534" s="62"/>
      <x:c r="DT534" s="11"/>
      <x:c r="DU534" s="61"/>
      <x:c r="DV534" s="62"/>
    </x:row>
    <x:row r="535" spans="1:126" x14ac:dyDescent="0.3">
      <x:c r="A535" s="47"/>
      <x:c r="B535" s="70"/>
      <x:c r="C535" s="70"/>
      <x:c r="D535" s="70"/>
      <x:c r="E535" s="70"/>
      <x:c r="F535" s="70"/>
      <x:c r="G535" s="70"/>
      <x:c r="H535" s="70"/>
      <x:c r="I535" s="70"/>
      <x:c r="J535" s="70"/>
      <x:c r="K535" s="190"/>
      <x:c r="L535" s="195"/>
      <x:c r="M535" s="192"/>
      <x:c r="N535" s="192"/>
      <x:c r="O535" s="69"/>
      <x:c r="P535" s="47"/>
      <x:c r="Q535" s="60"/>
      <x:c r="R535" s="58"/>
      <x:c r="S535" s="47"/>
      <x:c r="T535" s="60"/>
      <x:c r="U535" s="58"/>
      <x:c r="V535" s="47"/>
      <x:c r="W535" s="60"/>
      <x:c r="X535" s="58"/>
      <x:c r="Y535" s="47"/>
      <x:c r="Z535" s="60"/>
      <x:c r="AA535" s="58"/>
      <x:c r="AB535" s="47"/>
      <x:c r="AC535" s="60"/>
      <x:c r="AD535" s="58"/>
      <x:c r="AE535" s="47"/>
      <x:c r="AF535" s="60"/>
      <x:c r="AG535" s="58"/>
      <x:c r="AH535" s="47"/>
      <x:c r="AI535" s="60"/>
      <x:c r="AJ535" s="58"/>
      <x:c r="AK535" s="47"/>
      <x:c r="AL535" s="60"/>
      <x:c r="AM535" s="58"/>
      <x:c r="AN535" s="47"/>
      <x:c r="AO535" s="60"/>
      <x:c r="AP535" s="58"/>
      <x:c r="AQ535" s="47"/>
      <x:c r="AR535" s="60"/>
      <x:c r="AS535" s="58"/>
      <x:c r="AT535" s="47"/>
      <x:c r="AU535" s="60"/>
      <x:c r="AV535" s="58"/>
      <x:c r="AW535" s="47"/>
      <x:c r="AX535" s="60"/>
      <x:c r="AY535" s="58"/>
      <x:c r="AZ535" s="47"/>
      <x:c r="BA535" s="60"/>
      <x:c r="BB535" s="58"/>
      <x:c r="BC535" s="47"/>
      <x:c r="BD535" s="60"/>
      <x:c r="BE535" s="58"/>
      <x:c r="BF535" s="47"/>
      <x:c r="BG535" s="60"/>
      <x:c r="BH535" s="58"/>
      <x:c r="BI535" s="47"/>
      <x:c r="BJ535" s="60"/>
      <x:c r="BK535" s="58"/>
      <x:c r="BL535" s="47"/>
      <x:c r="BM535" s="60"/>
      <x:c r="BN535" s="58"/>
      <x:c r="BO535" s="47"/>
      <x:c r="BP535" s="60"/>
      <x:c r="BQ535" s="58"/>
      <x:c r="BR535" s="47"/>
      <x:c r="BS535" s="60"/>
      <x:c r="BT535" s="58"/>
      <x:c r="BU535" s="47"/>
      <x:c r="BV535" s="60"/>
      <x:c r="BW535" s="58"/>
      <x:c r="BX535" s="47"/>
      <x:c r="BY535" s="60"/>
      <x:c r="BZ535" s="58"/>
      <x:c r="CA535" s="47"/>
      <x:c r="CB535" s="60"/>
      <x:c r="CC535" s="58"/>
      <x:c r="CD535" s="47"/>
      <x:c r="CE535" s="60"/>
      <x:c r="CF535" s="58"/>
      <x:c r="CG535" s="47"/>
      <x:c r="CH535" s="60"/>
      <x:c r="CI535" s="58"/>
      <x:c r="CJ535" s="47"/>
      <x:c r="CK535" s="60"/>
      <x:c r="CL535" s="58"/>
      <x:c r="CM535" s="47"/>
      <x:c r="CN535" s="60"/>
      <x:c r="CO535" s="58"/>
      <x:c r="CP535" s="47"/>
      <x:c r="CQ535" s="60"/>
      <x:c r="CR535" s="58"/>
      <x:c r="CS535" s="47"/>
      <x:c r="CT535" s="60"/>
      <x:c r="CU535" s="58"/>
      <x:c r="CV535" s="47"/>
      <x:c r="CW535" s="60"/>
      <x:c r="CX535" s="58"/>
      <x:c r="CY535" s="47"/>
      <x:c r="CZ535" s="60"/>
      <x:c r="DA535" s="58"/>
      <x:c r="DB535" s="47"/>
      <x:c r="DC535" s="60"/>
      <x:c r="DD535" s="58"/>
      <x:c r="DE535" s="47"/>
      <x:c r="DF535" s="60"/>
      <x:c r="DG535" s="58"/>
      <x:c r="DH535" s="47"/>
      <x:c r="DI535" s="60"/>
      <x:c r="DJ535" s="58"/>
      <x:c r="DK535" s="47"/>
      <x:c r="DL535" s="60"/>
      <x:c r="DM535" s="58"/>
      <x:c r="DN535" s="11"/>
      <x:c r="DO535" s="61"/>
      <x:c r="DP535" s="62"/>
      <x:c r="DQ535" s="11"/>
      <x:c r="DR535" s="61"/>
      <x:c r="DS535" s="62"/>
      <x:c r="DT535" s="11"/>
      <x:c r="DU535" s="61"/>
      <x:c r="DV535" s="62"/>
    </x:row>
    <x:row r="536" spans="1:126" x14ac:dyDescent="0.3">
      <x:c r="A536" s="47"/>
      <x:c r="B536" s="70"/>
      <x:c r="C536" s="70"/>
      <x:c r="D536" s="70"/>
      <x:c r="E536" s="70"/>
      <x:c r="F536" s="70"/>
      <x:c r="G536" s="70"/>
      <x:c r="H536" s="70"/>
      <x:c r="I536" s="70"/>
      <x:c r="J536" s="70"/>
      <x:c r="K536" s="190"/>
      <x:c r="L536" s="195"/>
      <x:c r="M536" s="192"/>
      <x:c r="N536" s="192"/>
      <x:c r="O536" s="69"/>
      <x:c r="P536" s="47"/>
      <x:c r="Q536" s="60"/>
      <x:c r="R536" s="58"/>
      <x:c r="S536" s="47"/>
      <x:c r="T536" s="60"/>
      <x:c r="U536" s="58"/>
      <x:c r="V536" s="47"/>
      <x:c r="W536" s="60"/>
      <x:c r="X536" s="58"/>
      <x:c r="Y536" s="47"/>
      <x:c r="Z536" s="60"/>
      <x:c r="AA536" s="58"/>
      <x:c r="AB536" s="47"/>
      <x:c r="AC536" s="60"/>
      <x:c r="AD536" s="58"/>
      <x:c r="AE536" s="47"/>
      <x:c r="AF536" s="60"/>
      <x:c r="AG536" s="58"/>
      <x:c r="AH536" s="47"/>
      <x:c r="AI536" s="60"/>
      <x:c r="AJ536" s="58"/>
      <x:c r="AK536" s="47"/>
      <x:c r="AL536" s="60"/>
      <x:c r="AM536" s="58"/>
      <x:c r="AN536" s="47"/>
      <x:c r="AO536" s="60"/>
      <x:c r="AP536" s="58"/>
      <x:c r="AQ536" s="47"/>
      <x:c r="AR536" s="60"/>
      <x:c r="AS536" s="58"/>
      <x:c r="AT536" s="47"/>
      <x:c r="AU536" s="60"/>
      <x:c r="AV536" s="58"/>
      <x:c r="AW536" s="47"/>
      <x:c r="AX536" s="60"/>
      <x:c r="AY536" s="58"/>
      <x:c r="AZ536" s="47"/>
      <x:c r="BA536" s="60"/>
      <x:c r="BB536" s="58"/>
      <x:c r="BC536" s="47"/>
      <x:c r="BD536" s="60"/>
      <x:c r="BE536" s="58"/>
      <x:c r="BF536" s="47"/>
      <x:c r="BG536" s="60"/>
      <x:c r="BH536" s="58"/>
      <x:c r="BI536" s="47"/>
      <x:c r="BJ536" s="60"/>
      <x:c r="BK536" s="58"/>
      <x:c r="BL536" s="47"/>
      <x:c r="BM536" s="60"/>
      <x:c r="BN536" s="58"/>
      <x:c r="BO536" s="47"/>
      <x:c r="BP536" s="60"/>
      <x:c r="BQ536" s="58"/>
      <x:c r="BR536" s="47"/>
      <x:c r="BS536" s="60"/>
      <x:c r="BT536" s="58"/>
      <x:c r="BU536" s="47"/>
      <x:c r="BV536" s="60"/>
      <x:c r="BW536" s="58"/>
      <x:c r="BX536" s="47"/>
      <x:c r="BY536" s="60"/>
      <x:c r="BZ536" s="58"/>
      <x:c r="CA536" s="47"/>
      <x:c r="CB536" s="60"/>
      <x:c r="CC536" s="58"/>
      <x:c r="CD536" s="47"/>
      <x:c r="CE536" s="60"/>
      <x:c r="CF536" s="58"/>
      <x:c r="CG536" s="47"/>
      <x:c r="CH536" s="60"/>
      <x:c r="CI536" s="58"/>
      <x:c r="CJ536" s="47"/>
      <x:c r="CK536" s="60"/>
      <x:c r="CL536" s="58"/>
      <x:c r="CM536" s="47"/>
      <x:c r="CN536" s="60"/>
      <x:c r="CO536" s="58"/>
      <x:c r="CP536" s="47"/>
      <x:c r="CQ536" s="60"/>
      <x:c r="CR536" s="58"/>
      <x:c r="CS536" s="47"/>
      <x:c r="CT536" s="60"/>
      <x:c r="CU536" s="58"/>
      <x:c r="CV536" s="47"/>
      <x:c r="CW536" s="60"/>
      <x:c r="CX536" s="58"/>
      <x:c r="CY536" s="47"/>
      <x:c r="CZ536" s="60"/>
      <x:c r="DA536" s="58"/>
      <x:c r="DB536" s="47"/>
      <x:c r="DC536" s="60"/>
      <x:c r="DD536" s="58"/>
      <x:c r="DE536" s="47"/>
      <x:c r="DF536" s="60"/>
      <x:c r="DG536" s="58"/>
      <x:c r="DH536" s="47"/>
      <x:c r="DI536" s="60"/>
      <x:c r="DJ536" s="58"/>
      <x:c r="DK536" s="47"/>
      <x:c r="DL536" s="60"/>
      <x:c r="DM536" s="58"/>
      <x:c r="DN536" s="11"/>
      <x:c r="DO536" s="61"/>
      <x:c r="DP536" s="62"/>
      <x:c r="DQ536" s="11"/>
      <x:c r="DR536" s="61"/>
      <x:c r="DS536" s="62"/>
      <x:c r="DT536" s="11"/>
      <x:c r="DU536" s="61"/>
      <x:c r="DV536" s="62"/>
    </x:row>
    <x:row r="537" spans="1:126" x14ac:dyDescent="0.3">
      <x:c r="A537" s="47"/>
      <x:c r="B537" s="70"/>
      <x:c r="C537" s="70"/>
      <x:c r="D537" s="70"/>
      <x:c r="E537" s="70"/>
      <x:c r="F537" s="70"/>
      <x:c r="G537" s="70"/>
      <x:c r="H537" s="70"/>
      <x:c r="I537" s="70"/>
      <x:c r="J537" s="70"/>
      <x:c r="K537" s="190"/>
      <x:c r="L537" s="195"/>
      <x:c r="M537" s="192"/>
      <x:c r="N537" s="192"/>
      <x:c r="O537" s="69"/>
      <x:c r="P537" s="47"/>
      <x:c r="Q537" s="60"/>
      <x:c r="R537" s="58"/>
      <x:c r="S537" s="47"/>
      <x:c r="T537" s="60"/>
      <x:c r="U537" s="58"/>
      <x:c r="V537" s="47"/>
      <x:c r="W537" s="60"/>
      <x:c r="X537" s="58"/>
      <x:c r="Y537" s="47"/>
      <x:c r="Z537" s="60"/>
      <x:c r="AA537" s="58"/>
      <x:c r="AB537" s="47"/>
      <x:c r="AC537" s="60"/>
      <x:c r="AD537" s="58"/>
      <x:c r="AE537" s="47"/>
      <x:c r="AF537" s="60"/>
      <x:c r="AG537" s="58"/>
      <x:c r="AH537" s="47"/>
      <x:c r="AI537" s="60"/>
      <x:c r="AJ537" s="58"/>
      <x:c r="AK537" s="47"/>
      <x:c r="AL537" s="60"/>
      <x:c r="AM537" s="58"/>
      <x:c r="AN537" s="47"/>
      <x:c r="AO537" s="60"/>
      <x:c r="AP537" s="58"/>
      <x:c r="AQ537" s="47"/>
      <x:c r="AR537" s="60"/>
      <x:c r="AS537" s="58"/>
      <x:c r="AT537" s="47"/>
      <x:c r="AU537" s="60"/>
      <x:c r="AV537" s="58"/>
      <x:c r="AW537" s="47"/>
      <x:c r="AX537" s="60"/>
      <x:c r="AY537" s="58"/>
      <x:c r="AZ537" s="47"/>
      <x:c r="BA537" s="60"/>
      <x:c r="BB537" s="58"/>
      <x:c r="BC537" s="47"/>
      <x:c r="BD537" s="60"/>
      <x:c r="BE537" s="58"/>
      <x:c r="BF537" s="47"/>
      <x:c r="BG537" s="60"/>
      <x:c r="BH537" s="58"/>
      <x:c r="BI537" s="47"/>
      <x:c r="BJ537" s="60"/>
      <x:c r="BK537" s="58"/>
      <x:c r="BL537" s="47"/>
      <x:c r="BM537" s="60"/>
      <x:c r="BN537" s="58"/>
      <x:c r="BO537" s="47"/>
      <x:c r="BP537" s="60"/>
      <x:c r="BQ537" s="58"/>
      <x:c r="BR537" s="47"/>
      <x:c r="BS537" s="60"/>
      <x:c r="BT537" s="58"/>
      <x:c r="BU537" s="47"/>
      <x:c r="BV537" s="60"/>
      <x:c r="BW537" s="58"/>
      <x:c r="BX537" s="47"/>
      <x:c r="BY537" s="60"/>
      <x:c r="BZ537" s="58"/>
      <x:c r="CA537" s="47"/>
      <x:c r="CB537" s="60"/>
      <x:c r="CC537" s="58"/>
      <x:c r="CD537" s="47"/>
      <x:c r="CE537" s="60"/>
      <x:c r="CF537" s="58"/>
      <x:c r="CG537" s="47"/>
      <x:c r="CH537" s="60"/>
      <x:c r="CI537" s="58"/>
      <x:c r="CJ537" s="47"/>
      <x:c r="CK537" s="60"/>
      <x:c r="CL537" s="58"/>
      <x:c r="CM537" s="47"/>
      <x:c r="CN537" s="60"/>
      <x:c r="CO537" s="58"/>
      <x:c r="CP537" s="47"/>
      <x:c r="CQ537" s="60"/>
      <x:c r="CR537" s="58"/>
      <x:c r="CS537" s="47"/>
      <x:c r="CT537" s="60"/>
      <x:c r="CU537" s="58"/>
      <x:c r="CV537" s="47"/>
      <x:c r="CW537" s="60"/>
      <x:c r="CX537" s="58"/>
      <x:c r="CY537" s="47"/>
      <x:c r="CZ537" s="60"/>
      <x:c r="DA537" s="58"/>
      <x:c r="DB537" s="47"/>
      <x:c r="DC537" s="60"/>
      <x:c r="DD537" s="58"/>
      <x:c r="DE537" s="47"/>
      <x:c r="DF537" s="60"/>
      <x:c r="DG537" s="58"/>
      <x:c r="DH537" s="47"/>
      <x:c r="DI537" s="60"/>
      <x:c r="DJ537" s="58"/>
      <x:c r="DK537" s="47"/>
      <x:c r="DL537" s="60"/>
      <x:c r="DM537" s="58"/>
      <x:c r="DN537" s="11"/>
      <x:c r="DO537" s="61"/>
      <x:c r="DP537" s="62"/>
      <x:c r="DQ537" s="11"/>
      <x:c r="DR537" s="61"/>
      <x:c r="DS537" s="62"/>
      <x:c r="DT537" s="11"/>
      <x:c r="DU537" s="61"/>
      <x:c r="DV537" s="62"/>
    </x:row>
    <x:row r="538" spans="1:126" x14ac:dyDescent="0.3">
      <x:c r="A538" s="47"/>
      <x:c r="B538" s="70"/>
      <x:c r="C538" s="70"/>
      <x:c r="D538" s="70"/>
      <x:c r="E538" s="70"/>
      <x:c r="F538" s="70"/>
      <x:c r="G538" s="70"/>
      <x:c r="H538" s="70"/>
      <x:c r="I538" s="70"/>
      <x:c r="J538" s="70"/>
      <x:c r="K538" s="190"/>
      <x:c r="L538" s="195"/>
      <x:c r="M538" s="192"/>
      <x:c r="N538" s="192"/>
      <x:c r="O538" s="69"/>
      <x:c r="P538" s="47"/>
      <x:c r="Q538" s="60"/>
      <x:c r="R538" s="58"/>
      <x:c r="S538" s="47"/>
      <x:c r="T538" s="60"/>
      <x:c r="U538" s="58"/>
      <x:c r="V538" s="47"/>
      <x:c r="W538" s="60"/>
      <x:c r="X538" s="58"/>
      <x:c r="Y538" s="47"/>
      <x:c r="Z538" s="60"/>
      <x:c r="AA538" s="58"/>
      <x:c r="AB538" s="47"/>
      <x:c r="AC538" s="60"/>
      <x:c r="AD538" s="58"/>
      <x:c r="AE538" s="47"/>
      <x:c r="AF538" s="60"/>
      <x:c r="AG538" s="58"/>
      <x:c r="AH538" s="47"/>
      <x:c r="AI538" s="60"/>
      <x:c r="AJ538" s="58"/>
      <x:c r="AK538" s="47"/>
      <x:c r="AL538" s="60"/>
      <x:c r="AM538" s="58"/>
      <x:c r="AN538" s="47"/>
      <x:c r="AO538" s="60"/>
      <x:c r="AP538" s="58"/>
      <x:c r="AQ538" s="47"/>
      <x:c r="AR538" s="60"/>
      <x:c r="AS538" s="58"/>
      <x:c r="AT538" s="47"/>
      <x:c r="AU538" s="60"/>
      <x:c r="AV538" s="58"/>
      <x:c r="AW538" s="47"/>
      <x:c r="AX538" s="60"/>
      <x:c r="AY538" s="58"/>
      <x:c r="AZ538" s="47"/>
      <x:c r="BA538" s="60"/>
      <x:c r="BB538" s="58"/>
      <x:c r="BC538" s="47"/>
      <x:c r="BD538" s="60"/>
      <x:c r="BE538" s="58"/>
      <x:c r="BF538" s="47"/>
      <x:c r="BG538" s="60"/>
      <x:c r="BH538" s="58"/>
      <x:c r="BI538" s="47"/>
      <x:c r="BJ538" s="60"/>
      <x:c r="BK538" s="58"/>
      <x:c r="BL538" s="47"/>
      <x:c r="BM538" s="60"/>
      <x:c r="BN538" s="58"/>
      <x:c r="BO538" s="47"/>
      <x:c r="BP538" s="60"/>
      <x:c r="BQ538" s="58"/>
      <x:c r="BR538" s="47"/>
      <x:c r="BS538" s="60"/>
      <x:c r="BT538" s="58"/>
      <x:c r="BU538" s="47"/>
      <x:c r="BV538" s="60"/>
      <x:c r="BW538" s="58"/>
      <x:c r="BX538" s="47"/>
      <x:c r="BY538" s="60"/>
      <x:c r="BZ538" s="58"/>
      <x:c r="CA538" s="47"/>
      <x:c r="CB538" s="60"/>
      <x:c r="CC538" s="58"/>
      <x:c r="CD538" s="47"/>
      <x:c r="CE538" s="60"/>
      <x:c r="CF538" s="58"/>
      <x:c r="CG538" s="47"/>
      <x:c r="CH538" s="60"/>
      <x:c r="CI538" s="58"/>
      <x:c r="CJ538" s="47"/>
      <x:c r="CK538" s="60"/>
      <x:c r="CL538" s="58"/>
      <x:c r="CM538" s="47"/>
      <x:c r="CN538" s="60"/>
      <x:c r="CO538" s="58"/>
      <x:c r="CP538" s="47"/>
      <x:c r="CQ538" s="60"/>
      <x:c r="CR538" s="58"/>
      <x:c r="CS538" s="47"/>
      <x:c r="CT538" s="60"/>
      <x:c r="CU538" s="58"/>
      <x:c r="CV538" s="47"/>
      <x:c r="CW538" s="60"/>
      <x:c r="CX538" s="58"/>
      <x:c r="CY538" s="47"/>
      <x:c r="CZ538" s="60"/>
      <x:c r="DA538" s="58"/>
      <x:c r="DB538" s="47"/>
      <x:c r="DC538" s="60"/>
      <x:c r="DD538" s="58"/>
      <x:c r="DE538" s="47"/>
      <x:c r="DF538" s="60"/>
      <x:c r="DG538" s="58"/>
      <x:c r="DH538" s="47"/>
      <x:c r="DI538" s="60"/>
      <x:c r="DJ538" s="58"/>
      <x:c r="DK538" s="47"/>
      <x:c r="DL538" s="60"/>
      <x:c r="DM538" s="58"/>
      <x:c r="DN538" s="11"/>
      <x:c r="DO538" s="61"/>
      <x:c r="DP538" s="62"/>
      <x:c r="DQ538" s="11"/>
      <x:c r="DR538" s="61"/>
      <x:c r="DS538" s="62"/>
      <x:c r="DT538" s="11"/>
      <x:c r="DU538" s="61"/>
      <x:c r="DV538" s="62"/>
    </x:row>
    <x:row r="539" spans="1:126" x14ac:dyDescent="0.3">
      <x:c r="A539" s="47"/>
      <x:c r="B539" s="70"/>
      <x:c r="C539" s="70"/>
      <x:c r="D539" s="70"/>
      <x:c r="E539" s="70"/>
      <x:c r="F539" s="70"/>
      <x:c r="G539" s="70"/>
      <x:c r="H539" s="70"/>
      <x:c r="I539" s="70"/>
      <x:c r="J539" s="70"/>
      <x:c r="K539" s="190"/>
      <x:c r="L539" s="195"/>
      <x:c r="M539" s="192"/>
      <x:c r="N539" s="192"/>
      <x:c r="O539" s="69"/>
      <x:c r="P539" s="47"/>
      <x:c r="Q539" s="60"/>
      <x:c r="R539" s="58"/>
      <x:c r="S539" s="47"/>
      <x:c r="T539" s="60"/>
      <x:c r="U539" s="58"/>
      <x:c r="V539" s="47"/>
      <x:c r="W539" s="60"/>
      <x:c r="X539" s="58"/>
      <x:c r="Y539" s="47"/>
      <x:c r="Z539" s="60"/>
      <x:c r="AA539" s="58"/>
      <x:c r="AB539" s="47"/>
      <x:c r="AC539" s="60"/>
      <x:c r="AD539" s="58"/>
      <x:c r="AE539" s="47"/>
      <x:c r="AF539" s="60"/>
      <x:c r="AG539" s="58"/>
      <x:c r="AH539" s="47"/>
      <x:c r="AI539" s="60"/>
      <x:c r="AJ539" s="58"/>
      <x:c r="AK539" s="47"/>
      <x:c r="AL539" s="60"/>
      <x:c r="AM539" s="58"/>
      <x:c r="AN539" s="47"/>
      <x:c r="AO539" s="60"/>
      <x:c r="AP539" s="58"/>
      <x:c r="AQ539" s="47"/>
      <x:c r="AR539" s="60"/>
      <x:c r="AS539" s="58"/>
      <x:c r="AT539" s="47"/>
      <x:c r="AU539" s="60"/>
      <x:c r="AV539" s="58"/>
      <x:c r="AW539" s="47"/>
      <x:c r="AX539" s="60"/>
      <x:c r="AY539" s="58"/>
      <x:c r="AZ539" s="47"/>
      <x:c r="BA539" s="60"/>
      <x:c r="BB539" s="58"/>
      <x:c r="BC539" s="47"/>
      <x:c r="BD539" s="60"/>
      <x:c r="BE539" s="58"/>
      <x:c r="BF539" s="47"/>
      <x:c r="BG539" s="60"/>
      <x:c r="BH539" s="58"/>
      <x:c r="BI539" s="47"/>
      <x:c r="BJ539" s="60"/>
      <x:c r="BK539" s="58"/>
      <x:c r="BL539" s="47"/>
      <x:c r="BM539" s="60"/>
      <x:c r="BN539" s="58"/>
      <x:c r="BO539" s="47"/>
      <x:c r="BP539" s="60"/>
      <x:c r="BQ539" s="58"/>
      <x:c r="BR539" s="47"/>
      <x:c r="BS539" s="60"/>
      <x:c r="BT539" s="58"/>
      <x:c r="BU539" s="47"/>
      <x:c r="BV539" s="60"/>
      <x:c r="BW539" s="58"/>
      <x:c r="BX539" s="47"/>
      <x:c r="BY539" s="60"/>
      <x:c r="BZ539" s="58"/>
      <x:c r="CA539" s="47"/>
      <x:c r="CB539" s="60"/>
      <x:c r="CC539" s="58"/>
      <x:c r="CD539" s="47"/>
      <x:c r="CE539" s="60"/>
      <x:c r="CF539" s="58"/>
      <x:c r="CG539" s="47"/>
      <x:c r="CH539" s="60"/>
      <x:c r="CI539" s="58"/>
      <x:c r="CJ539" s="47"/>
      <x:c r="CK539" s="60"/>
      <x:c r="CL539" s="58"/>
      <x:c r="CM539" s="47"/>
      <x:c r="CN539" s="60"/>
      <x:c r="CO539" s="58"/>
      <x:c r="CP539" s="47"/>
      <x:c r="CQ539" s="60"/>
      <x:c r="CR539" s="58"/>
      <x:c r="CS539" s="47"/>
      <x:c r="CT539" s="60"/>
      <x:c r="CU539" s="58"/>
      <x:c r="CV539" s="47"/>
      <x:c r="CW539" s="60"/>
      <x:c r="CX539" s="58"/>
      <x:c r="CY539" s="47"/>
      <x:c r="CZ539" s="60"/>
      <x:c r="DA539" s="58"/>
      <x:c r="DB539" s="47"/>
      <x:c r="DC539" s="60"/>
      <x:c r="DD539" s="58"/>
      <x:c r="DE539" s="47"/>
      <x:c r="DF539" s="60"/>
      <x:c r="DG539" s="58"/>
      <x:c r="DH539" s="47"/>
      <x:c r="DI539" s="60"/>
      <x:c r="DJ539" s="58"/>
      <x:c r="DK539" s="47"/>
      <x:c r="DL539" s="60"/>
      <x:c r="DM539" s="58"/>
      <x:c r="DN539" s="11"/>
      <x:c r="DO539" s="61"/>
      <x:c r="DP539" s="62"/>
      <x:c r="DQ539" s="11"/>
      <x:c r="DR539" s="61"/>
      <x:c r="DS539" s="62"/>
      <x:c r="DT539" s="11"/>
      <x:c r="DU539" s="61"/>
      <x:c r="DV539" s="62"/>
    </x:row>
    <x:row r="540" spans="1:126" x14ac:dyDescent="0.3">
      <x:c r="A540" s="47"/>
      <x:c r="B540" s="70"/>
      <x:c r="C540" s="70"/>
      <x:c r="D540" s="70"/>
      <x:c r="E540" s="70"/>
      <x:c r="F540" s="70"/>
      <x:c r="G540" s="70"/>
      <x:c r="H540" s="70"/>
      <x:c r="I540" s="70"/>
      <x:c r="J540" s="70"/>
      <x:c r="K540" s="190"/>
      <x:c r="L540" s="195"/>
      <x:c r="M540" s="192"/>
      <x:c r="N540" s="192"/>
      <x:c r="O540" s="69"/>
      <x:c r="P540" s="47"/>
      <x:c r="Q540" s="60"/>
      <x:c r="R540" s="58"/>
      <x:c r="S540" s="47"/>
      <x:c r="T540" s="60"/>
      <x:c r="U540" s="58"/>
      <x:c r="V540" s="47"/>
      <x:c r="W540" s="60"/>
      <x:c r="X540" s="58"/>
      <x:c r="Y540" s="47"/>
      <x:c r="Z540" s="60"/>
      <x:c r="AA540" s="58"/>
      <x:c r="AB540" s="47"/>
      <x:c r="AC540" s="60"/>
      <x:c r="AD540" s="58"/>
      <x:c r="AE540" s="47"/>
      <x:c r="AF540" s="60"/>
      <x:c r="AG540" s="58"/>
      <x:c r="AH540" s="47"/>
      <x:c r="AI540" s="60"/>
      <x:c r="AJ540" s="58"/>
      <x:c r="AK540" s="47"/>
      <x:c r="AL540" s="60"/>
      <x:c r="AM540" s="58"/>
      <x:c r="AN540" s="47"/>
      <x:c r="AO540" s="60"/>
      <x:c r="AP540" s="58"/>
      <x:c r="AQ540" s="47"/>
      <x:c r="AR540" s="60"/>
      <x:c r="AS540" s="58"/>
      <x:c r="AT540" s="47"/>
      <x:c r="AU540" s="60"/>
      <x:c r="AV540" s="58"/>
      <x:c r="AW540" s="47"/>
      <x:c r="AX540" s="60"/>
      <x:c r="AY540" s="58"/>
      <x:c r="AZ540" s="47"/>
      <x:c r="BA540" s="60"/>
      <x:c r="BB540" s="58"/>
      <x:c r="BC540" s="47"/>
      <x:c r="BD540" s="60"/>
      <x:c r="BE540" s="58"/>
      <x:c r="BF540" s="47"/>
      <x:c r="BG540" s="60"/>
      <x:c r="BH540" s="58"/>
      <x:c r="BI540" s="47"/>
      <x:c r="BJ540" s="60"/>
      <x:c r="BK540" s="58"/>
      <x:c r="BL540" s="47"/>
      <x:c r="BM540" s="60"/>
      <x:c r="BN540" s="58"/>
      <x:c r="BO540" s="47"/>
      <x:c r="BP540" s="60"/>
      <x:c r="BQ540" s="58"/>
      <x:c r="BR540" s="47"/>
      <x:c r="BS540" s="60"/>
      <x:c r="BT540" s="58"/>
      <x:c r="BU540" s="47"/>
      <x:c r="BV540" s="60"/>
      <x:c r="BW540" s="58"/>
      <x:c r="BX540" s="47"/>
      <x:c r="BY540" s="60"/>
      <x:c r="BZ540" s="58"/>
      <x:c r="CA540" s="47"/>
      <x:c r="CB540" s="60"/>
      <x:c r="CC540" s="58"/>
      <x:c r="CD540" s="47"/>
      <x:c r="CE540" s="60"/>
      <x:c r="CF540" s="58"/>
      <x:c r="CG540" s="47"/>
      <x:c r="CH540" s="60"/>
      <x:c r="CI540" s="58"/>
      <x:c r="CJ540" s="47"/>
      <x:c r="CK540" s="60"/>
      <x:c r="CL540" s="58"/>
      <x:c r="CM540" s="47"/>
      <x:c r="CN540" s="60"/>
      <x:c r="CO540" s="58"/>
      <x:c r="CP540" s="47"/>
      <x:c r="CQ540" s="60"/>
      <x:c r="CR540" s="58"/>
      <x:c r="CS540" s="47"/>
      <x:c r="CT540" s="60"/>
      <x:c r="CU540" s="58"/>
      <x:c r="CV540" s="47"/>
      <x:c r="CW540" s="60"/>
      <x:c r="CX540" s="58"/>
      <x:c r="CY540" s="47"/>
      <x:c r="CZ540" s="60"/>
      <x:c r="DA540" s="58"/>
      <x:c r="DB540" s="47"/>
      <x:c r="DC540" s="60"/>
      <x:c r="DD540" s="58"/>
      <x:c r="DE540" s="47"/>
      <x:c r="DF540" s="60"/>
      <x:c r="DG540" s="58"/>
      <x:c r="DH540" s="47"/>
      <x:c r="DI540" s="60"/>
      <x:c r="DJ540" s="58"/>
      <x:c r="DK540" s="47"/>
      <x:c r="DL540" s="60"/>
      <x:c r="DM540" s="58"/>
      <x:c r="DN540" s="11"/>
      <x:c r="DO540" s="61"/>
      <x:c r="DP540" s="62"/>
      <x:c r="DQ540" s="11"/>
      <x:c r="DR540" s="61"/>
      <x:c r="DS540" s="62"/>
      <x:c r="DT540" s="11"/>
      <x:c r="DU540" s="61"/>
      <x:c r="DV540" s="62"/>
    </x:row>
    <x:row r="541" spans="1:126" x14ac:dyDescent="0.3">
      <x:c r="A541" s="47"/>
      <x:c r="B541" s="70"/>
      <x:c r="C541" s="70"/>
      <x:c r="D541" s="70"/>
      <x:c r="E541" s="70"/>
      <x:c r="F541" s="70"/>
      <x:c r="G541" s="70"/>
      <x:c r="H541" s="70"/>
      <x:c r="I541" s="70"/>
      <x:c r="J541" s="70"/>
      <x:c r="K541" s="190"/>
      <x:c r="L541" s="195"/>
      <x:c r="M541" s="192"/>
      <x:c r="N541" s="192"/>
      <x:c r="O541" s="69"/>
      <x:c r="P541" s="47"/>
      <x:c r="Q541" s="60"/>
      <x:c r="R541" s="58"/>
      <x:c r="S541" s="47"/>
      <x:c r="T541" s="60"/>
      <x:c r="U541" s="58"/>
      <x:c r="V541" s="47"/>
      <x:c r="W541" s="60"/>
      <x:c r="X541" s="58"/>
      <x:c r="Y541" s="47"/>
      <x:c r="Z541" s="60"/>
      <x:c r="AA541" s="58"/>
      <x:c r="AB541" s="47"/>
      <x:c r="AC541" s="60"/>
      <x:c r="AD541" s="58"/>
      <x:c r="AE541" s="47"/>
      <x:c r="AF541" s="60"/>
      <x:c r="AG541" s="58"/>
      <x:c r="AH541" s="47"/>
      <x:c r="AI541" s="60"/>
      <x:c r="AJ541" s="58"/>
      <x:c r="AK541" s="47"/>
      <x:c r="AL541" s="60"/>
      <x:c r="AM541" s="58"/>
      <x:c r="AN541" s="47"/>
      <x:c r="AO541" s="60"/>
      <x:c r="AP541" s="58"/>
      <x:c r="AQ541" s="47"/>
      <x:c r="AR541" s="60"/>
      <x:c r="AS541" s="58"/>
      <x:c r="AT541" s="47"/>
      <x:c r="AU541" s="60"/>
      <x:c r="AV541" s="58"/>
      <x:c r="AW541" s="47"/>
      <x:c r="AX541" s="60"/>
      <x:c r="AY541" s="58"/>
      <x:c r="AZ541" s="47"/>
      <x:c r="BA541" s="60"/>
      <x:c r="BB541" s="58"/>
      <x:c r="BC541" s="47"/>
      <x:c r="BD541" s="60"/>
      <x:c r="BE541" s="58"/>
      <x:c r="BF541" s="47"/>
      <x:c r="BG541" s="60"/>
      <x:c r="BH541" s="58"/>
      <x:c r="BI541" s="47"/>
      <x:c r="BJ541" s="60"/>
      <x:c r="BK541" s="58"/>
      <x:c r="BL541" s="47"/>
      <x:c r="BM541" s="60"/>
      <x:c r="BN541" s="58"/>
      <x:c r="BO541" s="47"/>
      <x:c r="BP541" s="60"/>
      <x:c r="BQ541" s="58"/>
      <x:c r="BR541" s="47"/>
      <x:c r="BS541" s="60"/>
      <x:c r="BT541" s="58"/>
      <x:c r="BU541" s="47"/>
      <x:c r="BV541" s="60"/>
      <x:c r="BW541" s="58"/>
      <x:c r="BX541" s="47"/>
      <x:c r="BY541" s="60"/>
      <x:c r="BZ541" s="58"/>
      <x:c r="CA541" s="47"/>
      <x:c r="CB541" s="60"/>
      <x:c r="CC541" s="58"/>
      <x:c r="CD541" s="47"/>
      <x:c r="CE541" s="60"/>
      <x:c r="CF541" s="58"/>
      <x:c r="CG541" s="47"/>
      <x:c r="CH541" s="60"/>
      <x:c r="CI541" s="58"/>
      <x:c r="CJ541" s="47"/>
      <x:c r="CK541" s="60"/>
      <x:c r="CL541" s="58"/>
      <x:c r="CM541" s="47"/>
      <x:c r="CN541" s="60"/>
      <x:c r="CO541" s="58"/>
      <x:c r="CP541" s="47"/>
      <x:c r="CQ541" s="60"/>
      <x:c r="CR541" s="58"/>
      <x:c r="CS541" s="47"/>
      <x:c r="CT541" s="60"/>
      <x:c r="CU541" s="58"/>
      <x:c r="CV541" s="47"/>
      <x:c r="CW541" s="60"/>
      <x:c r="CX541" s="58"/>
      <x:c r="CY541" s="47"/>
      <x:c r="CZ541" s="60"/>
      <x:c r="DA541" s="58"/>
      <x:c r="DB541" s="47"/>
      <x:c r="DC541" s="60"/>
      <x:c r="DD541" s="58"/>
      <x:c r="DE541" s="47"/>
      <x:c r="DF541" s="60"/>
      <x:c r="DG541" s="58"/>
      <x:c r="DH541" s="47"/>
      <x:c r="DI541" s="60"/>
      <x:c r="DJ541" s="58"/>
      <x:c r="DK541" s="47"/>
      <x:c r="DL541" s="60"/>
      <x:c r="DM541" s="58"/>
      <x:c r="DN541" s="11"/>
      <x:c r="DO541" s="61"/>
      <x:c r="DP541" s="62"/>
      <x:c r="DQ541" s="11"/>
      <x:c r="DR541" s="61"/>
      <x:c r="DS541" s="62"/>
      <x:c r="DT541" s="11"/>
      <x:c r="DU541" s="61"/>
      <x:c r="DV541" s="62"/>
    </x:row>
    <x:row r="542" spans="1:126" x14ac:dyDescent="0.3">
      <x:c r="A542" s="47"/>
      <x:c r="B542" s="70"/>
      <x:c r="C542" s="70"/>
      <x:c r="D542" s="70"/>
      <x:c r="E542" s="70"/>
      <x:c r="F542" s="70"/>
      <x:c r="G542" s="70"/>
      <x:c r="H542" s="70"/>
      <x:c r="I542" s="70"/>
      <x:c r="J542" s="70"/>
      <x:c r="K542" s="190"/>
      <x:c r="L542" s="195"/>
      <x:c r="M542" s="192"/>
      <x:c r="N542" s="192"/>
      <x:c r="O542" s="69"/>
      <x:c r="P542" s="47"/>
      <x:c r="Q542" s="60"/>
      <x:c r="R542" s="58"/>
      <x:c r="S542" s="47"/>
      <x:c r="T542" s="60"/>
      <x:c r="U542" s="58"/>
      <x:c r="V542" s="47"/>
      <x:c r="W542" s="60"/>
      <x:c r="X542" s="58"/>
      <x:c r="Y542" s="47"/>
      <x:c r="Z542" s="60"/>
      <x:c r="AA542" s="58"/>
      <x:c r="AB542" s="47"/>
      <x:c r="AC542" s="60"/>
      <x:c r="AD542" s="58"/>
      <x:c r="AE542" s="47"/>
      <x:c r="AF542" s="60"/>
      <x:c r="AG542" s="58"/>
      <x:c r="AH542" s="47"/>
      <x:c r="AI542" s="60"/>
      <x:c r="AJ542" s="58"/>
      <x:c r="AK542" s="47"/>
      <x:c r="AL542" s="60"/>
      <x:c r="AM542" s="58"/>
      <x:c r="AN542" s="47"/>
      <x:c r="AO542" s="60"/>
      <x:c r="AP542" s="58"/>
      <x:c r="AQ542" s="47"/>
      <x:c r="AR542" s="60"/>
      <x:c r="AS542" s="58"/>
      <x:c r="AT542" s="47"/>
      <x:c r="AU542" s="60"/>
      <x:c r="AV542" s="58"/>
      <x:c r="AW542" s="47"/>
      <x:c r="AX542" s="60"/>
      <x:c r="AY542" s="58"/>
      <x:c r="AZ542" s="47"/>
      <x:c r="BA542" s="60"/>
      <x:c r="BB542" s="58"/>
      <x:c r="BC542" s="47"/>
      <x:c r="BD542" s="60"/>
      <x:c r="BE542" s="58"/>
      <x:c r="BF542" s="47"/>
      <x:c r="BG542" s="60"/>
      <x:c r="BH542" s="58"/>
      <x:c r="BI542" s="47"/>
      <x:c r="BJ542" s="60"/>
      <x:c r="BK542" s="58"/>
      <x:c r="BL542" s="47"/>
      <x:c r="BM542" s="60"/>
      <x:c r="BN542" s="58"/>
      <x:c r="BO542" s="47"/>
      <x:c r="BP542" s="60"/>
      <x:c r="BQ542" s="58"/>
      <x:c r="BR542" s="47"/>
      <x:c r="BS542" s="60"/>
      <x:c r="BT542" s="58"/>
      <x:c r="BU542" s="47"/>
      <x:c r="BV542" s="60"/>
      <x:c r="BW542" s="58"/>
      <x:c r="BX542" s="47"/>
      <x:c r="BY542" s="60"/>
      <x:c r="BZ542" s="58"/>
      <x:c r="CA542" s="47"/>
      <x:c r="CB542" s="60"/>
      <x:c r="CC542" s="58"/>
      <x:c r="CD542" s="47"/>
      <x:c r="CE542" s="60"/>
      <x:c r="CF542" s="58"/>
      <x:c r="CG542" s="47"/>
      <x:c r="CH542" s="60"/>
      <x:c r="CI542" s="58"/>
      <x:c r="CJ542" s="47"/>
      <x:c r="CK542" s="60"/>
      <x:c r="CL542" s="58"/>
      <x:c r="CM542" s="47"/>
      <x:c r="CN542" s="60"/>
      <x:c r="CO542" s="58"/>
      <x:c r="CP542" s="47"/>
      <x:c r="CQ542" s="60"/>
      <x:c r="CR542" s="58"/>
      <x:c r="CS542" s="47"/>
      <x:c r="CT542" s="60"/>
      <x:c r="CU542" s="58"/>
      <x:c r="CV542" s="47"/>
      <x:c r="CW542" s="60"/>
      <x:c r="CX542" s="58"/>
      <x:c r="CY542" s="47"/>
      <x:c r="CZ542" s="60"/>
      <x:c r="DA542" s="58"/>
      <x:c r="DB542" s="47"/>
      <x:c r="DC542" s="60"/>
      <x:c r="DD542" s="58"/>
      <x:c r="DE542" s="47"/>
      <x:c r="DF542" s="60"/>
      <x:c r="DG542" s="58"/>
      <x:c r="DH542" s="47"/>
      <x:c r="DI542" s="60"/>
      <x:c r="DJ542" s="58"/>
      <x:c r="DK542" s="47"/>
      <x:c r="DL542" s="60"/>
      <x:c r="DM542" s="58"/>
      <x:c r="DN542" s="11"/>
      <x:c r="DO542" s="61"/>
      <x:c r="DP542" s="62"/>
      <x:c r="DQ542" s="11"/>
      <x:c r="DR542" s="61"/>
      <x:c r="DS542" s="62"/>
      <x:c r="DT542" s="11"/>
      <x:c r="DU542" s="61"/>
      <x:c r="DV542" s="62"/>
    </x:row>
    <x:row r="543" spans="1:126" x14ac:dyDescent="0.3">
      <x:c r="A543" s="47"/>
      <x:c r="B543" s="70"/>
      <x:c r="C543" s="70"/>
      <x:c r="D543" s="70"/>
      <x:c r="E543" s="70"/>
      <x:c r="F543" s="70"/>
      <x:c r="G543" s="70"/>
      <x:c r="H543" s="70"/>
      <x:c r="I543" s="70"/>
      <x:c r="J543" s="70"/>
      <x:c r="K543" s="190"/>
      <x:c r="L543" s="195"/>
      <x:c r="M543" s="192"/>
      <x:c r="N543" s="192"/>
      <x:c r="O543" s="69"/>
      <x:c r="P543" s="47"/>
      <x:c r="Q543" s="60"/>
      <x:c r="R543" s="58"/>
      <x:c r="S543" s="47"/>
      <x:c r="T543" s="60"/>
      <x:c r="U543" s="58"/>
      <x:c r="V543" s="47"/>
      <x:c r="W543" s="60"/>
      <x:c r="X543" s="58"/>
      <x:c r="Y543" s="47"/>
      <x:c r="Z543" s="60"/>
      <x:c r="AA543" s="58"/>
      <x:c r="AB543" s="47"/>
      <x:c r="AC543" s="60"/>
      <x:c r="AD543" s="58"/>
      <x:c r="AE543" s="47"/>
      <x:c r="AF543" s="60"/>
      <x:c r="AG543" s="58"/>
      <x:c r="AH543" s="47"/>
      <x:c r="AI543" s="60"/>
      <x:c r="AJ543" s="58"/>
      <x:c r="AK543" s="47"/>
      <x:c r="AL543" s="60"/>
      <x:c r="AM543" s="58"/>
      <x:c r="AN543" s="47"/>
      <x:c r="AO543" s="60"/>
      <x:c r="AP543" s="58"/>
      <x:c r="AQ543" s="47"/>
      <x:c r="AR543" s="60"/>
      <x:c r="AS543" s="58"/>
      <x:c r="AT543" s="47"/>
      <x:c r="AU543" s="60"/>
      <x:c r="AV543" s="58"/>
      <x:c r="AW543" s="47"/>
      <x:c r="AX543" s="60"/>
      <x:c r="AY543" s="58"/>
      <x:c r="AZ543" s="47"/>
      <x:c r="BA543" s="60"/>
      <x:c r="BB543" s="58"/>
      <x:c r="BC543" s="47"/>
      <x:c r="BD543" s="60"/>
      <x:c r="BE543" s="58"/>
      <x:c r="BF543" s="47"/>
      <x:c r="BG543" s="60"/>
      <x:c r="BH543" s="58"/>
      <x:c r="BI543" s="47"/>
      <x:c r="BJ543" s="60"/>
      <x:c r="BK543" s="58"/>
      <x:c r="BL543" s="47"/>
      <x:c r="BM543" s="60"/>
      <x:c r="BN543" s="58"/>
      <x:c r="BO543" s="47"/>
      <x:c r="BP543" s="60"/>
      <x:c r="BQ543" s="58"/>
      <x:c r="BR543" s="47"/>
      <x:c r="BS543" s="60"/>
      <x:c r="BT543" s="58"/>
      <x:c r="BU543" s="47"/>
      <x:c r="BV543" s="60"/>
      <x:c r="BW543" s="58"/>
      <x:c r="BX543" s="47"/>
      <x:c r="BY543" s="60"/>
      <x:c r="BZ543" s="58"/>
      <x:c r="CA543" s="47"/>
      <x:c r="CB543" s="60"/>
      <x:c r="CC543" s="58"/>
      <x:c r="CD543" s="47"/>
      <x:c r="CE543" s="60"/>
      <x:c r="CF543" s="58"/>
      <x:c r="CG543" s="47"/>
      <x:c r="CH543" s="60"/>
      <x:c r="CI543" s="58"/>
      <x:c r="CJ543" s="47"/>
      <x:c r="CK543" s="60"/>
      <x:c r="CL543" s="58"/>
      <x:c r="CM543" s="47"/>
      <x:c r="CN543" s="60"/>
      <x:c r="CO543" s="58"/>
      <x:c r="CP543" s="47"/>
      <x:c r="CQ543" s="60"/>
      <x:c r="CR543" s="58"/>
      <x:c r="CS543" s="47"/>
      <x:c r="CT543" s="60"/>
      <x:c r="CU543" s="58"/>
      <x:c r="CV543" s="47"/>
      <x:c r="CW543" s="60"/>
      <x:c r="CX543" s="58"/>
      <x:c r="CY543" s="47"/>
      <x:c r="CZ543" s="60"/>
      <x:c r="DA543" s="58"/>
      <x:c r="DB543" s="47"/>
      <x:c r="DC543" s="60"/>
      <x:c r="DD543" s="58"/>
      <x:c r="DE543" s="47"/>
      <x:c r="DF543" s="60"/>
      <x:c r="DG543" s="58"/>
      <x:c r="DH543" s="47"/>
      <x:c r="DI543" s="60"/>
      <x:c r="DJ543" s="58"/>
      <x:c r="DK543" s="47"/>
      <x:c r="DL543" s="60"/>
      <x:c r="DM543" s="58"/>
      <x:c r="DN543" s="11"/>
      <x:c r="DO543" s="61"/>
      <x:c r="DP543" s="62"/>
      <x:c r="DQ543" s="11"/>
      <x:c r="DR543" s="61"/>
      <x:c r="DS543" s="62"/>
      <x:c r="DT543" s="11"/>
      <x:c r="DU543" s="61"/>
      <x:c r="DV543" s="62"/>
    </x:row>
    <x:row r="544" spans="1:126" x14ac:dyDescent="0.3">
      <x:c r="A544" s="47"/>
      <x:c r="B544" s="70"/>
      <x:c r="C544" s="70"/>
      <x:c r="D544" s="70"/>
      <x:c r="E544" s="70"/>
      <x:c r="F544" s="70"/>
      <x:c r="G544" s="70"/>
      <x:c r="H544" s="70"/>
      <x:c r="I544" s="70"/>
      <x:c r="J544" s="70"/>
      <x:c r="K544" s="190"/>
      <x:c r="L544" s="195"/>
      <x:c r="M544" s="192"/>
      <x:c r="N544" s="192"/>
      <x:c r="O544" s="69"/>
      <x:c r="P544" s="47"/>
      <x:c r="Q544" s="60"/>
      <x:c r="R544" s="58"/>
      <x:c r="S544" s="47"/>
      <x:c r="T544" s="60"/>
      <x:c r="U544" s="58"/>
      <x:c r="V544" s="47"/>
      <x:c r="W544" s="60"/>
      <x:c r="X544" s="58"/>
      <x:c r="Y544" s="47"/>
      <x:c r="Z544" s="60"/>
      <x:c r="AA544" s="58"/>
      <x:c r="AB544" s="47"/>
      <x:c r="AC544" s="60"/>
      <x:c r="AD544" s="58"/>
      <x:c r="AE544" s="47"/>
      <x:c r="AF544" s="60"/>
      <x:c r="AG544" s="58"/>
      <x:c r="AH544" s="47"/>
      <x:c r="AI544" s="60"/>
      <x:c r="AJ544" s="58"/>
      <x:c r="AK544" s="47"/>
      <x:c r="AL544" s="60"/>
      <x:c r="AM544" s="58"/>
      <x:c r="AN544" s="47"/>
      <x:c r="AO544" s="60"/>
      <x:c r="AP544" s="58"/>
      <x:c r="AQ544" s="47"/>
      <x:c r="AR544" s="60"/>
      <x:c r="AS544" s="58"/>
      <x:c r="AT544" s="47"/>
      <x:c r="AU544" s="60"/>
      <x:c r="AV544" s="58"/>
      <x:c r="AW544" s="47"/>
      <x:c r="AX544" s="60"/>
      <x:c r="AY544" s="58"/>
      <x:c r="AZ544" s="47"/>
      <x:c r="BA544" s="60"/>
      <x:c r="BB544" s="58"/>
      <x:c r="BC544" s="47"/>
      <x:c r="BD544" s="60"/>
      <x:c r="BE544" s="58"/>
      <x:c r="BF544" s="47"/>
      <x:c r="BG544" s="60"/>
      <x:c r="BH544" s="58"/>
      <x:c r="BI544" s="47"/>
      <x:c r="BJ544" s="60"/>
      <x:c r="BK544" s="58"/>
      <x:c r="BL544" s="47"/>
      <x:c r="BM544" s="60"/>
      <x:c r="BN544" s="58"/>
      <x:c r="BO544" s="47"/>
      <x:c r="BP544" s="60"/>
      <x:c r="BQ544" s="58"/>
      <x:c r="BR544" s="47"/>
      <x:c r="BS544" s="60"/>
      <x:c r="BT544" s="58"/>
      <x:c r="BU544" s="47"/>
      <x:c r="BV544" s="60"/>
      <x:c r="BW544" s="58"/>
      <x:c r="BX544" s="47"/>
      <x:c r="BY544" s="60"/>
      <x:c r="BZ544" s="58"/>
      <x:c r="CA544" s="47"/>
      <x:c r="CB544" s="60"/>
      <x:c r="CC544" s="58"/>
      <x:c r="CD544" s="47"/>
      <x:c r="CE544" s="60"/>
      <x:c r="CF544" s="58"/>
      <x:c r="CG544" s="47"/>
      <x:c r="CH544" s="60"/>
      <x:c r="CI544" s="58"/>
      <x:c r="CJ544" s="47"/>
      <x:c r="CK544" s="60"/>
      <x:c r="CL544" s="58"/>
      <x:c r="CM544" s="47"/>
      <x:c r="CN544" s="60"/>
      <x:c r="CO544" s="58"/>
      <x:c r="CP544" s="47"/>
      <x:c r="CQ544" s="60"/>
      <x:c r="CR544" s="58"/>
      <x:c r="CS544" s="47"/>
      <x:c r="CT544" s="60"/>
      <x:c r="CU544" s="58"/>
      <x:c r="CV544" s="47"/>
      <x:c r="CW544" s="60"/>
      <x:c r="CX544" s="58"/>
      <x:c r="CY544" s="47"/>
      <x:c r="CZ544" s="60"/>
      <x:c r="DA544" s="58"/>
      <x:c r="DB544" s="47"/>
      <x:c r="DC544" s="60"/>
      <x:c r="DD544" s="58"/>
      <x:c r="DE544" s="47"/>
      <x:c r="DF544" s="60"/>
      <x:c r="DG544" s="58"/>
      <x:c r="DH544" s="47"/>
      <x:c r="DI544" s="60"/>
      <x:c r="DJ544" s="58"/>
      <x:c r="DK544" s="47"/>
      <x:c r="DL544" s="60"/>
      <x:c r="DM544" s="58"/>
      <x:c r="DN544" s="11"/>
      <x:c r="DO544" s="61"/>
      <x:c r="DP544" s="62"/>
      <x:c r="DQ544" s="11"/>
      <x:c r="DR544" s="61"/>
      <x:c r="DS544" s="62"/>
      <x:c r="DT544" s="11"/>
      <x:c r="DU544" s="61"/>
      <x:c r="DV544" s="62"/>
    </x:row>
    <x:row r="545" spans="1:126" x14ac:dyDescent="0.3">
      <x:c r="A545" s="47"/>
      <x:c r="B545" s="70"/>
      <x:c r="C545" s="70"/>
      <x:c r="D545" s="70"/>
      <x:c r="E545" s="70"/>
      <x:c r="F545" s="70"/>
      <x:c r="G545" s="70"/>
      <x:c r="H545" s="70"/>
      <x:c r="I545" s="70"/>
      <x:c r="J545" s="70"/>
      <x:c r="K545" s="190"/>
      <x:c r="L545" s="195"/>
      <x:c r="M545" s="192"/>
      <x:c r="N545" s="192"/>
      <x:c r="O545" s="69"/>
      <x:c r="P545" s="47"/>
      <x:c r="Q545" s="60"/>
      <x:c r="R545" s="58"/>
      <x:c r="S545" s="47"/>
      <x:c r="T545" s="60"/>
      <x:c r="U545" s="58"/>
      <x:c r="V545" s="47"/>
      <x:c r="W545" s="60"/>
      <x:c r="X545" s="58"/>
      <x:c r="Y545" s="47"/>
      <x:c r="Z545" s="60"/>
      <x:c r="AA545" s="58"/>
      <x:c r="AB545" s="47"/>
      <x:c r="AC545" s="60"/>
      <x:c r="AD545" s="58"/>
      <x:c r="AE545" s="47"/>
      <x:c r="AF545" s="60"/>
      <x:c r="AG545" s="58"/>
      <x:c r="AH545" s="47"/>
      <x:c r="AI545" s="60"/>
      <x:c r="AJ545" s="58"/>
      <x:c r="AK545" s="47"/>
      <x:c r="AL545" s="60"/>
      <x:c r="AM545" s="58"/>
      <x:c r="AN545" s="47"/>
      <x:c r="AO545" s="60"/>
      <x:c r="AP545" s="58"/>
      <x:c r="AQ545" s="47"/>
      <x:c r="AR545" s="60"/>
      <x:c r="AS545" s="58"/>
      <x:c r="AT545" s="47"/>
      <x:c r="AU545" s="60"/>
      <x:c r="AV545" s="58"/>
      <x:c r="AW545" s="47"/>
      <x:c r="AX545" s="60"/>
      <x:c r="AY545" s="58"/>
      <x:c r="AZ545" s="47"/>
      <x:c r="BA545" s="60"/>
      <x:c r="BB545" s="58"/>
      <x:c r="BC545" s="47"/>
      <x:c r="BD545" s="60"/>
      <x:c r="BE545" s="58"/>
      <x:c r="BF545" s="47"/>
      <x:c r="BG545" s="60"/>
      <x:c r="BH545" s="58"/>
      <x:c r="BI545" s="47"/>
      <x:c r="BJ545" s="60"/>
      <x:c r="BK545" s="58"/>
      <x:c r="BL545" s="47"/>
      <x:c r="BM545" s="60"/>
      <x:c r="BN545" s="58"/>
      <x:c r="BO545" s="47"/>
      <x:c r="BP545" s="60"/>
      <x:c r="BQ545" s="58"/>
      <x:c r="BR545" s="47"/>
      <x:c r="BS545" s="60"/>
      <x:c r="BT545" s="58"/>
      <x:c r="BU545" s="47"/>
      <x:c r="BV545" s="60"/>
      <x:c r="BW545" s="58"/>
      <x:c r="BX545" s="47"/>
      <x:c r="BY545" s="60"/>
      <x:c r="BZ545" s="58"/>
      <x:c r="CA545" s="47"/>
      <x:c r="CB545" s="60"/>
      <x:c r="CC545" s="58"/>
      <x:c r="CD545" s="47"/>
      <x:c r="CE545" s="60"/>
      <x:c r="CF545" s="58"/>
      <x:c r="CG545" s="47"/>
      <x:c r="CH545" s="60"/>
      <x:c r="CI545" s="58"/>
      <x:c r="CJ545" s="47"/>
      <x:c r="CK545" s="60"/>
      <x:c r="CL545" s="58"/>
      <x:c r="CM545" s="47"/>
      <x:c r="CN545" s="60"/>
      <x:c r="CO545" s="58"/>
      <x:c r="CP545" s="47"/>
      <x:c r="CQ545" s="60"/>
      <x:c r="CR545" s="58"/>
      <x:c r="CS545" s="47"/>
      <x:c r="CT545" s="60"/>
      <x:c r="CU545" s="58"/>
      <x:c r="CV545" s="47"/>
      <x:c r="CW545" s="60"/>
      <x:c r="CX545" s="58"/>
      <x:c r="CY545" s="47"/>
      <x:c r="CZ545" s="60"/>
      <x:c r="DA545" s="58"/>
      <x:c r="DB545" s="47"/>
      <x:c r="DC545" s="60"/>
      <x:c r="DD545" s="58"/>
      <x:c r="DE545" s="47"/>
      <x:c r="DF545" s="60"/>
      <x:c r="DG545" s="58"/>
      <x:c r="DH545" s="47"/>
      <x:c r="DI545" s="60"/>
      <x:c r="DJ545" s="58"/>
      <x:c r="DK545" s="47"/>
      <x:c r="DL545" s="60"/>
      <x:c r="DM545" s="58"/>
      <x:c r="DN545" s="11"/>
      <x:c r="DO545" s="61"/>
      <x:c r="DP545" s="62"/>
      <x:c r="DQ545" s="11"/>
      <x:c r="DR545" s="61"/>
      <x:c r="DS545" s="62"/>
      <x:c r="DT545" s="11"/>
      <x:c r="DU545" s="61"/>
      <x:c r="DV545" s="62"/>
    </x:row>
    <x:row r="546" spans="1:126" x14ac:dyDescent="0.3">
      <x:c r="A546" s="47"/>
      <x:c r="B546" s="70"/>
      <x:c r="C546" s="70"/>
      <x:c r="D546" s="70"/>
      <x:c r="E546" s="70"/>
      <x:c r="F546" s="70"/>
      <x:c r="G546" s="70"/>
      <x:c r="H546" s="70"/>
      <x:c r="I546" s="70"/>
      <x:c r="J546" s="70"/>
      <x:c r="K546" s="190"/>
      <x:c r="L546" s="195"/>
      <x:c r="M546" s="192"/>
      <x:c r="N546" s="192"/>
      <x:c r="O546" s="69"/>
      <x:c r="P546" s="47"/>
      <x:c r="Q546" s="60"/>
      <x:c r="R546" s="58"/>
      <x:c r="S546" s="47"/>
      <x:c r="T546" s="60"/>
      <x:c r="U546" s="58"/>
      <x:c r="V546" s="47"/>
      <x:c r="W546" s="60"/>
      <x:c r="X546" s="58"/>
      <x:c r="Y546" s="47"/>
      <x:c r="Z546" s="60"/>
      <x:c r="AA546" s="58"/>
      <x:c r="AB546" s="47"/>
      <x:c r="AC546" s="60"/>
      <x:c r="AD546" s="58"/>
      <x:c r="AE546" s="47"/>
      <x:c r="AF546" s="60"/>
      <x:c r="AG546" s="58"/>
      <x:c r="AH546" s="47"/>
      <x:c r="AI546" s="60"/>
      <x:c r="AJ546" s="58"/>
      <x:c r="AK546" s="47"/>
      <x:c r="AL546" s="60"/>
      <x:c r="AM546" s="58"/>
      <x:c r="AN546" s="47"/>
      <x:c r="AO546" s="60"/>
      <x:c r="AP546" s="58"/>
      <x:c r="AQ546" s="47"/>
      <x:c r="AR546" s="60"/>
      <x:c r="AS546" s="58"/>
      <x:c r="AT546" s="47"/>
      <x:c r="AU546" s="60"/>
      <x:c r="AV546" s="58"/>
      <x:c r="AW546" s="47"/>
      <x:c r="AX546" s="60"/>
      <x:c r="AY546" s="58"/>
      <x:c r="AZ546" s="47"/>
      <x:c r="BA546" s="60"/>
      <x:c r="BB546" s="58"/>
      <x:c r="BC546" s="47"/>
      <x:c r="BD546" s="60"/>
      <x:c r="BE546" s="58"/>
      <x:c r="BF546" s="47"/>
      <x:c r="BG546" s="60"/>
      <x:c r="BH546" s="58"/>
      <x:c r="BI546" s="47"/>
      <x:c r="BJ546" s="60"/>
      <x:c r="BK546" s="58"/>
      <x:c r="BL546" s="47"/>
      <x:c r="BM546" s="60"/>
      <x:c r="BN546" s="58"/>
      <x:c r="BO546" s="47"/>
      <x:c r="BP546" s="60"/>
      <x:c r="BQ546" s="58"/>
      <x:c r="BR546" s="47"/>
      <x:c r="BS546" s="60"/>
      <x:c r="BT546" s="58"/>
      <x:c r="BU546" s="47"/>
      <x:c r="BV546" s="60"/>
      <x:c r="BW546" s="58"/>
      <x:c r="BX546" s="47"/>
      <x:c r="BY546" s="60"/>
      <x:c r="BZ546" s="58"/>
      <x:c r="CA546" s="47"/>
      <x:c r="CB546" s="60"/>
      <x:c r="CC546" s="58"/>
      <x:c r="CD546" s="47"/>
      <x:c r="CE546" s="60"/>
      <x:c r="CF546" s="58"/>
      <x:c r="CG546" s="47"/>
      <x:c r="CH546" s="60"/>
      <x:c r="CI546" s="58"/>
      <x:c r="CJ546" s="47"/>
      <x:c r="CK546" s="60"/>
      <x:c r="CL546" s="58"/>
      <x:c r="CM546" s="47"/>
      <x:c r="CN546" s="60"/>
      <x:c r="CO546" s="58"/>
      <x:c r="CP546" s="47"/>
      <x:c r="CQ546" s="60"/>
      <x:c r="CR546" s="58"/>
      <x:c r="CS546" s="47"/>
      <x:c r="CT546" s="60"/>
      <x:c r="CU546" s="58"/>
      <x:c r="CV546" s="47"/>
      <x:c r="CW546" s="60"/>
      <x:c r="CX546" s="58"/>
      <x:c r="CY546" s="47"/>
      <x:c r="CZ546" s="60"/>
      <x:c r="DA546" s="58"/>
      <x:c r="DB546" s="47"/>
      <x:c r="DC546" s="60"/>
      <x:c r="DD546" s="58"/>
      <x:c r="DE546" s="47"/>
      <x:c r="DF546" s="60"/>
      <x:c r="DG546" s="58"/>
      <x:c r="DH546" s="47"/>
      <x:c r="DI546" s="60"/>
      <x:c r="DJ546" s="58"/>
      <x:c r="DK546" s="47"/>
      <x:c r="DL546" s="60"/>
      <x:c r="DM546" s="58"/>
      <x:c r="DN546" s="11"/>
      <x:c r="DO546" s="61"/>
      <x:c r="DP546" s="62"/>
      <x:c r="DQ546" s="11"/>
      <x:c r="DR546" s="61"/>
      <x:c r="DS546" s="62"/>
      <x:c r="DT546" s="11"/>
      <x:c r="DU546" s="61"/>
      <x:c r="DV546" s="62"/>
    </x:row>
    <x:row r="547" spans="1:126" x14ac:dyDescent="0.3">
      <x:c r="A547" s="47"/>
      <x:c r="B547" s="70"/>
      <x:c r="C547" s="70"/>
      <x:c r="D547" s="70"/>
      <x:c r="E547" s="70"/>
      <x:c r="F547" s="70"/>
      <x:c r="G547" s="70"/>
      <x:c r="H547" s="70"/>
      <x:c r="I547" s="70"/>
      <x:c r="J547" s="70"/>
      <x:c r="K547" s="190"/>
      <x:c r="L547" s="195"/>
      <x:c r="M547" s="192"/>
      <x:c r="N547" s="192"/>
      <x:c r="O547" s="69"/>
      <x:c r="P547" s="47"/>
      <x:c r="Q547" s="60"/>
      <x:c r="R547" s="58"/>
      <x:c r="S547" s="47"/>
      <x:c r="T547" s="60"/>
      <x:c r="U547" s="58"/>
      <x:c r="V547" s="47"/>
      <x:c r="W547" s="60"/>
      <x:c r="X547" s="58"/>
      <x:c r="Y547" s="47"/>
      <x:c r="Z547" s="60"/>
      <x:c r="AA547" s="58"/>
      <x:c r="AB547" s="47"/>
      <x:c r="AC547" s="60"/>
      <x:c r="AD547" s="58"/>
      <x:c r="AE547" s="47"/>
      <x:c r="AF547" s="60"/>
      <x:c r="AG547" s="58"/>
      <x:c r="AH547" s="47"/>
      <x:c r="AI547" s="60"/>
      <x:c r="AJ547" s="58"/>
      <x:c r="AK547" s="47"/>
      <x:c r="AL547" s="60"/>
      <x:c r="AM547" s="58"/>
      <x:c r="AN547" s="47"/>
      <x:c r="AO547" s="60"/>
      <x:c r="AP547" s="58"/>
      <x:c r="AQ547" s="47"/>
      <x:c r="AR547" s="60"/>
      <x:c r="AS547" s="58"/>
      <x:c r="AT547" s="47"/>
      <x:c r="AU547" s="60"/>
      <x:c r="AV547" s="58"/>
      <x:c r="AW547" s="47"/>
      <x:c r="AX547" s="60"/>
      <x:c r="AY547" s="58"/>
      <x:c r="AZ547" s="47"/>
      <x:c r="BA547" s="60"/>
      <x:c r="BB547" s="58"/>
      <x:c r="BC547" s="47"/>
      <x:c r="BD547" s="60"/>
      <x:c r="BE547" s="58"/>
      <x:c r="BF547" s="47"/>
      <x:c r="BG547" s="60"/>
      <x:c r="BH547" s="58"/>
      <x:c r="BI547" s="47"/>
      <x:c r="BJ547" s="60"/>
      <x:c r="BK547" s="58"/>
      <x:c r="BL547" s="47"/>
      <x:c r="BM547" s="60"/>
      <x:c r="BN547" s="58"/>
      <x:c r="BO547" s="47"/>
      <x:c r="BP547" s="60"/>
      <x:c r="BQ547" s="58"/>
      <x:c r="BR547" s="47"/>
      <x:c r="BS547" s="60"/>
      <x:c r="BT547" s="58"/>
      <x:c r="BU547" s="47"/>
      <x:c r="BV547" s="60"/>
      <x:c r="BW547" s="58"/>
      <x:c r="BX547" s="47"/>
      <x:c r="BY547" s="60"/>
      <x:c r="BZ547" s="58"/>
      <x:c r="CA547" s="47"/>
      <x:c r="CB547" s="60"/>
      <x:c r="CC547" s="58"/>
      <x:c r="CD547" s="47"/>
      <x:c r="CE547" s="60"/>
      <x:c r="CF547" s="58"/>
      <x:c r="CG547" s="47"/>
      <x:c r="CH547" s="60"/>
      <x:c r="CI547" s="58"/>
      <x:c r="CJ547" s="47"/>
      <x:c r="CK547" s="60"/>
      <x:c r="CL547" s="58"/>
      <x:c r="CM547" s="47"/>
      <x:c r="CN547" s="60"/>
      <x:c r="CO547" s="58"/>
      <x:c r="CP547" s="47"/>
      <x:c r="CQ547" s="60"/>
      <x:c r="CR547" s="58"/>
      <x:c r="CS547" s="47"/>
      <x:c r="CT547" s="60"/>
      <x:c r="CU547" s="58"/>
      <x:c r="CV547" s="47"/>
      <x:c r="CW547" s="60"/>
      <x:c r="CX547" s="58"/>
      <x:c r="CY547" s="47"/>
      <x:c r="CZ547" s="60"/>
      <x:c r="DA547" s="58"/>
      <x:c r="DB547" s="47"/>
      <x:c r="DC547" s="60"/>
      <x:c r="DD547" s="58"/>
      <x:c r="DE547" s="47"/>
      <x:c r="DF547" s="60"/>
      <x:c r="DG547" s="58"/>
      <x:c r="DH547" s="47"/>
      <x:c r="DI547" s="60"/>
      <x:c r="DJ547" s="58"/>
      <x:c r="DK547" s="47"/>
      <x:c r="DL547" s="60"/>
      <x:c r="DM547" s="58"/>
      <x:c r="DN547" s="11"/>
      <x:c r="DO547" s="61"/>
      <x:c r="DP547" s="62"/>
      <x:c r="DQ547" s="11"/>
      <x:c r="DR547" s="61"/>
      <x:c r="DS547" s="62"/>
      <x:c r="DT547" s="11"/>
      <x:c r="DU547" s="61"/>
      <x:c r="DV547" s="62"/>
    </x:row>
    <x:row r="548" spans="1:126" x14ac:dyDescent="0.3">
      <x:c r="A548" s="47"/>
      <x:c r="B548" s="70"/>
      <x:c r="C548" s="70"/>
      <x:c r="D548" s="70"/>
      <x:c r="E548" s="70"/>
      <x:c r="F548" s="70"/>
      <x:c r="G548" s="70"/>
      <x:c r="H548" s="70"/>
      <x:c r="I548" s="70"/>
      <x:c r="J548" s="70"/>
      <x:c r="K548" s="190"/>
      <x:c r="L548" s="195"/>
      <x:c r="M548" s="192"/>
      <x:c r="N548" s="192"/>
      <x:c r="O548" s="69"/>
      <x:c r="P548" s="47"/>
      <x:c r="Q548" s="60"/>
      <x:c r="R548" s="58"/>
      <x:c r="S548" s="47"/>
      <x:c r="T548" s="60"/>
      <x:c r="U548" s="58"/>
      <x:c r="V548" s="47"/>
      <x:c r="W548" s="60"/>
      <x:c r="X548" s="58"/>
      <x:c r="Y548" s="47"/>
      <x:c r="Z548" s="60"/>
      <x:c r="AA548" s="58"/>
      <x:c r="AB548" s="47"/>
      <x:c r="AC548" s="60"/>
      <x:c r="AD548" s="58"/>
      <x:c r="AE548" s="47"/>
      <x:c r="AF548" s="60"/>
      <x:c r="AG548" s="58"/>
      <x:c r="AH548" s="47"/>
      <x:c r="AI548" s="60"/>
      <x:c r="AJ548" s="58"/>
      <x:c r="AK548" s="47"/>
      <x:c r="AL548" s="60"/>
      <x:c r="AM548" s="58"/>
      <x:c r="AN548" s="47"/>
      <x:c r="AO548" s="60"/>
      <x:c r="AP548" s="58"/>
      <x:c r="AQ548" s="47"/>
      <x:c r="AR548" s="60"/>
      <x:c r="AS548" s="58"/>
      <x:c r="AT548" s="47"/>
      <x:c r="AU548" s="60"/>
      <x:c r="AV548" s="58"/>
      <x:c r="AW548" s="47"/>
      <x:c r="AX548" s="60"/>
      <x:c r="AY548" s="58"/>
      <x:c r="AZ548" s="47"/>
      <x:c r="BA548" s="60"/>
      <x:c r="BB548" s="58"/>
      <x:c r="BC548" s="47"/>
      <x:c r="BD548" s="60"/>
      <x:c r="BE548" s="58"/>
      <x:c r="BF548" s="47"/>
      <x:c r="BG548" s="60"/>
      <x:c r="BH548" s="58"/>
      <x:c r="BI548" s="47"/>
      <x:c r="BJ548" s="60"/>
      <x:c r="BK548" s="58"/>
      <x:c r="BL548" s="47"/>
      <x:c r="BM548" s="60"/>
      <x:c r="BN548" s="58"/>
      <x:c r="BO548" s="47"/>
      <x:c r="BP548" s="60"/>
      <x:c r="BQ548" s="58"/>
      <x:c r="BR548" s="47"/>
      <x:c r="BS548" s="60"/>
      <x:c r="BT548" s="58"/>
      <x:c r="BU548" s="47"/>
      <x:c r="BV548" s="60"/>
      <x:c r="BW548" s="58"/>
      <x:c r="BX548" s="47"/>
      <x:c r="BY548" s="60"/>
      <x:c r="BZ548" s="58"/>
      <x:c r="CA548" s="47"/>
      <x:c r="CB548" s="60"/>
      <x:c r="CC548" s="58"/>
      <x:c r="CD548" s="47"/>
      <x:c r="CE548" s="60"/>
      <x:c r="CF548" s="58"/>
      <x:c r="CG548" s="47"/>
      <x:c r="CH548" s="60"/>
      <x:c r="CI548" s="58"/>
      <x:c r="CJ548" s="47"/>
      <x:c r="CK548" s="60"/>
      <x:c r="CL548" s="58"/>
      <x:c r="CM548" s="47"/>
      <x:c r="CN548" s="60"/>
      <x:c r="CO548" s="58"/>
      <x:c r="CP548" s="47"/>
      <x:c r="CQ548" s="60"/>
      <x:c r="CR548" s="58"/>
      <x:c r="CS548" s="47"/>
      <x:c r="CT548" s="60"/>
      <x:c r="CU548" s="58"/>
      <x:c r="CV548" s="47"/>
      <x:c r="CW548" s="60"/>
      <x:c r="CX548" s="58"/>
      <x:c r="CY548" s="47"/>
      <x:c r="CZ548" s="60"/>
      <x:c r="DA548" s="58"/>
      <x:c r="DB548" s="47"/>
      <x:c r="DC548" s="60"/>
      <x:c r="DD548" s="58"/>
      <x:c r="DE548" s="47"/>
      <x:c r="DF548" s="60"/>
      <x:c r="DG548" s="58"/>
      <x:c r="DH548" s="47"/>
      <x:c r="DI548" s="60"/>
      <x:c r="DJ548" s="58"/>
      <x:c r="DK548" s="47"/>
      <x:c r="DL548" s="60"/>
      <x:c r="DM548" s="58"/>
      <x:c r="DN548" s="11"/>
      <x:c r="DO548" s="61"/>
      <x:c r="DP548" s="62"/>
      <x:c r="DQ548" s="11"/>
      <x:c r="DR548" s="61"/>
      <x:c r="DS548" s="62"/>
      <x:c r="DT548" s="11"/>
      <x:c r="DU548" s="61"/>
      <x:c r="DV548" s="62"/>
    </x:row>
    <x:row r="549" spans="1:126" x14ac:dyDescent="0.3">
      <x:c r="A549" s="47"/>
      <x:c r="B549" s="70"/>
      <x:c r="C549" s="70"/>
      <x:c r="D549" s="70"/>
      <x:c r="E549" s="70"/>
      <x:c r="F549" s="70"/>
      <x:c r="G549" s="70"/>
      <x:c r="H549" s="70"/>
      <x:c r="I549" s="70"/>
      <x:c r="J549" s="70"/>
      <x:c r="K549" s="190"/>
      <x:c r="L549" s="195"/>
      <x:c r="M549" s="192"/>
      <x:c r="N549" s="192"/>
      <x:c r="O549" s="69"/>
      <x:c r="P549" s="47"/>
      <x:c r="Q549" s="60"/>
      <x:c r="R549" s="58"/>
      <x:c r="S549" s="47"/>
      <x:c r="T549" s="60"/>
      <x:c r="U549" s="58"/>
      <x:c r="V549" s="47"/>
      <x:c r="W549" s="60"/>
      <x:c r="X549" s="58"/>
      <x:c r="Y549" s="47"/>
      <x:c r="Z549" s="60"/>
      <x:c r="AA549" s="58"/>
      <x:c r="AB549" s="47"/>
      <x:c r="AC549" s="60"/>
      <x:c r="AD549" s="58"/>
      <x:c r="AE549" s="47"/>
      <x:c r="AF549" s="60"/>
      <x:c r="AG549" s="58"/>
      <x:c r="AH549" s="47"/>
      <x:c r="AI549" s="60"/>
      <x:c r="AJ549" s="58"/>
      <x:c r="AK549" s="47"/>
      <x:c r="AL549" s="60"/>
      <x:c r="AM549" s="58"/>
      <x:c r="AN549" s="47"/>
      <x:c r="AO549" s="60"/>
      <x:c r="AP549" s="58"/>
      <x:c r="AQ549" s="47"/>
      <x:c r="AR549" s="60"/>
      <x:c r="AS549" s="58"/>
      <x:c r="AT549" s="47"/>
      <x:c r="AU549" s="60"/>
      <x:c r="AV549" s="58"/>
      <x:c r="AW549" s="47"/>
      <x:c r="AX549" s="60"/>
      <x:c r="AY549" s="58"/>
      <x:c r="AZ549" s="47"/>
      <x:c r="BA549" s="60"/>
      <x:c r="BB549" s="58"/>
      <x:c r="BC549" s="47"/>
      <x:c r="BD549" s="60"/>
      <x:c r="BE549" s="58"/>
      <x:c r="BF549" s="47"/>
      <x:c r="BG549" s="60"/>
      <x:c r="BH549" s="58"/>
      <x:c r="BI549" s="47"/>
      <x:c r="BJ549" s="60"/>
      <x:c r="BK549" s="58"/>
      <x:c r="BL549" s="47"/>
      <x:c r="BM549" s="60"/>
      <x:c r="BN549" s="58"/>
      <x:c r="BO549" s="47"/>
      <x:c r="BP549" s="60"/>
      <x:c r="BQ549" s="58"/>
      <x:c r="BR549" s="47"/>
      <x:c r="BS549" s="60"/>
      <x:c r="BT549" s="58"/>
      <x:c r="BU549" s="47"/>
      <x:c r="BV549" s="60"/>
      <x:c r="BW549" s="58"/>
      <x:c r="BX549" s="47"/>
      <x:c r="BY549" s="60"/>
      <x:c r="BZ549" s="58"/>
      <x:c r="CA549" s="47"/>
      <x:c r="CB549" s="60"/>
      <x:c r="CC549" s="58"/>
      <x:c r="CD549" s="47"/>
      <x:c r="CE549" s="60"/>
      <x:c r="CF549" s="58"/>
      <x:c r="CG549" s="47"/>
      <x:c r="CH549" s="60"/>
      <x:c r="CI549" s="58"/>
      <x:c r="CJ549" s="47"/>
      <x:c r="CK549" s="60"/>
      <x:c r="CL549" s="58"/>
      <x:c r="CM549" s="47"/>
      <x:c r="CN549" s="60"/>
      <x:c r="CO549" s="58"/>
      <x:c r="CP549" s="47"/>
      <x:c r="CQ549" s="60"/>
      <x:c r="CR549" s="58"/>
      <x:c r="CS549" s="47"/>
      <x:c r="CT549" s="60"/>
      <x:c r="CU549" s="58"/>
      <x:c r="CV549" s="47"/>
      <x:c r="CW549" s="60"/>
      <x:c r="CX549" s="58"/>
      <x:c r="CY549" s="47"/>
      <x:c r="CZ549" s="60"/>
      <x:c r="DA549" s="58"/>
      <x:c r="DB549" s="47"/>
      <x:c r="DC549" s="60"/>
      <x:c r="DD549" s="58"/>
      <x:c r="DE549" s="47"/>
      <x:c r="DF549" s="60"/>
      <x:c r="DG549" s="58"/>
      <x:c r="DH549" s="47"/>
      <x:c r="DI549" s="60"/>
      <x:c r="DJ549" s="58"/>
      <x:c r="DK549" s="47"/>
      <x:c r="DL549" s="60"/>
      <x:c r="DM549" s="58"/>
      <x:c r="DN549" s="11"/>
      <x:c r="DO549" s="61"/>
      <x:c r="DP549" s="62"/>
      <x:c r="DQ549" s="11"/>
      <x:c r="DR549" s="61"/>
      <x:c r="DS549" s="62"/>
      <x:c r="DT549" s="11"/>
      <x:c r="DU549" s="61"/>
      <x:c r="DV549" s="62"/>
    </x:row>
    <x:row r="550" spans="1:126" x14ac:dyDescent="0.3">
      <x:c r="A550" s="47"/>
      <x:c r="B550" s="70"/>
      <x:c r="C550" s="70"/>
      <x:c r="D550" s="70"/>
      <x:c r="E550" s="70"/>
      <x:c r="F550" s="70"/>
      <x:c r="G550" s="70"/>
      <x:c r="H550" s="70"/>
      <x:c r="I550" s="70"/>
      <x:c r="J550" s="70"/>
      <x:c r="K550" s="190"/>
      <x:c r="L550" s="195"/>
      <x:c r="M550" s="192"/>
      <x:c r="N550" s="192"/>
      <x:c r="O550" s="69"/>
      <x:c r="P550" s="47"/>
      <x:c r="Q550" s="60"/>
      <x:c r="R550" s="58"/>
      <x:c r="S550" s="47"/>
      <x:c r="T550" s="60"/>
      <x:c r="U550" s="58"/>
      <x:c r="V550" s="47"/>
      <x:c r="W550" s="60"/>
      <x:c r="X550" s="58"/>
      <x:c r="Y550" s="47"/>
      <x:c r="Z550" s="60"/>
      <x:c r="AA550" s="58"/>
      <x:c r="AB550" s="47"/>
      <x:c r="AC550" s="60"/>
      <x:c r="AD550" s="58"/>
      <x:c r="AE550" s="47"/>
      <x:c r="AF550" s="60"/>
      <x:c r="AG550" s="58"/>
      <x:c r="AH550" s="47"/>
      <x:c r="AI550" s="60"/>
      <x:c r="AJ550" s="58"/>
      <x:c r="AK550" s="47"/>
      <x:c r="AL550" s="60"/>
      <x:c r="AM550" s="58"/>
      <x:c r="AN550" s="47"/>
      <x:c r="AO550" s="60"/>
      <x:c r="AP550" s="58"/>
      <x:c r="AQ550" s="47"/>
      <x:c r="AR550" s="60"/>
      <x:c r="AS550" s="58"/>
      <x:c r="AT550" s="47"/>
      <x:c r="AU550" s="60"/>
      <x:c r="AV550" s="58"/>
      <x:c r="AW550" s="47"/>
      <x:c r="AX550" s="60"/>
      <x:c r="AY550" s="58"/>
      <x:c r="AZ550" s="47"/>
      <x:c r="BA550" s="60"/>
      <x:c r="BB550" s="58"/>
      <x:c r="BC550" s="47"/>
      <x:c r="BD550" s="60"/>
      <x:c r="BE550" s="58"/>
      <x:c r="BF550" s="47"/>
      <x:c r="BG550" s="60"/>
      <x:c r="BH550" s="58"/>
      <x:c r="BI550" s="47"/>
      <x:c r="BJ550" s="60"/>
      <x:c r="BK550" s="58"/>
      <x:c r="BL550" s="47"/>
      <x:c r="BM550" s="60"/>
      <x:c r="BN550" s="58"/>
      <x:c r="BO550" s="47"/>
      <x:c r="BP550" s="60"/>
      <x:c r="BQ550" s="58"/>
      <x:c r="BR550" s="47"/>
      <x:c r="BS550" s="60"/>
      <x:c r="BT550" s="58"/>
      <x:c r="BU550" s="47"/>
      <x:c r="BV550" s="60"/>
      <x:c r="BW550" s="58"/>
      <x:c r="BX550" s="47"/>
      <x:c r="BY550" s="60"/>
      <x:c r="BZ550" s="58"/>
      <x:c r="CA550" s="47"/>
      <x:c r="CB550" s="60"/>
      <x:c r="CC550" s="58"/>
      <x:c r="CD550" s="47"/>
      <x:c r="CE550" s="60"/>
      <x:c r="CF550" s="58"/>
      <x:c r="CG550" s="47"/>
      <x:c r="CH550" s="60"/>
      <x:c r="CI550" s="58"/>
      <x:c r="CJ550" s="47"/>
      <x:c r="CK550" s="60"/>
      <x:c r="CL550" s="58"/>
      <x:c r="CM550" s="47"/>
      <x:c r="CN550" s="60"/>
      <x:c r="CO550" s="58"/>
      <x:c r="CP550" s="47"/>
      <x:c r="CQ550" s="60"/>
      <x:c r="CR550" s="58"/>
      <x:c r="CS550" s="47"/>
      <x:c r="CT550" s="60"/>
      <x:c r="CU550" s="58"/>
      <x:c r="CV550" s="47"/>
      <x:c r="CW550" s="60"/>
      <x:c r="CX550" s="58"/>
      <x:c r="CY550" s="47"/>
      <x:c r="CZ550" s="60"/>
      <x:c r="DA550" s="58"/>
      <x:c r="DB550" s="47"/>
      <x:c r="DC550" s="60"/>
      <x:c r="DD550" s="58"/>
      <x:c r="DE550" s="47"/>
      <x:c r="DF550" s="60"/>
      <x:c r="DG550" s="58"/>
      <x:c r="DH550" s="47"/>
      <x:c r="DI550" s="60"/>
      <x:c r="DJ550" s="58"/>
      <x:c r="DK550" s="47"/>
      <x:c r="DL550" s="60"/>
      <x:c r="DM550" s="58"/>
      <x:c r="DN550" s="11"/>
      <x:c r="DO550" s="61"/>
      <x:c r="DP550" s="62"/>
      <x:c r="DQ550" s="11"/>
      <x:c r="DR550" s="61"/>
      <x:c r="DS550" s="62"/>
      <x:c r="DT550" s="11"/>
      <x:c r="DU550" s="61"/>
      <x:c r="DV550" s="62"/>
    </x:row>
    <x:row r="551" spans="1:126" x14ac:dyDescent="0.3">
      <x:c r="A551" s="47"/>
      <x:c r="B551" s="70"/>
      <x:c r="C551" s="70"/>
      <x:c r="D551" s="70"/>
      <x:c r="E551" s="70"/>
      <x:c r="F551" s="70"/>
      <x:c r="G551" s="70"/>
      <x:c r="H551" s="70"/>
      <x:c r="I551" s="70"/>
      <x:c r="J551" s="70"/>
      <x:c r="K551" s="190"/>
      <x:c r="L551" s="195"/>
      <x:c r="M551" s="192"/>
      <x:c r="N551" s="192"/>
      <x:c r="O551" s="69"/>
      <x:c r="P551" s="47"/>
      <x:c r="Q551" s="60"/>
      <x:c r="R551" s="58"/>
      <x:c r="S551" s="47"/>
      <x:c r="T551" s="60"/>
      <x:c r="U551" s="58"/>
      <x:c r="V551" s="47"/>
      <x:c r="W551" s="60"/>
      <x:c r="X551" s="58"/>
      <x:c r="Y551" s="47"/>
      <x:c r="Z551" s="60"/>
      <x:c r="AA551" s="58"/>
      <x:c r="AB551" s="47"/>
      <x:c r="AC551" s="60"/>
      <x:c r="AD551" s="58"/>
      <x:c r="AE551" s="47"/>
      <x:c r="AF551" s="60"/>
      <x:c r="AG551" s="58"/>
      <x:c r="AH551" s="47"/>
      <x:c r="AI551" s="60"/>
      <x:c r="AJ551" s="58"/>
      <x:c r="AK551" s="47"/>
      <x:c r="AL551" s="60"/>
      <x:c r="AM551" s="58"/>
      <x:c r="AN551" s="47"/>
      <x:c r="AO551" s="60"/>
      <x:c r="AP551" s="58"/>
      <x:c r="AQ551" s="47"/>
      <x:c r="AR551" s="60"/>
      <x:c r="AS551" s="58"/>
      <x:c r="AT551" s="47"/>
      <x:c r="AU551" s="60"/>
      <x:c r="AV551" s="58"/>
      <x:c r="AW551" s="47"/>
      <x:c r="AX551" s="60"/>
      <x:c r="AY551" s="58"/>
      <x:c r="AZ551" s="47"/>
      <x:c r="BA551" s="60"/>
      <x:c r="BB551" s="58"/>
      <x:c r="BC551" s="47"/>
      <x:c r="BD551" s="60"/>
      <x:c r="BE551" s="58"/>
      <x:c r="BF551" s="47"/>
      <x:c r="BG551" s="60"/>
      <x:c r="BH551" s="58"/>
      <x:c r="BI551" s="47"/>
      <x:c r="BJ551" s="60"/>
      <x:c r="BK551" s="58"/>
      <x:c r="BL551" s="47"/>
      <x:c r="BM551" s="60"/>
      <x:c r="BN551" s="58"/>
      <x:c r="BO551" s="47"/>
      <x:c r="BP551" s="60"/>
      <x:c r="BQ551" s="58"/>
      <x:c r="BR551" s="47"/>
      <x:c r="BS551" s="60"/>
      <x:c r="BT551" s="58"/>
      <x:c r="BU551" s="47"/>
      <x:c r="BV551" s="60"/>
      <x:c r="BW551" s="58"/>
      <x:c r="BX551" s="47"/>
      <x:c r="BY551" s="60"/>
      <x:c r="BZ551" s="58"/>
      <x:c r="CA551" s="47"/>
      <x:c r="CB551" s="60"/>
      <x:c r="CC551" s="58"/>
      <x:c r="CD551" s="47"/>
      <x:c r="CE551" s="60"/>
      <x:c r="CF551" s="58"/>
      <x:c r="CG551" s="47"/>
      <x:c r="CH551" s="60"/>
      <x:c r="CI551" s="58"/>
      <x:c r="CJ551" s="47"/>
      <x:c r="CK551" s="60"/>
      <x:c r="CL551" s="58"/>
      <x:c r="CM551" s="47"/>
      <x:c r="CN551" s="60"/>
      <x:c r="CO551" s="58"/>
      <x:c r="CP551" s="47"/>
      <x:c r="CQ551" s="60"/>
      <x:c r="CR551" s="58"/>
      <x:c r="CS551" s="47"/>
      <x:c r="CT551" s="60"/>
      <x:c r="CU551" s="58"/>
      <x:c r="CV551" s="47"/>
      <x:c r="CW551" s="60"/>
      <x:c r="CX551" s="58"/>
      <x:c r="CY551" s="47"/>
      <x:c r="CZ551" s="60"/>
      <x:c r="DA551" s="58"/>
      <x:c r="DB551" s="47"/>
      <x:c r="DC551" s="60"/>
      <x:c r="DD551" s="58"/>
      <x:c r="DE551" s="47"/>
      <x:c r="DF551" s="60"/>
      <x:c r="DG551" s="58"/>
      <x:c r="DH551" s="47"/>
      <x:c r="DI551" s="60"/>
      <x:c r="DJ551" s="58"/>
      <x:c r="DK551" s="47"/>
      <x:c r="DL551" s="60"/>
      <x:c r="DM551" s="58"/>
      <x:c r="DN551" s="11"/>
      <x:c r="DO551" s="61"/>
      <x:c r="DP551" s="62"/>
      <x:c r="DQ551" s="11"/>
      <x:c r="DR551" s="61"/>
      <x:c r="DS551" s="62"/>
      <x:c r="DT551" s="11"/>
      <x:c r="DU551" s="61"/>
      <x:c r="DV551" s="62"/>
    </x:row>
    <x:row r="552" spans="1:126" x14ac:dyDescent="0.3">
      <x:c r="A552" s="47"/>
      <x:c r="B552" s="70"/>
      <x:c r="C552" s="70"/>
      <x:c r="D552" s="70"/>
      <x:c r="E552" s="70"/>
      <x:c r="F552" s="70"/>
      <x:c r="G552" s="70"/>
      <x:c r="H552" s="70"/>
      <x:c r="I552" s="70"/>
      <x:c r="J552" s="70"/>
      <x:c r="K552" s="190"/>
      <x:c r="L552" s="195"/>
      <x:c r="M552" s="192"/>
      <x:c r="N552" s="192"/>
      <x:c r="O552" s="69"/>
      <x:c r="P552" s="47"/>
      <x:c r="Q552" s="60"/>
      <x:c r="R552" s="58"/>
      <x:c r="S552" s="47"/>
      <x:c r="T552" s="60"/>
      <x:c r="U552" s="58"/>
      <x:c r="V552" s="47"/>
      <x:c r="W552" s="60"/>
      <x:c r="X552" s="58"/>
      <x:c r="Y552" s="47"/>
      <x:c r="Z552" s="60"/>
      <x:c r="AA552" s="58"/>
      <x:c r="AB552" s="47"/>
      <x:c r="AC552" s="60"/>
      <x:c r="AD552" s="58"/>
      <x:c r="AE552" s="47"/>
      <x:c r="AF552" s="60"/>
      <x:c r="AG552" s="58"/>
      <x:c r="AH552" s="47"/>
      <x:c r="AI552" s="60"/>
      <x:c r="AJ552" s="58"/>
      <x:c r="AK552" s="47"/>
      <x:c r="AL552" s="60"/>
      <x:c r="AM552" s="58"/>
      <x:c r="AN552" s="47"/>
      <x:c r="AO552" s="60"/>
      <x:c r="AP552" s="58"/>
      <x:c r="AQ552" s="47"/>
      <x:c r="AR552" s="60"/>
      <x:c r="AS552" s="58"/>
      <x:c r="AT552" s="47"/>
      <x:c r="AU552" s="60"/>
      <x:c r="AV552" s="58"/>
      <x:c r="AW552" s="47"/>
      <x:c r="AX552" s="60"/>
      <x:c r="AY552" s="58"/>
      <x:c r="AZ552" s="47"/>
      <x:c r="BA552" s="60"/>
      <x:c r="BB552" s="58"/>
      <x:c r="BC552" s="47"/>
      <x:c r="BD552" s="60"/>
      <x:c r="BE552" s="58"/>
      <x:c r="BF552" s="47"/>
      <x:c r="BG552" s="60"/>
      <x:c r="BH552" s="58"/>
      <x:c r="BI552" s="47"/>
      <x:c r="BJ552" s="60"/>
      <x:c r="BK552" s="58"/>
      <x:c r="BL552" s="47"/>
      <x:c r="BM552" s="60"/>
      <x:c r="BN552" s="58"/>
      <x:c r="BO552" s="47"/>
      <x:c r="BP552" s="60"/>
      <x:c r="BQ552" s="58"/>
      <x:c r="BR552" s="47"/>
      <x:c r="BS552" s="60"/>
      <x:c r="BT552" s="58"/>
      <x:c r="BU552" s="47"/>
      <x:c r="BV552" s="60"/>
      <x:c r="BW552" s="58"/>
      <x:c r="BX552" s="47"/>
      <x:c r="BY552" s="60"/>
      <x:c r="BZ552" s="58"/>
      <x:c r="CA552" s="47"/>
      <x:c r="CB552" s="60"/>
      <x:c r="CC552" s="58"/>
      <x:c r="CD552" s="47"/>
      <x:c r="CE552" s="60"/>
      <x:c r="CF552" s="58"/>
      <x:c r="CG552" s="47"/>
      <x:c r="CH552" s="60"/>
      <x:c r="CI552" s="58"/>
      <x:c r="CJ552" s="47"/>
      <x:c r="CK552" s="60"/>
      <x:c r="CL552" s="58"/>
      <x:c r="CM552" s="47"/>
      <x:c r="CN552" s="60"/>
      <x:c r="CO552" s="58"/>
      <x:c r="CP552" s="47"/>
      <x:c r="CQ552" s="60"/>
      <x:c r="CR552" s="58"/>
      <x:c r="CS552" s="47"/>
      <x:c r="CT552" s="60"/>
      <x:c r="CU552" s="58"/>
      <x:c r="CV552" s="47"/>
      <x:c r="CW552" s="60"/>
      <x:c r="CX552" s="58"/>
      <x:c r="CY552" s="47"/>
      <x:c r="CZ552" s="60"/>
      <x:c r="DA552" s="58"/>
      <x:c r="DB552" s="47"/>
      <x:c r="DC552" s="60"/>
      <x:c r="DD552" s="58"/>
      <x:c r="DE552" s="47"/>
      <x:c r="DF552" s="60"/>
      <x:c r="DG552" s="58"/>
      <x:c r="DH552" s="47"/>
      <x:c r="DI552" s="60"/>
      <x:c r="DJ552" s="58"/>
      <x:c r="DK552" s="47"/>
      <x:c r="DL552" s="60"/>
      <x:c r="DM552" s="58"/>
      <x:c r="DN552" s="11"/>
      <x:c r="DO552" s="61"/>
      <x:c r="DP552" s="62"/>
      <x:c r="DQ552" s="11"/>
      <x:c r="DR552" s="61"/>
      <x:c r="DS552" s="62"/>
      <x:c r="DT552" s="11"/>
      <x:c r="DU552" s="61"/>
      <x:c r="DV552" s="62"/>
    </x:row>
    <x:row r="553" spans="1:126" x14ac:dyDescent="0.3">
      <x:c r="A553" s="47"/>
      <x:c r="B553" s="70"/>
      <x:c r="C553" s="70"/>
      <x:c r="D553" s="70"/>
      <x:c r="E553" s="70"/>
      <x:c r="F553" s="70"/>
      <x:c r="G553" s="70"/>
      <x:c r="H553" s="70"/>
      <x:c r="I553" s="70"/>
      <x:c r="J553" s="70"/>
      <x:c r="K553" s="190"/>
      <x:c r="L553" s="195"/>
      <x:c r="M553" s="192"/>
      <x:c r="N553" s="192"/>
      <x:c r="O553" s="69"/>
      <x:c r="P553" s="47"/>
      <x:c r="Q553" s="60"/>
      <x:c r="R553" s="58"/>
      <x:c r="S553" s="47"/>
      <x:c r="T553" s="60"/>
      <x:c r="U553" s="58"/>
      <x:c r="V553" s="47"/>
      <x:c r="W553" s="60"/>
      <x:c r="X553" s="58"/>
      <x:c r="Y553" s="47"/>
      <x:c r="Z553" s="60"/>
      <x:c r="AA553" s="58"/>
      <x:c r="AB553" s="47"/>
      <x:c r="AC553" s="60"/>
      <x:c r="AD553" s="58"/>
      <x:c r="AE553" s="47"/>
      <x:c r="AF553" s="60"/>
      <x:c r="AG553" s="58"/>
      <x:c r="AH553" s="47"/>
      <x:c r="AI553" s="60"/>
      <x:c r="AJ553" s="58"/>
      <x:c r="AK553" s="47"/>
      <x:c r="AL553" s="60"/>
      <x:c r="AM553" s="58"/>
      <x:c r="AN553" s="47"/>
      <x:c r="AO553" s="60"/>
      <x:c r="AP553" s="58"/>
      <x:c r="AQ553" s="47"/>
      <x:c r="AR553" s="60"/>
      <x:c r="AS553" s="58"/>
      <x:c r="AT553" s="47"/>
      <x:c r="AU553" s="60"/>
      <x:c r="AV553" s="58"/>
      <x:c r="AW553" s="47"/>
      <x:c r="AX553" s="60"/>
      <x:c r="AY553" s="58"/>
      <x:c r="AZ553" s="47"/>
      <x:c r="BA553" s="60"/>
      <x:c r="BB553" s="58"/>
      <x:c r="BC553" s="47"/>
      <x:c r="BD553" s="60"/>
      <x:c r="BE553" s="58"/>
      <x:c r="BF553" s="47"/>
      <x:c r="BG553" s="60"/>
      <x:c r="BH553" s="58"/>
      <x:c r="BI553" s="47"/>
      <x:c r="BJ553" s="60"/>
      <x:c r="BK553" s="58"/>
      <x:c r="BL553" s="47"/>
      <x:c r="BM553" s="60"/>
      <x:c r="BN553" s="58"/>
      <x:c r="BO553" s="47"/>
      <x:c r="BP553" s="60"/>
      <x:c r="BQ553" s="58"/>
      <x:c r="BR553" s="47"/>
      <x:c r="BS553" s="60"/>
      <x:c r="BT553" s="58"/>
      <x:c r="BU553" s="47"/>
      <x:c r="BV553" s="60"/>
      <x:c r="BW553" s="58"/>
      <x:c r="BX553" s="47"/>
      <x:c r="BY553" s="60"/>
      <x:c r="BZ553" s="58"/>
      <x:c r="CA553" s="47"/>
      <x:c r="CB553" s="60"/>
      <x:c r="CC553" s="58"/>
      <x:c r="CD553" s="47"/>
      <x:c r="CE553" s="60"/>
      <x:c r="CF553" s="58"/>
      <x:c r="CG553" s="47"/>
      <x:c r="CH553" s="60"/>
      <x:c r="CI553" s="58"/>
      <x:c r="CJ553" s="47"/>
      <x:c r="CK553" s="60"/>
      <x:c r="CL553" s="58"/>
      <x:c r="CM553" s="47"/>
      <x:c r="CN553" s="60"/>
      <x:c r="CO553" s="58"/>
      <x:c r="CP553" s="47"/>
      <x:c r="CQ553" s="60"/>
      <x:c r="CR553" s="58"/>
      <x:c r="CS553" s="47"/>
      <x:c r="CT553" s="60"/>
      <x:c r="CU553" s="58"/>
      <x:c r="CV553" s="47"/>
      <x:c r="CW553" s="60"/>
      <x:c r="CX553" s="58"/>
      <x:c r="CY553" s="47"/>
      <x:c r="CZ553" s="60"/>
      <x:c r="DA553" s="58"/>
      <x:c r="DB553" s="47"/>
      <x:c r="DC553" s="60"/>
      <x:c r="DD553" s="58"/>
      <x:c r="DE553" s="47"/>
      <x:c r="DF553" s="60"/>
      <x:c r="DG553" s="58"/>
      <x:c r="DH553" s="47"/>
      <x:c r="DI553" s="60"/>
      <x:c r="DJ553" s="58"/>
      <x:c r="DK553" s="47"/>
      <x:c r="DL553" s="60"/>
      <x:c r="DM553" s="58"/>
      <x:c r="DN553" s="11"/>
      <x:c r="DO553" s="61"/>
      <x:c r="DP553" s="62"/>
      <x:c r="DQ553" s="11"/>
      <x:c r="DR553" s="61"/>
      <x:c r="DS553" s="62"/>
      <x:c r="DT553" s="11"/>
      <x:c r="DU553" s="61"/>
      <x:c r="DV553" s="62"/>
    </x:row>
    <x:row r="554" spans="1:126" x14ac:dyDescent="0.3">
      <x:c r="A554" s="47"/>
      <x:c r="B554" s="70"/>
      <x:c r="C554" s="70"/>
      <x:c r="D554" s="70"/>
      <x:c r="E554" s="70"/>
      <x:c r="F554" s="70"/>
      <x:c r="G554" s="70"/>
      <x:c r="H554" s="70"/>
      <x:c r="I554" s="70"/>
      <x:c r="J554" s="70"/>
      <x:c r="K554" s="190"/>
      <x:c r="L554" s="195"/>
      <x:c r="M554" s="192"/>
      <x:c r="N554" s="192"/>
      <x:c r="O554" s="69"/>
      <x:c r="P554" s="47"/>
      <x:c r="Q554" s="60"/>
      <x:c r="R554" s="58"/>
      <x:c r="S554" s="47"/>
      <x:c r="T554" s="60"/>
      <x:c r="U554" s="58"/>
      <x:c r="V554" s="47"/>
      <x:c r="W554" s="60"/>
      <x:c r="X554" s="58"/>
      <x:c r="Y554" s="47"/>
      <x:c r="Z554" s="60"/>
      <x:c r="AA554" s="58"/>
      <x:c r="AB554" s="47"/>
      <x:c r="AC554" s="60"/>
      <x:c r="AD554" s="58"/>
      <x:c r="AE554" s="47"/>
      <x:c r="AF554" s="60"/>
      <x:c r="AG554" s="58"/>
      <x:c r="AH554" s="47"/>
      <x:c r="AI554" s="60"/>
      <x:c r="AJ554" s="58"/>
      <x:c r="AK554" s="47"/>
      <x:c r="AL554" s="60"/>
      <x:c r="AM554" s="58"/>
      <x:c r="AN554" s="47"/>
      <x:c r="AO554" s="60"/>
      <x:c r="AP554" s="58"/>
      <x:c r="AQ554" s="47"/>
      <x:c r="AR554" s="60"/>
      <x:c r="AS554" s="58"/>
      <x:c r="AT554" s="47"/>
      <x:c r="AU554" s="60"/>
      <x:c r="AV554" s="58"/>
      <x:c r="AW554" s="47"/>
      <x:c r="AX554" s="60"/>
      <x:c r="AY554" s="58"/>
      <x:c r="AZ554" s="47"/>
      <x:c r="BA554" s="60"/>
      <x:c r="BB554" s="58"/>
      <x:c r="BC554" s="47"/>
      <x:c r="BD554" s="60"/>
      <x:c r="BE554" s="58"/>
      <x:c r="BF554" s="47"/>
      <x:c r="BG554" s="60"/>
      <x:c r="BH554" s="58"/>
      <x:c r="BI554" s="47"/>
      <x:c r="BJ554" s="60"/>
      <x:c r="BK554" s="58"/>
      <x:c r="BL554" s="47"/>
      <x:c r="BM554" s="60"/>
      <x:c r="BN554" s="58"/>
      <x:c r="BO554" s="47"/>
      <x:c r="BP554" s="60"/>
      <x:c r="BQ554" s="58"/>
      <x:c r="BR554" s="47"/>
      <x:c r="BS554" s="60"/>
      <x:c r="BT554" s="58"/>
      <x:c r="BU554" s="47"/>
      <x:c r="BV554" s="60"/>
      <x:c r="BW554" s="58"/>
      <x:c r="BX554" s="47"/>
      <x:c r="BY554" s="60"/>
      <x:c r="BZ554" s="58"/>
      <x:c r="CA554" s="47"/>
      <x:c r="CB554" s="60"/>
      <x:c r="CC554" s="58"/>
      <x:c r="CD554" s="47"/>
      <x:c r="CE554" s="60"/>
      <x:c r="CF554" s="58"/>
      <x:c r="CG554" s="47"/>
      <x:c r="CH554" s="60"/>
      <x:c r="CI554" s="58"/>
      <x:c r="CJ554" s="47"/>
      <x:c r="CK554" s="60"/>
      <x:c r="CL554" s="58"/>
      <x:c r="CM554" s="47"/>
      <x:c r="CN554" s="60"/>
      <x:c r="CO554" s="58"/>
      <x:c r="CP554" s="47"/>
      <x:c r="CQ554" s="60"/>
      <x:c r="CR554" s="58"/>
      <x:c r="CS554" s="47"/>
      <x:c r="CT554" s="60"/>
      <x:c r="CU554" s="58"/>
      <x:c r="CV554" s="47"/>
      <x:c r="CW554" s="60"/>
      <x:c r="CX554" s="58"/>
      <x:c r="CY554" s="47"/>
      <x:c r="CZ554" s="60"/>
      <x:c r="DA554" s="58"/>
      <x:c r="DB554" s="47"/>
      <x:c r="DC554" s="60"/>
      <x:c r="DD554" s="58"/>
      <x:c r="DE554" s="47"/>
      <x:c r="DF554" s="60"/>
      <x:c r="DG554" s="58"/>
      <x:c r="DH554" s="47"/>
      <x:c r="DI554" s="60"/>
      <x:c r="DJ554" s="58"/>
      <x:c r="DK554" s="47"/>
      <x:c r="DL554" s="60"/>
      <x:c r="DM554" s="58"/>
      <x:c r="DN554" s="11"/>
      <x:c r="DO554" s="61"/>
      <x:c r="DP554" s="62"/>
      <x:c r="DQ554" s="11"/>
      <x:c r="DR554" s="61"/>
      <x:c r="DS554" s="62"/>
      <x:c r="DT554" s="11"/>
      <x:c r="DU554" s="61"/>
      <x:c r="DV554" s="62"/>
    </x:row>
    <x:row r="555" spans="1:126" x14ac:dyDescent="0.3">
      <x:c r="A555" s="47"/>
      <x:c r="B555" s="70"/>
      <x:c r="C555" s="70"/>
      <x:c r="D555" s="70"/>
      <x:c r="E555" s="70"/>
      <x:c r="F555" s="70"/>
      <x:c r="G555" s="70"/>
      <x:c r="H555" s="70"/>
      <x:c r="I555" s="70"/>
      <x:c r="J555" s="70"/>
      <x:c r="K555" s="190"/>
      <x:c r="L555" s="195"/>
      <x:c r="M555" s="192"/>
      <x:c r="N555" s="192"/>
      <x:c r="O555" s="69"/>
      <x:c r="P555" s="47"/>
      <x:c r="Q555" s="60"/>
      <x:c r="R555" s="58"/>
      <x:c r="S555" s="47"/>
      <x:c r="T555" s="60"/>
      <x:c r="U555" s="58"/>
      <x:c r="V555" s="47"/>
      <x:c r="W555" s="60"/>
      <x:c r="X555" s="58"/>
      <x:c r="Y555" s="47"/>
      <x:c r="Z555" s="60"/>
      <x:c r="AA555" s="58"/>
      <x:c r="AB555" s="47"/>
      <x:c r="AC555" s="60"/>
      <x:c r="AD555" s="58"/>
      <x:c r="AE555" s="47"/>
      <x:c r="AF555" s="60"/>
      <x:c r="AG555" s="58"/>
      <x:c r="AH555" s="47"/>
      <x:c r="AI555" s="60"/>
      <x:c r="AJ555" s="58"/>
      <x:c r="AK555" s="47"/>
      <x:c r="AL555" s="60"/>
      <x:c r="AM555" s="58"/>
      <x:c r="AN555" s="47"/>
      <x:c r="AO555" s="60"/>
      <x:c r="AP555" s="58"/>
      <x:c r="AQ555" s="47"/>
      <x:c r="AR555" s="60"/>
      <x:c r="AS555" s="58"/>
      <x:c r="AT555" s="47"/>
      <x:c r="AU555" s="60"/>
      <x:c r="AV555" s="58"/>
      <x:c r="AW555" s="47"/>
      <x:c r="AX555" s="60"/>
      <x:c r="AY555" s="58"/>
      <x:c r="AZ555" s="47"/>
      <x:c r="BA555" s="60"/>
      <x:c r="BB555" s="58"/>
      <x:c r="BC555" s="47"/>
      <x:c r="BD555" s="60"/>
      <x:c r="BE555" s="58"/>
      <x:c r="BF555" s="47"/>
      <x:c r="BG555" s="60"/>
      <x:c r="BH555" s="58"/>
      <x:c r="BI555" s="47"/>
      <x:c r="BJ555" s="60"/>
      <x:c r="BK555" s="58"/>
      <x:c r="BL555" s="47"/>
      <x:c r="BM555" s="60"/>
      <x:c r="BN555" s="58"/>
      <x:c r="BO555" s="47"/>
      <x:c r="BP555" s="60"/>
      <x:c r="BQ555" s="58"/>
      <x:c r="BR555" s="47"/>
      <x:c r="BS555" s="60"/>
      <x:c r="BT555" s="58"/>
      <x:c r="BU555" s="47"/>
      <x:c r="BV555" s="60"/>
      <x:c r="BW555" s="58"/>
      <x:c r="BX555" s="47"/>
      <x:c r="BY555" s="60"/>
      <x:c r="BZ555" s="58"/>
      <x:c r="CA555" s="47"/>
      <x:c r="CB555" s="60"/>
      <x:c r="CC555" s="58"/>
      <x:c r="CD555" s="47"/>
      <x:c r="CE555" s="60"/>
      <x:c r="CF555" s="58"/>
      <x:c r="CG555" s="47"/>
      <x:c r="CH555" s="60"/>
      <x:c r="CI555" s="58"/>
      <x:c r="CJ555" s="47"/>
      <x:c r="CK555" s="60"/>
      <x:c r="CL555" s="58"/>
      <x:c r="CM555" s="47"/>
      <x:c r="CN555" s="60"/>
      <x:c r="CO555" s="58"/>
      <x:c r="CP555" s="47"/>
      <x:c r="CQ555" s="60"/>
      <x:c r="CR555" s="58"/>
      <x:c r="CS555" s="47"/>
      <x:c r="CT555" s="60"/>
      <x:c r="CU555" s="58"/>
      <x:c r="CV555" s="47"/>
      <x:c r="CW555" s="60"/>
      <x:c r="CX555" s="58"/>
      <x:c r="CY555" s="47"/>
      <x:c r="CZ555" s="60"/>
      <x:c r="DA555" s="58"/>
      <x:c r="DB555" s="47"/>
      <x:c r="DC555" s="60"/>
      <x:c r="DD555" s="58"/>
      <x:c r="DE555" s="47"/>
      <x:c r="DF555" s="60"/>
      <x:c r="DG555" s="58"/>
      <x:c r="DH555" s="47"/>
      <x:c r="DI555" s="60"/>
      <x:c r="DJ555" s="58"/>
      <x:c r="DK555" s="47"/>
      <x:c r="DL555" s="60"/>
      <x:c r="DM555" s="58"/>
      <x:c r="DN555" s="11"/>
      <x:c r="DO555" s="61"/>
      <x:c r="DP555" s="62"/>
      <x:c r="DQ555" s="11"/>
      <x:c r="DR555" s="61"/>
      <x:c r="DS555" s="62"/>
      <x:c r="DT555" s="11"/>
      <x:c r="DU555" s="61"/>
      <x:c r="DV555" s="62"/>
    </x:row>
    <x:row r="556" spans="1:126" x14ac:dyDescent="0.3">
      <x:c r="A556" s="47"/>
      <x:c r="B556" s="70"/>
      <x:c r="C556" s="70"/>
      <x:c r="D556" s="70"/>
      <x:c r="E556" s="70"/>
      <x:c r="F556" s="70"/>
      <x:c r="G556" s="70"/>
      <x:c r="H556" s="70"/>
      <x:c r="I556" s="70"/>
      <x:c r="J556" s="70"/>
      <x:c r="K556" s="190"/>
      <x:c r="L556" s="195"/>
      <x:c r="M556" s="192"/>
      <x:c r="N556" s="192"/>
      <x:c r="O556" s="69"/>
      <x:c r="P556" s="47"/>
      <x:c r="Q556" s="60"/>
      <x:c r="R556" s="58"/>
      <x:c r="S556" s="47"/>
      <x:c r="T556" s="60"/>
      <x:c r="U556" s="58"/>
      <x:c r="V556" s="47"/>
      <x:c r="W556" s="60"/>
      <x:c r="X556" s="58"/>
      <x:c r="Y556" s="47"/>
      <x:c r="Z556" s="60"/>
      <x:c r="AA556" s="58"/>
      <x:c r="AB556" s="47"/>
      <x:c r="AC556" s="60"/>
      <x:c r="AD556" s="58"/>
      <x:c r="AE556" s="47"/>
      <x:c r="AF556" s="60"/>
      <x:c r="AG556" s="58"/>
      <x:c r="AH556" s="47"/>
      <x:c r="AI556" s="60"/>
      <x:c r="AJ556" s="58"/>
      <x:c r="AK556" s="47"/>
      <x:c r="AL556" s="60"/>
      <x:c r="AM556" s="58"/>
      <x:c r="AN556" s="47"/>
      <x:c r="AO556" s="60"/>
      <x:c r="AP556" s="58"/>
      <x:c r="AQ556" s="47"/>
      <x:c r="AR556" s="60"/>
      <x:c r="AS556" s="58"/>
      <x:c r="AT556" s="47"/>
      <x:c r="AU556" s="60"/>
      <x:c r="AV556" s="58"/>
      <x:c r="AW556" s="47"/>
      <x:c r="AX556" s="60"/>
      <x:c r="AY556" s="58"/>
      <x:c r="AZ556" s="47"/>
      <x:c r="BA556" s="60"/>
      <x:c r="BB556" s="58"/>
      <x:c r="BC556" s="47"/>
      <x:c r="BD556" s="60"/>
      <x:c r="BE556" s="58"/>
      <x:c r="BF556" s="47"/>
      <x:c r="BG556" s="60"/>
      <x:c r="BH556" s="58"/>
      <x:c r="BI556" s="47"/>
      <x:c r="BJ556" s="60"/>
      <x:c r="BK556" s="58"/>
      <x:c r="BL556" s="47"/>
      <x:c r="BM556" s="60"/>
      <x:c r="BN556" s="58"/>
      <x:c r="BO556" s="47"/>
      <x:c r="BP556" s="60"/>
      <x:c r="BQ556" s="58"/>
      <x:c r="BR556" s="47"/>
      <x:c r="BS556" s="60"/>
      <x:c r="BT556" s="58"/>
      <x:c r="BU556" s="47"/>
      <x:c r="BV556" s="60"/>
      <x:c r="BW556" s="58"/>
      <x:c r="BX556" s="47"/>
      <x:c r="BY556" s="60"/>
      <x:c r="BZ556" s="58"/>
      <x:c r="CA556" s="47"/>
      <x:c r="CB556" s="60"/>
      <x:c r="CC556" s="58"/>
      <x:c r="CD556" s="47"/>
      <x:c r="CE556" s="60"/>
      <x:c r="CF556" s="58"/>
      <x:c r="CG556" s="47"/>
      <x:c r="CH556" s="60"/>
      <x:c r="CI556" s="58"/>
      <x:c r="CJ556" s="47"/>
      <x:c r="CK556" s="60"/>
      <x:c r="CL556" s="58"/>
      <x:c r="CM556" s="47"/>
      <x:c r="CN556" s="60"/>
      <x:c r="CO556" s="58"/>
      <x:c r="CP556" s="47"/>
      <x:c r="CQ556" s="60"/>
      <x:c r="CR556" s="58"/>
      <x:c r="CS556" s="47"/>
      <x:c r="CT556" s="60"/>
      <x:c r="CU556" s="58"/>
      <x:c r="CV556" s="47"/>
      <x:c r="CW556" s="60"/>
      <x:c r="CX556" s="58"/>
      <x:c r="CY556" s="47"/>
      <x:c r="CZ556" s="60"/>
      <x:c r="DA556" s="58"/>
      <x:c r="DB556" s="47"/>
      <x:c r="DC556" s="60"/>
      <x:c r="DD556" s="58"/>
      <x:c r="DE556" s="47"/>
      <x:c r="DF556" s="60"/>
      <x:c r="DG556" s="58"/>
      <x:c r="DH556" s="47"/>
      <x:c r="DI556" s="60"/>
      <x:c r="DJ556" s="58"/>
      <x:c r="DK556" s="47"/>
      <x:c r="DL556" s="60"/>
      <x:c r="DM556" s="58"/>
      <x:c r="DN556" s="11"/>
      <x:c r="DO556" s="61"/>
      <x:c r="DP556" s="62"/>
      <x:c r="DQ556" s="11"/>
      <x:c r="DR556" s="61"/>
      <x:c r="DS556" s="62"/>
      <x:c r="DT556" s="11"/>
      <x:c r="DU556" s="61"/>
      <x:c r="DV556" s="62"/>
    </x:row>
    <x:row r="557" spans="1:126" x14ac:dyDescent="0.3">
      <x:c r="A557" s="47"/>
      <x:c r="B557" s="70"/>
      <x:c r="C557" s="70"/>
      <x:c r="D557" s="70"/>
      <x:c r="E557" s="70"/>
      <x:c r="F557" s="70"/>
      <x:c r="G557" s="70"/>
      <x:c r="H557" s="70"/>
      <x:c r="I557" s="70"/>
      <x:c r="J557" s="70"/>
      <x:c r="K557" s="190"/>
      <x:c r="L557" s="195"/>
      <x:c r="M557" s="192"/>
      <x:c r="N557" s="192"/>
      <x:c r="O557" s="69"/>
      <x:c r="P557" s="47"/>
      <x:c r="Q557" s="60"/>
      <x:c r="R557" s="58"/>
      <x:c r="S557" s="47"/>
      <x:c r="T557" s="60"/>
      <x:c r="U557" s="58"/>
      <x:c r="V557" s="47"/>
      <x:c r="W557" s="60"/>
      <x:c r="X557" s="58"/>
      <x:c r="Y557" s="47"/>
      <x:c r="Z557" s="60"/>
      <x:c r="AA557" s="58"/>
      <x:c r="AB557" s="47"/>
      <x:c r="AC557" s="60"/>
      <x:c r="AD557" s="58"/>
      <x:c r="AE557" s="47"/>
      <x:c r="AF557" s="60"/>
      <x:c r="AG557" s="58"/>
      <x:c r="AH557" s="47"/>
      <x:c r="AI557" s="60"/>
      <x:c r="AJ557" s="58"/>
      <x:c r="AK557" s="47"/>
      <x:c r="AL557" s="60"/>
      <x:c r="AM557" s="58"/>
      <x:c r="AN557" s="47"/>
      <x:c r="AO557" s="60"/>
      <x:c r="AP557" s="58"/>
      <x:c r="AQ557" s="47"/>
      <x:c r="AR557" s="60"/>
      <x:c r="AS557" s="58"/>
      <x:c r="AT557" s="47"/>
      <x:c r="AU557" s="60"/>
      <x:c r="AV557" s="58"/>
      <x:c r="AW557" s="47"/>
      <x:c r="AX557" s="60"/>
      <x:c r="AY557" s="58"/>
      <x:c r="AZ557" s="47"/>
      <x:c r="BA557" s="60"/>
      <x:c r="BB557" s="58"/>
      <x:c r="BC557" s="47"/>
      <x:c r="BD557" s="60"/>
      <x:c r="BE557" s="58"/>
      <x:c r="BF557" s="47"/>
      <x:c r="BG557" s="60"/>
      <x:c r="BH557" s="58"/>
      <x:c r="BI557" s="47"/>
      <x:c r="BJ557" s="60"/>
      <x:c r="BK557" s="58"/>
      <x:c r="BL557" s="47"/>
      <x:c r="BM557" s="60"/>
      <x:c r="BN557" s="58"/>
      <x:c r="BO557" s="47"/>
      <x:c r="BP557" s="60"/>
      <x:c r="BQ557" s="58"/>
      <x:c r="BR557" s="47"/>
      <x:c r="BS557" s="60"/>
      <x:c r="BT557" s="58"/>
      <x:c r="BU557" s="47"/>
      <x:c r="BV557" s="60"/>
      <x:c r="BW557" s="58"/>
      <x:c r="BX557" s="47"/>
      <x:c r="BY557" s="60"/>
      <x:c r="BZ557" s="58"/>
      <x:c r="CA557" s="47"/>
      <x:c r="CB557" s="60"/>
      <x:c r="CC557" s="58"/>
      <x:c r="CD557" s="47"/>
      <x:c r="CE557" s="60"/>
      <x:c r="CF557" s="58"/>
      <x:c r="CG557" s="47"/>
      <x:c r="CH557" s="60"/>
      <x:c r="CI557" s="58"/>
      <x:c r="CJ557" s="47"/>
      <x:c r="CK557" s="60"/>
      <x:c r="CL557" s="58"/>
      <x:c r="CM557" s="47"/>
      <x:c r="CN557" s="60"/>
      <x:c r="CO557" s="58"/>
      <x:c r="CP557" s="47"/>
      <x:c r="CQ557" s="60"/>
      <x:c r="CR557" s="58"/>
      <x:c r="CS557" s="47"/>
      <x:c r="CT557" s="60"/>
      <x:c r="CU557" s="58"/>
      <x:c r="CV557" s="47"/>
      <x:c r="CW557" s="60"/>
      <x:c r="CX557" s="58"/>
      <x:c r="CY557" s="47"/>
      <x:c r="CZ557" s="60"/>
      <x:c r="DA557" s="58"/>
      <x:c r="DB557" s="47"/>
      <x:c r="DC557" s="60"/>
      <x:c r="DD557" s="58"/>
      <x:c r="DE557" s="47"/>
      <x:c r="DF557" s="60"/>
      <x:c r="DG557" s="58"/>
      <x:c r="DH557" s="47"/>
      <x:c r="DI557" s="60"/>
      <x:c r="DJ557" s="58"/>
      <x:c r="DK557" s="47"/>
      <x:c r="DL557" s="60"/>
      <x:c r="DM557" s="58"/>
      <x:c r="DN557" s="11"/>
      <x:c r="DO557" s="61"/>
      <x:c r="DP557" s="62"/>
      <x:c r="DQ557" s="11"/>
      <x:c r="DR557" s="61"/>
      <x:c r="DS557" s="62"/>
      <x:c r="DT557" s="11"/>
      <x:c r="DU557" s="61"/>
      <x:c r="DV557" s="62"/>
    </x:row>
    <x:row r="558" spans="1:126" x14ac:dyDescent="0.3">
      <x:c r="A558" s="47"/>
      <x:c r="B558" s="70"/>
      <x:c r="C558" s="70"/>
      <x:c r="D558" s="70"/>
      <x:c r="E558" s="70"/>
      <x:c r="F558" s="70"/>
      <x:c r="G558" s="70"/>
      <x:c r="H558" s="70"/>
      <x:c r="I558" s="70"/>
      <x:c r="J558" s="70"/>
      <x:c r="K558" s="190"/>
      <x:c r="L558" s="195"/>
      <x:c r="M558" s="192"/>
      <x:c r="N558" s="192"/>
      <x:c r="O558" s="69"/>
      <x:c r="P558" s="47"/>
      <x:c r="Q558" s="60"/>
      <x:c r="R558" s="58"/>
      <x:c r="S558" s="47"/>
      <x:c r="T558" s="60"/>
      <x:c r="U558" s="58"/>
      <x:c r="V558" s="47"/>
      <x:c r="W558" s="60"/>
      <x:c r="X558" s="58"/>
      <x:c r="Y558" s="47"/>
      <x:c r="Z558" s="60"/>
      <x:c r="AA558" s="58"/>
      <x:c r="AB558" s="47"/>
      <x:c r="AC558" s="60"/>
      <x:c r="AD558" s="58"/>
      <x:c r="AE558" s="47"/>
      <x:c r="AF558" s="60"/>
      <x:c r="AG558" s="58"/>
      <x:c r="AH558" s="47"/>
      <x:c r="AI558" s="60"/>
      <x:c r="AJ558" s="58"/>
      <x:c r="AK558" s="47"/>
      <x:c r="AL558" s="60"/>
      <x:c r="AM558" s="58"/>
      <x:c r="AN558" s="47"/>
      <x:c r="AO558" s="60"/>
      <x:c r="AP558" s="58"/>
      <x:c r="AQ558" s="47"/>
      <x:c r="AR558" s="60"/>
      <x:c r="AS558" s="58"/>
      <x:c r="AT558" s="47"/>
      <x:c r="AU558" s="60"/>
      <x:c r="AV558" s="58"/>
      <x:c r="AW558" s="47"/>
      <x:c r="AX558" s="60"/>
      <x:c r="AY558" s="58"/>
      <x:c r="AZ558" s="47"/>
      <x:c r="BA558" s="60"/>
      <x:c r="BB558" s="58"/>
      <x:c r="BC558" s="47"/>
      <x:c r="BD558" s="60"/>
      <x:c r="BE558" s="58"/>
      <x:c r="BF558" s="47"/>
      <x:c r="BG558" s="60"/>
      <x:c r="BH558" s="58"/>
      <x:c r="BI558" s="47"/>
      <x:c r="BJ558" s="60"/>
      <x:c r="BK558" s="58"/>
      <x:c r="BL558" s="47"/>
      <x:c r="BM558" s="60"/>
      <x:c r="BN558" s="58"/>
      <x:c r="BO558" s="47"/>
      <x:c r="BP558" s="60"/>
      <x:c r="BQ558" s="58"/>
      <x:c r="BR558" s="47"/>
      <x:c r="BS558" s="60"/>
      <x:c r="BT558" s="58"/>
      <x:c r="BU558" s="47"/>
      <x:c r="BV558" s="60"/>
      <x:c r="BW558" s="58"/>
      <x:c r="BX558" s="47"/>
      <x:c r="BY558" s="60"/>
      <x:c r="BZ558" s="58"/>
      <x:c r="CA558" s="47"/>
      <x:c r="CB558" s="60"/>
      <x:c r="CC558" s="58"/>
      <x:c r="CD558" s="47"/>
      <x:c r="CE558" s="60"/>
      <x:c r="CF558" s="58"/>
      <x:c r="CG558" s="47"/>
      <x:c r="CH558" s="60"/>
      <x:c r="CI558" s="58"/>
      <x:c r="CJ558" s="47"/>
      <x:c r="CK558" s="60"/>
      <x:c r="CL558" s="58"/>
      <x:c r="CM558" s="47"/>
      <x:c r="CN558" s="60"/>
      <x:c r="CO558" s="58"/>
      <x:c r="CP558" s="47"/>
      <x:c r="CQ558" s="60"/>
      <x:c r="CR558" s="58"/>
      <x:c r="CS558" s="47"/>
      <x:c r="CT558" s="60"/>
      <x:c r="CU558" s="58"/>
      <x:c r="CV558" s="47"/>
      <x:c r="CW558" s="60"/>
      <x:c r="CX558" s="58"/>
      <x:c r="CY558" s="47"/>
      <x:c r="CZ558" s="60"/>
      <x:c r="DA558" s="58"/>
      <x:c r="DB558" s="47"/>
      <x:c r="DC558" s="60"/>
      <x:c r="DD558" s="58"/>
      <x:c r="DE558" s="47"/>
      <x:c r="DF558" s="60"/>
      <x:c r="DG558" s="58"/>
      <x:c r="DH558" s="47"/>
      <x:c r="DI558" s="60"/>
      <x:c r="DJ558" s="58"/>
      <x:c r="DK558" s="47"/>
      <x:c r="DL558" s="60"/>
      <x:c r="DM558" s="58"/>
      <x:c r="DN558" s="11"/>
      <x:c r="DO558" s="61"/>
      <x:c r="DP558" s="62"/>
      <x:c r="DQ558" s="11"/>
      <x:c r="DR558" s="61"/>
      <x:c r="DS558" s="62"/>
      <x:c r="DT558" s="11"/>
      <x:c r="DU558" s="61"/>
      <x:c r="DV558" s="62"/>
    </x:row>
    <x:row r="559" spans="1:126" x14ac:dyDescent="0.3">
      <x:c r="A559" s="47"/>
      <x:c r="B559" s="70"/>
      <x:c r="C559" s="70"/>
      <x:c r="D559" s="70"/>
      <x:c r="E559" s="70"/>
      <x:c r="F559" s="70"/>
      <x:c r="G559" s="70"/>
      <x:c r="H559" s="70"/>
      <x:c r="I559" s="70"/>
      <x:c r="J559" s="70"/>
      <x:c r="K559" s="190"/>
      <x:c r="L559" s="195"/>
      <x:c r="M559" s="192"/>
      <x:c r="N559" s="192"/>
      <x:c r="O559" s="69"/>
      <x:c r="P559" s="47"/>
      <x:c r="Q559" s="60"/>
      <x:c r="R559" s="58"/>
      <x:c r="S559" s="47"/>
      <x:c r="T559" s="60"/>
      <x:c r="U559" s="58"/>
      <x:c r="V559" s="47"/>
      <x:c r="W559" s="60"/>
      <x:c r="X559" s="58"/>
      <x:c r="Y559" s="47"/>
      <x:c r="Z559" s="60"/>
      <x:c r="AA559" s="58"/>
      <x:c r="AB559" s="47"/>
      <x:c r="AC559" s="60"/>
      <x:c r="AD559" s="58"/>
      <x:c r="AE559" s="47"/>
      <x:c r="AF559" s="60"/>
      <x:c r="AG559" s="58"/>
      <x:c r="AH559" s="47"/>
      <x:c r="AI559" s="60"/>
      <x:c r="AJ559" s="58"/>
      <x:c r="AK559" s="47"/>
      <x:c r="AL559" s="60"/>
      <x:c r="AM559" s="58"/>
      <x:c r="AN559" s="47"/>
      <x:c r="AO559" s="60"/>
      <x:c r="AP559" s="58"/>
      <x:c r="AQ559" s="47"/>
      <x:c r="AR559" s="60"/>
      <x:c r="AS559" s="58"/>
      <x:c r="AT559" s="47"/>
      <x:c r="AU559" s="60"/>
      <x:c r="AV559" s="58"/>
      <x:c r="AW559" s="47"/>
      <x:c r="AX559" s="60"/>
      <x:c r="AY559" s="58"/>
      <x:c r="AZ559" s="47"/>
      <x:c r="BA559" s="60"/>
      <x:c r="BB559" s="58"/>
      <x:c r="BC559" s="47"/>
      <x:c r="BD559" s="60"/>
      <x:c r="BE559" s="58"/>
      <x:c r="BF559" s="47"/>
      <x:c r="BG559" s="60"/>
      <x:c r="BH559" s="58"/>
      <x:c r="BI559" s="47"/>
      <x:c r="BJ559" s="60"/>
      <x:c r="BK559" s="58"/>
      <x:c r="BL559" s="47"/>
      <x:c r="BM559" s="60"/>
      <x:c r="BN559" s="58"/>
      <x:c r="BO559" s="47"/>
      <x:c r="BP559" s="60"/>
      <x:c r="BQ559" s="58"/>
      <x:c r="BR559" s="47"/>
      <x:c r="BS559" s="60"/>
      <x:c r="BT559" s="58"/>
      <x:c r="BU559" s="47"/>
      <x:c r="BV559" s="60"/>
      <x:c r="BW559" s="58"/>
      <x:c r="BX559" s="47"/>
      <x:c r="BY559" s="60"/>
      <x:c r="BZ559" s="58"/>
      <x:c r="CA559" s="47"/>
      <x:c r="CB559" s="60"/>
      <x:c r="CC559" s="58"/>
      <x:c r="CD559" s="47"/>
      <x:c r="CE559" s="60"/>
      <x:c r="CF559" s="58"/>
      <x:c r="CG559" s="47"/>
      <x:c r="CH559" s="60"/>
      <x:c r="CI559" s="58"/>
      <x:c r="CJ559" s="47"/>
      <x:c r="CK559" s="60"/>
      <x:c r="CL559" s="58"/>
      <x:c r="CM559" s="47"/>
      <x:c r="CN559" s="60"/>
      <x:c r="CO559" s="58"/>
      <x:c r="CP559" s="47"/>
      <x:c r="CQ559" s="60"/>
      <x:c r="CR559" s="58"/>
      <x:c r="CS559" s="47"/>
      <x:c r="CT559" s="60"/>
      <x:c r="CU559" s="58"/>
      <x:c r="CV559" s="47"/>
      <x:c r="CW559" s="60"/>
      <x:c r="CX559" s="58"/>
      <x:c r="CY559" s="47"/>
      <x:c r="CZ559" s="60"/>
      <x:c r="DA559" s="58"/>
      <x:c r="DB559" s="47"/>
      <x:c r="DC559" s="60"/>
      <x:c r="DD559" s="58"/>
      <x:c r="DE559" s="47"/>
      <x:c r="DF559" s="60"/>
      <x:c r="DG559" s="58"/>
      <x:c r="DH559" s="47"/>
      <x:c r="DI559" s="60"/>
      <x:c r="DJ559" s="58"/>
      <x:c r="DK559" s="47"/>
      <x:c r="DL559" s="60"/>
      <x:c r="DM559" s="58"/>
      <x:c r="DN559" s="11"/>
      <x:c r="DO559" s="61"/>
      <x:c r="DP559" s="62"/>
      <x:c r="DQ559" s="11"/>
      <x:c r="DR559" s="61"/>
      <x:c r="DS559" s="62"/>
      <x:c r="DT559" s="11"/>
      <x:c r="DU559" s="61"/>
      <x:c r="DV559" s="62"/>
    </x:row>
    <x:row r="560" spans="1:126" x14ac:dyDescent="0.3">
      <x:c r="A560" s="47"/>
      <x:c r="B560" s="70"/>
      <x:c r="C560" s="70"/>
      <x:c r="D560" s="70"/>
      <x:c r="E560" s="70"/>
      <x:c r="F560" s="70"/>
      <x:c r="G560" s="70"/>
      <x:c r="H560" s="70"/>
      <x:c r="I560" s="70"/>
      <x:c r="J560" s="70"/>
      <x:c r="K560" s="190"/>
      <x:c r="L560" s="195"/>
      <x:c r="M560" s="192"/>
      <x:c r="N560" s="192"/>
      <x:c r="O560" s="69"/>
      <x:c r="P560" s="47"/>
      <x:c r="Q560" s="60"/>
      <x:c r="R560" s="58"/>
      <x:c r="S560" s="47"/>
      <x:c r="T560" s="60"/>
      <x:c r="U560" s="58"/>
      <x:c r="V560" s="47"/>
      <x:c r="W560" s="60"/>
      <x:c r="X560" s="58"/>
      <x:c r="Y560" s="47"/>
      <x:c r="Z560" s="60"/>
      <x:c r="AA560" s="58"/>
      <x:c r="AB560" s="47"/>
      <x:c r="AC560" s="60"/>
      <x:c r="AD560" s="58"/>
      <x:c r="AE560" s="47"/>
      <x:c r="AF560" s="60"/>
      <x:c r="AG560" s="58"/>
      <x:c r="AH560" s="47"/>
      <x:c r="AI560" s="60"/>
      <x:c r="AJ560" s="58"/>
      <x:c r="AK560" s="47"/>
      <x:c r="AL560" s="60"/>
      <x:c r="AM560" s="58"/>
      <x:c r="AN560" s="47"/>
      <x:c r="AO560" s="60"/>
      <x:c r="AP560" s="58"/>
      <x:c r="AQ560" s="47"/>
      <x:c r="AR560" s="60"/>
      <x:c r="AS560" s="58"/>
      <x:c r="AT560" s="47"/>
      <x:c r="AU560" s="60"/>
      <x:c r="AV560" s="58"/>
      <x:c r="AW560" s="47"/>
      <x:c r="AX560" s="60"/>
      <x:c r="AY560" s="58"/>
      <x:c r="AZ560" s="47"/>
      <x:c r="BA560" s="60"/>
      <x:c r="BB560" s="58"/>
      <x:c r="BC560" s="47"/>
      <x:c r="BD560" s="60"/>
      <x:c r="BE560" s="58"/>
      <x:c r="BF560" s="47"/>
      <x:c r="BG560" s="60"/>
      <x:c r="BH560" s="58"/>
      <x:c r="BI560" s="47"/>
      <x:c r="BJ560" s="60"/>
      <x:c r="BK560" s="58"/>
      <x:c r="BL560" s="47"/>
      <x:c r="BM560" s="60"/>
      <x:c r="BN560" s="58"/>
      <x:c r="BO560" s="47"/>
      <x:c r="BP560" s="60"/>
      <x:c r="BQ560" s="58"/>
      <x:c r="BR560" s="47"/>
      <x:c r="BS560" s="60"/>
      <x:c r="BT560" s="58"/>
      <x:c r="BU560" s="47"/>
      <x:c r="BV560" s="60"/>
      <x:c r="BW560" s="58"/>
      <x:c r="BX560" s="47"/>
      <x:c r="BY560" s="60"/>
      <x:c r="BZ560" s="58"/>
      <x:c r="CA560" s="47"/>
      <x:c r="CB560" s="60"/>
      <x:c r="CC560" s="58"/>
      <x:c r="CD560" s="47"/>
      <x:c r="CE560" s="60"/>
      <x:c r="CF560" s="58"/>
      <x:c r="CG560" s="47"/>
      <x:c r="CH560" s="60"/>
      <x:c r="CI560" s="58"/>
      <x:c r="CJ560" s="47"/>
      <x:c r="CK560" s="60"/>
      <x:c r="CL560" s="58"/>
      <x:c r="CM560" s="47"/>
      <x:c r="CN560" s="60"/>
      <x:c r="CO560" s="58"/>
      <x:c r="CP560" s="47"/>
      <x:c r="CQ560" s="60"/>
      <x:c r="CR560" s="58"/>
      <x:c r="CS560" s="47"/>
      <x:c r="CT560" s="60"/>
      <x:c r="CU560" s="58"/>
      <x:c r="CV560" s="47"/>
      <x:c r="CW560" s="60"/>
      <x:c r="CX560" s="58"/>
      <x:c r="CY560" s="47"/>
      <x:c r="CZ560" s="60"/>
      <x:c r="DA560" s="58"/>
      <x:c r="DB560" s="47"/>
      <x:c r="DC560" s="60"/>
      <x:c r="DD560" s="58"/>
      <x:c r="DE560" s="47"/>
      <x:c r="DF560" s="60"/>
      <x:c r="DG560" s="58"/>
      <x:c r="DH560" s="47"/>
      <x:c r="DI560" s="60"/>
      <x:c r="DJ560" s="58"/>
      <x:c r="DK560" s="47"/>
      <x:c r="DL560" s="60"/>
      <x:c r="DM560" s="58"/>
      <x:c r="DN560" s="11"/>
      <x:c r="DO560" s="61"/>
      <x:c r="DP560" s="62"/>
      <x:c r="DQ560" s="11"/>
      <x:c r="DR560" s="61"/>
      <x:c r="DS560" s="62"/>
      <x:c r="DT560" s="11"/>
      <x:c r="DU560" s="61"/>
      <x:c r="DV560" s="62"/>
    </x:row>
    <x:row r="561" spans="1:126" x14ac:dyDescent="0.3">
      <x:c r="A561" s="47"/>
      <x:c r="B561" s="70"/>
      <x:c r="C561" s="70"/>
      <x:c r="D561" s="70"/>
      <x:c r="E561" s="70"/>
      <x:c r="F561" s="70"/>
      <x:c r="G561" s="70"/>
      <x:c r="H561" s="70"/>
      <x:c r="I561" s="70"/>
      <x:c r="J561" s="70"/>
      <x:c r="K561" s="190"/>
      <x:c r="L561" s="195"/>
      <x:c r="M561" s="192"/>
      <x:c r="N561" s="192"/>
      <x:c r="O561" s="69"/>
      <x:c r="P561" s="47"/>
      <x:c r="Q561" s="60"/>
      <x:c r="R561" s="58"/>
      <x:c r="S561" s="47"/>
      <x:c r="T561" s="60"/>
      <x:c r="U561" s="58"/>
      <x:c r="V561" s="47"/>
      <x:c r="W561" s="60"/>
      <x:c r="X561" s="58"/>
      <x:c r="Y561" s="47"/>
      <x:c r="Z561" s="60"/>
      <x:c r="AA561" s="58"/>
      <x:c r="AB561" s="47"/>
      <x:c r="AC561" s="60"/>
      <x:c r="AD561" s="58"/>
      <x:c r="AE561" s="47"/>
      <x:c r="AF561" s="60"/>
      <x:c r="AG561" s="58"/>
      <x:c r="AH561" s="47"/>
      <x:c r="AI561" s="60"/>
      <x:c r="AJ561" s="58"/>
      <x:c r="AK561" s="47"/>
      <x:c r="AL561" s="60"/>
      <x:c r="AM561" s="58"/>
      <x:c r="AN561" s="47"/>
      <x:c r="AO561" s="60"/>
      <x:c r="AP561" s="58"/>
      <x:c r="AQ561" s="47"/>
      <x:c r="AR561" s="60"/>
      <x:c r="AS561" s="58"/>
      <x:c r="AT561" s="47"/>
      <x:c r="AU561" s="60"/>
      <x:c r="AV561" s="58"/>
      <x:c r="AW561" s="47"/>
      <x:c r="AX561" s="60"/>
      <x:c r="AY561" s="58"/>
      <x:c r="AZ561" s="47"/>
      <x:c r="BA561" s="60"/>
      <x:c r="BB561" s="58"/>
      <x:c r="BC561" s="47"/>
      <x:c r="BD561" s="60"/>
      <x:c r="BE561" s="58"/>
      <x:c r="BF561" s="47"/>
      <x:c r="BG561" s="60"/>
      <x:c r="BH561" s="58"/>
      <x:c r="BI561" s="47"/>
      <x:c r="BJ561" s="60"/>
      <x:c r="BK561" s="58"/>
      <x:c r="BL561" s="47"/>
      <x:c r="BM561" s="60"/>
      <x:c r="BN561" s="58"/>
      <x:c r="BO561" s="47"/>
      <x:c r="BP561" s="60"/>
      <x:c r="BQ561" s="58"/>
      <x:c r="BR561" s="47"/>
      <x:c r="BS561" s="60"/>
      <x:c r="BT561" s="58"/>
      <x:c r="BU561" s="47"/>
      <x:c r="BV561" s="60"/>
      <x:c r="BW561" s="58"/>
      <x:c r="BX561" s="47"/>
      <x:c r="BY561" s="60"/>
      <x:c r="BZ561" s="58"/>
      <x:c r="CA561" s="47"/>
      <x:c r="CB561" s="60"/>
      <x:c r="CC561" s="58"/>
      <x:c r="CD561" s="47"/>
      <x:c r="CE561" s="60"/>
      <x:c r="CF561" s="58"/>
      <x:c r="CG561" s="47"/>
      <x:c r="CH561" s="60"/>
      <x:c r="CI561" s="58"/>
      <x:c r="CJ561" s="47"/>
      <x:c r="CK561" s="60"/>
      <x:c r="CL561" s="58"/>
      <x:c r="CM561" s="47"/>
      <x:c r="CN561" s="60"/>
      <x:c r="CO561" s="58"/>
      <x:c r="CP561" s="47"/>
      <x:c r="CQ561" s="60"/>
      <x:c r="CR561" s="58"/>
      <x:c r="CS561" s="47"/>
      <x:c r="CT561" s="60"/>
      <x:c r="CU561" s="58"/>
      <x:c r="CV561" s="47"/>
      <x:c r="CW561" s="60"/>
      <x:c r="CX561" s="58"/>
      <x:c r="CY561" s="47"/>
      <x:c r="CZ561" s="60"/>
      <x:c r="DA561" s="58"/>
      <x:c r="DB561" s="47"/>
      <x:c r="DC561" s="60"/>
      <x:c r="DD561" s="58"/>
      <x:c r="DE561" s="47"/>
      <x:c r="DF561" s="60"/>
      <x:c r="DG561" s="58"/>
      <x:c r="DH561" s="47"/>
      <x:c r="DI561" s="60"/>
      <x:c r="DJ561" s="58"/>
      <x:c r="DK561" s="47"/>
      <x:c r="DL561" s="60"/>
      <x:c r="DM561" s="58"/>
      <x:c r="DN561" s="11"/>
      <x:c r="DO561" s="61"/>
      <x:c r="DP561" s="62"/>
      <x:c r="DQ561" s="11"/>
      <x:c r="DR561" s="61"/>
      <x:c r="DS561" s="62"/>
      <x:c r="DT561" s="11"/>
      <x:c r="DU561" s="61"/>
      <x:c r="DV561" s="62"/>
    </x:row>
    <x:row r="562" spans="1:126" x14ac:dyDescent="0.3">
      <x:c r="A562" s="47"/>
      <x:c r="B562" s="70"/>
      <x:c r="C562" s="70"/>
      <x:c r="D562" s="70"/>
      <x:c r="E562" s="70"/>
      <x:c r="F562" s="70"/>
      <x:c r="G562" s="70"/>
      <x:c r="H562" s="70"/>
      <x:c r="I562" s="70"/>
      <x:c r="J562" s="70"/>
      <x:c r="K562" s="190"/>
      <x:c r="L562" s="195"/>
      <x:c r="M562" s="192"/>
      <x:c r="N562" s="192"/>
      <x:c r="O562" s="69"/>
      <x:c r="P562" s="47"/>
      <x:c r="Q562" s="60"/>
      <x:c r="R562" s="58"/>
      <x:c r="S562" s="47"/>
      <x:c r="T562" s="60"/>
      <x:c r="U562" s="58"/>
      <x:c r="V562" s="47"/>
      <x:c r="W562" s="60"/>
      <x:c r="X562" s="58"/>
      <x:c r="Y562" s="47"/>
      <x:c r="Z562" s="60"/>
      <x:c r="AA562" s="58"/>
      <x:c r="AB562" s="47"/>
      <x:c r="AC562" s="60"/>
      <x:c r="AD562" s="58"/>
      <x:c r="AE562" s="47"/>
      <x:c r="AF562" s="60"/>
      <x:c r="AG562" s="58"/>
      <x:c r="AH562" s="47"/>
      <x:c r="AI562" s="60"/>
      <x:c r="AJ562" s="58"/>
      <x:c r="AK562" s="47"/>
      <x:c r="AL562" s="60"/>
      <x:c r="AM562" s="58"/>
      <x:c r="AN562" s="47"/>
      <x:c r="AO562" s="60"/>
      <x:c r="AP562" s="58"/>
      <x:c r="AQ562" s="47"/>
      <x:c r="AR562" s="60"/>
      <x:c r="AS562" s="58"/>
      <x:c r="AT562" s="47"/>
      <x:c r="AU562" s="60"/>
      <x:c r="AV562" s="58"/>
      <x:c r="AW562" s="47"/>
      <x:c r="AX562" s="60"/>
      <x:c r="AY562" s="58"/>
      <x:c r="AZ562" s="47"/>
      <x:c r="BA562" s="60"/>
      <x:c r="BB562" s="58"/>
      <x:c r="BC562" s="47"/>
      <x:c r="BD562" s="60"/>
      <x:c r="BE562" s="58"/>
      <x:c r="BF562" s="47"/>
      <x:c r="BG562" s="60"/>
      <x:c r="BH562" s="58"/>
      <x:c r="BI562" s="47"/>
      <x:c r="BJ562" s="60"/>
      <x:c r="BK562" s="58"/>
      <x:c r="BL562" s="47"/>
      <x:c r="BM562" s="60"/>
      <x:c r="BN562" s="58"/>
      <x:c r="BO562" s="47"/>
      <x:c r="BP562" s="60"/>
      <x:c r="BQ562" s="58"/>
      <x:c r="BR562" s="47"/>
      <x:c r="BS562" s="60"/>
      <x:c r="BT562" s="58"/>
      <x:c r="BU562" s="47"/>
      <x:c r="BV562" s="60"/>
      <x:c r="BW562" s="58"/>
      <x:c r="BX562" s="47"/>
      <x:c r="BY562" s="60"/>
      <x:c r="BZ562" s="58"/>
      <x:c r="CA562" s="47"/>
      <x:c r="CB562" s="60"/>
      <x:c r="CC562" s="58"/>
      <x:c r="CD562" s="47"/>
      <x:c r="CE562" s="60"/>
      <x:c r="CF562" s="58"/>
      <x:c r="CG562" s="47"/>
      <x:c r="CH562" s="60"/>
      <x:c r="CI562" s="58"/>
      <x:c r="CJ562" s="47"/>
      <x:c r="CK562" s="60"/>
      <x:c r="CL562" s="58"/>
      <x:c r="CM562" s="47"/>
      <x:c r="CN562" s="60"/>
      <x:c r="CO562" s="58"/>
      <x:c r="CP562" s="47"/>
      <x:c r="CQ562" s="60"/>
      <x:c r="CR562" s="58"/>
      <x:c r="CS562" s="47"/>
      <x:c r="CT562" s="60"/>
      <x:c r="CU562" s="58"/>
      <x:c r="CV562" s="47"/>
      <x:c r="CW562" s="60"/>
      <x:c r="CX562" s="58"/>
      <x:c r="CY562" s="47"/>
      <x:c r="CZ562" s="60"/>
      <x:c r="DA562" s="58"/>
      <x:c r="DB562" s="47"/>
      <x:c r="DC562" s="60"/>
      <x:c r="DD562" s="58"/>
      <x:c r="DE562" s="47"/>
      <x:c r="DF562" s="60"/>
      <x:c r="DG562" s="58"/>
      <x:c r="DH562" s="47"/>
      <x:c r="DI562" s="60"/>
      <x:c r="DJ562" s="58"/>
      <x:c r="DK562" s="47"/>
      <x:c r="DL562" s="60"/>
      <x:c r="DM562" s="58"/>
      <x:c r="DN562" s="11"/>
      <x:c r="DO562" s="61"/>
      <x:c r="DP562" s="62"/>
      <x:c r="DQ562" s="11"/>
      <x:c r="DR562" s="61"/>
      <x:c r="DS562" s="62"/>
      <x:c r="DT562" s="11"/>
      <x:c r="DU562" s="61"/>
      <x:c r="DV562" s="62"/>
    </x:row>
    <x:row r="563" spans="1:126" x14ac:dyDescent="0.3">
      <x:c r="A563" s="47"/>
      <x:c r="B563" s="70"/>
      <x:c r="C563" s="70"/>
      <x:c r="D563" s="70"/>
      <x:c r="E563" s="70"/>
      <x:c r="F563" s="70"/>
      <x:c r="G563" s="70"/>
      <x:c r="H563" s="70"/>
      <x:c r="I563" s="70"/>
      <x:c r="J563" s="70"/>
      <x:c r="K563" s="190"/>
      <x:c r="L563" s="195"/>
      <x:c r="M563" s="192"/>
      <x:c r="N563" s="192"/>
      <x:c r="O563" s="69"/>
      <x:c r="P563" s="47"/>
      <x:c r="Q563" s="60"/>
      <x:c r="R563" s="58"/>
      <x:c r="S563" s="47"/>
      <x:c r="T563" s="60"/>
      <x:c r="U563" s="58"/>
      <x:c r="V563" s="47"/>
      <x:c r="W563" s="60"/>
      <x:c r="X563" s="58"/>
      <x:c r="Y563" s="47"/>
      <x:c r="Z563" s="60"/>
      <x:c r="AA563" s="58"/>
      <x:c r="AB563" s="47"/>
      <x:c r="AC563" s="60"/>
      <x:c r="AD563" s="58"/>
      <x:c r="AE563" s="47"/>
      <x:c r="AF563" s="60"/>
      <x:c r="AG563" s="58"/>
      <x:c r="AH563" s="47"/>
      <x:c r="AI563" s="60"/>
      <x:c r="AJ563" s="58"/>
      <x:c r="AK563" s="47"/>
      <x:c r="AL563" s="60"/>
      <x:c r="AM563" s="58"/>
      <x:c r="AN563" s="47"/>
      <x:c r="AO563" s="60"/>
      <x:c r="AP563" s="58"/>
      <x:c r="AQ563" s="47"/>
      <x:c r="AR563" s="60"/>
      <x:c r="AS563" s="58"/>
      <x:c r="AT563" s="47"/>
      <x:c r="AU563" s="60"/>
      <x:c r="AV563" s="58"/>
      <x:c r="AW563" s="47"/>
      <x:c r="AX563" s="60"/>
      <x:c r="AY563" s="58"/>
      <x:c r="AZ563" s="47"/>
      <x:c r="BA563" s="60"/>
      <x:c r="BB563" s="58"/>
      <x:c r="BC563" s="47"/>
      <x:c r="BD563" s="60"/>
      <x:c r="BE563" s="58"/>
      <x:c r="BF563" s="47"/>
      <x:c r="BG563" s="60"/>
      <x:c r="BH563" s="58"/>
      <x:c r="BI563" s="47"/>
      <x:c r="BJ563" s="60"/>
      <x:c r="BK563" s="58"/>
      <x:c r="BL563" s="47"/>
      <x:c r="BM563" s="60"/>
      <x:c r="BN563" s="58"/>
      <x:c r="BO563" s="47"/>
      <x:c r="BP563" s="60"/>
      <x:c r="BQ563" s="58"/>
      <x:c r="BR563" s="47"/>
      <x:c r="BS563" s="60"/>
      <x:c r="BT563" s="58"/>
      <x:c r="BU563" s="47"/>
      <x:c r="BV563" s="60"/>
      <x:c r="BW563" s="58"/>
      <x:c r="BX563" s="47"/>
      <x:c r="BY563" s="60"/>
      <x:c r="BZ563" s="58"/>
      <x:c r="CA563" s="47"/>
      <x:c r="CB563" s="60"/>
      <x:c r="CC563" s="58"/>
      <x:c r="CD563" s="47"/>
      <x:c r="CE563" s="60"/>
      <x:c r="CF563" s="58"/>
      <x:c r="CG563" s="47"/>
      <x:c r="CH563" s="60"/>
      <x:c r="CI563" s="58"/>
      <x:c r="CJ563" s="47"/>
      <x:c r="CK563" s="60"/>
      <x:c r="CL563" s="58"/>
      <x:c r="CM563" s="47"/>
      <x:c r="CN563" s="60"/>
      <x:c r="CO563" s="58"/>
      <x:c r="CP563" s="47"/>
      <x:c r="CQ563" s="60"/>
      <x:c r="CR563" s="58"/>
      <x:c r="CS563" s="47"/>
      <x:c r="CT563" s="60"/>
      <x:c r="CU563" s="58"/>
      <x:c r="CV563" s="47"/>
      <x:c r="CW563" s="60"/>
      <x:c r="CX563" s="58"/>
      <x:c r="CY563" s="47"/>
      <x:c r="CZ563" s="60"/>
      <x:c r="DA563" s="58"/>
      <x:c r="DB563" s="47"/>
      <x:c r="DC563" s="60"/>
      <x:c r="DD563" s="58"/>
      <x:c r="DE563" s="47"/>
      <x:c r="DF563" s="60"/>
      <x:c r="DG563" s="58"/>
      <x:c r="DH563" s="47"/>
      <x:c r="DI563" s="60"/>
      <x:c r="DJ563" s="58"/>
      <x:c r="DK563" s="47"/>
      <x:c r="DL563" s="60"/>
      <x:c r="DM563" s="58"/>
      <x:c r="DN563" s="11"/>
      <x:c r="DO563" s="61"/>
      <x:c r="DP563" s="62"/>
      <x:c r="DQ563" s="11"/>
      <x:c r="DR563" s="61"/>
      <x:c r="DS563" s="62"/>
      <x:c r="DT563" s="11"/>
      <x:c r="DU563" s="61"/>
      <x:c r="DV563" s="62"/>
    </x:row>
    <x:row r="564" spans="1:126" x14ac:dyDescent="0.3">
      <x:c r="A564" s="47"/>
      <x:c r="B564" s="70"/>
      <x:c r="C564" s="70"/>
      <x:c r="D564" s="70"/>
      <x:c r="E564" s="70"/>
      <x:c r="F564" s="70"/>
      <x:c r="G564" s="70"/>
      <x:c r="H564" s="70"/>
      <x:c r="I564" s="70"/>
      <x:c r="J564" s="70"/>
      <x:c r="K564" s="190"/>
      <x:c r="L564" s="195"/>
      <x:c r="M564" s="192"/>
      <x:c r="N564" s="192"/>
      <x:c r="O564" s="69"/>
      <x:c r="P564" s="47"/>
      <x:c r="Q564" s="60"/>
      <x:c r="R564" s="58"/>
      <x:c r="S564" s="47"/>
      <x:c r="T564" s="60"/>
      <x:c r="U564" s="58"/>
      <x:c r="V564" s="47"/>
      <x:c r="W564" s="60"/>
      <x:c r="X564" s="58"/>
      <x:c r="Y564" s="47"/>
      <x:c r="Z564" s="60"/>
      <x:c r="AA564" s="58"/>
      <x:c r="AB564" s="47"/>
      <x:c r="AC564" s="60"/>
      <x:c r="AD564" s="58"/>
      <x:c r="AE564" s="47"/>
      <x:c r="AF564" s="60"/>
      <x:c r="AG564" s="58"/>
      <x:c r="AH564" s="47"/>
      <x:c r="AI564" s="60"/>
      <x:c r="AJ564" s="58"/>
      <x:c r="AK564" s="47"/>
      <x:c r="AL564" s="60"/>
      <x:c r="AM564" s="58"/>
      <x:c r="AN564" s="47"/>
      <x:c r="AO564" s="60"/>
      <x:c r="AP564" s="58"/>
      <x:c r="AQ564" s="47"/>
      <x:c r="AR564" s="60"/>
      <x:c r="AS564" s="58"/>
      <x:c r="AT564" s="47"/>
      <x:c r="AU564" s="60"/>
      <x:c r="AV564" s="58"/>
      <x:c r="AW564" s="47"/>
      <x:c r="AX564" s="60"/>
      <x:c r="AY564" s="58"/>
      <x:c r="AZ564" s="47"/>
      <x:c r="BA564" s="60"/>
      <x:c r="BB564" s="58"/>
      <x:c r="BC564" s="47"/>
      <x:c r="BD564" s="60"/>
      <x:c r="BE564" s="58"/>
      <x:c r="BF564" s="47"/>
      <x:c r="BG564" s="60"/>
      <x:c r="BH564" s="58"/>
      <x:c r="BI564" s="47"/>
      <x:c r="BJ564" s="60"/>
      <x:c r="BK564" s="58"/>
      <x:c r="BL564" s="47"/>
      <x:c r="BM564" s="60"/>
      <x:c r="BN564" s="58"/>
      <x:c r="BO564" s="47"/>
      <x:c r="BP564" s="60"/>
      <x:c r="BQ564" s="58"/>
      <x:c r="BR564" s="47"/>
      <x:c r="BS564" s="60"/>
      <x:c r="BT564" s="58"/>
      <x:c r="BU564" s="47"/>
      <x:c r="BV564" s="60"/>
      <x:c r="BW564" s="58"/>
      <x:c r="BX564" s="47"/>
      <x:c r="BY564" s="60"/>
      <x:c r="BZ564" s="58"/>
      <x:c r="CA564" s="47"/>
      <x:c r="CB564" s="60"/>
      <x:c r="CC564" s="58"/>
      <x:c r="CD564" s="47"/>
      <x:c r="CE564" s="60"/>
      <x:c r="CF564" s="58"/>
      <x:c r="CG564" s="47"/>
      <x:c r="CH564" s="60"/>
      <x:c r="CI564" s="58"/>
      <x:c r="CJ564" s="47"/>
      <x:c r="CK564" s="60"/>
      <x:c r="CL564" s="58"/>
      <x:c r="CM564" s="47"/>
      <x:c r="CN564" s="60"/>
      <x:c r="CO564" s="58"/>
      <x:c r="CP564" s="47"/>
      <x:c r="CQ564" s="60"/>
      <x:c r="CR564" s="58"/>
      <x:c r="CS564" s="47"/>
      <x:c r="CT564" s="60"/>
      <x:c r="CU564" s="58"/>
      <x:c r="CV564" s="47"/>
      <x:c r="CW564" s="60"/>
      <x:c r="CX564" s="58"/>
      <x:c r="CY564" s="47"/>
      <x:c r="CZ564" s="60"/>
      <x:c r="DA564" s="58"/>
      <x:c r="DB564" s="47"/>
      <x:c r="DC564" s="60"/>
      <x:c r="DD564" s="58"/>
      <x:c r="DE564" s="47"/>
      <x:c r="DF564" s="60"/>
      <x:c r="DG564" s="58"/>
      <x:c r="DH564" s="47"/>
      <x:c r="DI564" s="60"/>
      <x:c r="DJ564" s="58"/>
      <x:c r="DK564" s="47"/>
      <x:c r="DL564" s="60"/>
      <x:c r="DM564" s="58"/>
      <x:c r="DN564" s="11"/>
      <x:c r="DO564" s="61"/>
      <x:c r="DP564" s="62"/>
      <x:c r="DQ564" s="11"/>
      <x:c r="DR564" s="61"/>
      <x:c r="DS564" s="62"/>
      <x:c r="DT564" s="11"/>
      <x:c r="DU564" s="61"/>
      <x:c r="DV564" s="62"/>
    </x:row>
    <x:row r="565" spans="1:126" x14ac:dyDescent="0.3">
      <x:c r="A565" s="47"/>
      <x:c r="B565" s="70"/>
      <x:c r="C565" s="70"/>
      <x:c r="D565" s="70"/>
      <x:c r="E565" s="70"/>
      <x:c r="F565" s="70"/>
      <x:c r="G565" s="70"/>
      <x:c r="H565" s="70"/>
      <x:c r="I565" s="70"/>
      <x:c r="J565" s="70"/>
      <x:c r="K565" s="190"/>
      <x:c r="L565" s="195"/>
      <x:c r="M565" s="192"/>
      <x:c r="N565" s="192"/>
      <x:c r="O565" s="69"/>
      <x:c r="P565" s="47"/>
      <x:c r="Q565" s="60"/>
      <x:c r="R565" s="58"/>
      <x:c r="S565" s="47"/>
      <x:c r="T565" s="60"/>
      <x:c r="U565" s="58"/>
      <x:c r="V565" s="47"/>
      <x:c r="W565" s="60"/>
      <x:c r="X565" s="58"/>
      <x:c r="Y565" s="47"/>
      <x:c r="Z565" s="60"/>
      <x:c r="AA565" s="58"/>
      <x:c r="AB565" s="47"/>
      <x:c r="AC565" s="60"/>
      <x:c r="AD565" s="58"/>
      <x:c r="AE565" s="47"/>
      <x:c r="AF565" s="60"/>
      <x:c r="AG565" s="58"/>
      <x:c r="AH565" s="47"/>
      <x:c r="AI565" s="60"/>
      <x:c r="AJ565" s="58"/>
      <x:c r="AK565" s="47"/>
      <x:c r="AL565" s="60"/>
      <x:c r="AM565" s="58"/>
      <x:c r="AN565" s="47"/>
      <x:c r="AO565" s="60"/>
      <x:c r="AP565" s="58"/>
      <x:c r="AQ565" s="47"/>
      <x:c r="AR565" s="60"/>
      <x:c r="AS565" s="58"/>
      <x:c r="AT565" s="47"/>
      <x:c r="AU565" s="60"/>
      <x:c r="AV565" s="58"/>
      <x:c r="AW565" s="47"/>
      <x:c r="AX565" s="60"/>
      <x:c r="AY565" s="58"/>
      <x:c r="AZ565" s="47"/>
      <x:c r="BA565" s="60"/>
      <x:c r="BB565" s="58"/>
      <x:c r="BC565" s="47"/>
      <x:c r="BD565" s="60"/>
      <x:c r="BE565" s="58"/>
      <x:c r="BF565" s="47"/>
      <x:c r="BG565" s="60"/>
      <x:c r="BH565" s="58"/>
      <x:c r="BI565" s="47"/>
      <x:c r="BJ565" s="60"/>
      <x:c r="BK565" s="58"/>
      <x:c r="BL565" s="47"/>
      <x:c r="BM565" s="60"/>
      <x:c r="BN565" s="58"/>
      <x:c r="BO565" s="47"/>
      <x:c r="BP565" s="60"/>
      <x:c r="BQ565" s="58"/>
      <x:c r="BR565" s="47"/>
      <x:c r="BS565" s="60"/>
      <x:c r="BT565" s="58"/>
      <x:c r="BU565" s="47"/>
      <x:c r="BV565" s="60"/>
      <x:c r="BW565" s="58"/>
      <x:c r="BX565" s="47"/>
      <x:c r="BY565" s="60"/>
      <x:c r="BZ565" s="58"/>
      <x:c r="CA565" s="47"/>
      <x:c r="CB565" s="60"/>
      <x:c r="CC565" s="58"/>
      <x:c r="CD565" s="47"/>
      <x:c r="CE565" s="60"/>
      <x:c r="CF565" s="58"/>
      <x:c r="CG565" s="47"/>
      <x:c r="CH565" s="60"/>
      <x:c r="CI565" s="58"/>
      <x:c r="CJ565" s="47"/>
      <x:c r="CK565" s="60"/>
      <x:c r="CL565" s="58"/>
      <x:c r="CM565" s="47"/>
      <x:c r="CN565" s="60"/>
      <x:c r="CO565" s="58"/>
      <x:c r="CP565" s="47"/>
      <x:c r="CQ565" s="60"/>
      <x:c r="CR565" s="58"/>
      <x:c r="CS565" s="47"/>
      <x:c r="CT565" s="60"/>
      <x:c r="CU565" s="58"/>
      <x:c r="CV565" s="47"/>
      <x:c r="CW565" s="60"/>
      <x:c r="CX565" s="58"/>
      <x:c r="CY565" s="47"/>
      <x:c r="CZ565" s="60"/>
      <x:c r="DA565" s="58"/>
      <x:c r="DB565" s="47"/>
      <x:c r="DC565" s="60"/>
      <x:c r="DD565" s="58"/>
      <x:c r="DE565" s="47"/>
      <x:c r="DF565" s="60"/>
      <x:c r="DG565" s="58"/>
      <x:c r="DH565" s="47"/>
      <x:c r="DI565" s="60"/>
      <x:c r="DJ565" s="58"/>
      <x:c r="DK565" s="47"/>
      <x:c r="DL565" s="60"/>
      <x:c r="DM565" s="58"/>
      <x:c r="DN565" s="11"/>
      <x:c r="DO565" s="61"/>
      <x:c r="DP565" s="62"/>
      <x:c r="DQ565" s="11"/>
      <x:c r="DR565" s="61"/>
      <x:c r="DS565" s="62"/>
      <x:c r="DT565" s="11"/>
      <x:c r="DU565" s="61"/>
      <x:c r="DV565" s="62"/>
    </x:row>
    <x:row r="566" spans="1:126" x14ac:dyDescent="0.3">
      <x:c r="A566" s="47"/>
      <x:c r="B566" s="70"/>
      <x:c r="C566" s="70"/>
      <x:c r="D566" s="70"/>
      <x:c r="E566" s="70"/>
      <x:c r="F566" s="70"/>
      <x:c r="G566" s="70"/>
      <x:c r="H566" s="70"/>
      <x:c r="I566" s="70"/>
      <x:c r="J566" s="70"/>
      <x:c r="K566" s="190"/>
      <x:c r="L566" s="195"/>
      <x:c r="M566" s="192"/>
      <x:c r="N566" s="192"/>
      <x:c r="O566" s="69"/>
      <x:c r="P566" s="47"/>
      <x:c r="Q566" s="60"/>
      <x:c r="R566" s="58"/>
      <x:c r="S566" s="47"/>
      <x:c r="T566" s="60"/>
      <x:c r="U566" s="58"/>
      <x:c r="V566" s="47"/>
      <x:c r="W566" s="60"/>
      <x:c r="X566" s="58"/>
      <x:c r="Y566" s="47"/>
      <x:c r="Z566" s="60"/>
      <x:c r="AA566" s="58"/>
      <x:c r="AB566" s="47"/>
      <x:c r="AC566" s="60"/>
      <x:c r="AD566" s="58"/>
      <x:c r="AE566" s="47"/>
      <x:c r="AF566" s="60"/>
      <x:c r="AG566" s="58"/>
      <x:c r="AH566" s="47"/>
      <x:c r="AI566" s="60"/>
      <x:c r="AJ566" s="58"/>
      <x:c r="AK566" s="47"/>
      <x:c r="AL566" s="60"/>
      <x:c r="AM566" s="58"/>
      <x:c r="AN566" s="47"/>
      <x:c r="AO566" s="60"/>
      <x:c r="AP566" s="58"/>
      <x:c r="AQ566" s="47"/>
      <x:c r="AR566" s="60"/>
      <x:c r="AS566" s="58"/>
      <x:c r="AT566" s="47"/>
      <x:c r="AU566" s="60"/>
      <x:c r="AV566" s="58"/>
      <x:c r="AW566" s="47"/>
      <x:c r="AX566" s="60"/>
      <x:c r="AY566" s="58"/>
      <x:c r="AZ566" s="47"/>
      <x:c r="BA566" s="60"/>
      <x:c r="BB566" s="58"/>
      <x:c r="BC566" s="47"/>
      <x:c r="BD566" s="60"/>
      <x:c r="BE566" s="58"/>
      <x:c r="BF566" s="47"/>
      <x:c r="BG566" s="60"/>
      <x:c r="BH566" s="58"/>
      <x:c r="BI566" s="47"/>
      <x:c r="BJ566" s="60"/>
      <x:c r="BK566" s="58"/>
      <x:c r="BL566" s="47"/>
      <x:c r="BM566" s="60"/>
      <x:c r="BN566" s="58"/>
      <x:c r="BO566" s="47"/>
      <x:c r="BP566" s="60"/>
      <x:c r="BQ566" s="58"/>
      <x:c r="BR566" s="47"/>
      <x:c r="BS566" s="60"/>
      <x:c r="BT566" s="58"/>
      <x:c r="BU566" s="47"/>
      <x:c r="BV566" s="60"/>
      <x:c r="BW566" s="58"/>
      <x:c r="BX566" s="47"/>
      <x:c r="BY566" s="60"/>
      <x:c r="BZ566" s="58"/>
      <x:c r="CA566" s="47"/>
      <x:c r="CB566" s="60"/>
      <x:c r="CC566" s="58"/>
      <x:c r="CD566" s="47"/>
      <x:c r="CE566" s="60"/>
      <x:c r="CF566" s="58"/>
      <x:c r="CG566" s="47"/>
      <x:c r="CH566" s="60"/>
      <x:c r="CI566" s="58"/>
      <x:c r="CJ566" s="47"/>
      <x:c r="CK566" s="60"/>
      <x:c r="CL566" s="58"/>
      <x:c r="CM566" s="47"/>
      <x:c r="CN566" s="60"/>
      <x:c r="CO566" s="58"/>
      <x:c r="CP566" s="47"/>
      <x:c r="CQ566" s="60"/>
      <x:c r="CR566" s="58"/>
      <x:c r="CS566" s="47"/>
      <x:c r="CT566" s="60"/>
      <x:c r="CU566" s="58"/>
      <x:c r="CV566" s="47"/>
      <x:c r="CW566" s="60"/>
      <x:c r="CX566" s="58"/>
      <x:c r="CY566" s="47"/>
      <x:c r="CZ566" s="60"/>
      <x:c r="DA566" s="58"/>
      <x:c r="DB566" s="47"/>
      <x:c r="DC566" s="60"/>
      <x:c r="DD566" s="58"/>
      <x:c r="DE566" s="47"/>
      <x:c r="DF566" s="60"/>
      <x:c r="DG566" s="58"/>
      <x:c r="DH566" s="47"/>
      <x:c r="DI566" s="60"/>
      <x:c r="DJ566" s="58"/>
      <x:c r="DK566" s="47"/>
      <x:c r="DL566" s="60"/>
      <x:c r="DM566" s="58"/>
      <x:c r="DN566" s="11"/>
      <x:c r="DO566" s="61"/>
      <x:c r="DP566" s="62"/>
      <x:c r="DQ566" s="11"/>
      <x:c r="DR566" s="61"/>
      <x:c r="DS566" s="62"/>
      <x:c r="DT566" s="11"/>
      <x:c r="DU566" s="61"/>
      <x:c r="DV566" s="62"/>
    </x:row>
    <x:row r="567" spans="1:126" x14ac:dyDescent="0.3">
      <x:c r="A567" s="47"/>
      <x:c r="B567" s="70"/>
      <x:c r="C567" s="70"/>
      <x:c r="D567" s="70"/>
      <x:c r="E567" s="70"/>
      <x:c r="F567" s="70"/>
      <x:c r="G567" s="70"/>
      <x:c r="H567" s="70"/>
      <x:c r="I567" s="70"/>
      <x:c r="J567" s="70"/>
      <x:c r="K567" s="190"/>
      <x:c r="L567" s="195"/>
      <x:c r="M567" s="192"/>
      <x:c r="N567" s="192"/>
      <x:c r="O567" s="69"/>
      <x:c r="P567" s="47"/>
      <x:c r="Q567" s="60"/>
      <x:c r="R567" s="58"/>
      <x:c r="S567" s="47"/>
      <x:c r="T567" s="60"/>
      <x:c r="U567" s="58"/>
      <x:c r="V567" s="47"/>
      <x:c r="W567" s="60"/>
      <x:c r="X567" s="58"/>
      <x:c r="Y567" s="47"/>
      <x:c r="Z567" s="60"/>
      <x:c r="AA567" s="58"/>
      <x:c r="AB567" s="47"/>
      <x:c r="AC567" s="60"/>
      <x:c r="AD567" s="58"/>
      <x:c r="AE567" s="47"/>
      <x:c r="AF567" s="60"/>
      <x:c r="AG567" s="58"/>
      <x:c r="AH567" s="47"/>
      <x:c r="AI567" s="60"/>
      <x:c r="AJ567" s="58"/>
      <x:c r="AK567" s="47"/>
      <x:c r="AL567" s="60"/>
      <x:c r="AM567" s="58"/>
      <x:c r="AN567" s="47"/>
      <x:c r="AO567" s="60"/>
      <x:c r="AP567" s="58"/>
      <x:c r="AQ567" s="47"/>
      <x:c r="AR567" s="60"/>
      <x:c r="AS567" s="58"/>
      <x:c r="AT567" s="47"/>
      <x:c r="AU567" s="60"/>
      <x:c r="AV567" s="58"/>
      <x:c r="AW567" s="47"/>
      <x:c r="AX567" s="60"/>
      <x:c r="AY567" s="58"/>
      <x:c r="AZ567" s="47"/>
      <x:c r="BA567" s="60"/>
      <x:c r="BB567" s="58"/>
      <x:c r="BC567" s="47"/>
      <x:c r="BD567" s="60"/>
      <x:c r="BE567" s="58"/>
      <x:c r="BF567" s="47"/>
      <x:c r="BG567" s="60"/>
      <x:c r="BH567" s="58"/>
      <x:c r="BI567" s="47"/>
      <x:c r="BJ567" s="60"/>
      <x:c r="BK567" s="58"/>
      <x:c r="BL567" s="47"/>
      <x:c r="BM567" s="60"/>
      <x:c r="BN567" s="58"/>
      <x:c r="BO567" s="47"/>
      <x:c r="BP567" s="60"/>
      <x:c r="BQ567" s="58"/>
      <x:c r="BR567" s="47"/>
      <x:c r="BS567" s="60"/>
      <x:c r="BT567" s="58"/>
      <x:c r="BU567" s="47"/>
      <x:c r="BV567" s="60"/>
      <x:c r="BW567" s="58"/>
      <x:c r="BX567" s="47"/>
      <x:c r="BY567" s="60"/>
      <x:c r="BZ567" s="58"/>
      <x:c r="CA567" s="47"/>
      <x:c r="CB567" s="60"/>
      <x:c r="CC567" s="58"/>
      <x:c r="CD567" s="47"/>
      <x:c r="CE567" s="60"/>
      <x:c r="CF567" s="58"/>
      <x:c r="CG567" s="47"/>
      <x:c r="CH567" s="60"/>
      <x:c r="CI567" s="58"/>
      <x:c r="CJ567" s="47"/>
      <x:c r="CK567" s="60"/>
      <x:c r="CL567" s="58"/>
      <x:c r="CM567" s="47"/>
      <x:c r="CN567" s="60"/>
      <x:c r="CO567" s="58"/>
      <x:c r="CP567" s="47"/>
      <x:c r="CQ567" s="60"/>
      <x:c r="CR567" s="58"/>
      <x:c r="CS567" s="47"/>
      <x:c r="CT567" s="60"/>
      <x:c r="CU567" s="58"/>
      <x:c r="CV567" s="47"/>
      <x:c r="CW567" s="60"/>
      <x:c r="CX567" s="58"/>
      <x:c r="CY567" s="47"/>
      <x:c r="CZ567" s="60"/>
      <x:c r="DA567" s="58"/>
      <x:c r="DB567" s="47"/>
      <x:c r="DC567" s="60"/>
      <x:c r="DD567" s="58"/>
      <x:c r="DE567" s="47"/>
      <x:c r="DF567" s="60"/>
      <x:c r="DG567" s="58"/>
      <x:c r="DH567" s="47"/>
      <x:c r="DI567" s="60"/>
      <x:c r="DJ567" s="58"/>
      <x:c r="DK567" s="47"/>
      <x:c r="DL567" s="60"/>
      <x:c r="DM567" s="58"/>
      <x:c r="DN567" s="11"/>
      <x:c r="DO567" s="61"/>
      <x:c r="DP567" s="62"/>
      <x:c r="DQ567" s="11"/>
      <x:c r="DR567" s="61"/>
      <x:c r="DS567" s="62"/>
      <x:c r="DT567" s="11"/>
      <x:c r="DU567" s="61"/>
      <x:c r="DV567" s="62"/>
    </x:row>
    <x:row r="568" spans="1:126" x14ac:dyDescent="0.3">
      <x:c r="A568" s="47"/>
      <x:c r="B568" s="70"/>
      <x:c r="C568" s="70"/>
      <x:c r="D568" s="70"/>
      <x:c r="E568" s="70"/>
      <x:c r="F568" s="70"/>
      <x:c r="G568" s="70"/>
      <x:c r="H568" s="70"/>
      <x:c r="I568" s="70"/>
      <x:c r="J568" s="70"/>
      <x:c r="K568" s="190"/>
      <x:c r="L568" s="195"/>
      <x:c r="M568" s="192"/>
      <x:c r="N568" s="192"/>
      <x:c r="O568" s="69"/>
      <x:c r="P568" s="47"/>
      <x:c r="Q568" s="60"/>
      <x:c r="R568" s="58"/>
      <x:c r="S568" s="47"/>
      <x:c r="T568" s="60"/>
      <x:c r="U568" s="58"/>
      <x:c r="V568" s="47"/>
      <x:c r="W568" s="60"/>
      <x:c r="X568" s="58"/>
      <x:c r="Y568" s="47"/>
      <x:c r="Z568" s="60"/>
      <x:c r="AA568" s="58"/>
      <x:c r="AB568" s="47"/>
      <x:c r="AC568" s="60"/>
      <x:c r="AD568" s="58"/>
      <x:c r="AE568" s="47"/>
      <x:c r="AF568" s="60"/>
      <x:c r="AG568" s="58"/>
      <x:c r="AH568" s="47"/>
      <x:c r="AI568" s="60"/>
      <x:c r="AJ568" s="58"/>
      <x:c r="AK568" s="47"/>
      <x:c r="AL568" s="60"/>
      <x:c r="AM568" s="58"/>
      <x:c r="AN568" s="47"/>
      <x:c r="AO568" s="60"/>
      <x:c r="AP568" s="58"/>
      <x:c r="AQ568" s="47"/>
      <x:c r="AR568" s="60"/>
      <x:c r="AS568" s="58"/>
      <x:c r="AT568" s="47"/>
      <x:c r="AU568" s="60"/>
      <x:c r="AV568" s="58"/>
      <x:c r="AW568" s="47"/>
      <x:c r="AX568" s="60"/>
      <x:c r="AY568" s="58"/>
      <x:c r="AZ568" s="47"/>
      <x:c r="BA568" s="60"/>
      <x:c r="BB568" s="58"/>
      <x:c r="BC568" s="47"/>
      <x:c r="BD568" s="60"/>
      <x:c r="BE568" s="58"/>
      <x:c r="BF568" s="47"/>
      <x:c r="BG568" s="60"/>
      <x:c r="BH568" s="58"/>
      <x:c r="BI568" s="47"/>
      <x:c r="BJ568" s="60"/>
      <x:c r="BK568" s="58"/>
      <x:c r="BL568" s="47"/>
      <x:c r="BM568" s="60"/>
      <x:c r="BN568" s="58"/>
      <x:c r="BO568" s="47"/>
      <x:c r="BP568" s="60"/>
      <x:c r="BQ568" s="58"/>
      <x:c r="BR568" s="47"/>
      <x:c r="BS568" s="60"/>
      <x:c r="BT568" s="58"/>
      <x:c r="BU568" s="47"/>
      <x:c r="BV568" s="60"/>
      <x:c r="BW568" s="58"/>
      <x:c r="BX568" s="47"/>
      <x:c r="BY568" s="60"/>
      <x:c r="BZ568" s="58"/>
      <x:c r="CA568" s="47"/>
      <x:c r="CB568" s="60"/>
      <x:c r="CC568" s="58"/>
      <x:c r="CD568" s="47"/>
      <x:c r="CE568" s="60"/>
      <x:c r="CF568" s="58"/>
      <x:c r="CG568" s="47"/>
      <x:c r="CH568" s="60"/>
      <x:c r="CI568" s="58"/>
      <x:c r="CJ568" s="47"/>
      <x:c r="CK568" s="60"/>
      <x:c r="CL568" s="58"/>
      <x:c r="CM568" s="47"/>
      <x:c r="CN568" s="60"/>
      <x:c r="CO568" s="58"/>
      <x:c r="CP568" s="47"/>
      <x:c r="CQ568" s="60"/>
      <x:c r="CR568" s="58"/>
      <x:c r="CS568" s="47"/>
      <x:c r="CT568" s="60"/>
      <x:c r="CU568" s="58"/>
      <x:c r="CV568" s="47"/>
      <x:c r="CW568" s="60"/>
      <x:c r="CX568" s="58"/>
      <x:c r="CY568" s="47"/>
      <x:c r="CZ568" s="60"/>
      <x:c r="DA568" s="58"/>
      <x:c r="DB568" s="47"/>
      <x:c r="DC568" s="60"/>
      <x:c r="DD568" s="58"/>
      <x:c r="DE568" s="47"/>
      <x:c r="DF568" s="60"/>
      <x:c r="DG568" s="58"/>
      <x:c r="DH568" s="47"/>
      <x:c r="DI568" s="60"/>
      <x:c r="DJ568" s="58"/>
      <x:c r="DK568" s="47"/>
      <x:c r="DL568" s="60"/>
      <x:c r="DM568" s="58"/>
      <x:c r="DN568" s="11"/>
      <x:c r="DO568" s="61"/>
      <x:c r="DP568" s="62"/>
      <x:c r="DQ568" s="11"/>
      <x:c r="DR568" s="61"/>
      <x:c r="DS568" s="62"/>
      <x:c r="DT568" s="11"/>
      <x:c r="DU568" s="61"/>
      <x:c r="DV568" s="62"/>
    </x:row>
    <x:row r="569" spans="1:126" x14ac:dyDescent="0.3">
      <x:c r="A569" s="47"/>
      <x:c r="B569" s="70"/>
      <x:c r="C569" s="70"/>
      <x:c r="D569" s="70"/>
      <x:c r="E569" s="70"/>
      <x:c r="F569" s="70"/>
      <x:c r="G569" s="70"/>
      <x:c r="H569" s="70"/>
      <x:c r="I569" s="70"/>
      <x:c r="J569" s="70"/>
      <x:c r="K569" s="190"/>
      <x:c r="L569" s="195"/>
      <x:c r="M569" s="192"/>
      <x:c r="N569" s="192"/>
      <x:c r="O569" s="69"/>
      <x:c r="P569" s="47"/>
      <x:c r="Q569" s="60"/>
      <x:c r="R569" s="58"/>
      <x:c r="S569" s="47"/>
      <x:c r="T569" s="60"/>
      <x:c r="U569" s="58"/>
      <x:c r="V569" s="47"/>
      <x:c r="W569" s="60"/>
      <x:c r="X569" s="58"/>
      <x:c r="Y569" s="47"/>
      <x:c r="Z569" s="60"/>
      <x:c r="AA569" s="58"/>
      <x:c r="AB569" s="47"/>
      <x:c r="AC569" s="60"/>
      <x:c r="AD569" s="58"/>
      <x:c r="AE569" s="47"/>
      <x:c r="AF569" s="60"/>
      <x:c r="AG569" s="58"/>
      <x:c r="AH569" s="47"/>
      <x:c r="AI569" s="60"/>
      <x:c r="AJ569" s="58"/>
      <x:c r="AK569" s="47"/>
      <x:c r="AL569" s="60"/>
      <x:c r="AM569" s="58"/>
      <x:c r="AN569" s="47"/>
      <x:c r="AO569" s="60"/>
      <x:c r="AP569" s="58"/>
      <x:c r="AQ569" s="47"/>
      <x:c r="AR569" s="60"/>
      <x:c r="AS569" s="58"/>
      <x:c r="AT569" s="47"/>
      <x:c r="AU569" s="60"/>
      <x:c r="AV569" s="58"/>
      <x:c r="AW569" s="47"/>
      <x:c r="AX569" s="60"/>
      <x:c r="AY569" s="58"/>
      <x:c r="AZ569" s="47"/>
      <x:c r="BA569" s="60"/>
      <x:c r="BB569" s="58"/>
      <x:c r="BC569" s="47"/>
      <x:c r="BD569" s="60"/>
      <x:c r="BE569" s="58"/>
      <x:c r="BF569" s="47"/>
      <x:c r="BG569" s="60"/>
      <x:c r="BH569" s="58"/>
      <x:c r="BI569" s="47"/>
      <x:c r="BJ569" s="60"/>
      <x:c r="BK569" s="58"/>
      <x:c r="BL569" s="47"/>
      <x:c r="BM569" s="60"/>
      <x:c r="BN569" s="58"/>
      <x:c r="BO569" s="47"/>
      <x:c r="BP569" s="60"/>
      <x:c r="BQ569" s="58"/>
      <x:c r="BR569" s="47"/>
      <x:c r="BS569" s="60"/>
      <x:c r="BT569" s="58"/>
      <x:c r="BU569" s="47"/>
      <x:c r="BV569" s="60"/>
      <x:c r="BW569" s="58"/>
      <x:c r="BX569" s="47"/>
      <x:c r="BY569" s="60"/>
      <x:c r="BZ569" s="58"/>
      <x:c r="CA569" s="47"/>
      <x:c r="CB569" s="60"/>
      <x:c r="CC569" s="58"/>
      <x:c r="CD569" s="47"/>
      <x:c r="CE569" s="60"/>
      <x:c r="CF569" s="58"/>
      <x:c r="CG569" s="47"/>
      <x:c r="CH569" s="60"/>
      <x:c r="CI569" s="58"/>
      <x:c r="CJ569" s="47"/>
      <x:c r="CK569" s="60"/>
      <x:c r="CL569" s="58"/>
      <x:c r="CM569" s="47"/>
      <x:c r="CN569" s="60"/>
      <x:c r="CO569" s="58"/>
      <x:c r="CP569" s="47"/>
      <x:c r="CQ569" s="60"/>
      <x:c r="CR569" s="58"/>
      <x:c r="CS569" s="47"/>
      <x:c r="CT569" s="60"/>
      <x:c r="CU569" s="58"/>
      <x:c r="CV569" s="47"/>
      <x:c r="CW569" s="60"/>
      <x:c r="CX569" s="58"/>
      <x:c r="CY569" s="47"/>
      <x:c r="CZ569" s="60"/>
      <x:c r="DA569" s="58"/>
      <x:c r="DB569" s="47"/>
      <x:c r="DC569" s="60"/>
      <x:c r="DD569" s="58"/>
      <x:c r="DE569" s="47"/>
      <x:c r="DF569" s="60"/>
      <x:c r="DG569" s="58"/>
      <x:c r="DH569" s="47"/>
      <x:c r="DI569" s="60"/>
      <x:c r="DJ569" s="58"/>
      <x:c r="DK569" s="47"/>
      <x:c r="DL569" s="60"/>
      <x:c r="DM569" s="58"/>
      <x:c r="DN569" s="11"/>
      <x:c r="DO569" s="61"/>
      <x:c r="DP569" s="62"/>
      <x:c r="DQ569" s="11"/>
      <x:c r="DR569" s="61"/>
      <x:c r="DS569" s="62"/>
      <x:c r="DT569" s="11"/>
      <x:c r="DU569" s="61"/>
      <x:c r="DV569" s="62"/>
    </x:row>
    <x:row r="570" spans="1:126" x14ac:dyDescent="0.3">
      <x:c r="A570" s="47"/>
      <x:c r="B570" s="70"/>
      <x:c r="C570" s="70"/>
      <x:c r="D570" s="70"/>
      <x:c r="E570" s="70"/>
      <x:c r="F570" s="70"/>
      <x:c r="G570" s="70"/>
      <x:c r="H570" s="70"/>
      <x:c r="I570" s="70"/>
      <x:c r="J570" s="70"/>
      <x:c r="K570" s="190"/>
      <x:c r="L570" s="195"/>
      <x:c r="M570" s="192"/>
      <x:c r="N570" s="192"/>
      <x:c r="O570" s="69"/>
      <x:c r="P570" s="47"/>
      <x:c r="Q570" s="60"/>
      <x:c r="R570" s="58"/>
      <x:c r="S570" s="47"/>
      <x:c r="T570" s="60"/>
      <x:c r="U570" s="58"/>
      <x:c r="V570" s="47"/>
      <x:c r="W570" s="60"/>
      <x:c r="X570" s="58"/>
      <x:c r="Y570" s="47"/>
      <x:c r="Z570" s="60"/>
      <x:c r="AA570" s="58"/>
      <x:c r="AB570" s="47"/>
      <x:c r="AC570" s="60"/>
      <x:c r="AD570" s="58"/>
      <x:c r="AE570" s="47"/>
      <x:c r="AF570" s="60"/>
      <x:c r="AG570" s="58"/>
      <x:c r="AH570" s="47"/>
      <x:c r="AI570" s="60"/>
      <x:c r="AJ570" s="58"/>
      <x:c r="AK570" s="47"/>
      <x:c r="AL570" s="60"/>
      <x:c r="AM570" s="58"/>
      <x:c r="AN570" s="47"/>
      <x:c r="AO570" s="60"/>
      <x:c r="AP570" s="58"/>
      <x:c r="AQ570" s="47"/>
      <x:c r="AR570" s="60"/>
      <x:c r="AS570" s="58"/>
      <x:c r="AT570" s="47"/>
      <x:c r="AU570" s="60"/>
      <x:c r="AV570" s="58"/>
      <x:c r="AW570" s="47"/>
      <x:c r="AX570" s="60"/>
      <x:c r="AY570" s="58"/>
      <x:c r="AZ570" s="47"/>
      <x:c r="BA570" s="60"/>
      <x:c r="BB570" s="58"/>
      <x:c r="BC570" s="47"/>
      <x:c r="BD570" s="60"/>
      <x:c r="BE570" s="58"/>
      <x:c r="BF570" s="47"/>
      <x:c r="BG570" s="60"/>
      <x:c r="BH570" s="58"/>
      <x:c r="BI570" s="47"/>
      <x:c r="BJ570" s="60"/>
      <x:c r="BK570" s="58"/>
      <x:c r="BL570" s="47"/>
      <x:c r="BM570" s="60"/>
      <x:c r="BN570" s="58"/>
      <x:c r="BO570" s="47"/>
      <x:c r="BP570" s="60"/>
      <x:c r="BQ570" s="58"/>
      <x:c r="BR570" s="47"/>
      <x:c r="BS570" s="60"/>
      <x:c r="BT570" s="58"/>
      <x:c r="BU570" s="47"/>
      <x:c r="BV570" s="60"/>
      <x:c r="BW570" s="58"/>
      <x:c r="BX570" s="47"/>
      <x:c r="BY570" s="60"/>
      <x:c r="BZ570" s="58"/>
      <x:c r="CA570" s="47"/>
      <x:c r="CB570" s="60"/>
      <x:c r="CC570" s="58"/>
      <x:c r="CD570" s="47"/>
      <x:c r="CE570" s="60"/>
      <x:c r="CF570" s="58"/>
      <x:c r="CG570" s="47"/>
      <x:c r="CH570" s="60"/>
      <x:c r="CI570" s="58"/>
      <x:c r="CJ570" s="47"/>
      <x:c r="CK570" s="60"/>
      <x:c r="CL570" s="58"/>
      <x:c r="CM570" s="47"/>
      <x:c r="CN570" s="60"/>
      <x:c r="CO570" s="58"/>
      <x:c r="CP570" s="47"/>
      <x:c r="CQ570" s="60"/>
      <x:c r="CR570" s="58"/>
      <x:c r="CS570" s="47"/>
      <x:c r="CT570" s="60"/>
      <x:c r="CU570" s="58"/>
      <x:c r="CV570" s="47"/>
      <x:c r="CW570" s="60"/>
      <x:c r="CX570" s="58"/>
      <x:c r="CY570" s="47"/>
      <x:c r="CZ570" s="60"/>
      <x:c r="DA570" s="58"/>
      <x:c r="DB570" s="47"/>
      <x:c r="DC570" s="60"/>
      <x:c r="DD570" s="58"/>
      <x:c r="DE570" s="47"/>
      <x:c r="DF570" s="60"/>
      <x:c r="DG570" s="58"/>
      <x:c r="DH570" s="47"/>
      <x:c r="DI570" s="60"/>
      <x:c r="DJ570" s="58"/>
      <x:c r="DK570" s="47"/>
      <x:c r="DL570" s="60"/>
      <x:c r="DM570" s="58"/>
      <x:c r="DN570" s="11"/>
      <x:c r="DO570" s="61"/>
      <x:c r="DP570" s="62"/>
      <x:c r="DQ570" s="11"/>
      <x:c r="DR570" s="61"/>
      <x:c r="DS570" s="62"/>
      <x:c r="DT570" s="11"/>
      <x:c r="DU570" s="61"/>
      <x:c r="DV570" s="62"/>
    </x:row>
    <x:row r="571" spans="1:126" x14ac:dyDescent="0.3">
      <x:c r="A571" s="47"/>
      <x:c r="B571" s="70"/>
      <x:c r="C571" s="70"/>
      <x:c r="D571" s="70"/>
      <x:c r="E571" s="70"/>
      <x:c r="F571" s="70"/>
      <x:c r="G571" s="70"/>
      <x:c r="H571" s="70"/>
      <x:c r="I571" s="70"/>
      <x:c r="J571" s="70"/>
      <x:c r="K571" s="190"/>
      <x:c r="L571" s="195"/>
      <x:c r="M571" s="192"/>
      <x:c r="N571" s="192"/>
      <x:c r="O571" s="69"/>
      <x:c r="P571" s="47"/>
      <x:c r="Q571" s="60"/>
      <x:c r="R571" s="58"/>
      <x:c r="S571" s="47"/>
      <x:c r="T571" s="60"/>
      <x:c r="U571" s="58"/>
      <x:c r="V571" s="47"/>
      <x:c r="W571" s="60"/>
      <x:c r="X571" s="58"/>
      <x:c r="Y571" s="47"/>
      <x:c r="Z571" s="60"/>
      <x:c r="AA571" s="58"/>
      <x:c r="AB571" s="47"/>
      <x:c r="AC571" s="60"/>
      <x:c r="AD571" s="58"/>
      <x:c r="AE571" s="47"/>
      <x:c r="AF571" s="60"/>
      <x:c r="AG571" s="58"/>
      <x:c r="AH571" s="47"/>
      <x:c r="AI571" s="60"/>
      <x:c r="AJ571" s="58"/>
      <x:c r="AK571" s="47"/>
      <x:c r="AL571" s="60"/>
      <x:c r="AM571" s="58"/>
      <x:c r="AN571" s="47"/>
      <x:c r="AO571" s="60"/>
      <x:c r="AP571" s="58"/>
      <x:c r="AQ571" s="47"/>
      <x:c r="AR571" s="60"/>
      <x:c r="AS571" s="58"/>
      <x:c r="AT571" s="47"/>
      <x:c r="AU571" s="60"/>
      <x:c r="AV571" s="58"/>
      <x:c r="AW571" s="47"/>
      <x:c r="AX571" s="60"/>
      <x:c r="AY571" s="58"/>
      <x:c r="AZ571" s="47"/>
      <x:c r="BA571" s="60"/>
      <x:c r="BB571" s="58"/>
      <x:c r="BC571" s="47"/>
      <x:c r="BD571" s="60"/>
      <x:c r="BE571" s="58"/>
      <x:c r="BF571" s="47"/>
      <x:c r="BG571" s="60"/>
      <x:c r="BH571" s="58"/>
      <x:c r="BI571" s="47"/>
      <x:c r="BJ571" s="60"/>
      <x:c r="BK571" s="58"/>
      <x:c r="BL571" s="47"/>
      <x:c r="BM571" s="60"/>
      <x:c r="BN571" s="58"/>
      <x:c r="BO571" s="47"/>
      <x:c r="BP571" s="60"/>
      <x:c r="BQ571" s="58"/>
      <x:c r="BR571" s="47"/>
      <x:c r="BS571" s="60"/>
      <x:c r="BT571" s="58"/>
      <x:c r="BU571" s="47"/>
      <x:c r="BV571" s="60"/>
      <x:c r="BW571" s="58"/>
      <x:c r="BX571" s="47"/>
      <x:c r="BY571" s="60"/>
      <x:c r="BZ571" s="58"/>
      <x:c r="CA571" s="47"/>
      <x:c r="CB571" s="60"/>
      <x:c r="CC571" s="58"/>
      <x:c r="CD571" s="47"/>
      <x:c r="CE571" s="60"/>
      <x:c r="CF571" s="58"/>
      <x:c r="CG571" s="47"/>
      <x:c r="CH571" s="60"/>
      <x:c r="CI571" s="58"/>
      <x:c r="CJ571" s="47"/>
      <x:c r="CK571" s="60"/>
      <x:c r="CL571" s="58"/>
      <x:c r="CM571" s="47"/>
      <x:c r="CN571" s="60"/>
      <x:c r="CO571" s="58"/>
      <x:c r="CP571" s="47"/>
      <x:c r="CQ571" s="60"/>
      <x:c r="CR571" s="58"/>
      <x:c r="CS571" s="47"/>
      <x:c r="CT571" s="60"/>
      <x:c r="CU571" s="58"/>
      <x:c r="CV571" s="47"/>
      <x:c r="CW571" s="60"/>
      <x:c r="CX571" s="58"/>
      <x:c r="CY571" s="47"/>
      <x:c r="CZ571" s="60"/>
      <x:c r="DA571" s="58"/>
      <x:c r="DB571" s="47"/>
      <x:c r="DC571" s="60"/>
      <x:c r="DD571" s="58"/>
      <x:c r="DE571" s="47"/>
      <x:c r="DF571" s="60"/>
      <x:c r="DG571" s="58"/>
      <x:c r="DH571" s="47"/>
      <x:c r="DI571" s="60"/>
      <x:c r="DJ571" s="58"/>
      <x:c r="DK571" s="47"/>
      <x:c r="DL571" s="60"/>
      <x:c r="DM571" s="58"/>
      <x:c r="DN571" s="11"/>
      <x:c r="DO571" s="61"/>
      <x:c r="DP571" s="62"/>
      <x:c r="DQ571" s="11"/>
      <x:c r="DR571" s="61"/>
      <x:c r="DS571" s="62"/>
      <x:c r="DT571" s="11"/>
      <x:c r="DU571" s="61"/>
      <x:c r="DV571" s="62"/>
    </x:row>
    <x:row r="572" spans="1:126" x14ac:dyDescent="0.3">
      <x:c r="A572" s="47"/>
      <x:c r="B572" s="70"/>
      <x:c r="C572" s="70"/>
      <x:c r="D572" s="70"/>
      <x:c r="E572" s="70"/>
      <x:c r="F572" s="70"/>
      <x:c r="G572" s="70"/>
      <x:c r="H572" s="70"/>
      <x:c r="I572" s="70"/>
      <x:c r="J572" s="70"/>
      <x:c r="K572" s="190"/>
      <x:c r="L572" s="195"/>
      <x:c r="M572" s="192"/>
      <x:c r="N572" s="192"/>
      <x:c r="O572" s="69"/>
      <x:c r="P572" s="47"/>
      <x:c r="Q572" s="60"/>
      <x:c r="R572" s="58"/>
      <x:c r="S572" s="47"/>
      <x:c r="T572" s="60"/>
      <x:c r="U572" s="58"/>
      <x:c r="V572" s="47"/>
      <x:c r="W572" s="60"/>
      <x:c r="X572" s="58"/>
      <x:c r="Y572" s="47"/>
      <x:c r="Z572" s="60"/>
      <x:c r="AA572" s="58"/>
      <x:c r="AB572" s="47"/>
      <x:c r="AC572" s="60"/>
      <x:c r="AD572" s="58"/>
      <x:c r="AE572" s="47"/>
      <x:c r="AF572" s="60"/>
      <x:c r="AG572" s="58"/>
      <x:c r="AH572" s="47"/>
      <x:c r="AI572" s="60"/>
      <x:c r="AJ572" s="58"/>
      <x:c r="AK572" s="47"/>
      <x:c r="AL572" s="60"/>
      <x:c r="AM572" s="58"/>
      <x:c r="AN572" s="47"/>
      <x:c r="AO572" s="60"/>
      <x:c r="AP572" s="58"/>
      <x:c r="AQ572" s="47"/>
      <x:c r="AR572" s="60"/>
      <x:c r="AS572" s="58"/>
      <x:c r="AT572" s="47"/>
      <x:c r="AU572" s="60"/>
      <x:c r="AV572" s="58"/>
      <x:c r="AW572" s="47"/>
      <x:c r="AX572" s="60"/>
      <x:c r="AY572" s="58"/>
      <x:c r="AZ572" s="47"/>
      <x:c r="BA572" s="60"/>
      <x:c r="BB572" s="58"/>
      <x:c r="BC572" s="47"/>
      <x:c r="BD572" s="60"/>
      <x:c r="BE572" s="58"/>
      <x:c r="BF572" s="47"/>
      <x:c r="BG572" s="60"/>
      <x:c r="BH572" s="58"/>
      <x:c r="BI572" s="47"/>
      <x:c r="BJ572" s="60"/>
      <x:c r="BK572" s="58"/>
      <x:c r="BL572" s="47"/>
      <x:c r="BM572" s="60"/>
      <x:c r="BN572" s="58"/>
      <x:c r="BO572" s="47"/>
      <x:c r="BP572" s="60"/>
      <x:c r="BQ572" s="58"/>
      <x:c r="BR572" s="47"/>
      <x:c r="BS572" s="60"/>
      <x:c r="BT572" s="58"/>
      <x:c r="BU572" s="47"/>
      <x:c r="BV572" s="60"/>
      <x:c r="BW572" s="58"/>
      <x:c r="BX572" s="47"/>
      <x:c r="BY572" s="60"/>
      <x:c r="BZ572" s="58"/>
      <x:c r="CA572" s="47"/>
      <x:c r="CB572" s="60"/>
      <x:c r="CC572" s="58"/>
      <x:c r="CD572" s="47"/>
      <x:c r="CE572" s="60"/>
      <x:c r="CF572" s="58"/>
      <x:c r="CG572" s="47"/>
      <x:c r="CH572" s="60"/>
      <x:c r="CI572" s="58"/>
      <x:c r="CJ572" s="47"/>
      <x:c r="CK572" s="60"/>
      <x:c r="CL572" s="58"/>
      <x:c r="CM572" s="47"/>
      <x:c r="CN572" s="60"/>
      <x:c r="CO572" s="58"/>
      <x:c r="CP572" s="47"/>
      <x:c r="CQ572" s="60"/>
      <x:c r="CR572" s="58"/>
      <x:c r="CS572" s="47"/>
      <x:c r="CT572" s="60"/>
      <x:c r="CU572" s="58"/>
      <x:c r="CV572" s="47"/>
      <x:c r="CW572" s="60"/>
      <x:c r="CX572" s="58"/>
      <x:c r="CY572" s="47"/>
      <x:c r="CZ572" s="60"/>
      <x:c r="DA572" s="58"/>
      <x:c r="DB572" s="47"/>
      <x:c r="DC572" s="60"/>
      <x:c r="DD572" s="58"/>
      <x:c r="DE572" s="47"/>
      <x:c r="DF572" s="60"/>
      <x:c r="DG572" s="58"/>
      <x:c r="DH572" s="47"/>
      <x:c r="DI572" s="60"/>
      <x:c r="DJ572" s="58"/>
      <x:c r="DK572" s="47"/>
      <x:c r="DL572" s="60"/>
      <x:c r="DM572" s="58"/>
      <x:c r="DN572" s="11"/>
      <x:c r="DO572" s="61"/>
      <x:c r="DP572" s="62"/>
      <x:c r="DQ572" s="11"/>
      <x:c r="DR572" s="61"/>
      <x:c r="DS572" s="62"/>
      <x:c r="DT572" s="11"/>
      <x:c r="DU572" s="61"/>
      <x:c r="DV572" s="62"/>
    </x:row>
    <x:row r="573" spans="1:126" x14ac:dyDescent="0.3">
      <x:c r="A573" s="47"/>
      <x:c r="B573" s="70"/>
      <x:c r="C573" s="70"/>
      <x:c r="D573" s="70"/>
      <x:c r="E573" s="70"/>
      <x:c r="F573" s="70"/>
      <x:c r="G573" s="70"/>
      <x:c r="H573" s="70"/>
      <x:c r="I573" s="70"/>
      <x:c r="J573" s="70"/>
      <x:c r="K573" s="190"/>
      <x:c r="L573" s="195"/>
      <x:c r="M573" s="192"/>
      <x:c r="N573" s="192"/>
      <x:c r="O573" s="69"/>
      <x:c r="P573" s="47"/>
      <x:c r="Q573" s="60"/>
      <x:c r="R573" s="58"/>
      <x:c r="S573" s="47"/>
      <x:c r="T573" s="60"/>
      <x:c r="U573" s="58"/>
      <x:c r="V573" s="47"/>
      <x:c r="W573" s="60"/>
      <x:c r="X573" s="58"/>
      <x:c r="Y573" s="47"/>
      <x:c r="Z573" s="60"/>
      <x:c r="AA573" s="58"/>
      <x:c r="AB573" s="47"/>
      <x:c r="AC573" s="60"/>
      <x:c r="AD573" s="58"/>
      <x:c r="AE573" s="47"/>
      <x:c r="AF573" s="60"/>
      <x:c r="AG573" s="58"/>
      <x:c r="AH573" s="47"/>
      <x:c r="AI573" s="60"/>
      <x:c r="AJ573" s="58"/>
      <x:c r="AK573" s="47"/>
      <x:c r="AL573" s="60"/>
      <x:c r="AM573" s="58"/>
      <x:c r="AN573" s="47"/>
      <x:c r="AO573" s="60"/>
      <x:c r="AP573" s="58"/>
      <x:c r="AQ573" s="47"/>
      <x:c r="AR573" s="60"/>
      <x:c r="AS573" s="58"/>
      <x:c r="AT573" s="47"/>
      <x:c r="AU573" s="60"/>
      <x:c r="AV573" s="58"/>
      <x:c r="AW573" s="47"/>
      <x:c r="AX573" s="60"/>
      <x:c r="AY573" s="58"/>
      <x:c r="AZ573" s="47"/>
      <x:c r="BA573" s="60"/>
      <x:c r="BB573" s="58"/>
      <x:c r="BC573" s="47"/>
      <x:c r="BD573" s="60"/>
      <x:c r="BE573" s="58"/>
      <x:c r="BF573" s="47"/>
      <x:c r="BG573" s="60"/>
      <x:c r="BH573" s="58"/>
      <x:c r="BI573" s="47"/>
      <x:c r="BJ573" s="60"/>
      <x:c r="BK573" s="58"/>
      <x:c r="BL573" s="47"/>
      <x:c r="BM573" s="60"/>
      <x:c r="BN573" s="58"/>
      <x:c r="BO573" s="47"/>
      <x:c r="BP573" s="60"/>
      <x:c r="BQ573" s="58"/>
      <x:c r="BR573" s="47"/>
      <x:c r="BS573" s="60"/>
      <x:c r="BT573" s="58"/>
      <x:c r="BU573" s="47"/>
      <x:c r="BV573" s="60"/>
      <x:c r="BW573" s="58"/>
      <x:c r="BX573" s="47"/>
      <x:c r="BY573" s="60"/>
      <x:c r="BZ573" s="58"/>
      <x:c r="CA573" s="47"/>
      <x:c r="CB573" s="60"/>
      <x:c r="CC573" s="58"/>
      <x:c r="CD573" s="47"/>
      <x:c r="CE573" s="60"/>
      <x:c r="CF573" s="58"/>
      <x:c r="CG573" s="47"/>
      <x:c r="CH573" s="60"/>
      <x:c r="CI573" s="58"/>
      <x:c r="CJ573" s="47"/>
      <x:c r="CK573" s="60"/>
      <x:c r="CL573" s="58"/>
      <x:c r="CM573" s="47"/>
      <x:c r="CN573" s="60"/>
      <x:c r="CO573" s="58"/>
      <x:c r="CP573" s="47"/>
      <x:c r="CQ573" s="60"/>
      <x:c r="CR573" s="58"/>
      <x:c r="CS573" s="47"/>
      <x:c r="CT573" s="60"/>
      <x:c r="CU573" s="58"/>
      <x:c r="CV573" s="47"/>
      <x:c r="CW573" s="60"/>
      <x:c r="CX573" s="58"/>
      <x:c r="CY573" s="47"/>
      <x:c r="CZ573" s="60"/>
      <x:c r="DA573" s="58"/>
      <x:c r="DB573" s="47"/>
      <x:c r="DC573" s="60"/>
      <x:c r="DD573" s="58"/>
      <x:c r="DE573" s="47"/>
      <x:c r="DF573" s="60"/>
      <x:c r="DG573" s="58"/>
      <x:c r="DH573" s="47"/>
      <x:c r="DI573" s="60"/>
      <x:c r="DJ573" s="58"/>
      <x:c r="DK573" s="47"/>
      <x:c r="DL573" s="60"/>
      <x:c r="DM573" s="58"/>
      <x:c r="DN573" s="11"/>
      <x:c r="DO573" s="61"/>
      <x:c r="DP573" s="62"/>
      <x:c r="DQ573" s="11"/>
      <x:c r="DR573" s="61"/>
      <x:c r="DS573" s="62"/>
      <x:c r="DT573" s="11"/>
      <x:c r="DU573" s="61"/>
      <x:c r="DV573" s="62"/>
    </x:row>
    <x:row r="574" spans="1:126" x14ac:dyDescent="0.3">
      <x:c r="A574" s="47"/>
      <x:c r="B574" s="70"/>
      <x:c r="C574" s="70"/>
      <x:c r="D574" s="70"/>
      <x:c r="E574" s="70"/>
      <x:c r="F574" s="70"/>
      <x:c r="G574" s="70"/>
      <x:c r="H574" s="70"/>
      <x:c r="I574" s="70"/>
      <x:c r="J574" s="70"/>
      <x:c r="K574" s="190"/>
      <x:c r="L574" s="195"/>
      <x:c r="M574" s="192"/>
      <x:c r="N574" s="192"/>
      <x:c r="O574" s="69"/>
      <x:c r="P574" s="47"/>
      <x:c r="Q574" s="60"/>
      <x:c r="R574" s="58"/>
      <x:c r="S574" s="47"/>
      <x:c r="T574" s="60"/>
      <x:c r="U574" s="58"/>
      <x:c r="V574" s="47"/>
      <x:c r="W574" s="60"/>
      <x:c r="X574" s="58"/>
      <x:c r="Y574" s="47"/>
      <x:c r="Z574" s="60"/>
      <x:c r="AA574" s="58"/>
      <x:c r="AB574" s="47"/>
      <x:c r="AC574" s="60"/>
      <x:c r="AD574" s="58"/>
      <x:c r="AE574" s="47"/>
      <x:c r="AF574" s="60"/>
      <x:c r="AG574" s="58"/>
      <x:c r="AH574" s="47"/>
      <x:c r="AI574" s="60"/>
      <x:c r="AJ574" s="58"/>
      <x:c r="AK574" s="47"/>
      <x:c r="AL574" s="60"/>
      <x:c r="AM574" s="58"/>
      <x:c r="AN574" s="47"/>
      <x:c r="AO574" s="60"/>
      <x:c r="AP574" s="58"/>
      <x:c r="AQ574" s="47"/>
      <x:c r="AR574" s="60"/>
      <x:c r="AS574" s="58"/>
      <x:c r="AT574" s="47"/>
      <x:c r="AU574" s="60"/>
      <x:c r="AV574" s="58"/>
      <x:c r="AW574" s="47"/>
      <x:c r="AX574" s="60"/>
      <x:c r="AY574" s="58"/>
      <x:c r="AZ574" s="47"/>
      <x:c r="BA574" s="60"/>
      <x:c r="BB574" s="58"/>
      <x:c r="BC574" s="47"/>
      <x:c r="BD574" s="60"/>
      <x:c r="BE574" s="58"/>
      <x:c r="BF574" s="47"/>
      <x:c r="BG574" s="60"/>
      <x:c r="BH574" s="58"/>
      <x:c r="BI574" s="47"/>
      <x:c r="BJ574" s="60"/>
      <x:c r="BK574" s="58"/>
      <x:c r="BL574" s="47"/>
      <x:c r="BM574" s="60"/>
      <x:c r="BN574" s="58"/>
      <x:c r="BO574" s="47"/>
      <x:c r="BP574" s="60"/>
      <x:c r="BQ574" s="58"/>
      <x:c r="BR574" s="47"/>
      <x:c r="BS574" s="60"/>
      <x:c r="BT574" s="58"/>
      <x:c r="BU574" s="47"/>
      <x:c r="BV574" s="60"/>
      <x:c r="BW574" s="58"/>
      <x:c r="BX574" s="47"/>
      <x:c r="BY574" s="60"/>
      <x:c r="BZ574" s="58"/>
      <x:c r="CA574" s="47"/>
      <x:c r="CB574" s="60"/>
      <x:c r="CC574" s="58"/>
      <x:c r="CD574" s="47"/>
      <x:c r="CE574" s="60"/>
      <x:c r="CF574" s="58"/>
      <x:c r="CG574" s="47"/>
      <x:c r="CH574" s="60"/>
      <x:c r="CI574" s="58"/>
      <x:c r="CJ574" s="47"/>
      <x:c r="CK574" s="60"/>
      <x:c r="CL574" s="58"/>
      <x:c r="CM574" s="47"/>
      <x:c r="CN574" s="60"/>
      <x:c r="CO574" s="58"/>
      <x:c r="CP574" s="47"/>
      <x:c r="CQ574" s="60"/>
      <x:c r="CR574" s="58"/>
      <x:c r="CS574" s="47"/>
      <x:c r="CT574" s="60"/>
      <x:c r="CU574" s="58"/>
      <x:c r="CV574" s="47"/>
      <x:c r="CW574" s="60"/>
      <x:c r="CX574" s="58"/>
      <x:c r="CY574" s="47"/>
      <x:c r="CZ574" s="60"/>
      <x:c r="DA574" s="58"/>
      <x:c r="DB574" s="47"/>
      <x:c r="DC574" s="60"/>
      <x:c r="DD574" s="58"/>
      <x:c r="DE574" s="47"/>
      <x:c r="DF574" s="60"/>
      <x:c r="DG574" s="58"/>
      <x:c r="DH574" s="47"/>
      <x:c r="DI574" s="60"/>
      <x:c r="DJ574" s="58"/>
      <x:c r="DK574" s="47"/>
      <x:c r="DL574" s="60"/>
      <x:c r="DM574" s="58"/>
      <x:c r="DN574" s="11"/>
      <x:c r="DO574" s="61"/>
      <x:c r="DP574" s="62"/>
      <x:c r="DQ574" s="11"/>
      <x:c r="DR574" s="61"/>
      <x:c r="DS574" s="62"/>
      <x:c r="DT574" s="11"/>
      <x:c r="DU574" s="61"/>
      <x:c r="DV574" s="62"/>
    </x:row>
    <x:row r="575" spans="1:126" x14ac:dyDescent="0.3">
      <x:c r="A575" s="47"/>
      <x:c r="B575" s="70"/>
      <x:c r="C575" s="70"/>
      <x:c r="D575" s="70"/>
      <x:c r="E575" s="70"/>
      <x:c r="F575" s="70"/>
      <x:c r="G575" s="70"/>
      <x:c r="H575" s="70"/>
      <x:c r="I575" s="70"/>
      <x:c r="J575" s="70"/>
      <x:c r="K575" s="190"/>
      <x:c r="L575" s="195"/>
      <x:c r="M575" s="192"/>
      <x:c r="N575" s="192"/>
      <x:c r="O575" s="69"/>
      <x:c r="P575" s="47"/>
      <x:c r="Q575" s="60"/>
      <x:c r="R575" s="58"/>
      <x:c r="S575" s="47"/>
      <x:c r="T575" s="60"/>
      <x:c r="U575" s="58"/>
      <x:c r="V575" s="47"/>
      <x:c r="W575" s="60"/>
      <x:c r="X575" s="58"/>
      <x:c r="Y575" s="47"/>
      <x:c r="Z575" s="60"/>
      <x:c r="AA575" s="58"/>
      <x:c r="AB575" s="47"/>
      <x:c r="AC575" s="60"/>
      <x:c r="AD575" s="58"/>
      <x:c r="AE575" s="47"/>
      <x:c r="AF575" s="60"/>
      <x:c r="AG575" s="58"/>
      <x:c r="AH575" s="47"/>
      <x:c r="AI575" s="60"/>
      <x:c r="AJ575" s="58"/>
      <x:c r="AK575" s="47"/>
      <x:c r="AL575" s="60"/>
      <x:c r="AM575" s="58"/>
      <x:c r="AN575" s="47"/>
      <x:c r="AO575" s="60"/>
      <x:c r="AP575" s="58"/>
      <x:c r="AQ575" s="47"/>
      <x:c r="AR575" s="60"/>
      <x:c r="AS575" s="58"/>
      <x:c r="AT575" s="47"/>
      <x:c r="AU575" s="60"/>
      <x:c r="AV575" s="58"/>
      <x:c r="AW575" s="47"/>
      <x:c r="AX575" s="60"/>
      <x:c r="AY575" s="58"/>
      <x:c r="AZ575" s="47"/>
      <x:c r="BA575" s="60"/>
      <x:c r="BB575" s="58"/>
      <x:c r="BC575" s="47"/>
      <x:c r="BD575" s="60"/>
      <x:c r="BE575" s="58"/>
      <x:c r="BF575" s="47"/>
      <x:c r="BG575" s="60"/>
      <x:c r="BH575" s="58"/>
      <x:c r="BI575" s="47"/>
      <x:c r="BJ575" s="60"/>
      <x:c r="BK575" s="58"/>
      <x:c r="BL575" s="47"/>
      <x:c r="BM575" s="60"/>
      <x:c r="BN575" s="58"/>
      <x:c r="BO575" s="47"/>
      <x:c r="BP575" s="60"/>
      <x:c r="BQ575" s="58"/>
      <x:c r="BR575" s="47"/>
      <x:c r="BS575" s="60"/>
      <x:c r="BT575" s="58"/>
      <x:c r="BU575" s="47"/>
      <x:c r="BV575" s="60"/>
      <x:c r="BW575" s="58"/>
      <x:c r="BX575" s="47"/>
      <x:c r="BY575" s="60"/>
      <x:c r="BZ575" s="58"/>
      <x:c r="CA575" s="47"/>
      <x:c r="CB575" s="60"/>
      <x:c r="CC575" s="58"/>
      <x:c r="CD575" s="47"/>
      <x:c r="CE575" s="60"/>
      <x:c r="CF575" s="58"/>
      <x:c r="CG575" s="47"/>
      <x:c r="CH575" s="60"/>
      <x:c r="CI575" s="58"/>
      <x:c r="CJ575" s="47"/>
      <x:c r="CK575" s="60"/>
      <x:c r="CL575" s="58"/>
      <x:c r="CM575" s="47"/>
      <x:c r="CN575" s="60"/>
      <x:c r="CO575" s="58"/>
      <x:c r="CP575" s="47"/>
      <x:c r="CQ575" s="60"/>
      <x:c r="CR575" s="58"/>
      <x:c r="CS575" s="47"/>
      <x:c r="CT575" s="60"/>
      <x:c r="CU575" s="58"/>
      <x:c r="CV575" s="47"/>
      <x:c r="CW575" s="60"/>
      <x:c r="CX575" s="58"/>
      <x:c r="CY575" s="47"/>
      <x:c r="CZ575" s="60"/>
      <x:c r="DA575" s="58"/>
      <x:c r="DB575" s="47"/>
      <x:c r="DC575" s="60"/>
      <x:c r="DD575" s="58"/>
      <x:c r="DE575" s="47"/>
      <x:c r="DF575" s="60"/>
      <x:c r="DG575" s="58"/>
      <x:c r="DH575" s="47"/>
      <x:c r="DI575" s="60"/>
      <x:c r="DJ575" s="58"/>
      <x:c r="DK575" s="47"/>
      <x:c r="DL575" s="60"/>
      <x:c r="DM575" s="58"/>
      <x:c r="DN575" s="11"/>
      <x:c r="DO575" s="61"/>
      <x:c r="DP575" s="62"/>
      <x:c r="DQ575" s="11"/>
      <x:c r="DR575" s="61"/>
      <x:c r="DS575" s="62"/>
      <x:c r="DT575" s="11"/>
      <x:c r="DU575" s="61"/>
      <x:c r="DV575" s="62"/>
    </x:row>
    <x:row r="576" spans="1:126" x14ac:dyDescent="0.3">
      <x:c r="A576" s="47"/>
      <x:c r="B576" s="70"/>
      <x:c r="C576" s="70"/>
      <x:c r="D576" s="70"/>
      <x:c r="E576" s="70"/>
      <x:c r="F576" s="70"/>
      <x:c r="G576" s="70"/>
      <x:c r="H576" s="70"/>
      <x:c r="I576" s="70"/>
      <x:c r="J576" s="70"/>
      <x:c r="K576" s="190"/>
      <x:c r="L576" s="195"/>
      <x:c r="M576" s="192"/>
      <x:c r="N576" s="192"/>
      <x:c r="O576" s="69"/>
      <x:c r="P576" s="47"/>
      <x:c r="Q576" s="60"/>
      <x:c r="R576" s="58"/>
      <x:c r="S576" s="47"/>
      <x:c r="T576" s="60"/>
      <x:c r="U576" s="58"/>
      <x:c r="V576" s="47"/>
      <x:c r="W576" s="60"/>
      <x:c r="X576" s="58"/>
      <x:c r="Y576" s="47"/>
      <x:c r="Z576" s="60"/>
      <x:c r="AA576" s="58"/>
      <x:c r="AB576" s="47"/>
      <x:c r="AC576" s="60"/>
      <x:c r="AD576" s="58"/>
      <x:c r="AE576" s="47"/>
      <x:c r="AF576" s="60"/>
      <x:c r="AG576" s="58"/>
      <x:c r="AH576" s="47"/>
      <x:c r="AI576" s="60"/>
      <x:c r="AJ576" s="58"/>
      <x:c r="AK576" s="47"/>
      <x:c r="AL576" s="60"/>
      <x:c r="AM576" s="58"/>
      <x:c r="AN576" s="47"/>
      <x:c r="AO576" s="60"/>
      <x:c r="AP576" s="58"/>
      <x:c r="AQ576" s="47"/>
      <x:c r="AR576" s="60"/>
      <x:c r="AS576" s="58"/>
      <x:c r="AT576" s="47"/>
      <x:c r="AU576" s="60"/>
      <x:c r="AV576" s="58"/>
      <x:c r="AW576" s="47"/>
      <x:c r="AX576" s="60"/>
      <x:c r="AY576" s="58"/>
      <x:c r="AZ576" s="47"/>
      <x:c r="BA576" s="60"/>
      <x:c r="BB576" s="58"/>
      <x:c r="BC576" s="47"/>
      <x:c r="BD576" s="60"/>
      <x:c r="BE576" s="58"/>
      <x:c r="BF576" s="47"/>
      <x:c r="BG576" s="60"/>
      <x:c r="BH576" s="58"/>
      <x:c r="BI576" s="47"/>
      <x:c r="BJ576" s="60"/>
      <x:c r="BK576" s="58"/>
      <x:c r="BL576" s="47"/>
      <x:c r="BM576" s="60"/>
      <x:c r="BN576" s="58"/>
      <x:c r="BO576" s="47"/>
      <x:c r="BP576" s="60"/>
      <x:c r="BQ576" s="58"/>
      <x:c r="BR576" s="47"/>
      <x:c r="BS576" s="60"/>
      <x:c r="BT576" s="58"/>
      <x:c r="BU576" s="47"/>
      <x:c r="BV576" s="60"/>
      <x:c r="BW576" s="58"/>
      <x:c r="BX576" s="47"/>
      <x:c r="BY576" s="60"/>
      <x:c r="BZ576" s="58"/>
      <x:c r="CA576" s="47"/>
      <x:c r="CB576" s="60"/>
      <x:c r="CC576" s="58"/>
      <x:c r="CD576" s="47"/>
      <x:c r="CE576" s="60"/>
      <x:c r="CF576" s="58"/>
      <x:c r="CG576" s="47"/>
      <x:c r="CH576" s="60"/>
      <x:c r="CI576" s="58"/>
      <x:c r="CJ576" s="47"/>
      <x:c r="CK576" s="60"/>
      <x:c r="CL576" s="58"/>
      <x:c r="CM576" s="47"/>
      <x:c r="CN576" s="60"/>
      <x:c r="CO576" s="58"/>
      <x:c r="CP576" s="47"/>
      <x:c r="CQ576" s="60"/>
      <x:c r="CR576" s="58"/>
      <x:c r="CS576" s="47"/>
      <x:c r="CT576" s="60"/>
      <x:c r="CU576" s="58"/>
      <x:c r="CV576" s="47"/>
      <x:c r="CW576" s="60"/>
      <x:c r="CX576" s="58"/>
      <x:c r="CY576" s="47"/>
      <x:c r="CZ576" s="60"/>
      <x:c r="DA576" s="58"/>
      <x:c r="DB576" s="47"/>
      <x:c r="DC576" s="60"/>
      <x:c r="DD576" s="58"/>
      <x:c r="DE576" s="47"/>
      <x:c r="DF576" s="60"/>
      <x:c r="DG576" s="58"/>
      <x:c r="DH576" s="47"/>
      <x:c r="DI576" s="60"/>
      <x:c r="DJ576" s="58"/>
      <x:c r="DK576" s="47"/>
      <x:c r="DL576" s="60"/>
      <x:c r="DM576" s="58"/>
      <x:c r="DN576" s="11"/>
      <x:c r="DO576" s="61"/>
      <x:c r="DP576" s="62"/>
      <x:c r="DQ576" s="11"/>
      <x:c r="DR576" s="61"/>
      <x:c r="DS576" s="62"/>
      <x:c r="DT576" s="11"/>
      <x:c r="DU576" s="61"/>
      <x:c r="DV576" s="62"/>
    </x:row>
    <x:row r="577" spans="1:126" x14ac:dyDescent="0.3">
      <x:c r="A577" s="47"/>
      <x:c r="B577" s="70"/>
      <x:c r="C577" s="70"/>
      <x:c r="D577" s="70"/>
      <x:c r="E577" s="70"/>
      <x:c r="F577" s="70"/>
      <x:c r="G577" s="70"/>
      <x:c r="H577" s="70"/>
      <x:c r="I577" s="70"/>
      <x:c r="J577" s="70"/>
      <x:c r="K577" s="190"/>
      <x:c r="L577" s="195"/>
      <x:c r="M577" s="192"/>
      <x:c r="N577" s="192"/>
      <x:c r="O577" s="69"/>
      <x:c r="P577" s="47"/>
      <x:c r="Q577" s="60"/>
      <x:c r="R577" s="58"/>
      <x:c r="S577" s="47"/>
      <x:c r="T577" s="60"/>
      <x:c r="U577" s="58"/>
      <x:c r="V577" s="47"/>
      <x:c r="W577" s="60"/>
      <x:c r="X577" s="58"/>
      <x:c r="Y577" s="47"/>
      <x:c r="Z577" s="60"/>
      <x:c r="AA577" s="58"/>
      <x:c r="AB577" s="47"/>
      <x:c r="AC577" s="60"/>
      <x:c r="AD577" s="58"/>
      <x:c r="AE577" s="47"/>
      <x:c r="AF577" s="60"/>
      <x:c r="AG577" s="58"/>
      <x:c r="AH577" s="47"/>
      <x:c r="AI577" s="60"/>
      <x:c r="AJ577" s="58"/>
      <x:c r="AK577" s="47"/>
      <x:c r="AL577" s="60"/>
      <x:c r="AM577" s="58"/>
      <x:c r="AN577" s="47"/>
      <x:c r="AO577" s="60"/>
      <x:c r="AP577" s="58"/>
      <x:c r="AQ577" s="47"/>
      <x:c r="AR577" s="60"/>
      <x:c r="AS577" s="58"/>
      <x:c r="AT577" s="47"/>
      <x:c r="AU577" s="60"/>
      <x:c r="AV577" s="58"/>
      <x:c r="AW577" s="47"/>
      <x:c r="AX577" s="60"/>
      <x:c r="AY577" s="58"/>
      <x:c r="AZ577" s="47"/>
      <x:c r="BA577" s="60"/>
      <x:c r="BB577" s="58"/>
      <x:c r="BC577" s="47"/>
      <x:c r="BD577" s="60"/>
      <x:c r="BE577" s="58"/>
      <x:c r="BF577" s="47"/>
      <x:c r="BG577" s="60"/>
      <x:c r="BH577" s="58"/>
      <x:c r="BI577" s="47"/>
      <x:c r="BJ577" s="60"/>
      <x:c r="BK577" s="58"/>
      <x:c r="BL577" s="47"/>
      <x:c r="BM577" s="60"/>
      <x:c r="BN577" s="58"/>
      <x:c r="BO577" s="47"/>
      <x:c r="BP577" s="60"/>
      <x:c r="BQ577" s="58"/>
      <x:c r="BR577" s="47"/>
      <x:c r="BS577" s="60"/>
      <x:c r="BT577" s="58"/>
      <x:c r="BU577" s="47"/>
      <x:c r="BV577" s="60"/>
      <x:c r="BW577" s="58"/>
      <x:c r="BX577" s="47"/>
      <x:c r="BY577" s="60"/>
      <x:c r="BZ577" s="58"/>
      <x:c r="CA577" s="47"/>
      <x:c r="CB577" s="60"/>
      <x:c r="CC577" s="58"/>
      <x:c r="CD577" s="47"/>
      <x:c r="CE577" s="60"/>
      <x:c r="CF577" s="58"/>
      <x:c r="CG577" s="47"/>
      <x:c r="CH577" s="60"/>
      <x:c r="CI577" s="58"/>
      <x:c r="CJ577" s="47"/>
      <x:c r="CK577" s="60"/>
      <x:c r="CL577" s="58"/>
      <x:c r="CM577" s="47"/>
      <x:c r="CN577" s="60"/>
      <x:c r="CO577" s="58"/>
      <x:c r="CP577" s="47"/>
      <x:c r="CQ577" s="60"/>
      <x:c r="CR577" s="58"/>
      <x:c r="CS577" s="47"/>
      <x:c r="CT577" s="60"/>
      <x:c r="CU577" s="58"/>
      <x:c r="CV577" s="47"/>
      <x:c r="CW577" s="60"/>
      <x:c r="CX577" s="58"/>
      <x:c r="CY577" s="47"/>
      <x:c r="CZ577" s="60"/>
      <x:c r="DA577" s="58"/>
      <x:c r="DB577" s="47"/>
      <x:c r="DC577" s="60"/>
      <x:c r="DD577" s="58"/>
      <x:c r="DE577" s="47"/>
      <x:c r="DF577" s="60"/>
      <x:c r="DG577" s="58"/>
      <x:c r="DH577" s="47"/>
      <x:c r="DI577" s="60"/>
      <x:c r="DJ577" s="58"/>
      <x:c r="DK577" s="47"/>
      <x:c r="DL577" s="60"/>
      <x:c r="DM577" s="58"/>
      <x:c r="DN577" s="11"/>
      <x:c r="DO577" s="61"/>
      <x:c r="DP577" s="62"/>
      <x:c r="DQ577" s="11"/>
      <x:c r="DR577" s="61"/>
      <x:c r="DS577" s="62"/>
      <x:c r="DT577" s="11"/>
      <x:c r="DU577" s="61"/>
      <x:c r="DV577" s="62"/>
    </x:row>
    <x:row r="578" spans="1:126" x14ac:dyDescent="0.3">
      <x:c r="A578" s="47"/>
      <x:c r="B578" s="70"/>
      <x:c r="C578" s="70"/>
      <x:c r="D578" s="70"/>
      <x:c r="E578" s="70"/>
      <x:c r="F578" s="70"/>
      <x:c r="G578" s="70"/>
      <x:c r="H578" s="70"/>
      <x:c r="I578" s="70"/>
      <x:c r="J578" s="70"/>
      <x:c r="K578" s="190"/>
      <x:c r="L578" s="195"/>
      <x:c r="M578" s="192"/>
      <x:c r="N578" s="192"/>
      <x:c r="O578" s="69"/>
      <x:c r="P578" s="47"/>
      <x:c r="Q578" s="60"/>
      <x:c r="R578" s="58"/>
      <x:c r="S578" s="47"/>
      <x:c r="T578" s="60"/>
      <x:c r="U578" s="58"/>
      <x:c r="V578" s="47"/>
      <x:c r="W578" s="60"/>
      <x:c r="X578" s="58"/>
      <x:c r="Y578" s="47"/>
      <x:c r="Z578" s="60"/>
      <x:c r="AA578" s="58"/>
      <x:c r="AB578" s="47"/>
      <x:c r="AC578" s="60"/>
      <x:c r="AD578" s="58"/>
      <x:c r="AE578" s="47"/>
      <x:c r="AF578" s="60"/>
      <x:c r="AG578" s="58"/>
      <x:c r="AH578" s="47"/>
      <x:c r="AI578" s="60"/>
      <x:c r="AJ578" s="58"/>
      <x:c r="AK578" s="47"/>
      <x:c r="AL578" s="60"/>
      <x:c r="AM578" s="58"/>
      <x:c r="AN578" s="47"/>
      <x:c r="AO578" s="60"/>
      <x:c r="AP578" s="58"/>
      <x:c r="AQ578" s="47"/>
      <x:c r="AR578" s="60"/>
      <x:c r="AS578" s="58"/>
      <x:c r="AT578" s="47"/>
      <x:c r="AU578" s="60"/>
      <x:c r="AV578" s="58"/>
      <x:c r="AW578" s="47"/>
      <x:c r="AX578" s="60"/>
      <x:c r="AY578" s="58"/>
      <x:c r="AZ578" s="47"/>
      <x:c r="BA578" s="60"/>
      <x:c r="BB578" s="58"/>
      <x:c r="BC578" s="47"/>
      <x:c r="BD578" s="60"/>
      <x:c r="BE578" s="58"/>
      <x:c r="BF578" s="47"/>
      <x:c r="BG578" s="60"/>
      <x:c r="BH578" s="58"/>
      <x:c r="BI578" s="47"/>
      <x:c r="BJ578" s="60"/>
      <x:c r="BK578" s="58"/>
      <x:c r="BL578" s="47"/>
      <x:c r="BM578" s="60"/>
      <x:c r="BN578" s="58"/>
      <x:c r="BO578" s="47"/>
      <x:c r="BP578" s="60"/>
      <x:c r="BQ578" s="58"/>
      <x:c r="BR578" s="47"/>
      <x:c r="BS578" s="60"/>
      <x:c r="BT578" s="58"/>
      <x:c r="BU578" s="47"/>
      <x:c r="BV578" s="60"/>
      <x:c r="BW578" s="58"/>
      <x:c r="BX578" s="47"/>
      <x:c r="BY578" s="60"/>
      <x:c r="BZ578" s="58"/>
      <x:c r="CA578" s="47"/>
      <x:c r="CB578" s="60"/>
      <x:c r="CC578" s="58"/>
      <x:c r="CD578" s="47"/>
      <x:c r="CE578" s="60"/>
      <x:c r="CF578" s="58"/>
      <x:c r="CG578" s="47"/>
      <x:c r="CH578" s="60"/>
      <x:c r="CI578" s="58"/>
      <x:c r="CJ578" s="47"/>
      <x:c r="CK578" s="60"/>
      <x:c r="CL578" s="58"/>
      <x:c r="CM578" s="47"/>
      <x:c r="CN578" s="60"/>
      <x:c r="CO578" s="58"/>
      <x:c r="CP578" s="47"/>
      <x:c r="CQ578" s="60"/>
      <x:c r="CR578" s="58"/>
      <x:c r="CS578" s="47"/>
      <x:c r="CT578" s="60"/>
      <x:c r="CU578" s="58"/>
      <x:c r="CV578" s="47"/>
      <x:c r="CW578" s="60"/>
      <x:c r="CX578" s="58"/>
      <x:c r="CY578" s="47"/>
      <x:c r="CZ578" s="60"/>
      <x:c r="DA578" s="58"/>
      <x:c r="DB578" s="47"/>
      <x:c r="DC578" s="60"/>
      <x:c r="DD578" s="58"/>
      <x:c r="DE578" s="47"/>
      <x:c r="DF578" s="60"/>
      <x:c r="DG578" s="58"/>
      <x:c r="DH578" s="47"/>
      <x:c r="DI578" s="60"/>
      <x:c r="DJ578" s="58"/>
      <x:c r="DK578" s="47"/>
      <x:c r="DL578" s="60"/>
      <x:c r="DM578" s="58"/>
      <x:c r="DN578" s="11"/>
      <x:c r="DO578" s="61"/>
      <x:c r="DP578" s="62"/>
      <x:c r="DQ578" s="11"/>
      <x:c r="DR578" s="61"/>
      <x:c r="DS578" s="62"/>
      <x:c r="DT578" s="11"/>
      <x:c r="DU578" s="61"/>
      <x:c r="DV578" s="62"/>
    </x:row>
    <x:row r="579" spans="1:126" x14ac:dyDescent="0.3">
      <x:c r="A579" s="47"/>
      <x:c r="B579" s="70"/>
      <x:c r="C579" s="70"/>
      <x:c r="D579" s="70"/>
      <x:c r="E579" s="70"/>
      <x:c r="F579" s="70"/>
      <x:c r="G579" s="70"/>
      <x:c r="H579" s="70"/>
      <x:c r="I579" s="70"/>
      <x:c r="J579" s="70"/>
      <x:c r="K579" s="190"/>
      <x:c r="L579" s="195"/>
      <x:c r="M579" s="192"/>
      <x:c r="N579" s="192"/>
      <x:c r="O579" s="69"/>
      <x:c r="P579" s="47"/>
      <x:c r="Q579" s="60"/>
      <x:c r="R579" s="58"/>
      <x:c r="S579" s="47"/>
      <x:c r="T579" s="60"/>
      <x:c r="U579" s="58"/>
      <x:c r="V579" s="47"/>
      <x:c r="W579" s="60"/>
      <x:c r="X579" s="58"/>
      <x:c r="Y579" s="47"/>
      <x:c r="Z579" s="60"/>
      <x:c r="AA579" s="58"/>
      <x:c r="AB579" s="47"/>
      <x:c r="AC579" s="60"/>
      <x:c r="AD579" s="58"/>
      <x:c r="AE579" s="47"/>
      <x:c r="AF579" s="60"/>
      <x:c r="AG579" s="58"/>
      <x:c r="AH579" s="47"/>
      <x:c r="AI579" s="60"/>
      <x:c r="AJ579" s="58"/>
      <x:c r="AK579" s="47"/>
      <x:c r="AL579" s="60"/>
      <x:c r="AM579" s="58"/>
      <x:c r="AN579" s="47"/>
      <x:c r="AO579" s="60"/>
      <x:c r="AP579" s="58"/>
      <x:c r="AQ579" s="47"/>
      <x:c r="AR579" s="60"/>
      <x:c r="AS579" s="58"/>
      <x:c r="AT579" s="47"/>
      <x:c r="AU579" s="60"/>
      <x:c r="AV579" s="58"/>
      <x:c r="AW579" s="47"/>
      <x:c r="AX579" s="60"/>
      <x:c r="AY579" s="58"/>
      <x:c r="AZ579" s="47"/>
      <x:c r="BA579" s="60"/>
      <x:c r="BB579" s="58"/>
      <x:c r="BC579" s="47"/>
      <x:c r="BD579" s="60"/>
      <x:c r="BE579" s="58"/>
      <x:c r="BF579" s="47"/>
      <x:c r="BG579" s="60"/>
      <x:c r="BH579" s="58"/>
      <x:c r="BI579" s="47"/>
      <x:c r="BJ579" s="60"/>
      <x:c r="BK579" s="58"/>
      <x:c r="BL579" s="47"/>
      <x:c r="BM579" s="60"/>
      <x:c r="BN579" s="58"/>
      <x:c r="BO579" s="47"/>
      <x:c r="BP579" s="60"/>
      <x:c r="BQ579" s="58"/>
      <x:c r="BR579" s="47"/>
      <x:c r="BS579" s="60"/>
      <x:c r="BT579" s="58"/>
      <x:c r="BU579" s="47"/>
      <x:c r="BV579" s="60"/>
      <x:c r="BW579" s="58"/>
      <x:c r="BX579" s="47"/>
      <x:c r="BY579" s="60"/>
      <x:c r="BZ579" s="58"/>
      <x:c r="CA579" s="47"/>
      <x:c r="CB579" s="60"/>
      <x:c r="CC579" s="58"/>
      <x:c r="CD579" s="47"/>
      <x:c r="CE579" s="60"/>
      <x:c r="CF579" s="58"/>
      <x:c r="CG579" s="47"/>
      <x:c r="CH579" s="60"/>
      <x:c r="CI579" s="58"/>
      <x:c r="CJ579" s="47"/>
      <x:c r="CK579" s="60"/>
      <x:c r="CL579" s="58"/>
      <x:c r="CM579" s="47"/>
      <x:c r="CN579" s="60"/>
      <x:c r="CO579" s="58"/>
      <x:c r="CP579" s="47"/>
      <x:c r="CQ579" s="60"/>
      <x:c r="CR579" s="58"/>
      <x:c r="CS579" s="47"/>
      <x:c r="CT579" s="60"/>
      <x:c r="CU579" s="58"/>
      <x:c r="CV579" s="47"/>
      <x:c r="CW579" s="60"/>
      <x:c r="CX579" s="58"/>
      <x:c r="CY579" s="47"/>
      <x:c r="CZ579" s="60"/>
      <x:c r="DA579" s="58"/>
      <x:c r="DB579" s="47"/>
      <x:c r="DC579" s="60"/>
      <x:c r="DD579" s="58"/>
      <x:c r="DE579" s="47"/>
      <x:c r="DF579" s="60"/>
      <x:c r="DG579" s="58"/>
      <x:c r="DH579" s="47"/>
      <x:c r="DI579" s="60"/>
      <x:c r="DJ579" s="58"/>
      <x:c r="DK579" s="47"/>
      <x:c r="DL579" s="60"/>
      <x:c r="DM579" s="58"/>
      <x:c r="DN579" s="11"/>
      <x:c r="DO579" s="61"/>
      <x:c r="DP579" s="62"/>
      <x:c r="DQ579" s="11"/>
      <x:c r="DR579" s="61"/>
      <x:c r="DS579" s="62"/>
      <x:c r="DT579" s="11"/>
      <x:c r="DU579" s="61"/>
      <x:c r="DV579" s="62"/>
    </x:row>
    <x:row r="580" spans="1:126" x14ac:dyDescent="0.3">
      <x:c r="A580" s="47"/>
      <x:c r="B580" s="70"/>
      <x:c r="C580" s="70"/>
      <x:c r="D580" s="70"/>
      <x:c r="E580" s="70"/>
      <x:c r="F580" s="70"/>
      <x:c r="G580" s="70"/>
      <x:c r="H580" s="70"/>
      <x:c r="I580" s="70"/>
      <x:c r="J580" s="70"/>
      <x:c r="K580" s="190"/>
      <x:c r="L580" s="195"/>
      <x:c r="M580" s="192"/>
      <x:c r="N580" s="192"/>
      <x:c r="O580" s="69"/>
      <x:c r="P580" s="47"/>
      <x:c r="Q580" s="60"/>
      <x:c r="R580" s="58"/>
      <x:c r="S580" s="47"/>
      <x:c r="T580" s="60"/>
      <x:c r="U580" s="58"/>
      <x:c r="V580" s="47"/>
      <x:c r="W580" s="60"/>
      <x:c r="X580" s="58"/>
      <x:c r="Y580" s="47"/>
      <x:c r="Z580" s="60"/>
      <x:c r="AA580" s="58"/>
      <x:c r="AB580" s="47"/>
      <x:c r="AC580" s="60"/>
      <x:c r="AD580" s="58"/>
      <x:c r="AE580" s="47"/>
      <x:c r="AF580" s="60"/>
      <x:c r="AG580" s="58"/>
      <x:c r="AH580" s="47"/>
      <x:c r="AI580" s="60"/>
      <x:c r="AJ580" s="58"/>
      <x:c r="AK580" s="47"/>
      <x:c r="AL580" s="60"/>
      <x:c r="AM580" s="58"/>
      <x:c r="AN580" s="47"/>
      <x:c r="AO580" s="60"/>
      <x:c r="AP580" s="58"/>
      <x:c r="AQ580" s="47"/>
      <x:c r="AR580" s="60"/>
      <x:c r="AS580" s="58"/>
      <x:c r="AT580" s="47"/>
      <x:c r="AU580" s="60"/>
      <x:c r="AV580" s="58"/>
      <x:c r="AW580" s="47"/>
      <x:c r="AX580" s="60"/>
      <x:c r="AY580" s="58"/>
      <x:c r="AZ580" s="47"/>
      <x:c r="BA580" s="60"/>
      <x:c r="BB580" s="58"/>
      <x:c r="BC580" s="47"/>
      <x:c r="BD580" s="60"/>
      <x:c r="BE580" s="58"/>
      <x:c r="BF580" s="47"/>
      <x:c r="BG580" s="60"/>
      <x:c r="BH580" s="58"/>
      <x:c r="BI580" s="47"/>
      <x:c r="BJ580" s="60"/>
      <x:c r="BK580" s="58"/>
      <x:c r="BL580" s="47"/>
      <x:c r="BM580" s="60"/>
      <x:c r="BN580" s="58"/>
      <x:c r="BO580" s="47"/>
      <x:c r="BP580" s="60"/>
      <x:c r="BQ580" s="58"/>
      <x:c r="BR580" s="47"/>
      <x:c r="BS580" s="60"/>
      <x:c r="BT580" s="58"/>
      <x:c r="BU580" s="47"/>
      <x:c r="BV580" s="60"/>
      <x:c r="BW580" s="58"/>
      <x:c r="BX580" s="47"/>
      <x:c r="BY580" s="60"/>
      <x:c r="BZ580" s="58"/>
      <x:c r="CA580" s="47"/>
      <x:c r="CB580" s="60"/>
      <x:c r="CC580" s="58"/>
      <x:c r="CD580" s="47"/>
      <x:c r="CE580" s="60"/>
      <x:c r="CF580" s="58"/>
      <x:c r="CG580" s="47"/>
      <x:c r="CH580" s="60"/>
      <x:c r="CI580" s="58"/>
      <x:c r="CJ580" s="47"/>
      <x:c r="CK580" s="60"/>
      <x:c r="CL580" s="58"/>
      <x:c r="CM580" s="47"/>
      <x:c r="CN580" s="60"/>
      <x:c r="CO580" s="58"/>
      <x:c r="CP580" s="47"/>
      <x:c r="CQ580" s="60"/>
      <x:c r="CR580" s="58"/>
      <x:c r="CS580" s="47"/>
      <x:c r="CT580" s="60"/>
      <x:c r="CU580" s="58"/>
      <x:c r="CV580" s="47"/>
      <x:c r="CW580" s="60"/>
      <x:c r="CX580" s="58"/>
      <x:c r="CY580" s="47"/>
      <x:c r="CZ580" s="60"/>
      <x:c r="DA580" s="58"/>
      <x:c r="DB580" s="47"/>
      <x:c r="DC580" s="60"/>
      <x:c r="DD580" s="58"/>
      <x:c r="DE580" s="47"/>
      <x:c r="DF580" s="60"/>
      <x:c r="DG580" s="58"/>
      <x:c r="DH580" s="47"/>
      <x:c r="DI580" s="60"/>
      <x:c r="DJ580" s="58"/>
      <x:c r="DK580" s="47"/>
      <x:c r="DL580" s="60"/>
      <x:c r="DM580" s="58"/>
      <x:c r="DN580" s="11"/>
      <x:c r="DO580" s="61"/>
      <x:c r="DP580" s="62"/>
      <x:c r="DQ580" s="11"/>
      <x:c r="DR580" s="61"/>
      <x:c r="DS580" s="62"/>
      <x:c r="DT580" s="11"/>
      <x:c r="DU580" s="61"/>
      <x:c r="DV580" s="62"/>
    </x:row>
    <x:row r="581" spans="1:126" x14ac:dyDescent="0.3">
      <x:c r="A581" s="47"/>
      <x:c r="B581" s="70"/>
      <x:c r="C581" s="70"/>
      <x:c r="D581" s="70"/>
      <x:c r="E581" s="70"/>
      <x:c r="F581" s="70"/>
      <x:c r="G581" s="70"/>
      <x:c r="H581" s="70"/>
      <x:c r="I581" s="70"/>
      <x:c r="J581" s="70"/>
      <x:c r="K581" s="190"/>
      <x:c r="L581" s="195"/>
      <x:c r="M581" s="192"/>
      <x:c r="N581" s="192"/>
      <x:c r="O581" s="69"/>
      <x:c r="P581" s="47"/>
      <x:c r="Q581" s="60"/>
      <x:c r="R581" s="58"/>
      <x:c r="S581" s="47"/>
      <x:c r="T581" s="60"/>
      <x:c r="U581" s="58"/>
      <x:c r="V581" s="47"/>
      <x:c r="W581" s="60"/>
      <x:c r="X581" s="58"/>
      <x:c r="Y581" s="47"/>
      <x:c r="Z581" s="60"/>
      <x:c r="AA581" s="58"/>
      <x:c r="AB581" s="47"/>
      <x:c r="AC581" s="60"/>
      <x:c r="AD581" s="58"/>
      <x:c r="AE581" s="47"/>
      <x:c r="AF581" s="60"/>
      <x:c r="AG581" s="58"/>
      <x:c r="AH581" s="47"/>
      <x:c r="AI581" s="60"/>
      <x:c r="AJ581" s="58"/>
      <x:c r="AK581" s="47"/>
      <x:c r="AL581" s="60"/>
      <x:c r="AM581" s="58"/>
      <x:c r="AN581" s="47"/>
      <x:c r="AO581" s="60"/>
      <x:c r="AP581" s="58"/>
      <x:c r="AQ581" s="47"/>
      <x:c r="AR581" s="60"/>
      <x:c r="AS581" s="58"/>
      <x:c r="AT581" s="47"/>
      <x:c r="AU581" s="60"/>
      <x:c r="AV581" s="58"/>
      <x:c r="AW581" s="47"/>
      <x:c r="AX581" s="60"/>
      <x:c r="AY581" s="58"/>
      <x:c r="AZ581" s="47"/>
      <x:c r="BA581" s="60"/>
      <x:c r="BB581" s="58"/>
      <x:c r="BC581" s="47"/>
      <x:c r="BD581" s="60"/>
      <x:c r="BE581" s="58"/>
      <x:c r="BF581" s="47"/>
      <x:c r="BG581" s="60"/>
      <x:c r="BH581" s="58"/>
      <x:c r="BI581" s="47"/>
      <x:c r="BJ581" s="60"/>
      <x:c r="BK581" s="58"/>
      <x:c r="BL581" s="47"/>
      <x:c r="BM581" s="60"/>
      <x:c r="BN581" s="58"/>
      <x:c r="BO581" s="47"/>
      <x:c r="BP581" s="60"/>
      <x:c r="BQ581" s="58"/>
      <x:c r="BR581" s="47"/>
      <x:c r="BS581" s="60"/>
      <x:c r="BT581" s="58"/>
      <x:c r="BU581" s="47"/>
      <x:c r="BV581" s="60"/>
      <x:c r="BW581" s="58"/>
      <x:c r="BX581" s="47"/>
      <x:c r="BY581" s="60"/>
      <x:c r="BZ581" s="58"/>
      <x:c r="CA581" s="47"/>
      <x:c r="CB581" s="60"/>
      <x:c r="CC581" s="58"/>
      <x:c r="CD581" s="47"/>
      <x:c r="CE581" s="60"/>
      <x:c r="CF581" s="58"/>
      <x:c r="CG581" s="47"/>
      <x:c r="CH581" s="60"/>
      <x:c r="CI581" s="58"/>
      <x:c r="CJ581" s="47"/>
      <x:c r="CK581" s="60"/>
      <x:c r="CL581" s="58"/>
      <x:c r="CM581" s="47"/>
      <x:c r="CN581" s="60"/>
      <x:c r="CO581" s="58"/>
      <x:c r="CP581" s="47"/>
      <x:c r="CQ581" s="60"/>
      <x:c r="CR581" s="58"/>
      <x:c r="CS581" s="47"/>
      <x:c r="CT581" s="60"/>
      <x:c r="CU581" s="58"/>
      <x:c r="CV581" s="47"/>
      <x:c r="CW581" s="60"/>
      <x:c r="CX581" s="58"/>
      <x:c r="CY581" s="47"/>
      <x:c r="CZ581" s="60"/>
      <x:c r="DA581" s="58"/>
      <x:c r="DB581" s="47"/>
      <x:c r="DC581" s="60"/>
      <x:c r="DD581" s="58"/>
      <x:c r="DE581" s="47"/>
      <x:c r="DF581" s="60"/>
      <x:c r="DG581" s="58"/>
      <x:c r="DH581" s="47"/>
      <x:c r="DI581" s="60"/>
      <x:c r="DJ581" s="58"/>
      <x:c r="DK581" s="47"/>
      <x:c r="DL581" s="60"/>
      <x:c r="DM581" s="58"/>
      <x:c r="DN581" s="11"/>
      <x:c r="DO581" s="61"/>
      <x:c r="DP581" s="62"/>
      <x:c r="DQ581" s="11"/>
      <x:c r="DR581" s="61"/>
      <x:c r="DS581" s="62"/>
      <x:c r="DT581" s="11"/>
      <x:c r="DU581" s="61"/>
      <x:c r="DV581" s="62"/>
    </x:row>
    <x:row r="582" spans="1:126" x14ac:dyDescent="0.3">
      <x:c r="A582" s="47"/>
      <x:c r="B582" s="70"/>
      <x:c r="C582" s="70"/>
      <x:c r="D582" s="70"/>
      <x:c r="E582" s="70"/>
      <x:c r="F582" s="70"/>
      <x:c r="G582" s="70"/>
      <x:c r="H582" s="70"/>
      <x:c r="I582" s="70"/>
      <x:c r="J582" s="70"/>
      <x:c r="K582" s="190"/>
      <x:c r="L582" s="195"/>
      <x:c r="M582" s="192"/>
      <x:c r="N582" s="192"/>
      <x:c r="O582" s="69"/>
      <x:c r="P582" s="47"/>
      <x:c r="Q582" s="60"/>
      <x:c r="R582" s="58"/>
      <x:c r="S582" s="47"/>
      <x:c r="T582" s="60"/>
      <x:c r="U582" s="58"/>
      <x:c r="V582" s="47"/>
      <x:c r="W582" s="60"/>
      <x:c r="X582" s="58"/>
      <x:c r="Y582" s="47"/>
      <x:c r="Z582" s="60"/>
      <x:c r="AA582" s="58"/>
      <x:c r="AB582" s="47"/>
      <x:c r="AC582" s="60"/>
      <x:c r="AD582" s="58"/>
      <x:c r="AE582" s="47"/>
      <x:c r="AF582" s="60"/>
      <x:c r="AG582" s="58"/>
      <x:c r="AH582" s="47"/>
      <x:c r="AI582" s="60"/>
      <x:c r="AJ582" s="58"/>
      <x:c r="AK582" s="47"/>
      <x:c r="AL582" s="60"/>
      <x:c r="AM582" s="58"/>
      <x:c r="AN582" s="47"/>
      <x:c r="AO582" s="60"/>
      <x:c r="AP582" s="58"/>
      <x:c r="AQ582" s="47"/>
      <x:c r="AR582" s="60"/>
      <x:c r="AS582" s="58"/>
      <x:c r="AT582" s="47"/>
      <x:c r="AU582" s="60"/>
      <x:c r="AV582" s="58"/>
      <x:c r="AW582" s="47"/>
      <x:c r="AX582" s="60"/>
      <x:c r="AY582" s="58"/>
      <x:c r="AZ582" s="47"/>
      <x:c r="BA582" s="60"/>
      <x:c r="BB582" s="58"/>
      <x:c r="BC582" s="47"/>
      <x:c r="BD582" s="60"/>
      <x:c r="BE582" s="58"/>
      <x:c r="BF582" s="47"/>
      <x:c r="BG582" s="60"/>
      <x:c r="BH582" s="58"/>
      <x:c r="BI582" s="47"/>
      <x:c r="BJ582" s="60"/>
      <x:c r="BK582" s="58"/>
      <x:c r="BL582" s="47"/>
      <x:c r="BM582" s="60"/>
      <x:c r="BN582" s="58"/>
      <x:c r="BO582" s="47"/>
      <x:c r="BP582" s="60"/>
      <x:c r="BQ582" s="58"/>
      <x:c r="BR582" s="47"/>
      <x:c r="BS582" s="60"/>
      <x:c r="BT582" s="58"/>
      <x:c r="BU582" s="47"/>
      <x:c r="BV582" s="60"/>
      <x:c r="BW582" s="58"/>
      <x:c r="BX582" s="47"/>
      <x:c r="BY582" s="60"/>
      <x:c r="BZ582" s="58"/>
      <x:c r="CA582" s="47"/>
      <x:c r="CB582" s="60"/>
      <x:c r="CC582" s="58"/>
      <x:c r="CD582" s="47"/>
      <x:c r="CE582" s="60"/>
      <x:c r="CF582" s="58"/>
      <x:c r="CG582" s="47"/>
      <x:c r="CH582" s="60"/>
      <x:c r="CI582" s="58"/>
      <x:c r="CJ582" s="47"/>
      <x:c r="CK582" s="60"/>
      <x:c r="CL582" s="58"/>
      <x:c r="CM582" s="47"/>
      <x:c r="CN582" s="60"/>
      <x:c r="CO582" s="58"/>
      <x:c r="CP582" s="47"/>
      <x:c r="CQ582" s="60"/>
      <x:c r="CR582" s="58"/>
      <x:c r="CS582" s="47"/>
      <x:c r="CT582" s="60"/>
      <x:c r="CU582" s="58"/>
      <x:c r="CV582" s="47"/>
      <x:c r="CW582" s="60"/>
      <x:c r="CX582" s="58"/>
      <x:c r="CY582" s="47"/>
      <x:c r="CZ582" s="60"/>
      <x:c r="DA582" s="58"/>
      <x:c r="DB582" s="47"/>
      <x:c r="DC582" s="60"/>
      <x:c r="DD582" s="58"/>
      <x:c r="DE582" s="47"/>
      <x:c r="DF582" s="60"/>
      <x:c r="DG582" s="58"/>
      <x:c r="DH582" s="47"/>
      <x:c r="DI582" s="60"/>
      <x:c r="DJ582" s="58"/>
      <x:c r="DK582" s="47"/>
      <x:c r="DL582" s="60"/>
      <x:c r="DM582" s="58"/>
      <x:c r="DN582" s="11"/>
      <x:c r="DO582" s="61"/>
      <x:c r="DP582" s="62"/>
      <x:c r="DQ582" s="11"/>
      <x:c r="DR582" s="61"/>
      <x:c r="DS582" s="62"/>
      <x:c r="DT582" s="11"/>
      <x:c r="DU582" s="61"/>
      <x:c r="DV582" s="62"/>
    </x:row>
    <x:row r="583" spans="1:126" x14ac:dyDescent="0.3">
      <x:c r="A583" s="47"/>
      <x:c r="B583" s="70"/>
      <x:c r="C583" s="70"/>
      <x:c r="D583" s="70"/>
      <x:c r="E583" s="70"/>
      <x:c r="F583" s="70"/>
      <x:c r="G583" s="70"/>
      <x:c r="H583" s="70"/>
      <x:c r="I583" s="70"/>
      <x:c r="J583" s="70"/>
      <x:c r="K583" s="190"/>
      <x:c r="L583" s="195"/>
      <x:c r="M583" s="192"/>
      <x:c r="N583" s="192"/>
      <x:c r="O583" s="69"/>
      <x:c r="P583" s="47"/>
      <x:c r="Q583" s="60"/>
      <x:c r="R583" s="58"/>
      <x:c r="S583" s="47"/>
      <x:c r="T583" s="60"/>
      <x:c r="U583" s="58"/>
      <x:c r="V583" s="47"/>
      <x:c r="W583" s="60"/>
      <x:c r="X583" s="58"/>
      <x:c r="Y583" s="47"/>
      <x:c r="Z583" s="60"/>
      <x:c r="AA583" s="58"/>
      <x:c r="AB583" s="47"/>
      <x:c r="AC583" s="60"/>
      <x:c r="AD583" s="58"/>
      <x:c r="AE583" s="47"/>
      <x:c r="AF583" s="60"/>
      <x:c r="AG583" s="58"/>
      <x:c r="AH583" s="47"/>
      <x:c r="AI583" s="60"/>
      <x:c r="AJ583" s="58"/>
      <x:c r="AK583" s="47"/>
      <x:c r="AL583" s="60"/>
      <x:c r="AM583" s="58"/>
      <x:c r="AN583" s="47"/>
      <x:c r="AO583" s="60"/>
      <x:c r="AP583" s="58"/>
      <x:c r="AQ583" s="47"/>
      <x:c r="AR583" s="60"/>
      <x:c r="AS583" s="58"/>
      <x:c r="AT583" s="47"/>
      <x:c r="AU583" s="60"/>
      <x:c r="AV583" s="58"/>
      <x:c r="AW583" s="47"/>
      <x:c r="AX583" s="60"/>
      <x:c r="AY583" s="58"/>
      <x:c r="AZ583" s="47"/>
      <x:c r="BA583" s="60"/>
      <x:c r="BB583" s="58"/>
      <x:c r="BC583" s="47"/>
      <x:c r="BD583" s="60"/>
      <x:c r="BE583" s="58"/>
      <x:c r="BF583" s="47"/>
      <x:c r="BG583" s="60"/>
      <x:c r="BH583" s="58"/>
      <x:c r="BI583" s="47"/>
      <x:c r="BJ583" s="60"/>
      <x:c r="BK583" s="58"/>
      <x:c r="BL583" s="47"/>
      <x:c r="BM583" s="60"/>
      <x:c r="BN583" s="58"/>
      <x:c r="BO583" s="47"/>
      <x:c r="BP583" s="60"/>
      <x:c r="BQ583" s="58"/>
      <x:c r="BR583" s="47"/>
      <x:c r="BS583" s="60"/>
      <x:c r="BT583" s="58"/>
      <x:c r="BU583" s="47"/>
      <x:c r="BV583" s="60"/>
      <x:c r="BW583" s="58"/>
      <x:c r="BX583" s="47"/>
      <x:c r="BY583" s="60"/>
      <x:c r="BZ583" s="58"/>
      <x:c r="CA583" s="47"/>
      <x:c r="CB583" s="60"/>
      <x:c r="CC583" s="58"/>
      <x:c r="CD583" s="47"/>
      <x:c r="CE583" s="60"/>
      <x:c r="CF583" s="58"/>
      <x:c r="CG583" s="47"/>
      <x:c r="CH583" s="60"/>
      <x:c r="CI583" s="58"/>
      <x:c r="CJ583" s="47"/>
      <x:c r="CK583" s="60"/>
      <x:c r="CL583" s="58"/>
      <x:c r="CM583" s="47"/>
      <x:c r="CN583" s="60"/>
      <x:c r="CO583" s="58"/>
      <x:c r="CP583" s="47"/>
      <x:c r="CQ583" s="60"/>
      <x:c r="CR583" s="58"/>
      <x:c r="CS583" s="47"/>
      <x:c r="CT583" s="60"/>
      <x:c r="CU583" s="58"/>
      <x:c r="CV583" s="47"/>
      <x:c r="CW583" s="60"/>
      <x:c r="CX583" s="58"/>
      <x:c r="CY583" s="47"/>
      <x:c r="CZ583" s="60"/>
      <x:c r="DA583" s="58"/>
      <x:c r="DB583" s="47"/>
      <x:c r="DC583" s="60"/>
      <x:c r="DD583" s="58"/>
      <x:c r="DE583" s="47"/>
      <x:c r="DF583" s="60"/>
      <x:c r="DG583" s="58"/>
      <x:c r="DH583" s="47"/>
      <x:c r="DI583" s="60"/>
      <x:c r="DJ583" s="58"/>
      <x:c r="DK583" s="47"/>
      <x:c r="DL583" s="60"/>
      <x:c r="DM583" s="58"/>
      <x:c r="DN583" s="11"/>
      <x:c r="DO583" s="61"/>
      <x:c r="DP583" s="62"/>
      <x:c r="DQ583" s="11"/>
      <x:c r="DR583" s="61"/>
      <x:c r="DS583" s="62"/>
      <x:c r="DT583" s="11"/>
      <x:c r="DU583" s="61"/>
      <x:c r="DV583" s="62"/>
    </x:row>
    <x:row r="584" spans="1:126" x14ac:dyDescent="0.3">
      <x:c r="A584" s="47"/>
      <x:c r="B584" s="70"/>
      <x:c r="C584" s="70"/>
      <x:c r="D584" s="70"/>
      <x:c r="E584" s="70"/>
      <x:c r="F584" s="70"/>
      <x:c r="G584" s="70"/>
      <x:c r="H584" s="70"/>
      <x:c r="I584" s="70"/>
      <x:c r="J584" s="70"/>
      <x:c r="K584" s="190"/>
      <x:c r="L584" s="195"/>
      <x:c r="M584" s="192"/>
      <x:c r="N584" s="192"/>
      <x:c r="O584" s="69"/>
      <x:c r="P584" s="47"/>
      <x:c r="Q584" s="60"/>
      <x:c r="R584" s="58"/>
      <x:c r="S584" s="47"/>
      <x:c r="T584" s="60"/>
      <x:c r="U584" s="58"/>
      <x:c r="V584" s="47"/>
      <x:c r="W584" s="60"/>
      <x:c r="X584" s="58"/>
      <x:c r="Y584" s="47"/>
      <x:c r="Z584" s="60"/>
      <x:c r="AA584" s="58"/>
      <x:c r="AB584" s="47"/>
      <x:c r="AC584" s="60"/>
      <x:c r="AD584" s="58"/>
      <x:c r="AE584" s="47"/>
      <x:c r="AF584" s="60"/>
      <x:c r="AG584" s="58"/>
      <x:c r="AH584" s="47"/>
      <x:c r="AI584" s="60"/>
      <x:c r="AJ584" s="58"/>
      <x:c r="AK584" s="47"/>
      <x:c r="AL584" s="60"/>
      <x:c r="AM584" s="58"/>
      <x:c r="AN584" s="47"/>
      <x:c r="AO584" s="60"/>
      <x:c r="AP584" s="58"/>
      <x:c r="AQ584" s="47"/>
      <x:c r="AR584" s="60"/>
      <x:c r="AS584" s="58"/>
      <x:c r="AT584" s="47"/>
      <x:c r="AU584" s="60"/>
      <x:c r="AV584" s="58"/>
      <x:c r="AW584" s="47"/>
      <x:c r="AX584" s="60"/>
      <x:c r="AY584" s="58"/>
      <x:c r="AZ584" s="47"/>
      <x:c r="BA584" s="60"/>
      <x:c r="BB584" s="58"/>
      <x:c r="BC584" s="47"/>
      <x:c r="BD584" s="60"/>
      <x:c r="BE584" s="58"/>
      <x:c r="BF584" s="47"/>
      <x:c r="BG584" s="60"/>
      <x:c r="BH584" s="58"/>
      <x:c r="BI584" s="47"/>
      <x:c r="BJ584" s="60"/>
      <x:c r="BK584" s="58"/>
      <x:c r="BL584" s="47"/>
      <x:c r="BM584" s="60"/>
      <x:c r="BN584" s="58"/>
      <x:c r="BO584" s="47"/>
      <x:c r="BP584" s="60"/>
      <x:c r="BQ584" s="58"/>
      <x:c r="BR584" s="47"/>
      <x:c r="BS584" s="60"/>
      <x:c r="BT584" s="58"/>
      <x:c r="BU584" s="47"/>
      <x:c r="BV584" s="60"/>
      <x:c r="BW584" s="58"/>
      <x:c r="BX584" s="47"/>
      <x:c r="BY584" s="60"/>
      <x:c r="BZ584" s="58"/>
      <x:c r="CA584" s="47"/>
      <x:c r="CB584" s="60"/>
      <x:c r="CC584" s="58"/>
      <x:c r="CD584" s="47"/>
      <x:c r="CE584" s="60"/>
      <x:c r="CF584" s="58"/>
      <x:c r="CG584" s="47"/>
      <x:c r="CH584" s="60"/>
      <x:c r="CI584" s="58"/>
      <x:c r="CJ584" s="47"/>
      <x:c r="CK584" s="60"/>
      <x:c r="CL584" s="58"/>
      <x:c r="CM584" s="47"/>
      <x:c r="CN584" s="60"/>
      <x:c r="CO584" s="58"/>
      <x:c r="CP584" s="47"/>
      <x:c r="CQ584" s="60"/>
      <x:c r="CR584" s="58"/>
      <x:c r="CS584" s="47"/>
      <x:c r="CT584" s="60"/>
      <x:c r="CU584" s="58"/>
      <x:c r="CV584" s="47"/>
      <x:c r="CW584" s="60"/>
      <x:c r="CX584" s="58"/>
      <x:c r="CY584" s="47"/>
      <x:c r="CZ584" s="60"/>
      <x:c r="DA584" s="58"/>
      <x:c r="DB584" s="47"/>
      <x:c r="DC584" s="60"/>
      <x:c r="DD584" s="58"/>
      <x:c r="DE584" s="47"/>
      <x:c r="DF584" s="60"/>
      <x:c r="DG584" s="58"/>
      <x:c r="DH584" s="47"/>
      <x:c r="DI584" s="60"/>
      <x:c r="DJ584" s="58"/>
      <x:c r="DK584" s="47"/>
      <x:c r="DL584" s="60"/>
      <x:c r="DM584" s="58"/>
      <x:c r="DN584" s="11"/>
      <x:c r="DO584" s="61"/>
      <x:c r="DP584" s="62"/>
      <x:c r="DQ584" s="11"/>
      <x:c r="DR584" s="61"/>
      <x:c r="DS584" s="62"/>
      <x:c r="DT584" s="11"/>
      <x:c r="DU584" s="61"/>
      <x:c r="DV584" s="62"/>
    </x:row>
    <x:row r="585" spans="1:126" x14ac:dyDescent="0.3">
      <x:c r="A585" s="47"/>
      <x:c r="B585" s="70"/>
      <x:c r="C585" s="70"/>
      <x:c r="D585" s="70"/>
      <x:c r="E585" s="70"/>
      <x:c r="F585" s="70"/>
      <x:c r="G585" s="70"/>
      <x:c r="H585" s="70"/>
      <x:c r="I585" s="70"/>
      <x:c r="J585" s="70"/>
      <x:c r="K585" s="190"/>
      <x:c r="L585" s="195"/>
      <x:c r="M585" s="192"/>
      <x:c r="N585" s="192"/>
      <x:c r="O585" s="69"/>
      <x:c r="P585" s="47"/>
      <x:c r="Q585" s="60"/>
      <x:c r="R585" s="58"/>
      <x:c r="S585" s="47"/>
      <x:c r="T585" s="60"/>
      <x:c r="U585" s="58"/>
      <x:c r="V585" s="47"/>
      <x:c r="W585" s="60"/>
      <x:c r="X585" s="58"/>
      <x:c r="Y585" s="47"/>
      <x:c r="Z585" s="60"/>
      <x:c r="AA585" s="58"/>
      <x:c r="AB585" s="47"/>
      <x:c r="AC585" s="60"/>
      <x:c r="AD585" s="58"/>
      <x:c r="AE585" s="47"/>
      <x:c r="AF585" s="60"/>
      <x:c r="AG585" s="58"/>
      <x:c r="AH585" s="47"/>
      <x:c r="AI585" s="60"/>
      <x:c r="AJ585" s="58"/>
      <x:c r="AK585" s="47"/>
      <x:c r="AL585" s="60"/>
      <x:c r="AM585" s="58"/>
      <x:c r="AN585" s="47"/>
      <x:c r="AO585" s="60"/>
      <x:c r="AP585" s="58"/>
      <x:c r="AQ585" s="47"/>
      <x:c r="AR585" s="60"/>
      <x:c r="AS585" s="58"/>
      <x:c r="AT585" s="47"/>
      <x:c r="AU585" s="60"/>
      <x:c r="AV585" s="58"/>
      <x:c r="AW585" s="47"/>
      <x:c r="AX585" s="60"/>
      <x:c r="AY585" s="58"/>
      <x:c r="AZ585" s="47"/>
      <x:c r="BA585" s="60"/>
      <x:c r="BB585" s="58"/>
      <x:c r="BC585" s="47"/>
      <x:c r="BD585" s="60"/>
      <x:c r="BE585" s="58"/>
      <x:c r="BF585" s="47"/>
      <x:c r="BG585" s="60"/>
      <x:c r="BH585" s="58"/>
      <x:c r="BI585" s="47"/>
      <x:c r="BJ585" s="60"/>
      <x:c r="BK585" s="58"/>
      <x:c r="BL585" s="47"/>
      <x:c r="BM585" s="60"/>
      <x:c r="BN585" s="58"/>
      <x:c r="BO585" s="47"/>
      <x:c r="BP585" s="60"/>
      <x:c r="BQ585" s="58"/>
      <x:c r="BR585" s="47"/>
      <x:c r="BS585" s="60"/>
      <x:c r="BT585" s="58"/>
      <x:c r="BU585" s="47"/>
      <x:c r="BV585" s="60"/>
      <x:c r="BW585" s="58"/>
      <x:c r="BX585" s="47"/>
      <x:c r="BY585" s="60"/>
      <x:c r="BZ585" s="58"/>
      <x:c r="CA585" s="47"/>
      <x:c r="CB585" s="60"/>
      <x:c r="CC585" s="58"/>
      <x:c r="CD585" s="47"/>
      <x:c r="CE585" s="60"/>
      <x:c r="CF585" s="58"/>
      <x:c r="CG585" s="47"/>
      <x:c r="CH585" s="60"/>
      <x:c r="CI585" s="58"/>
      <x:c r="CJ585" s="47"/>
      <x:c r="CK585" s="60"/>
      <x:c r="CL585" s="58"/>
      <x:c r="CM585" s="47"/>
      <x:c r="CN585" s="60"/>
      <x:c r="CO585" s="58"/>
      <x:c r="CP585" s="47"/>
      <x:c r="CQ585" s="60"/>
      <x:c r="CR585" s="58"/>
      <x:c r="CS585" s="47"/>
      <x:c r="CT585" s="60"/>
      <x:c r="CU585" s="58"/>
      <x:c r="CV585" s="47"/>
      <x:c r="CW585" s="60"/>
      <x:c r="CX585" s="58"/>
      <x:c r="CY585" s="47"/>
      <x:c r="CZ585" s="60"/>
      <x:c r="DA585" s="58"/>
      <x:c r="DB585" s="47"/>
      <x:c r="DC585" s="60"/>
      <x:c r="DD585" s="58"/>
      <x:c r="DE585" s="47"/>
      <x:c r="DF585" s="60"/>
      <x:c r="DG585" s="58"/>
      <x:c r="DH585" s="47"/>
      <x:c r="DI585" s="60"/>
      <x:c r="DJ585" s="58"/>
      <x:c r="DK585" s="47"/>
      <x:c r="DL585" s="60"/>
      <x:c r="DM585" s="58"/>
      <x:c r="DN585" s="11"/>
      <x:c r="DO585" s="61"/>
      <x:c r="DP585" s="62"/>
      <x:c r="DQ585" s="11"/>
      <x:c r="DR585" s="61"/>
      <x:c r="DS585" s="62"/>
      <x:c r="DT585" s="11"/>
      <x:c r="DU585" s="61"/>
      <x:c r="DV585" s="62"/>
    </x:row>
    <x:row r="586" spans="1:126" x14ac:dyDescent="0.3">
      <x:c r="A586" s="47"/>
      <x:c r="B586" s="70"/>
      <x:c r="C586" s="70"/>
      <x:c r="D586" s="70"/>
      <x:c r="E586" s="70"/>
      <x:c r="F586" s="70"/>
      <x:c r="G586" s="70"/>
      <x:c r="H586" s="70"/>
      <x:c r="I586" s="70"/>
      <x:c r="J586" s="70"/>
      <x:c r="K586" s="190"/>
      <x:c r="L586" s="195"/>
      <x:c r="M586" s="192"/>
      <x:c r="N586" s="192"/>
      <x:c r="O586" s="69"/>
      <x:c r="P586" s="47"/>
      <x:c r="Q586" s="60"/>
      <x:c r="R586" s="58"/>
      <x:c r="S586" s="47"/>
      <x:c r="T586" s="60"/>
      <x:c r="U586" s="58"/>
      <x:c r="V586" s="47"/>
      <x:c r="W586" s="60"/>
      <x:c r="X586" s="58"/>
      <x:c r="Y586" s="47"/>
      <x:c r="Z586" s="60"/>
      <x:c r="AA586" s="58"/>
      <x:c r="AB586" s="47"/>
      <x:c r="AC586" s="60"/>
      <x:c r="AD586" s="58"/>
      <x:c r="AE586" s="47"/>
      <x:c r="AF586" s="60"/>
      <x:c r="AG586" s="58"/>
      <x:c r="AH586" s="47"/>
      <x:c r="AI586" s="60"/>
      <x:c r="AJ586" s="58"/>
      <x:c r="AK586" s="47"/>
      <x:c r="AL586" s="60"/>
      <x:c r="AM586" s="58"/>
      <x:c r="AN586" s="47"/>
      <x:c r="AO586" s="60"/>
      <x:c r="AP586" s="58"/>
      <x:c r="AQ586" s="47"/>
      <x:c r="AR586" s="60"/>
      <x:c r="AS586" s="58"/>
      <x:c r="AT586" s="47"/>
      <x:c r="AU586" s="60"/>
      <x:c r="AV586" s="58"/>
      <x:c r="AW586" s="47"/>
      <x:c r="AX586" s="60"/>
      <x:c r="AY586" s="58"/>
      <x:c r="AZ586" s="47"/>
      <x:c r="BA586" s="60"/>
      <x:c r="BB586" s="58"/>
      <x:c r="BC586" s="47"/>
      <x:c r="BD586" s="60"/>
      <x:c r="BE586" s="58"/>
      <x:c r="BF586" s="47"/>
      <x:c r="BG586" s="60"/>
      <x:c r="BH586" s="58"/>
      <x:c r="BI586" s="47"/>
      <x:c r="BJ586" s="60"/>
      <x:c r="BK586" s="58"/>
      <x:c r="BL586" s="47"/>
      <x:c r="BM586" s="60"/>
      <x:c r="BN586" s="58"/>
      <x:c r="BO586" s="47"/>
      <x:c r="BP586" s="60"/>
      <x:c r="BQ586" s="58"/>
      <x:c r="BR586" s="47"/>
      <x:c r="BS586" s="60"/>
      <x:c r="BT586" s="58"/>
      <x:c r="BU586" s="47"/>
      <x:c r="BV586" s="60"/>
      <x:c r="BW586" s="58"/>
      <x:c r="BX586" s="47"/>
      <x:c r="BY586" s="60"/>
      <x:c r="BZ586" s="58"/>
      <x:c r="CA586" s="47"/>
      <x:c r="CB586" s="60"/>
      <x:c r="CC586" s="58"/>
      <x:c r="CD586" s="47"/>
      <x:c r="CE586" s="60"/>
      <x:c r="CF586" s="58"/>
      <x:c r="CG586" s="47"/>
      <x:c r="CH586" s="60"/>
      <x:c r="CI586" s="58"/>
      <x:c r="CJ586" s="47"/>
      <x:c r="CK586" s="60"/>
      <x:c r="CL586" s="58"/>
      <x:c r="CM586" s="47"/>
      <x:c r="CN586" s="60"/>
      <x:c r="CO586" s="58"/>
      <x:c r="CP586" s="47"/>
      <x:c r="CQ586" s="60"/>
      <x:c r="CR586" s="58"/>
      <x:c r="CS586" s="47"/>
      <x:c r="CT586" s="60"/>
      <x:c r="CU586" s="58"/>
      <x:c r="CV586" s="47"/>
      <x:c r="CW586" s="60"/>
      <x:c r="CX586" s="58"/>
      <x:c r="CY586" s="47"/>
      <x:c r="CZ586" s="60"/>
      <x:c r="DA586" s="58"/>
      <x:c r="DB586" s="47"/>
      <x:c r="DC586" s="60"/>
      <x:c r="DD586" s="58"/>
      <x:c r="DE586" s="47"/>
      <x:c r="DF586" s="60"/>
      <x:c r="DG586" s="58"/>
      <x:c r="DH586" s="47"/>
      <x:c r="DI586" s="60"/>
      <x:c r="DJ586" s="58"/>
      <x:c r="DK586" s="47"/>
      <x:c r="DL586" s="60"/>
      <x:c r="DM586" s="58"/>
      <x:c r="DN586" s="11"/>
      <x:c r="DO586" s="61"/>
      <x:c r="DP586" s="62"/>
      <x:c r="DQ586" s="11"/>
      <x:c r="DR586" s="61"/>
      <x:c r="DS586" s="62"/>
      <x:c r="DT586" s="11"/>
      <x:c r="DU586" s="61"/>
      <x:c r="DV586" s="62"/>
    </x:row>
    <x:row r="587" spans="1:126" x14ac:dyDescent="0.3">
      <x:c r="A587" s="47"/>
      <x:c r="B587" s="70"/>
      <x:c r="C587" s="70"/>
      <x:c r="D587" s="70"/>
      <x:c r="E587" s="70"/>
      <x:c r="F587" s="70"/>
      <x:c r="G587" s="70"/>
      <x:c r="H587" s="70"/>
      <x:c r="I587" s="70"/>
      <x:c r="J587" s="70"/>
      <x:c r="K587" s="190"/>
      <x:c r="L587" s="195"/>
      <x:c r="M587" s="192"/>
      <x:c r="N587" s="192"/>
      <x:c r="O587" s="69"/>
      <x:c r="P587" s="47"/>
      <x:c r="Q587" s="60"/>
      <x:c r="R587" s="58"/>
      <x:c r="S587" s="47"/>
      <x:c r="T587" s="60"/>
      <x:c r="U587" s="58"/>
      <x:c r="V587" s="47"/>
      <x:c r="W587" s="60"/>
      <x:c r="X587" s="58"/>
      <x:c r="Y587" s="47"/>
      <x:c r="Z587" s="60"/>
      <x:c r="AA587" s="58"/>
      <x:c r="AB587" s="47"/>
      <x:c r="AC587" s="60"/>
      <x:c r="AD587" s="58"/>
      <x:c r="AE587" s="47"/>
      <x:c r="AF587" s="60"/>
      <x:c r="AG587" s="58"/>
      <x:c r="AH587" s="47"/>
      <x:c r="AI587" s="60"/>
      <x:c r="AJ587" s="58"/>
      <x:c r="AK587" s="47"/>
      <x:c r="AL587" s="60"/>
      <x:c r="AM587" s="58"/>
      <x:c r="AN587" s="47"/>
      <x:c r="AO587" s="60"/>
      <x:c r="AP587" s="58"/>
      <x:c r="AQ587" s="47"/>
      <x:c r="AR587" s="60"/>
      <x:c r="AS587" s="58"/>
      <x:c r="AT587" s="47"/>
      <x:c r="AU587" s="60"/>
      <x:c r="AV587" s="58"/>
      <x:c r="AW587" s="47"/>
      <x:c r="AX587" s="60"/>
      <x:c r="AY587" s="58"/>
      <x:c r="AZ587" s="47"/>
      <x:c r="BA587" s="60"/>
      <x:c r="BB587" s="58"/>
      <x:c r="BC587" s="47"/>
      <x:c r="BD587" s="60"/>
      <x:c r="BE587" s="58"/>
      <x:c r="BF587" s="47"/>
      <x:c r="BG587" s="60"/>
      <x:c r="BH587" s="58"/>
      <x:c r="BI587" s="47"/>
      <x:c r="BJ587" s="60"/>
      <x:c r="BK587" s="58"/>
      <x:c r="BL587" s="47"/>
      <x:c r="BM587" s="60"/>
      <x:c r="BN587" s="58"/>
      <x:c r="BO587" s="47"/>
      <x:c r="BP587" s="60"/>
      <x:c r="BQ587" s="58"/>
      <x:c r="BR587" s="47"/>
      <x:c r="BS587" s="60"/>
      <x:c r="BT587" s="58"/>
      <x:c r="BU587" s="47"/>
      <x:c r="BV587" s="60"/>
      <x:c r="BW587" s="58"/>
      <x:c r="BX587" s="47"/>
      <x:c r="BY587" s="60"/>
      <x:c r="BZ587" s="58"/>
      <x:c r="CA587" s="47"/>
      <x:c r="CB587" s="60"/>
      <x:c r="CC587" s="58"/>
      <x:c r="CD587" s="47"/>
      <x:c r="CE587" s="60"/>
      <x:c r="CF587" s="58"/>
      <x:c r="CG587" s="47"/>
      <x:c r="CH587" s="60"/>
      <x:c r="CI587" s="58"/>
      <x:c r="CJ587" s="47"/>
      <x:c r="CK587" s="60"/>
      <x:c r="CL587" s="58"/>
      <x:c r="CM587" s="47"/>
      <x:c r="CN587" s="60"/>
      <x:c r="CO587" s="58"/>
      <x:c r="CP587" s="47"/>
      <x:c r="CQ587" s="60"/>
      <x:c r="CR587" s="58"/>
      <x:c r="CS587" s="47"/>
      <x:c r="CT587" s="60"/>
      <x:c r="CU587" s="58"/>
      <x:c r="CV587" s="47"/>
      <x:c r="CW587" s="60"/>
      <x:c r="CX587" s="58"/>
      <x:c r="CY587" s="47"/>
      <x:c r="CZ587" s="60"/>
      <x:c r="DA587" s="58"/>
      <x:c r="DB587" s="47"/>
      <x:c r="DC587" s="60"/>
      <x:c r="DD587" s="58"/>
      <x:c r="DE587" s="47"/>
      <x:c r="DF587" s="60"/>
      <x:c r="DG587" s="58"/>
      <x:c r="DH587" s="47"/>
      <x:c r="DI587" s="60"/>
      <x:c r="DJ587" s="58"/>
      <x:c r="DK587" s="47"/>
      <x:c r="DL587" s="60"/>
      <x:c r="DM587" s="58"/>
      <x:c r="DN587" s="11"/>
      <x:c r="DO587" s="61"/>
      <x:c r="DP587" s="62"/>
      <x:c r="DQ587" s="11"/>
      <x:c r="DR587" s="61"/>
      <x:c r="DS587" s="62"/>
      <x:c r="DT587" s="11"/>
      <x:c r="DU587" s="61"/>
      <x:c r="DV587" s="62"/>
    </x:row>
    <x:row r="588" spans="1:126" x14ac:dyDescent="0.3">
      <x:c r="A588" s="47"/>
      <x:c r="B588" s="70"/>
      <x:c r="C588" s="70"/>
      <x:c r="D588" s="70"/>
      <x:c r="E588" s="70"/>
      <x:c r="F588" s="70"/>
      <x:c r="G588" s="70"/>
      <x:c r="H588" s="70"/>
      <x:c r="I588" s="70"/>
      <x:c r="J588" s="70"/>
      <x:c r="K588" s="190"/>
      <x:c r="L588" s="195"/>
      <x:c r="M588" s="192"/>
      <x:c r="N588" s="192"/>
      <x:c r="O588" s="69"/>
      <x:c r="P588" s="47"/>
      <x:c r="Q588" s="60"/>
      <x:c r="R588" s="58"/>
      <x:c r="S588" s="47"/>
      <x:c r="T588" s="60"/>
      <x:c r="U588" s="58"/>
      <x:c r="V588" s="47"/>
      <x:c r="W588" s="60"/>
      <x:c r="X588" s="58"/>
      <x:c r="Y588" s="47"/>
      <x:c r="Z588" s="60"/>
      <x:c r="AA588" s="58"/>
      <x:c r="AB588" s="47"/>
      <x:c r="AC588" s="60"/>
      <x:c r="AD588" s="58"/>
      <x:c r="AE588" s="47"/>
      <x:c r="AF588" s="60"/>
      <x:c r="AG588" s="58"/>
      <x:c r="AH588" s="47"/>
      <x:c r="AI588" s="60"/>
      <x:c r="AJ588" s="58"/>
      <x:c r="AK588" s="47"/>
      <x:c r="AL588" s="60"/>
      <x:c r="AM588" s="58"/>
      <x:c r="AN588" s="47"/>
      <x:c r="AO588" s="60"/>
      <x:c r="AP588" s="58"/>
      <x:c r="AQ588" s="47"/>
      <x:c r="AR588" s="60"/>
      <x:c r="AS588" s="58"/>
      <x:c r="AT588" s="47"/>
      <x:c r="AU588" s="60"/>
      <x:c r="AV588" s="58"/>
      <x:c r="AW588" s="47"/>
      <x:c r="AX588" s="60"/>
      <x:c r="AY588" s="58"/>
      <x:c r="AZ588" s="47"/>
      <x:c r="BA588" s="60"/>
      <x:c r="BB588" s="58"/>
      <x:c r="BC588" s="47"/>
      <x:c r="BD588" s="60"/>
      <x:c r="BE588" s="58"/>
      <x:c r="BF588" s="47"/>
      <x:c r="BG588" s="60"/>
      <x:c r="BH588" s="58"/>
      <x:c r="BI588" s="47"/>
      <x:c r="BJ588" s="60"/>
      <x:c r="BK588" s="58"/>
      <x:c r="BL588" s="47"/>
      <x:c r="BM588" s="60"/>
      <x:c r="BN588" s="58"/>
      <x:c r="BO588" s="47"/>
      <x:c r="BP588" s="60"/>
      <x:c r="BQ588" s="58"/>
      <x:c r="BR588" s="47"/>
      <x:c r="BS588" s="60"/>
      <x:c r="BT588" s="58"/>
      <x:c r="BU588" s="47"/>
      <x:c r="BV588" s="60"/>
      <x:c r="BW588" s="58"/>
      <x:c r="BX588" s="47"/>
      <x:c r="BY588" s="60"/>
      <x:c r="BZ588" s="58"/>
      <x:c r="CA588" s="47"/>
      <x:c r="CB588" s="60"/>
      <x:c r="CC588" s="58"/>
      <x:c r="CD588" s="47"/>
      <x:c r="CE588" s="60"/>
      <x:c r="CF588" s="58"/>
      <x:c r="CG588" s="47"/>
      <x:c r="CH588" s="60"/>
      <x:c r="CI588" s="58"/>
      <x:c r="CJ588" s="47"/>
      <x:c r="CK588" s="60"/>
      <x:c r="CL588" s="58"/>
      <x:c r="CM588" s="47"/>
      <x:c r="CN588" s="60"/>
      <x:c r="CO588" s="58"/>
      <x:c r="CP588" s="47"/>
      <x:c r="CQ588" s="60"/>
      <x:c r="CR588" s="58"/>
      <x:c r="CS588" s="47"/>
      <x:c r="CT588" s="60"/>
      <x:c r="CU588" s="58"/>
      <x:c r="CV588" s="47"/>
      <x:c r="CW588" s="60"/>
      <x:c r="CX588" s="58"/>
      <x:c r="CY588" s="47"/>
      <x:c r="CZ588" s="60"/>
      <x:c r="DA588" s="58"/>
      <x:c r="DB588" s="47"/>
      <x:c r="DC588" s="60"/>
      <x:c r="DD588" s="58"/>
      <x:c r="DE588" s="47"/>
      <x:c r="DF588" s="60"/>
      <x:c r="DG588" s="58"/>
      <x:c r="DH588" s="47"/>
      <x:c r="DI588" s="60"/>
      <x:c r="DJ588" s="58"/>
      <x:c r="DK588" s="47"/>
      <x:c r="DL588" s="60"/>
      <x:c r="DM588" s="58"/>
      <x:c r="DN588" s="11"/>
      <x:c r="DO588" s="61"/>
      <x:c r="DP588" s="62"/>
      <x:c r="DQ588" s="11"/>
      <x:c r="DR588" s="61"/>
      <x:c r="DS588" s="62"/>
      <x:c r="DT588" s="11"/>
      <x:c r="DU588" s="61"/>
      <x:c r="DV588" s="62"/>
    </x:row>
    <x:row r="589" spans="1:126" x14ac:dyDescent="0.3">
      <x:c r="A589" s="47"/>
      <x:c r="B589" s="70"/>
      <x:c r="C589" s="70"/>
      <x:c r="D589" s="70"/>
      <x:c r="E589" s="70"/>
      <x:c r="F589" s="70"/>
      <x:c r="G589" s="70"/>
      <x:c r="H589" s="70"/>
      <x:c r="I589" s="70"/>
      <x:c r="J589" s="70"/>
      <x:c r="K589" s="190"/>
      <x:c r="L589" s="195"/>
      <x:c r="M589" s="192"/>
      <x:c r="N589" s="192"/>
      <x:c r="O589" s="69"/>
      <x:c r="P589" s="47"/>
      <x:c r="Q589" s="60"/>
      <x:c r="R589" s="58"/>
      <x:c r="S589" s="47"/>
      <x:c r="T589" s="60"/>
      <x:c r="U589" s="58"/>
      <x:c r="V589" s="47"/>
      <x:c r="W589" s="60"/>
      <x:c r="X589" s="58"/>
      <x:c r="Y589" s="47"/>
      <x:c r="Z589" s="60"/>
      <x:c r="AA589" s="58"/>
      <x:c r="AB589" s="47"/>
      <x:c r="AC589" s="60"/>
      <x:c r="AD589" s="58"/>
      <x:c r="AE589" s="47"/>
      <x:c r="AF589" s="60"/>
      <x:c r="AG589" s="58"/>
      <x:c r="AH589" s="47"/>
      <x:c r="AI589" s="60"/>
      <x:c r="AJ589" s="58"/>
      <x:c r="AK589" s="47"/>
      <x:c r="AL589" s="60"/>
      <x:c r="AM589" s="58"/>
      <x:c r="AN589" s="47"/>
      <x:c r="AO589" s="60"/>
      <x:c r="AP589" s="58"/>
      <x:c r="AQ589" s="47"/>
      <x:c r="AR589" s="60"/>
      <x:c r="AS589" s="58"/>
      <x:c r="AT589" s="47"/>
      <x:c r="AU589" s="60"/>
      <x:c r="AV589" s="58"/>
      <x:c r="AW589" s="47"/>
      <x:c r="AX589" s="60"/>
      <x:c r="AY589" s="58"/>
      <x:c r="AZ589" s="47"/>
      <x:c r="BA589" s="60"/>
      <x:c r="BB589" s="58"/>
      <x:c r="BC589" s="47"/>
      <x:c r="BD589" s="60"/>
      <x:c r="BE589" s="58"/>
      <x:c r="BF589" s="47"/>
      <x:c r="BG589" s="60"/>
      <x:c r="BH589" s="58"/>
      <x:c r="BI589" s="47"/>
      <x:c r="BJ589" s="60"/>
      <x:c r="BK589" s="58"/>
      <x:c r="BL589" s="47"/>
      <x:c r="BM589" s="60"/>
      <x:c r="BN589" s="58"/>
      <x:c r="BO589" s="47"/>
      <x:c r="BP589" s="60"/>
      <x:c r="BQ589" s="58"/>
      <x:c r="BR589" s="47"/>
      <x:c r="BS589" s="60"/>
      <x:c r="BT589" s="58"/>
      <x:c r="BU589" s="47"/>
      <x:c r="BV589" s="60"/>
      <x:c r="BW589" s="58"/>
      <x:c r="BX589" s="47"/>
      <x:c r="BY589" s="60"/>
      <x:c r="BZ589" s="58"/>
      <x:c r="CA589" s="47"/>
      <x:c r="CB589" s="60"/>
      <x:c r="CC589" s="58"/>
      <x:c r="CD589" s="47"/>
      <x:c r="CE589" s="60"/>
      <x:c r="CF589" s="58"/>
      <x:c r="CG589" s="47"/>
      <x:c r="CH589" s="60"/>
      <x:c r="CI589" s="58"/>
      <x:c r="CJ589" s="47"/>
      <x:c r="CK589" s="60"/>
      <x:c r="CL589" s="58"/>
      <x:c r="CM589" s="47"/>
      <x:c r="CN589" s="60"/>
      <x:c r="CO589" s="58"/>
      <x:c r="CP589" s="47"/>
      <x:c r="CQ589" s="60"/>
      <x:c r="CR589" s="58"/>
      <x:c r="CS589" s="47"/>
      <x:c r="CT589" s="60"/>
      <x:c r="CU589" s="58"/>
      <x:c r="CV589" s="47"/>
      <x:c r="CW589" s="60"/>
      <x:c r="CX589" s="58"/>
      <x:c r="CY589" s="47"/>
      <x:c r="CZ589" s="60"/>
      <x:c r="DA589" s="58"/>
      <x:c r="DB589" s="47"/>
      <x:c r="DC589" s="60"/>
      <x:c r="DD589" s="58"/>
      <x:c r="DE589" s="47"/>
      <x:c r="DF589" s="60"/>
      <x:c r="DG589" s="58"/>
      <x:c r="DH589" s="47"/>
      <x:c r="DI589" s="60"/>
      <x:c r="DJ589" s="58"/>
      <x:c r="DK589" s="47"/>
      <x:c r="DL589" s="60"/>
      <x:c r="DM589" s="58"/>
      <x:c r="DN589" s="11"/>
      <x:c r="DO589" s="61"/>
      <x:c r="DP589" s="62"/>
      <x:c r="DQ589" s="11"/>
      <x:c r="DR589" s="61"/>
      <x:c r="DS589" s="62"/>
      <x:c r="DT589" s="11"/>
      <x:c r="DU589" s="61"/>
      <x:c r="DV589" s="62"/>
    </x:row>
    <x:row r="590" spans="1:126" x14ac:dyDescent="0.3">
      <x:c r="A590" s="47"/>
      <x:c r="B590" s="70"/>
      <x:c r="C590" s="70"/>
      <x:c r="D590" s="70"/>
      <x:c r="E590" s="70"/>
      <x:c r="F590" s="70"/>
      <x:c r="G590" s="70"/>
      <x:c r="H590" s="70"/>
      <x:c r="I590" s="70"/>
      <x:c r="J590" s="70"/>
      <x:c r="K590" s="190"/>
      <x:c r="L590" s="195"/>
      <x:c r="M590" s="192"/>
      <x:c r="N590" s="192"/>
      <x:c r="O590" s="69"/>
      <x:c r="P590" s="47"/>
      <x:c r="Q590" s="60"/>
      <x:c r="R590" s="58"/>
      <x:c r="S590" s="47"/>
      <x:c r="T590" s="60"/>
      <x:c r="U590" s="58"/>
      <x:c r="V590" s="47"/>
      <x:c r="W590" s="60"/>
      <x:c r="X590" s="58"/>
      <x:c r="Y590" s="47"/>
      <x:c r="Z590" s="60"/>
      <x:c r="AA590" s="58"/>
      <x:c r="AB590" s="47"/>
      <x:c r="AC590" s="60"/>
      <x:c r="AD590" s="58"/>
      <x:c r="AE590" s="47"/>
      <x:c r="AF590" s="60"/>
      <x:c r="AG590" s="58"/>
      <x:c r="AH590" s="47"/>
      <x:c r="AI590" s="60"/>
      <x:c r="AJ590" s="58"/>
      <x:c r="AK590" s="47"/>
      <x:c r="AL590" s="60"/>
      <x:c r="AM590" s="58"/>
      <x:c r="AN590" s="47"/>
      <x:c r="AO590" s="60"/>
      <x:c r="AP590" s="58"/>
      <x:c r="AQ590" s="47"/>
      <x:c r="AR590" s="60"/>
      <x:c r="AS590" s="58"/>
      <x:c r="AT590" s="47"/>
      <x:c r="AU590" s="60"/>
      <x:c r="AV590" s="58"/>
      <x:c r="AW590" s="47"/>
      <x:c r="AX590" s="60"/>
      <x:c r="AY590" s="58"/>
      <x:c r="AZ590" s="47"/>
      <x:c r="BA590" s="60"/>
      <x:c r="BB590" s="58"/>
      <x:c r="BC590" s="47"/>
      <x:c r="BD590" s="60"/>
      <x:c r="BE590" s="58"/>
      <x:c r="BF590" s="47"/>
      <x:c r="BG590" s="60"/>
      <x:c r="BH590" s="58"/>
      <x:c r="BI590" s="47"/>
      <x:c r="BJ590" s="60"/>
      <x:c r="BK590" s="58"/>
      <x:c r="BL590" s="47"/>
      <x:c r="BM590" s="60"/>
      <x:c r="BN590" s="58"/>
      <x:c r="BO590" s="47"/>
      <x:c r="BP590" s="60"/>
      <x:c r="BQ590" s="58"/>
      <x:c r="BR590" s="47"/>
      <x:c r="BS590" s="60"/>
      <x:c r="BT590" s="58"/>
      <x:c r="BU590" s="47"/>
      <x:c r="BV590" s="60"/>
      <x:c r="BW590" s="58"/>
      <x:c r="BX590" s="47"/>
      <x:c r="BY590" s="60"/>
      <x:c r="BZ590" s="58"/>
      <x:c r="CA590" s="47"/>
      <x:c r="CB590" s="60"/>
      <x:c r="CC590" s="58"/>
      <x:c r="CD590" s="47"/>
      <x:c r="CE590" s="60"/>
      <x:c r="CF590" s="58"/>
      <x:c r="CG590" s="47"/>
      <x:c r="CH590" s="60"/>
      <x:c r="CI590" s="58"/>
      <x:c r="CJ590" s="47"/>
      <x:c r="CK590" s="60"/>
      <x:c r="CL590" s="58"/>
      <x:c r="CM590" s="47"/>
      <x:c r="CN590" s="60"/>
      <x:c r="CO590" s="58"/>
      <x:c r="CP590" s="47"/>
      <x:c r="CQ590" s="60"/>
      <x:c r="CR590" s="58"/>
      <x:c r="CS590" s="47"/>
      <x:c r="CT590" s="60"/>
      <x:c r="CU590" s="58"/>
      <x:c r="CV590" s="47"/>
      <x:c r="CW590" s="60"/>
      <x:c r="CX590" s="58"/>
      <x:c r="CY590" s="47"/>
      <x:c r="CZ590" s="60"/>
      <x:c r="DA590" s="58"/>
      <x:c r="DB590" s="47"/>
      <x:c r="DC590" s="60"/>
      <x:c r="DD590" s="58"/>
      <x:c r="DE590" s="47"/>
      <x:c r="DF590" s="60"/>
      <x:c r="DG590" s="58"/>
      <x:c r="DH590" s="47"/>
      <x:c r="DI590" s="60"/>
      <x:c r="DJ590" s="58"/>
      <x:c r="DK590" s="47"/>
      <x:c r="DL590" s="60"/>
      <x:c r="DM590" s="58"/>
      <x:c r="DN590" s="11"/>
      <x:c r="DO590" s="61"/>
      <x:c r="DP590" s="62"/>
      <x:c r="DQ590" s="11"/>
      <x:c r="DR590" s="61"/>
      <x:c r="DS590" s="62"/>
      <x:c r="DT590" s="11"/>
      <x:c r="DU590" s="61"/>
      <x:c r="DV590" s="62"/>
    </x:row>
    <x:row r="591" spans="1:126" x14ac:dyDescent="0.3">
      <x:c r="A591" s="47"/>
      <x:c r="B591" s="70"/>
      <x:c r="C591" s="70"/>
      <x:c r="D591" s="70"/>
      <x:c r="E591" s="70"/>
      <x:c r="F591" s="70"/>
      <x:c r="G591" s="70"/>
      <x:c r="H591" s="70"/>
      <x:c r="I591" s="70"/>
      <x:c r="J591" s="70"/>
      <x:c r="K591" s="190"/>
      <x:c r="L591" s="195"/>
      <x:c r="M591" s="192"/>
      <x:c r="N591" s="192"/>
      <x:c r="O591" s="69"/>
      <x:c r="P591" s="47"/>
      <x:c r="Q591" s="60"/>
      <x:c r="R591" s="58"/>
      <x:c r="S591" s="47"/>
      <x:c r="T591" s="60"/>
      <x:c r="U591" s="58"/>
      <x:c r="V591" s="47"/>
      <x:c r="W591" s="60"/>
      <x:c r="X591" s="58"/>
      <x:c r="Y591" s="47"/>
      <x:c r="Z591" s="60"/>
      <x:c r="AA591" s="58"/>
      <x:c r="AB591" s="47"/>
      <x:c r="AC591" s="60"/>
      <x:c r="AD591" s="58"/>
      <x:c r="AE591" s="47"/>
      <x:c r="AF591" s="60"/>
      <x:c r="AG591" s="58"/>
      <x:c r="AH591" s="47"/>
      <x:c r="AI591" s="60"/>
      <x:c r="AJ591" s="58"/>
      <x:c r="AK591" s="47"/>
      <x:c r="AL591" s="60"/>
      <x:c r="AM591" s="58"/>
      <x:c r="AN591" s="47"/>
      <x:c r="AO591" s="60"/>
      <x:c r="AP591" s="58"/>
      <x:c r="AQ591" s="47"/>
      <x:c r="AR591" s="60"/>
      <x:c r="AS591" s="58"/>
      <x:c r="AT591" s="47"/>
      <x:c r="AU591" s="60"/>
      <x:c r="AV591" s="58"/>
      <x:c r="AW591" s="47"/>
      <x:c r="AX591" s="60"/>
      <x:c r="AY591" s="58"/>
      <x:c r="AZ591" s="47"/>
      <x:c r="BA591" s="60"/>
      <x:c r="BB591" s="58"/>
      <x:c r="BC591" s="47"/>
      <x:c r="BD591" s="60"/>
      <x:c r="BE591" s="58"/>
      <x:c r="BF591" s="47"/>
      <x:c r="BG591" s="60"/>
      <x:c r="BH591" s="58"/>
      <x:c r="BI591" s="47"/>
      <x:c r="BJ591" s="60"/>
      <x:c r="BK591" s="58"/>
      <x:c r="BL591" s="47"/>
      <x:c r="BM591" s="60"/>
      <x:c r="BN591" s="58"/>
      <x:c r="BO591" s="47"/>
      <x:c r="BP591" s="60"/>
      <x:c r="BQ591" s="58"/>
      <x:c r="BR591" s="47"/>
      <x:c r="BS591" s="60"/>
      <x:c r="BT591" s="58"/>
      <x:c r="BU591" s="47"/>
      <x:c r="BV591" s="60"/>
      <x:c r="BW591" s="58"/>
      <x:c r="BX591" s="47"/>
      <x:c r="BY591" s="60"/>
      <x:c r="BZ591" s="58"/>
      <x:c r="CA591" s="47"/>
      <x:c r="CB591" s="60"/>
      <x:c r="CC591" s="58"/>
      <x:c r="CD591" s="47"/>
      <x:c r="CE591" s="60"/>
      <x:c r="CF591" s="58"/>
      <x:c r="CG591" s="47"/>
      <x:c r="CH591" s="60"/>
      <x:c r="CI591" s="58"/>
      <x:c r="CJ591" s="47"/>
      <x:c r="CK591" s="60"/>
      <x:c r="CL591" s="58"/>
      <x:c r="CM591" s="47"/>
      <x:c r="CN591" s="60"/>
      <x:c r="CO591" s="58"/>
      <x:c r="CP591" s="47"/>
      <x:c r="CQ591" s="60"/>
      <x:c r="CR591" s="58"/>
      <x:c r="CS591" s="47"/>
      <x:c r="CT591" s="60"/>
      <x:c r="CU591" s="58"/>
      <x:c r="CV591" s="47"/>
      <x:c r="CW591" s="60"/>
      <x:c r="CX591" s="58"/>
      <x:c r="CY591" s="47"/>
      <x:c r="CZ591" s="60"/>
      <x:c r="DA591" s="58"/>
      <x:c r="DB591" s="47"/>
      <x:c r="DC591" s="60"/>
      <x:c r="DD591" s="58"/>
      <x:c r="DE591" s="47"/>
      <x:c r="DF591" s="60"/>
      <x:c r="DG591" s="58"/>
      <x:c r="DH591" s="47"/>
      <x:c r="DI591" s="60"/>
      <x:c r="DJ591" s="58"/>
      <x:c r="DK591" s="47"/>
      <x:c r="DL591" s="60"/>
      <x:c r="DM591" s="58"/>
      <x:c r="DN591" s="11"/>
      <x:c r="DO591" s="61"/>
      <x:c r="DP591" s="62"/>
      <x:c r="DQ591" s="11"/>
      <x:c r="DR591" s="61"/>
      <x:c r="DS591" s="62"/>
      <x:c r="DT591" s="11"/>
      <x:c r="DU591" s="61"/>
      <x:c r="DV591" s="62"/>
    </x:row>
    <x:row r="592" spans="1:126" x14ac:dyDescent="0.3">
      <x:c r="A592" s="47"/>
      <x:c r="B592" s="70"/>
      <x:c r="C592" s="70"/>
      <x:c r="D592" s="70"/>
      <x:c r="E592" s="70"/>
      <x:c r="F592" s="70"/>
      <x:c r="G592" s="70"/>
      <x:c r="H592" s="70"/>
      <x:c r="I592" s="70"/>
      <x:c r="J592" s="70"/>
      <x:c r="K592" s="190"/>
      <x:c r="L592" s="195"/>
      <x:c r="M592" s="192"/>
      <x:c r="N592" s="192"/>
      <x:c r="O592" s="69"/>
      <x:c r="P592" s="47"/>
      <x:c r="Q592" s="60"/>
      <x:c r="R592" s="58"/>
      <x:c r="S592" s="47"/>
      <x:c r="T592" s="60"/>
      <x:c r="U592" s="58"/>
      <x:c r="V592" s="47"/>
      <x:c r="W592" s="60"/>
      <x:c r="X592" s="58"/>
      <x:c r="Y592" s="47"/>
      <x:c r="Z592" s="60"/>
      <x:c r="AA592" s="58"/>
      <x:c r="AB592" s="47"/>
      <x:c r="AC592" s="60"/>
      <x:c r="AD592" s="58"/>
      <x:c r="AE592" s="47"/>
      <x:c r="AF592" s="60"/>
      <x:c r="AG592" s="58"/>
      <x:c r="AH592" s="47"/>
      <x:c r="AI592" s="60"/>
      <x:c r="AJ592" s="58"/>
      <x:c r="AK592" s="47"/>
      <x:c r="AL592" s="60"/>
      <x:c r="AM592" s="58"/>
      <x:c r="AN592" s="47"/>
      <x:c r="AO592" s="60"/>
      <x:c r="AP592" s="58"/>
      <x:c r="AQ592" s="47"/>
      <x:c r="AR592" s="60"/>
      <x:c r="AS592" s="58"/>
      <x:c r="AT592" s="47"/>
      <x:c r="AU592" s="60"/>
      <x:c r="AV592" s="58"/>
      <x:c r="AW592" s="47"/>
      <x:c r="AX592" s="60"/>
      <x:c r="AY592" s="58"/>
      <x:c r="AZ592" s="47"/>
      <x:c r="BA592" s="60"/>
      <x:c r="BB592" s="58"/>
      <x:c r="BC592" s="47"/>
      <x:c r="BD592" s="60"/>
      <x:c r="BE592" s="58"/>
      <x:c r="BF592" s="47"/>
      <x:c r="BG592" s="60"/>
      <x:c r="BH592" s="58"/>
      <x:c r="BI592" s="47"/>
      <x:c r="BJ592" s="60"/>
      <x:c r="BK592" s="58"/>
      <x:c r="BL592" s="47"/>
      <x:c r="BM592" s="60"/>
      <x:c r="BN592" s="58"/>
      <x:c r="BO592" s="47"/>
      <x:c r="BP592" s="60"/>
      <x:c r="BQ592" s="58"/>
      <x:c r="BR592" s="47"/>
      <x:c r="BS592" s="60"/>
      <x:c r="BT592" s="58"/>
      <x:c r="BU592" s="47"/>
      <x:c r="BV592" s="60"/>
      <x:c r="BW592" s="58"/>
      <x:c r="BX592" s="47"/>
      <x:c r="BY592" s="60"/>
      <x:c r="BZ592" s="58"/>
      <x:c r="CA592" s="47"/>
      <x:c r="CB592" s="60"/>
      <x:c r="CC592" s="58"/>
      <x:c r="CD592" s="47"/>
      <x:c r="CE592" s="60"/>
      <x:c r="CF592" s="58"/>
      <x:c r="CG592" s="47"/>
      <x:c r="CH592" s="60"/>
      <x:c r="CI592" s="58"/>
      <x:c r="CJ592" s="47"/>
      <x:c r="CK592" s="60"/>
      <x:c r="CL592" s="58"/>
      <x:c r="CM592" s="47"/>
      <x:c r="CN592" s="60"/>
      <x:c r="CO592" s="58"/>
      <x:c r="CP592" s="47"/>
      <x:c r="CQ592" s="60"/>
      <x:c r="CR592" s="58"/>
      <x:c r="CS592" s="47"/>
      <x:c r="CT592" s="60"/>
      <x:c r="CU592" s="58"/>
      <x:c r="CV592" s="47"/>
      <x:c r="CW592" s="60"/>
      <x:c r="CX592" s="58"/>
      <x:c r="CY592" s="47"/>
      <x:c r="CZ592" s="60"/>
      <x:c r="DA592" s="58"/>
      <x:c r="DB592" s="47"/>
      <x:c r="DC592" s="60"/>
      <x:c r="DD592" s="58"/>
      <x:c r="DE592" s="47"/>
      <x:c r="DF592" s="60"/>
      <x:c r="DG592" s="58"/>
      <x:c r="DH592" s="47"/>
      <x:c r="DI592" s="60"/>
      <x:c r="DJ592" s="58"/>
      <x:c r="DK592" s="47"/>
      <x:c r="DL592" s="60"/>
      <x:c r="DM592" s="58"/>
      <x:c r="DN592" s="11"/>
      <x:c r="DO592" s="61"/>
      <x:c r="DP592" s="62"/>
      <x:c r="DQ592" s="11"/>
      <x:c r="DR592" s="61"/>
      <x:c r="DS592" s="62"/>
      <x:c r="DT592" s="11"/>
      <x:c r="DU592" s="61"/>
      <x:c r="DV592" s="62"/>
    </x:row>
    <x:row r="593" spans="1:126" x14ac:dyDescent="0.3">
      <x:c r="A593" s="47"/>
      <x:c r="B593" s="70"/>
      <x:c r="C593" s="70"/>
      <x:c r="D593" s="70"/>
      <x:c r="E593" s="70"/>
      <x:c r="F593" s="70"/>
      <x:c r="G593" s="70"/>
      <x:c r="H593" s="70"/>
      <x:c r="I593" s="70"/>
      <x:c r="J593" s="70"/>
      <x:c r="K593" s="190"/>
      <x:c r="L593" s="195"/>
      <x:c r="M593" s="192"/>
      <x:c r="N593" s="192"/>
      <x:c r="O593" s="69"/>
      <x:c r="P593" s="47"/>
      <x:c r="Q593" s="60"/>
      <x:c r="R593" s="58"/>
      <x:c r="S593" s="47"/>
      <x:c r="T593" s="60"/>
      <x:c r="U593" s="58"/>
      <x:c r="V593" s="47"/>
      <x:c r="W593" s="60"/>
      <x:c r="X593" s="58"/>
      <x:c r="Y593" s="47"/>
      <x:c r="Z593" s="60"/>
      <x:c r="AA593" s="58"/>
      <x:c r="AB593" s="47"/>
      <x:c r="AC593" s="60"/>
      <x:c r="AD593" s="58"/>
      <x:c r="AE593" s="47"/>
      <x:c r="AF593" s="60"/>
      <x:c r="AG593" s="58"/>
      <x:c r="AH593" s="47"/>
      <x:c r="AI593" s="60"/>
      <x:c r="AJ593" s="58"/>
      <x:c r="AK593" s="47"/>
      <x:c r="AL593" s="60"/>
      <x:c r="AM593" s="58"/>
      <x:c r="AN593" s="47"/>
      <x:c r="AO593" s="60"/>
      <x:c r="AP593" s="58"/>
      <x:c r="AQ593" s="47"/>
      <x:c r="AR593" s="60"/>
      <x:c r="AS593" s="58"/>
      <x:c r="AT593" s="47"/>
      <x:c r="AU593" s="60"/>
      <x:c r="AV593" s="58"/>
      <x:c r="AW593" s="47"/>
      <x:c r="AX593" s="60"/>
      <x:c r="AY593" s="58"/>
      <x:c r="AZ593" s="47"/>
      <x:c r="BA593" s="60"/>
      <x:c r="BB593" s="58"/>
      <x:c r="BC593" s="47"/>
      <x:c r="BD593" s="60"/>
      <x:c r="BE593" s="58"/>
      <x:c r="BF593" s="47"/>
      <x:c r="BG593" s="60"/>
      <x:c r="BH593" s="58"/>
      <x:c r="BI593" s="47"/>
      <x:c r="BJ593" s="60"/>
      <x:c r="BK593" s="58"/>
      <x:c r="BL593" s="47"/>
      <x:c r="BM593" s="60"/>
      <x:c r="BN593" s="58"/>
      <x:c r="BO593" s="47"/>
      <x:c r="BP593" s="60"/>
      <x:c r="BQ593" s="58"/>
      <x:c r="BR593" s="47"/>
      <x:c r="BS593" s="60"/>
      <x:c r="BT593" s="58"/>
      <x:c r="BU593" s="47"/>
      <x:c r="BV593" s="60"/>
      <x:c r="BW593" s="58"/>
      <x:c r="BX593" s="47"/>
      <x:c r="BY593" s="60"/>
      <x:c r="BZ593" s="58"/>
      <x:c r="CA593" s="47"/>
      <x:c r="CB593" s="60"/>
      <x:c r="CC593" s="58"/>
      <x:c r="CD593" s="47"/>
      <x:c r="CE593" s="60"/>
      <x:c r="CF593" s="58"/>
      <x:c r="CG593" s="47"/>
      <x:c r="CH593" s="60"/>
      <x:c r="CI593" s="58"/>
      <x:c r="CJ593" s="47"/>
      <x:c r="CK593" s="60"/>
      <x:c r="CL593" s="58"/>
      <x:c r="CM593" s="47"/>
      <x:c r="CN593" s="60"/>
      <x:c r="CO593" s="58"/>
      <x:c r="CP593" s="47"/>
      <x:c r="CQ593" s="60"/>
      <x:c r="CR593" s="58"/>
      <x:c r="CS593" s="47"/>
      <x:c r="CT593" s="60"/>
      <x:c r="CU593" s="58"/>
      <x:c r="CV593" s="47"/>
      <x:c r="CW593" s="60"/>
      <x:c r="CX593" s="58"/>
      <x:c r="CY593" s="47"/>
      <x:c r="CZ593" s="60"/>
      <x:c r="DA593" s="58"/>
      <x:c r="DB593" s="47"/>
      <x:c r="DC593" s="60"/>
      <x:c r="DD593" s="58"/>
      <x:c r="DE593" s="47"/>
      <x:c r="DF593" s="60"/>
      <x:c r="DG593" s="58"/>
      <x:c r="DH593" s="47"/>
      <x:c r="DI593" s="60"/>
      <x:c r="DJ593" s="58"/>
      <x:c r="DK593" s="47"/>
      <x:c r="DL593" s="60"/>
      <x:c r="DM593" s="58"/>
      <x:c r="DN593" s="11"/>
      <x:c r="DO593" s="61"/>
      <x:c r="DP593" s="62"/>
      <x:c r="DQ593" s="11"/>
      <x:c r="DR593" s="61"/>
      <x:c r="DS593" s="62"/>
      <x:c r="DT593" s="11"/>
      <x:c r="DU593" s="61"/>
      <x:c r="DV593" s="62"/>
    </x:row>
    <x:row r="594" spans="1:126" x14ac:dyDescent="0.3">
      <x:c r="A594" s="47"/>
      <x:c r="B594" s="70"/>
      <x:c r="C594" s="70"/>
      <x:c r="D594" s="70"/>
      <x:c r="E594" s="70"/>
      <x:c r="F594" s="70"/>
      <x:c r="G594" s="70"/>
      <x:c r="H594" s="70"/>
      <x:c r="I594" s="70"/>
      <x:c r="J594" s="70"/>
      <x:c r="K594" s="190"/>
      <x:c r="L594" s="195"/>
      <x:c r="M594" s="192"/>
      <x:c r="N594" s="192"/>
      <x:c r="O594" s="69"/>
      <x:c r="P594" s="47"/>
      <x:c r="Q594" s="60"/>
      <x:c r="R594" s="58"/>
      <x:c r="S594" s="47"/>
      <x:c r="T594" s="60"/>
      <x:c r="U594" s="58"/>
      <x:c r="V594" s="47"/>
      <x:c r="W594" s="60"/>
      <x:c r="X594" s="58"/>
      <x:c r="Y594" s="47"/>
      <x:c r="Z594" s="60"/>
      <x:c r="AA594" s="58"/>
      <x:c r="AB594" s="47"/>
      <x:c r="AC594" s="60"/>
      <x:c r="AD594" s="58"/>
      <x:c r="AE594" s="47"/>
      <x:c r="AF594" s="60"/>
      <x:c r="AG594" s="58"/>
      <x:c r="AH594" s="47"/>
      <x:c r="AI594" s="60"/>
      <x:c r="AJ594" s="58"/>
      <x:c r="AK594" s="47"/>
      <x:c r="AL594" s="60"/>
      <x:c r="AM594" s="58"/>
      <x:c r="AN594" s="47"/>
      <x:c r="AO594" s="60"/>
      <x:c r="AP594" s="58"/>
      <x:c r="AQ594" s="47"/>
      <x:c r="AR594" s="60"/>
      <x:c r="AS594" s="58"/>
      <x:c r="AT594" s="47"/>
      <x:c r="AU594" s="60"/>
      <x:c r="AV594" s="58"/>
      <x:c r="AW594" s="47"/>
      <x:c r="AX594" s="60"/>
      <x:c r="AY594" s="58"/>
      <x:c r="AZ594" s="47"/>
      <x:c r="BA594" s="60"/>
      <x:c r="BB594" s="58"/>
      <x:c r="BC594" s="47"/>
      <x:c r="BD594" s="60"/>
      <x:c r="BE594" s="58"/>
      <x:c r="BF594" s="47"/>
      <x:c r="BG594" s="60"/>
      <x:c r="BH594" s="58"/>
      <x:c r="BI594" s="47"/>
      <x:c r="BJ594" s="60"/>
      <x:c r="BK594" s="58"/>
      <x:c r="BL594" s="47"/>
      <x:c r="BM594" s="60"/>
      <x:c r="BN594" s="58"/>
      <x:c r="BO594" s="47"/>
      <x:c r="BP594" s="60"/>
      <x:c r="BQ594" s="58"/>
      <x:c r="BR594" s="47"/>
      <x:c r="BS594" s="60"/>
      <x:c r="BT594" s="58"/>
      <x:c r="BU594" s="47"/>
      <x:c r="BV594" s="60"/>
      <x:c r="BW594" s="58"/>
      <x:c r="BX594" s="47"/>
      <x:c r="BY594" s="60"/>
      <x:c r="BZ594" s="58"/>
      <x:c r="CA594" s="47"/>
      <x:c r="CB594" s="60"/>
      <x:c r="CC594" s="58"/>
      <x:c r="CD594" s="47"/>
      <x:c r="CE594" s="60"/>
      <x:c r="CF594" s="58"/>
      <x:c r="CG594" s="47"/>
      <x:c r="CH594" s="60"/>
      <x:c r="CI594" s="58"/>
      <x:c r="CJ594" s="47"/>
      <x:c r="CK594" s="60"/>
      <x:c r="CL594" s="58"/>
      <x:c r="CM594" s="47"/>
      <x:c r="CN594" s="60"/>
      <x:c r="CO594" s="58"/>
      <x:c r="CP594" s="47"/>
      <x:c r="CQ594" s="60"/>
      <x:c r="CR594" s="58"/>
      <x:c r="CS594" s="47"/>
      <x:c r="CT594" s="60"/>
      <x:c r="CU594" s="58"/>
      <x:c r="CV594" s="47"/>
      <x:c r="CW594" s="60"/>
      <x:c r="CX594" s="58"/>
      <x:c r="CY594" s="47"/>
      <x:c r="CZ594" s="60"/>
      <x:c r="DA594" s="58"/>
      <x:c r="DB594" s="47"/>
      <x:c r="DC594" s="60"/>
      <x:c r="DD594" s="58"/>
      <x:c r="DE594" s="47"/>
      <x:c r="DF594" s="60"/>
      <x:c r="DG594" s="58"/>
      <x:c r="DH594" s="47"/>
      <x:c r="DI594" s="60"/>
      <x:c r="DJ594" s="58"/>
      <x:c r="DK594" s="47"/>
      <x:c r="DL594" s="60"/>
      <x:c r="DM594" s="58"/>
      <x:c r="DN594" s="11"/>
      <x:c r="DO594" s="61"/>
      <x:c r="DP594" s="62"/>
      <x:c r="DQ594" s="11"/>
      <x:c r="DR594" s="61"/>
      <x:c r="DS594" s="62"/>
      <x:c r="DT594" s="11"/>
      <x:c r="DU594" s="61"/>
      <x:c r="DV594" s="62"/>
    </x:row>
    <x:row r="595" spans="1:126" x14ac:dyDescent="0.3">
      <x:c r="A595" s="47"/>
      <x:c r="B595" s="70"/>
      <x:c r="C595" s="70"/>
      <x:c r="D595" s="70"/>
      <x:c r="E595" s="70"/>
      <x:c r="F595" s="70"/>
      <x:c r="G595" s="70"/>
      <x:c r="H595" s="70"/>
      <x:c r="I595" s="70"/>
      <x:c r="J595" s="70"/>
      <x:c r="K595" s="190"/>
      <x:c r="L595" s="195"/>
      <x:c r="M595" s="192"/>
      <x:c r="N595" s="192"/>
      <x:c r="O595" s="69"/>
      <x:c r="P595" s="47"/>
      <x:c r="Q595" s="60"/>
      <x:c r="R595" s="58"/>
      <x:c r="S595" s="47"/>
      <x:c r="T595" s="60"/>
      <x:c r="U595" s="58"/>
      <x:c r="V595" s="47"/>
      <x:c r="W595" s="60"/>
      <x:c r="X595" s="58"/>
      <x:c r="Y595" s="47"/>
      <x:c r="Z595" s="60"/>
      <x:c r="AA595" s="58"/>
      <x:c r="AB595" s="47"/>
      <x:c r="AC595" s="60"/>
      <x:c r="AD595" s="58"/>
      <x:c r="AE595" s="47"/>
      <x:c r="AF595" s="60"/>
      <x:c r="AG595" s="58"/>
      <x:c r="AH595" s="47"/>
      <x:c r="AI595" s="60"/>
      <x:c r="AJ595" s="58"/>
      <x:c r="AK595" s="47"/>
      <x:c r="AL595" s="60"/>
      <x:c r="AM595" s="58"/>
      <x:c r="AN595" s="47"/>
      <x:c r="AO595" s="60"/>
      <x:c r="AP595" s="58"/>
      <x:c r="AQ595" s="47"/>
      <x:c r="AR595" s="60"/>
      <x:c r="AS595" s="58"/>
      <x:c r="AT595" s="47"/>
      <x:c r="AU595" s="60"/>
      <x:c r="AV595" s="58"/>
      <x:c r="AW595" s="47"/>
      <x:c r="AX595" s="60"/>
      <x:c r="AY595" s="58"/>
      <x:c r="AZ595" s="47"/>
      <x:c r="BA595" s="60"/>
      <x:c r="BB595" s="58"/>
      <x:c r="BC595" s="47"/>
      <x:c r="BD595" s="60"/>
      <x:c r="BE595" s="58"/>
      <x:c r="BF595" s="47"/>
      <x:c r="BG595" s="60"/>
      <x:c r="BH595" s="58"/>
      <x:c r="BI595" s="47"/>
      <x:c r="BJ595" s="60"/>
      <x:c r="BK595" s="58"/>
      <x:c r="BL595" s="47"/>
      <x:c r="BM595" s="60"/>
      <x:c r="BN595" s="58"/>
      <x:c r="BO595" s="47"/>
      <x:c r="BP595" s="60"/>
      <x:c r="BQ595" s="58"/>
      <x:c r="BR595" s="47"/>
      <x:c r="BS595" s="60"/>
      <x:c r="BT595" s="58"/>
      <x:c r="BU595" s="47"/>
      <x:c r="BV595" s="60"/>
      <x:c r="BW595" s="58"/>
      <x:c r="BX595" s="47"/>
      <x:c r="BY595" s="60"/>
      <x:c r="BZ595" s="58"/>
      <x:c r="CA595" s="47"/>
      <x:c r="CB595" s="60"/>
      <x:c r="CC595" s="58"/>
      <x:c r="CD595" s="47"/>
      <x:c r="CE595" s="60"/>
      <x:c r="CF595" s="58"/>
      <x:c r="CG595" s="47"/>
      <x:c r="CH595" s="60"/>
      <x:c r="CI595" s="58"/>
      <x:c r="CJ595" s="47"/>
      <x:c r="CK595" s="60"/>
      <x:c r="CL595" s="58"/>
      <x:c r="CM595" s="47"/>
      <x:c r="CN595" s="60"/>
      <x:c r="CO595" s="58"/>
      <x:c r="CP595" s="47"/>
      <x:c r="CQ595" s="60"/>
      <x:c r="CR595" s="58"/>
      <x:c r="CS595" s="47"/>
      <x:c r="CT595" s="60"/>
      <x:c r="CU595" s="58"/>
      <x:c r="CV595" s="47"/>
      <x:c r="CW595" s="60"/>
      <x:c r="CX595" s="58"/>
      <x:c r="CY595" s="47"/>
      <x:c r="CZ595" s="60"/>
      <x:c r="DA595" s="58"/>
      <x:c r="DB595" s="47"/>
      <x:c r="DC595" s="60"/>
      <x:c r="DD595" s="58"/>
      <x:c r="DE595" s="47"/>
      <x:c r="DF595" s="60"/>
      <x:c r="DG595" s="58"/>
      <x:c r="DH595" s="47"/>
      <x:c r="DI595" s="60"/>
      <x:c r="DJ595" s="58"/>
      <x:c r="DK595" s="47"/>
      <x:c r="DL595" s="60"/>
      <x:c r="DM595" s="58"/>
      <x:c r="DN595" s="11"/>
      <x:c r="DO595" s="61"/>
      <x:c r="DP595" s="62"/>
      <x:c r="DQ595" s="11"/>
      <x:c r="DR595" s="61"/>
      <x:c r="DS595" s="62"/>
      <x:c r="DT595" s="11"/>
      <x:c r="DU595" s="61"/>
      <x:c r="DV595" s="62"/>
    </x:row>
    <x:row r="596" spans="1:126" x14ac:dyDescent="0.3">
      <x:c r="A596" s="47"/>
      <x:c r="B596" s="70"/>
      <x:c r="C596" s="70"/>
      <x:c r="D596" s="70"/>
      <x:c r="E596" s="70"/>
      <x:c r="F596" s="70"/>
      <x:c r="G596" s="70"/>
      <x:c r="H596" s="70"/>
      <x:c r="I596" s="70"/>
      <x:c r="J596" s="70"/>
      <x:c r="K596" s="190"/>
      <x:c r="L596" s="195"/>
      <x:c r="M596" s="192"/>
      <x:c r="N596" s="192"/>
      <x:c r="O596" s="69"/>
      <x:c r="P596" s="47"/>
      <x:c r="Q596" s="60"/>
      <x:c r="R596" s="58"/>
      <x:c r="S596" s="47"/>
      <x:c r="T596" s="60"/>
      <x:c r="U596" s="58"/>
      <x:c r="V596" s="47"/>
      <x:c r="W596" s="60"/>
      <x:c r="X596" s="58"/>
      <x:c r="Y596" s="47"/>
      <x:c r="Z596" s="60"/>
      <x:c r="AA596" s="58"/>
      <x:c r="AB596" s="47"/>
      <x:c r="AC596" s="60"/>
      <x:c r="AD596" s="58"/>
      <x:c r="AE596" s="47"/>
      <x:c r="AF596" s="60"/>
      <x:c r="AG596" s="58"/>
      <x:c r="AH596" s="47"/>
      <x:c r="AI596" s="60"/>
      <x:c r="AJ596" s="58"/>
      <x:c r="AK596" s="47"/>
      <x:c r="AL596" s="60"/>
      <x:c r="AM596" s="58"/>
      <x:c r="AN596" s="47"/>
      <x:c r="AO596" s="60"/>
      <x:c r="AP596" s="58"/>
      <x:c r="AQ596" s="47"/>
      <x:c r="AR596" s="60"/>
      <x:c r="AS596" s="58"/>
      <x:c r="AT596" s="47"/>
      <x:c r="AU596" s="60"/>
      <x:c r="AV596" s="58"/>
      <x:c r="AW596" s="47"/>
      <x:c r="AX596" s="60"/>
      <x:c r="AY596" s="58"/>
      <x:c r="AZ596" s="47"/>
      <x:c r="BA596" s="60"/>
      <x:c r="BB596" s="58"/>
      <x:c r="BC596" s="47"/>
      <x:c r="BD596" s="60"/>
      <x:c r="BE596" s="58"/>
      <x:c r="BF596" s="47"/>
      <x:c r="BG596" s="60"/>
      <x:c r="BH596" s="58"/>
      <x:c r="BI596" s="47"/>
      <x:c r="BJ596" s="60"/>
      <x:c r="BK596" s="58"/>
      <x:c r="BL596" s="47"/>
      <x:c r="BM596" s="60"/>
      <x:c r="BN596" s="58"/>
      <x:c r="BO596" s="47"/>
      <x:c r="BP596" s="60"/>
      <x:c r="BQ596" s="58"/>
      <x:c r="BR596" s="47"/>
      <x:c r="BS596" s="60"/>
      <x:c r="BT596" s="58"/>
      <x:c r="BU596" s="47"/>
      <x:c r="BV596" s="60"/>
      <x:c r="BW596" s="58"/>
      <x:c r="BX596" s="47"/>
      <x:c r="BY596" s="60"/>
      <x:c r="BZ596" s="58"/>
      <x:c r="CA596" s="47"/>
      <x:c r="CB596" s="60"/>
      <x:c r="CC596" s="58"/>
      <x:c r="CD596" s="47"/>
      <x:c r="CE596" s="60"/>
      <x:c r="CF596" s="58"/>
      <x:c r="CG596" s="47"/>
      <x:c r="CH596" s="60"/>
      <x:c r="CI596" s="58"/>
      <x:c r="CJ596" s="47"/>
      <x:c r="CK596" s="60"/>
      <x:c r="CL596" s="58"/>
      <x:c r="CM596" s="47"/>
      <x:c r="CN596" s="60"/>
      <x:c r="CO596" s="58"/>
      <x:c r="CP596" s="47"/>
      <x:c r="CQ596" s="60"/>
      <x:c r="CR596" s="58"/>
      <x:c r="CS596" s="47"/>
      <x:c r="CT596" s="60"/>
      <x:c r="CU596" s="58"/>
      <x:c r="CV596" s="47"/>
      <x:c r="CW596" s="60"/>
      <x:c r="CX596" s="58"/>
      <x:c r="CY596" s="47"/>
      <x:c r="CZ596" s="60"/>
      <x:c r="DA596" s="58"/>
      <x:c r="DB596" s="47"/>
      <x:c r="DC596" s="60"/>
      <x:c r="DD596" s="58"/>
      <x:c r="DE596" s="47"/>
      <x:c r="DF596" s="60"/>
      <x:c r="DG596" s="58"/>
      <x:c r="DH596" s="47"/>
      <x:c r="DI596" s="60"/>
      <x:c r="DJ596" s="58"/>
      <x:c r="DK596" s="47"/>
      <x:c r="DL596" s="60"/>
      <x:c r="DM596" s="58"/>
      <x:c r="DN596" s="11"/>
      <x:c r="DO596" s="61"/>
      <x:c r="DP596" s="62"/>
      <x:c r="DQ596" s="11"/>
      <x:c r="DR596" s="61"/>
      <x:c r="DS596" s="62"/>
      <x:c r="DT596" s="11"/>
      <x:c r="DU596" s="61"/>
      <x:c r="DV596" s="62"/>
    </x:row>
    <x:row r="597" spans="1:126" x14ac:dyDescent="0.3">
      <x:c r="A597" s="47"/>
      <x:c r="B597" s="70"/>
      <x:c r="C597" s="70"/>
      <x:c r="D597" s="70"/>
      <x:c r="E597" s="70"/>
      <x:c r="F597" s="70"/>
      <x:c r="G597" s="70"/>
      <x:c r="H597" s="70"/>
      <x:c r="I597" s="70"/>
      <x:c r="J597" s="70"/>
      <x:c r="K597" s="190"/>
      <x:c r="L597" s="195"/>
      <x:c r="M597" s="192"/>
      <x:c r="N597" s="192"/>
      <x:c r="O597" s="69"/>
      <x:c r="P597" s="47"/>
      <x:c r="Q597" s="60"/>
      <x:c r="R597" s="58"/>
      <x:c r="S597" s="47"/>
      <x:c r="T597" s="60"/>
      <x:c r="U597" s="58"/>
      <x:c r="V597" s="47"/>
      <x:c r="W597" s="60"/>
      <x:c r="X597" s="58"/>
      <x:c r="Y597" s="47"/>
      <x:c r="Z597" s="60"/>
      <x:c r="AA597" s="58"/>
      <x:c r="AB597" s="47"/>
      <x:c r="AC597" s="60"/>
      <x:c r="AD597" s="58"/>
      <x:c r="AE597" s="47"/>
      <x:c r="AF597" s="60"/>
      <x:c r="AG597" s="58"/>
      <x:c r="AH597" s="47"/>
      <x:c r="AI597" s="60"/>
      <x:c r="AJ597" s="58"/>
      <x:c r="AK597" s="47"/>
      <x:c r="AL597" s="60"/>
      <x:c r="AM597" s="58"/>
      <x:c r="AN597" s="47"/>
      <x:c r="AO597" s="60"/>
      <x:c r="AP597" s="58"/>
      <x:c r="AQ597" s="47"/>
      <x:c r="AR597" s="60"/>
      <x:c r="AS597" s="58"/>
      <x:c r="AT597" s="47"/>
      <x:c r="AU597" s="60"/>
      <x:c r="AV597" s="58"/>
      <x:c r="AW597" s="47"/>
      <x:c r="AX597" s="60"/>
      <x:c r="AY597" s="58"/>
      <x:c r="AZ597" s="47"/>
      <x:c r="BA597" s="60"/>
      <x:c r="BB597" s="58"/>
      <x:c r="BC597" s="47"/>
      <x:c r="BD597" s="60"/>
      <x:c r="BE597" s="58"/>
      <x:c r="BF597" s="47"/>
      <x:c r="BG597" s="60"/>
      <x:c r="BH597" s="58"/>
      <x:c r="BI597" s="47"/>
      <x:c r="BJ597" s="60"/>
      <x:c r="BK597" s="58"/>
      <x:c r="BL597" s="47"/>
      <x:c r="BM597" s="60"/>
      <x:c r="BN597" s="58"/>
      <x:c r="BO597" s="47"/>
      <x:c r="BP597" s="60"/>
      <x:c r="BQ597" s="58"/>
      <x:c r="BR597" s="47"/>
      <x:c r="BS597" s="60"/>
      <x:c r="BT597" s="58"/>
      <x:c r="BU597" s="47"/>
      <x:c r="BV597" s="60"/>
      <x:c r="BW597" s="58"/>
      <x:c r="BX597" s="47"/>
      <x:c r="BY597" s="60"/>
      <x:c r="BZ597" s="58"/>
      <x:c r="CA597" s="47"/>
      <x:c r="CB597" s="60"/>
      <x:c r="CC597" s="58"/>
      <x:c r="CD597" s="47"/>
      <x:c r="CE597" s="60"/>
      <x:c r="CF597" s="58"/>
      <x:c r="CG597" s="47"/>
      <x:c r="CH597" s="60"/>
      <x:c r="CI597" s="58"/>
      <x:c r="CJ597" s="47"/>
      <x:c r="CK597" s="60"/>
      <x:c r="CL597" s="58"/>
      <x:c r="CM597" s="47"/>
      <x:c r="CN597" s="60"/>
      <x:c r="CO597" s="58"/>
      <x:c r="CP597" s="47"/>
      <x:c r="CQ597" s="60"/>
      <x:c r="CR597" s="58"/>
      <x:c r="CS597" s="47"/>
      <x:c r="CT597" s="60"/>
      <x:c r="CU597" s="58"/>
      <x:c r="CV597" s="47"/>
      <x:c r="CW597" s="60"/>
      <x:c r="CX597" s="58"/>
      <x:c r="CY597" s="47"/>
      <x:c r="CZ597" s="60"/>
      <x:c r="DA597" s="58"/>
      <x:c r="DB597" s="47"/>
      <x:c r="DC597" s="60"/>
      <x:c r="DD597" s="58"/>
      <x:c r="DE597" s="47"/>
      <x:c r="DF597" s="60"/>
      <x:c r="DG597" s="58"/>
      <x:c r="DH597" s="47"/>
      <x:c r="DI597" s="60"/>
      <x:c r="DJ597" s="58"/>
      <x:c r="DK597" s="47"/>
      <x:c r="DL597" s="60"/>
      <x:c r="DM597" s="58"/>
      <x:c r="DN597" s="11"/>
      <x:c r="DO597" s="61"/>
      <x:c r="DP597" s="62"/>
      <x:c r="DQ597" s="11"/>
      <x:c r="DR597" s="61"/>
      <x:c r="DS597" s="62"/>
      <x:c r="DT597" s="11"/>
      <x:c r="DU597" s="61"/>
      <x:c r="DV597" s="62"/>
    </x:row>
    <x:row r="598" spans="1:126" x14ac:dyDescent="0.3">
      <x:c r="A598" s="47"/>
      <x:c r="B598" s="70"/>
      <x:c r="C598" s="70"/>
      <x:c r="D598" s="70"/>
      <x:c r="E598" s="70"/>
      <x:c r="F598" s="70"/>
      <x:c r="G598" s="70"/>
      <x:c r="H598" s="70"/>
      <x:c r="I598" s="70"/>
      <x:c r="J598" s="70"/>
      <x:c r="K598" s="190"/>
      <x:c r="L598" s="195"/>
      <x:c r="M598" s="192"/>
      <x:c r="N598" s="192"/>
      <x:c r="O598" s="69"/>
      <x:c r="P598" s="47"/>
      <x:c r="Q598" s="60"/>
      <x:c r="R598" s="58"/>
      <x:c r="S598" s="47"/>
      <x:c r="T598" s="60"/>
      <x:c r="U598" s="58"/>
      <x:c r="V598" s="47"/>
      <x:c r="W598" s="60"/>
      <x:c r="X598" s="58"/>
      <x:c r="Y598" s="47"/>
      <x:c r="Z598" s="60"/>
      <x:c r="AA598" s="58"/>
      <x:c r="AB598" s="47"/>
      <x:c r="AC598" s="60"/>
      <x:c r="AD598" s="58"/>
      <x:c r="AE598" s="47"/>
      <x:c r="AF598" s="60"/>
      <x:c r="AG598" s="58"/>
      <x:c r="AH598" s="47"/>
      <x:c r="AI598" s="60"/>
      <x:c r="AJ598" s="58"/>
      <x:c r="AK598" s="47"/>
      <x:c r="AL598" s="60"/>
      <x:c r="AM598" s="58"/>
      <x:c r="AN598" s="47"/>
      <x:c r="AO598" s="60"/>
      <x:c r="AP598" s="58"/>
      <x:c r="AQ598" s="47"/>
      <x:c r="AR598" s="60"/>
      <x:c r="AS598" s="58"/>
      <x:c r="AT598" s="47"/>
      <x:c r="AU598" s="60"/>
      <x:c r="AV598" s="58"/>
      <x:c r="AW598" s="47"/>
      <x:c r="AX598" s="60"/>
      <x:c r="AY598" s="58"/>
      <x:c r="AZ598" s="47"/>
      <x:c r="BA598" s="60"/>
      <x:c r="BB598" s="58"/>
      <x:c r="BC598" s="47"/>
      <x:c r="BD598" s="60"/>
      <x:c r="BE598" s="58"/>
      <x:c r="BF598" s="47"/>
      <x:c r="BG598" s="60"/>
      <x:c r="BH598" s="58"/>
      <x:c r="BI598" s="47"/>
      <x:c r="BJ598" s="60"/>
      <x:c r="BK598" s="58"/>
      <x:c r="BL598" s="47"/>
      <x:c r="BM598" s="60"/>
      <x:c r="BN598" s="58"/>
      <x:c r="BO598" s="47"/>
      <x:c r="BP598" s="60"/>
      <x:c r="BQ598" s="58"/>
      <x:c r="BR598" s="47"/>
      <x:c r="BS598" s="60"/>
      <x:c r="BT598" s="58"/>
      <x:c r="BU598" s="47"/>
      <x:c r="BV598" s="60"/>
      <x:c r="BW598" s="58"/>
      <x:c r="BX598" s="47"/>
      <x:c r="BY598" s="60"/>
      <x:c r="BZ598" s="58"/>
      <x:c r="CA598" s="47"/>
      <x:c r="CB598" s="60"/>
      <x:c r="CC598" s="58"/>
      <x:c r="CD598" s="47"/>
      <x:c r="CE598" s="60"/>
      <x:c r="CF598" s="58"/>
      <x:c r="CG598" s="47"/>
      <x:c r="CH598" s="60"/>
      <x:c r="CI598" s="58"/>
      <x:c r="CJ598" s="47"/>
      <x:c r="CK598" s="60"/>
      <x:c r="CL598" s="58"/>
      <x:c r="CM598" s="47"/>
      <x:c r="CN598" s="60"/>
      <x:c r="CO598" s="58"/>
      <x:c r="CP598" s="47"/>
      <x:c r="CQ598" s="60"/>
      <x:c r="CR598" s="58"/>
      <x:c r="CS598" s="47"/>
      <x:c r="CT598" s="60"/>
      <x:c r="CU598" s="58"/>
      <x:c r="CV598" s="47"/>
      <x:c r="CW598" s="60"/>
      <x:c r="CX598" s="58"/>
      <x:c r="CY598" s="47"/>
      <x:c r="CZ598" s="60"/>
      <x:c r="DA598" s="58"/>
      <x:c r="DB598" s="47"/>
      <x:c r="DC598" s="60"/>
      <x:c r="DD598" s="58"/>
      <x:c r="DE598" s="47"/>
      <x:c r="DF598" s="60"/>
      <x:c r="DG598" s="58"/>
      <x:c r="DH598" s="47"/>
      <x:c r="DI598" s="60"/>
      <x:c r="DJ598" s="58"/>
      <x:c r="DK598" s="47"/>
      <x:c r="DL598" s="60"/>
      <x:c r="DM598" s="58"/>
      <x:c r="DN598" s="11"/>
      <x:c r="DO598" s="61"/>
      <x:c r="DP598" s="62"/>
      <x:c r="DQ598" s="11"/>
      <x:c r="DR598" s="61"/>
      <x:c r="DS598" s="62"/>
      <x:c r="DT598" s="11"/>
      <x:c r="DU598" s="61"/>
      <x:c r="DV598" s="62"/>
    </x:row>
    <x:row r="599" spans="1:126" x14ac:dyDescent="0.3">
      <x:c r="A599" s="47"/>
      <x:c r="B599" s="70"/>
      <x:c r="C599" s="70"/>
      <x:c r="D599" s="70"/>
      <x:c r="E599" s="70"/>
      <x:c r="F599" s="70"/>
      <x:c r="G599" s="70"/>
      <x:c r="H599" s="70"/>
      <x:c r="I599" s="70"/>
      <x:c r="J599" s="70"/>
      <x:c r="K599" s="190"/>
      <x:c r="L599" s="195"/>
      <x:c r="M599" s="192"/>
      <x:c r="N599" s="192"/>
      <x:c r="O599" s="69"/>
      <x:c r="P599" s="47"/>
      <x:c r="Q599" s="60"/>
      <x:c r="R599" s="58"/>
      <x:c r="S599" s="47"/>
      <x:c r="T599" s="60"/>
      <x:c r="U599" s="58"/>
      <x:c r="V599" s="47"/>
      <x:c r="W599" s="60"/>
      <x:c r="X599" s="58"/>
      <x:c r="Y599" s="47"/>
      <x:c r="Z599" s="60"/>
      <x:c r="AA599" s="58"/>
      <x:c r="AB599" s="47"/>
      <x:c r="AC599" s="60"/>
      <x:c r="AD599" s="58"/>
      <x:c r="AE599" s="47"/>
      <x:c r="AF599" s="60"/>
      <x:c r="AG599" s="58"/>
      <x:c r="AH599" s="47"/>
      <x:c r="AI599" s="60"/>
      <x:c r="AJ599" s="58"/>
      <x:c r="AK599" s="47"/>
      <x:c r="AL599" s="60"/>
      <x:c r="AM599" s="58"/>
      <x:c r="AN599" s="47"/>
      <x:c r="AO599" s="60"/>
      <x:c r="AP599" s="58"/>
      <x:c r="AQ599" s="47"/>
      <x:c r="AR599" s="60"/>
      <x:c r="AS599" s="58"/>
      <x:c r="AT599" s="47"/>
      <x:c r="AU599" s="60"/>
      <x:c r="AV599" s="58"/>
      <x:c r="AW599" s="47"/>
      <x:c r="AX599" s="60"/>
      <x:c r="AY599" s="58"/>
      <x:c r="AZ599" s="47"/>
      <x:c r="BA599" s="60"/>
      <x:c r="BB599" s="58"/>
      <x:c r="BC599" s="47"/>
      <x:c r="BD599" s="60"/>
      <x:c r="BE599" s="58"/>
      <x:c r="BF599" s="47"/>
      <x:c r="BG599" s="60"/>
      <x:c r="BH599" s="58"/>
      <x:c r="BI599" s="47"/>
      <x:c r="BJ599" s="60"/>
      <x:c r="BK599" s="58"/>
      <x:c r="BL599" s="47"/>
      <x:c r="BM599" s="60"/>
      <x:c r="BN599" s="58"/>
      <x:c r="BO599" s="47"/>
      <x:c r="BP599" s="60"/>
      <x:c r="BQ599" s="58"/>
      <x:c r="BR599" s="47"/>
      <x:c r="BS599" s="60"/>
      <x:c r="BT599" s="58"/>
      <x:c r="BU599" s="47"/>
      <x:c r="BV599" s="60"/>
      <x:c r="BW599" s="58"/>
      <x:c r="BX599" s="47"/>
      <x:c r="BY599" s="60"/>
      <x:c r="BZ599" s="58"/>
      <x:c r="CA599" s="47"/>
      <x:c r="CB599" s="60"/>
      <x:c r="CC599" s="58"/>
      <x:c r="CD599" s="47"/>
      <x:c r="CE599" s="60"/>
      <x:c r="CF599" s="58"/>
      <x:c r="CG599" s="47"/>
      <x:c r="CH599" s="60"/>
      <x:c r="CI599" s="58"/>
      <x:c r="CJ599" s="47"/>
      <x:c r="CK599" s="60"/>
      <x:c r="CL599" s="58"/>
      <x:c r="CM599" s="47"/>
      <x:c r="CN599" s="60"/>
      <x:c r="CO599" s="58"/>
      <x:c r="CP599" s="47"/>
      <x:c r="CQ599" s="60"/>
      <x:c r="CR599" s="58"/>
      <x:c r="CS599" s="47"/>
      <x:c r="CT599" s="60"/>
      <x:c r="CU599" s="58"/>
      <x:c r="CV599" s="47"/>
      <x:c r="CW599" s="60"/>
      <x:c r="CX599" s="58"/>
      <x:c r="CY599" s="47"/>
      <x:c r="CZ599" s="60"/>
      <x:c r="DA599" s="58"/>
      <x:c r="DB599" s="47"/>
      <x:c r="DC599" s="60"/>
      <x:c r="DD599" s="58"/>
      <x:c r="DE599" s="47"/>
      <x:c r="DF599" s="60"/>
      <x:c r="DG599" s="58"/>
      <x:c r="DH599" s="47"/>
      <x:c r="DI599" s="60"/>
      <x:c r="DJ599" s="58"/>
      <x:c r="DK599" s="47"/>
      <x:c r="DL599" s="60"/>
      <x:c r="DM599" s="58"/>
      <x:c r="DN599" s="11"/>
      <x:c r="DO599" s="61"/>
      <x:c r="DP599" s="62"/>
      <x:c r="DQ599" s="11"/>
      <x:c r="DR599" s="61"/>
      <x:c r="DS599" s="62"/>
      <x:c r="DT599" s="11"/>
      <x:c r="DU599" s="61"/>
      <x:c r="DV599" s="62"/>
    </x:row>
    <x:row r="600" spans="1:126" x14ac:dyDescent="0.3">
      <x:c r="A600" s="47"/>
      <x:c r="B600" s="70"/>
      <x:c r="C600" s="70"/>
      <x:c r="D600" s="70"/>
      <x:c r="E600" s="70"/>
      <x:c r="F600" s="70"/>
      <x:c r="G600" s="70"/>
      <x:c r="H600" s="70"/>
      <x:c r="I600" s="70"/>
      <x:c r="J600" s="70"/>
      <x:c r="K600" s="190"/>
      <x:c r="L600" s="195"/>
      <x:c r="M600" s="192"/>
      <x:c r="N600" s="192"/>
      <x:c r="O600" s="69"/>
      <x:c r="P600" s="47"/>
      <x:c r="Q600" s="60"/>
      <x:c r="R600" s="58"/>
      <x:c r="S600" s="47"/>
      <x:c r="T600" s="60"/>
      <x:c r="U600" s="58"/>
      <x:c r="V600" s="47"/>
      <x:c r="W600" s="60"/>
      <x:c r="X600" s="58"/>
      <x:c r="Y600" s="47"/>
      <x:c r="Z600" s="60"/>
      <x:c r="AA600" s="58"/>
      <x:c r="AB600" s="47"/>
      <x:c r="AC600" s="60"/>
      <x:c r="AD600" s="58"/>
      <x:c r="AE600" s="47"/>
      <x:c r="AF600" s="60"/>
      <x:c r="AG600" s="58"/>
      <x:c r="AH600" s="47"/>
      <x:c r="AI600" s="60"/>
      <x:c r="AJ600" s="58"/>
      <x:c r="AK600" s="47"/>
      <x:c r="AL600" s="60"/>
      <x:c r="AM600" s="58"/>
      <x:c r="AN600" s="47"/>
      <x:c r="AO600" s="60"/>
      <x:c r="AP600" s="58"/>
      <x:c r="AQ600" s="47"/>
      <x:c r="AR600" s="60"/>
      <x:c r="AS600" s="58"/>
      <x:c r="AT600" s="47"/>
      <x:c r="AU600" s="60"/>
      <x:c r="AV600" s="58"/>
      <x:c r="AW600" s="47"/>
      <x:c r="AX600" s="60"/>
      <x:c r="AY600" s="58"/>
      <x:c r="AZ600" s="47"/>
      <x:c r="BA600" s="60"/>
      <x:c r="BB600" s="58"/>
      <x:c r="BC600" s="47"/>
      <x:c r="BD600" s="60"/>
      <x:c r="BE600" s="58"/>
      <x:c r="BF600" s="47"/>
      <x:c r="BG600" s="60"/>
      <x:c r="BH600" s="58"/>
      <x:c r="BI600" s="47"/>
      <x:c r="BJ600" s="60"/>
      <x:c r="BK600" s="58"/>
      <x:c r="BL600" s="47"/>
      <x:c r="BM600" s="60"/>
      <x:c r="BN600" s="58"/>
      <x:c r="BO600" s="47"/>
      <x:c r="BP600" s="60"/>
      <x:c r="BQ600" s="58"/>
      <x:c r="BR600" s="47"/>
      <x:c r="BS600" s="60"/>
      <x:c r="BT600" s="58"/>
      <x:c r="BU600" s="47"/>
      <x:c r="BV600" s="60"/>
      <x:c r="BW600" s="58"/>
      <x:c r="BX600" s="47"/>
      <x:c r="BY600" s="60"/>
      <x:c r="BZ600" s="58"/>
      <x:c r="CA600" s="47"/>
      <x:c r="CB600" s="60"/>
      <x:c r="CC600" s="58"/>
      <x:c r="CD600" s="47"/>
      <x:c r="CE600" s="60"/>
      <x:c r="CF600" s="58"/>
      <x:c r="CG600" s="47"/>
      <x:c r="CH600" s="60"/>
      <x:c r="CI600" s="58"/>
      <x:c r="CJ600" s="47"/>
      <x:c r="CK600" s="60"/>
      <x:c r="CL600" s="58"/>
      <x:c r="CM600" s="47"/>
      <x:c r="CN600" s="60"/>
      <x:c r="CO600" s="58"/>
      <x:c r="CP600" s="47"/>
      <x:c r="CQ600" s="60"/>
      <x:c r="CR600" s="58"/>
      <x:c r="CS600" s="47"/>
      <x:c r="CT600" s="60"/>
      <x:c r="CU600" s="58"/>
      <x:c r="CV600" s="47"/>
      <x:c r="CW600" s="60"/>
      <x:c r="CX600" s="58"/>
      <x:c r="CY600" s="47"/>
      <x:c r="CZ600" s="60"/>
      <x:c r="DA600" s="58"/>
      <x:c r="DB600" s="47"/>
      <x:c r="DC600" s="60"/>
      <x:c r="DD600" s="58"/>
      <x:c r="DE600" s="47"/>
      <x:c r="DF600" s="60"/>
      <x:c r="DG600" s="58"/>
      <x:c r="DH600" s="47"/>
      <x:c r="DI600" s="60"/>
      <x:c r="DJ600" s="58"/>
      <x:c r="DK600" s="47"/>
      <x:c r="DL600" s="60"/>
      <x:c r="DM600" s="58"/>
      <x:c r="DN600" s="11"/>
      <x:c r="DO600" s="61"/>
      <x:c r="DP600" s="62"/>
      <x:c r="DQ600" s="11"/>
      <x:c r="DR600" s="61"/>
      <x:c r="DS600" s="62"/>
      <x:c r="DT600" s="11"/>
      <x:c r="DU600" s="61"/>
      <x:c r="DV600" s="62"/>
    </x:row>
    <x:row r="601" spans="1:126" x14ac:dyDescent="0.3">
      <x:c r="A601" s="47"/>
      <x:c r="B601" s="70"/>
      <x:c r="C601" s="70"/>
      <x:c r="D601" s="70"/>
      <x:c r="E601" s="70"/>
      <x:c r="F601" s="70"/>
      <x:c r="G601" s="70"/>
      <x:c r="H601" s="70"/>
      <x:c r="I601" s="70"/>
      <x:c r="J601" s="70"/>
      <x:c r="K601" s="190"/>
      <x:c r="L601" s="195"/>
      <x:c r="M601" s="192"/>
      <x:c r="N601" s="192"/>
      <x:c r="O601" s="69"/>
      <x:c r="P601" s="47"/>
      <x:c r="Q601" s="60"/>
      <x:c r="R601" s="58"/>
      <x:c r="S601" s="47"/>
      <x:c r="T601" s="60"/>
      <x:c r="U601" s="58"/>
      <x:c r="V601" s="47"/>
      <x:c r="W601" s="60"/>
      <x:c r="X601" s="58"/>
      <x:c r="Y601" s="47"/>
      <x:c r="Z601" s="60"/>
      <x:c r="AA601" s="58"/>
      <x:c r="AB601" s="47"/>
      <x:c r="AC601" s="60"/>
      <x:c r="AD601" s="58"/>
      <x:c r="AE601" s="47"/>
      <x:c r="AF601" s="60"/>
      <x:c r="AG601" s="58"/>
      <x:c r="AH601" s="47"/>
      <x:c r="AI601" s="60"/>
      <x:c r="AJ601" s="58"/>
      <x:c r="AK601" s="47"/>
      <x:c r="AL601" s="60"/>
      <x:c r="AM601" s="58"/>
      <x:c r="AN601" s="47"/>
      <x:c r="AO601" s="60"/>
      <x:c r="AP601" s="58"/>
      <x:c r="AQ601" s="47"/>
      <x:c r="AR601" s="60"/>
      <x:c r="AS601" s="58"/>
      <x:c r="AT601" s="47"/>
      <x:c r="AU601" s="60"/>
      <x:c r="AV601" s="58"/>
      <x:c r="AW601" s="47"/>
      <x:c r="AX601" s="60"/>
      <x:c r="AY601" s="58"/>
      <x:c r="AZ601" s="47"/>
      <x:c r="BA601" s="60"/>
      <x:c r="BB601" s="58"/>
      <x:c r="BC601" s="47"/>
      <x:c r="BD601" s="60"/>
      <x:c r="BE601" s="58"/>
      <x:c r="BF601" s="47"/>
      <x:c r="BG601" s="60"/>
      <x:c r="BH601" s="58"/>
      <x:c r="BI601" s="47"/>
      <x:c r="BJ601" s="60"/>
      <x:c r="BK601" s="58"/>
      <x:c r="BL601" s="47"/>
      <x:c r="BM601" s="60"/>
      <x:c r="BN601" s="58"/>
      <x:c r="BO601" s="47"/>
      <x:c r="BP601" s="60"/>
      <x:c r="BQ601" s="58"/>
      <x:c r="BR601" s="47"/>
      <x:c r="BS601" s="60"/>
      <x:c r="BT601" s="58"/>
      <x:c r="BU601" s="47"/>
      <x:c r="BV601" s="60"/>
      <x:c r="BW601" s="58"/>
      <x:c r="BX601" s="47"/>
      <x:c r="BY601" s="60"/>
      <x:c r="BZ601" s="58"/>
      <x:c r="CA601" s="47"/>
      <x:c r="CB601" s="60"/>
      <x:c r="CC601" s="58"/>
      <x:c r="CD601" s="47"/>
      <x:c r="CE601" s="60"/>
      <x:c r="CF601" s="58"/>
      <x:c r="CG601" s="47"/>
      <x:c r="CH601" s="60"/>
      <x:c r="CI601" s="58"/>
      <x:c r="CJ601" s="47"/>
      <x:c r="CK601" s="60"/>
      <x:c r="CL601" s="58"/>
      <x:c r="CM601" s="47"/>
      <x:c r="CN601" s="60"/>
      <x:c r="CO601" s="58"/>
      <x:c r="CP601" s="47"/>
      <x:c r="CQ601" s="60"/>
      <x:c r="CR601" s="58"/>
      <x:c r="CS601" s="47"/>
      <x:c r="CT601" s="60"/>
      <x:c r="CU601" s="58"/>
      <x:c r="CV601" s="47"/>
      <x:c r="CW601" s="60"/>
      <x:c r="CX601" s="58"/>
      <x:c r="CY601" s="47"/>
      <x:c r="CZ601" s="60"/>
      <x:c r="DA601" s="58"/>
      <x:c r="DB601" s="47"/>
      <x:c r="DC601" s="60"/>
      <x:c r="DD601" s="58"/>
      <x:c r="DE601" s="47"/>
      <x:c r="DF601" s="60"/>
      <x:c r="DG601" s="58"/>
      <x:c r="DH601" s="47"/>
      <x:c r="DI601" s="60"/>
      <x:c r="DJ601" s="58"/>
      <x:c r="DK601" s="47"/>
      <x:c r="DL601" s="60"/>
      <x:c r="DM601" s="58"/>
      <x:c r="DN601" s="11"/>
      <x:c r="DO601" s="61"/>
      <x:c r="DP601" s="62"/>
      <x:c r="DQ601" s="11"/>
      <x:c r="DR601" s="61"/>
      <x:c r="DS601" s="62"/>
      <x:c r="DT601" s="11"/>
      <x:c r="DU601" s="61"/>
      <x:c r="DV601" s="62"/>
    </x:row>
    <x:row r="602" spans="1:126" x14ac:dyDescent="0.3">
      <x:c r="A602" s="47"/>
      <x:c r="B602" s="70"/>
      <x:c r="C602" s="70"/>
      <x:c r="D602" s="70"/>
      <x:c r="E602" s="70"/>
      <x:c r="F602" s="70"/>
      <x:c r="G602" s="70"/>
      <x:c r="H602" s="70"/>
      <x:c r="I602" s="70"/>
      <x:c r="J602" s="70"/>
      <x:c r="K602" s="190"/>
      <x:c r="L602" s="195"/>
      <x:c r="M602" s="192"/>
      <x:c r="N602" s="192"/>
      <x:c r="O602" s="69"/>
      <x:c r="P602" s="47"/>
      <x:c r="Q602" s="60"/>
      <x:c r="R602" s="58"/>
      <x:c r="S602" s="47"/>
      <x:c r="T602" s="60"/>
      <x:c r="U602" s="58"/>
      <x:c r="V602" s="47"/>
      <x:c r="W602" s="60"/>
      <x:c r="X602" s="58"/>
      <x:c r="Y602" s="47"/>
      <x:c r="Z602" s="60"/>
      <x:c r="AA602" s="58"/>
      <x:c r="AB602" s="47"/>
      <x:c r="AC602" s="60"/>
      <x:c r="AD602" s="58"/>
      <x:c r="AE602" s="47"/>
      <x:c r="AF602" s="60"/>
      <x:c r="AG602" s="58"/>
      <x:c r="AH602" s="47"/>
      <x:c r="AI602" s="60"/>
      <x:c r="AJ602" s="58"/>
      <x:c r="AK602" s="47"/>
      <x:c r="AL602" s="60"/>
      <x:c r="AM602" s="58"/>
      <x:c r="AN602" s="47"/>
      <x:c r="AO602" s="60"/>
      <x:c r="AP602" s="58"/>
      <x:c r="AQ602" s="47"/>
      <x:c r="AR602" s="60"/>
      <x:c r="AS602" s="58"/>
      <x:c r="AT602" s="47"/>
      <x:c r="AU602" s="60"/>
      <x:c r="AV602" s="58"/>
      <x:c r="AW602" s="47"/>
      <x:c r="AX602" s="60"/>
      <x:c r="AY602" s="58"/>
      <x:c r="AZ602" s="47"/>
      <x:c r="BA602" s="60"/>
      <x:c r="BB602" s="58"/>
      <x:c r="BC602" s="47"/>
      <x:c r="BD602" s="60"/>
      <x:c r="BE602" s="58"/>
      <x:c r="BF602" s="47"/>
      <x:c r="BG602" s="60"/>
      <x:c r="BH602" s="58"/>
      <x:c r="BI602" s="47"/>
      <x:c r="BJ602" s="60"/>
      <x:c r="BK602" s="58"/>
      <x:c r="BL602" s="47"/>
      <x:c r="BM602" s="60"/>
      <x:c r="BN602" s="58"/>
      <x:c r="BO602" s="47"/>
      <x:c r="BP602" s="60"/>
      <x:c r="BQ602" s="58"/>
      <x:c r="BR602" s="47"/>
      <x:c r="BS602" s="60"/>
      <x:c r="BT602" s="58"/>
      <x:c r="BU602" s="47"/>
      <x:c r="BV602" s="60"/>
      <x:c r="BW602" s="58"/>
      <x:c r="BX602" s="47"/>
      <x:c r="BY602" s="60"/>
      <x:c r="BZ602" s="58"/>
      <x:c r="CA602" s="47"/>
      <x:c r="CB602" s="60"/>
      <x:c r="CC602" s="58"/>
      <x:c r="CD602" s="47"/>
      <x:c r="CE602" s="60"/>
      <x:c r="CF602" s="58"/>
      <x:c r="CG602" s="47"/>
      <x:c r="CH602" s="60"/>
      <x:c r="CI602" s="58"/>
      <x:c r="CJ602" s="47"/>
      <x:c r="CK602" s="60"/>
      <x:c r="CL602" s="58"/>
      <x:c r="CM602" s="47"/>
      <x:c r="CN602" s="60"/>
      <x:c r="CO602" s="58"/>
      <x:c r="CP602" s="47"/>
      <x:c r="CQ602" s="60"/>
      <x:c r="CR602" s="58"/>
      <x:c r="CS602" s="47"/>
      <x:c r="CT602" s="60"/>
      <x:c r="CU602" s="58"/>
      <x:c r="CV602" s="47"/>
      <x:c r="CW602" s="60"/>
      <x:c r="CX602" s="58"/>
      <x:c r="CY602" s="47"/>
      <x:c r="CZ602" s="60"/>
      <x:c r="DA602" s="58"/>
      <x:c r="DB602" s="47"/>
      <x:c r="DC602" s="60"/>
      <x:c r="DD602" s="58"/>
      <x:c r="DE602" s="47"/>
      <x:c r="DF602" s="60"/>
      <x:c r="DG602" s="58"/>
      <x:c r="DH602" s="47"/>
      <x:c r="DI602" s="60"/>
      <x:c r="DJ602" s="58"/>
      <x:c r="DK602" s="47"/>
      <x:c r="DL602" s="60"/>
      <x:c r="DM602" s="58"/>
      <x:c r="DN602" s="11"/>
      <x:c r="DO602" s="61"/>
      <x:c r="DP602" s="62"/>
      <x:c r="DQ602" s="11"/>
      <x:c r="DR602" s="61"/>
      <x:c r="DS602" s="62"/>
      <x:c r="DT602" s="11"/>
      <x:c r="DU602" s="61"/>
      <x:c r="DV602" s="62"/>
    </x:row>
    <x:row r="603" spans="1:126" x14ac:dyDescent="0.3">
      <x:c r="A603" s="47"/>
      <x:c r="B603" s="70"/>
      <x:c r="C603" s="70"/>
      <x:c r="D603" s="70"/>
      <x:c r="E603" s="70"/>
      <x:c r="F603" s="70"/>
      <x:c r="G603" s="70"/>
      <x:c r="H603" s="70"/>
      <x:c r="I603" s="70"/>
      <x:c r="J603" s="70"/>
      <x:c r="K603" s="190"/>
      <x:c r="L603" s="195"/>
      <x:c r="M603" s="192"/>
      <x:c r="N603" s="192"/>
      <x:c r="O603" s="69"/>
      <x:c r="P603" s="47"/>
      <x:c r="Q603" s="60"/>
      <x:c r="R603" s="58"/>
      <x:c r="S603" s="47"/>
      <x:c r="T603" s="60"/>
      <x:c r="U603" s="58"/>
      <x:c r="V603" s="47"/>
      <x:c r="W603" s="60"/>
      <x:c r="X603" s="58"/>
      <x:c r="Y603" s="47"/>
      <x:c r="Z603" s="60"/>
      <x:c r="AA603" s="58"/>
      <x:c r="AB603" s="47"/>
      <x:c r="AC603" s="60"/>
      <x:c r="AD603" s="58"/>
      <x:c r="AE603" s="47"/>
      <x:c r="AF603" s="60"/>
      <x:c r="AG603" s="58"/>
      <x:c r="AH603" s="47"/>
      <x:c r="AI603" s="60"/>
      <x:c r="AJ603" s="58"/>
      <x:c r="AK603" s="47"/>
      <x:c r="AL603" s="60"/>
      <x:c r="AM603" s="58"/>
      <x:c r="AN603" s="47"/>
      <x:c r="AO603" s="60"/>
      <x:c r="AP603" s="58"/>
      <x:c r="AQ603" s="47"/>
      <x:c r="AR603" s="60"/>
      <x:c r="AS603" s="58"/>
      <x:c r="AT603" s="47"/>
      <x:c r="AU603" s="60"/>
      <x:c r="AV603" s="58"/>
      <x:c r="AW603" s="47"/>
      <x:c r="AX603" s="60"/>
      <x:c r="AY603" s="58"/>
      <x:c r="AZ603" s="47"/>
      <x:c r="BA603" s="60"/>
      <x:c r="BB603" s="58"/>
      <x:c r="BC603" s="47"/>
      <x:c r="BD603" s="60"/>
      <x:c r="BE603" s="58"/>
      <x:c r="BF603" s="47"/>
      <x:c r="BG603" s="60"/>
      <x:c r="BH603" s="58"/>
      <x:c r="BI603" s="47"/>
      <x:c r="BJ603" s="60"/>
      <x:c r="BK603" s="58"/>
      <x:c r="BL603" s="47"/>
      <x:c r="BM603" s="60"/>
      <x:c r="BN603" s="58"/>
      <x:c r="BO603" s="47"/>
      <x:c r="BP603" s="60"/>
      <x:c r="BQ603" s="58"/>
      <x:c r="BR603" s="47"/>
      <x:c r="BS603" s="60"/>
      <x:c r="BT603" s="58"/>
      <x:c r="BU603" s="47"/>
      <x:c r="BV603" s="60"/>
      <x:c r="BW603" s="58"/>
      <x:c r="BX603" s="47"/>
      <x:c r="BY603" s="60"/>
      <x:c r="BZ603" s="58"/>
      <x:c r="CA603" s="47"/>
      <x:c r="CB603" s="60"/>
      <x:c r="CC603" s="58"/>
      <x:c r="CD603" s="47"/>
      <x:c r="CE603" s="60"/>
      <x:c r="CF603" s="58"/>
      <x:c r="CG603" s="47"/>
      <x:c r="CH603" s="60"/>
      <x:c r="CI603" s="58"/>
      <x:c r="CJ603" s="47"/>
      <x:c r="CK603" s="60"/>
      <x:c r="CL603" s="58"/>
      <x:c r="CM603" s="47"/>
      <x:c r="CN603" s="60"/>
      <x:c r="CO603" s="58"/>
      <x:c r="CP603" s="47"/>
      <x:c r="CQ603" s="60"/>
      <x:c r="CR603" s="58"/>
      <x:c r="CS603" s="47"/>
      <x:c r="CT603" s="60"/>
      <x:c r="CU603" s="58"/>
      <x:c r="CV603" s="47"/>
      <x:c r="CW603" s="60"/>
      <x:c r="CX603" s="58"/>
      <x:c r="CY603" s="47"/>
      <x:c r="CZ603" s="60"/>
      <x:c r="DA603" s="58"/>
      <x:c r="DB603" s="47"/>
      <x:c r="DC603" s="60"/>
      <x:c r="DD603" s="58"/>
      <x:c r="DE603" s="47"/>
      <x:c r="DF603" s="60"/>
      <x:c r="DG603" s="58"/>
      <x:c r="DH603" s="47"/>
      <x:c r="DI603" s="60"/>
      <x:c r="DJ603" s="58"/>
      <x:c r="DK603" s="47"/>
      <x:c r="DL603" s="60"/>
      <x:c r="DM603" s="58"/>
      <x:c r="DN603" s="11"/>
      <x:c r="DO603" s="61"/>
      <x:c r="DP603" s="62"/>
      <x:c r="DQ603" s="11"/>
      <x:c r="DR603" s="61"/>
      <x:c r="DS603" s="62"/>
      <x:c r="DT603" s="11"/>
      <x:c r="DU603" s="61"/>
      <x:c r="DV603" s="62"/>
    </x:row>
    <x:row r="604" spans="1:126" x14ac:dyDescent="0.3">
      <x:c r="A604" s="47"/>
      <x:c r="B604" s="70"/>
      <x:c r="C604" s="70"/>
      <x:c r="D604" s="70"/>
      <x:c r="E604" s="70"/>
      <x:c r="F604" s="70"/>
      <x:c r="G604" s="70"/>
      <x:c r="H604" s="70"/>
      <x:c r="I604" s="70"/>
      <x:c r="J604" s="70"/>
      <x:c r="K604" s="190"/>
      <x:c r="L604" s="195"/>
      <x:c r="M604" s="192"/>
      <x:c r="N604" s="192"/>
      <x:c r="O604" s="69"/>
      <x:c r="P604" s="47"/>
      <x:c r="Q604" s="60"/>
      <x:c r="R604" s="58"/>
      <x:c r="S604" s="47"/>
      <x:c r="T604" s="60"/>
      <x:c r="U604" s="58"/>
      <x:c r="V604" s="47"/>
      <x:c r="W604" s="60"/>
      <x:c r="X604" s="58"/>
      <x:c r="Y604" s="47"/>
      <x:c r="Z604" s="60"/>
      <x:c r="AA604" s="58"/>
      <x:c r="AB604" s="47"/>
      <x:c r="AC604" s="60"/>
      <x:c r="AD604" s="58"/>
      <x:c r="AE604" s="47"/>
      <x:c r="AF604" s="60"/>
      <x:c r="AG604" s="58"/>
      <x:c r="AH604" s="47"/>
      <x:c r="AI604" s="60"/>
      <x:c r="AJ604" s="58"/>
      <x:c r="AK604" s="47"/>
      <x:c r="AL604" s="60"/>
      <x:c r="AM604" s="58"/>
      <x:c r="AN604" s="47"/>
      <x:c r="AO604" s="60"/>
      <x:c r="AP604" s="58"/>
      <x:c r="AQ604" s="47"/>
      <x:c r="AR604" s="60"/>
      <x:c r="AS604" s="58"/>
      <x:c r="AT604" s="47"/>
      <x:c r="AU604" s="60"/>
      <x:c r="AV604" s="58"/>
      <x:c r="AW604" s="47"/>
      <x:c r="AX604" s="60"/>
      <x:c r="AY604" s="58"/>
      <x:c r="AZ604" s="47"/>
      <x:c r="BA604" s="60"/>
      <x:c r="BB604" s="58"/>
      <x:c r="BC604" s="47"/>
      <x:c r="BD604" s="60"/>
      <x:c r="BE604" s="58"/>
      <x:c r="BF604" s="47"/>
      <x:c r="BG604" s="60"/>
      <x:c r="BH604" s="58"/>
      <x:c r="BI604" s="47"/>
      <x:c r="BJ604" s="60"/>
      <x:c r="BK604" s="58"/>
      <x:c r="BL604" s="47"/>
      <x:c r="BM604" s="60"/>
      <x:c r="BN604" s="58"/>
      <x:c r="BO604" s="47"/>
      <x:c r="BP604" s="60"/>
      <x:c r="BQ604" s="58"/>
      <x:c r="BR604" s="47"/>
      <x:c r="BS604" s="60"/>
      <x:c r="BT604" s="58"/>
      <x:c r="BU604" s="47"/>
      <x:c r="BV604" s="60"/>
      <x:c r="BW604" s="58"/>
      <x:c r="BX604" s="47"/>
      <x:c r="BY604" s="60"/>
      <x:c r="BZ604" s="58"/>
      <x:c r="CA604" s="47"/>
      <x:c r="CB604" s="60"/>
      <x:c r="CC604" s="58"/>
      <x:c r="CD604" s="47"/>
      <x:c r="CE604" s="60"/>
      <x:c r="CF604" s="58"/>
      <x:c r="CG604" s="47"/>
      <x:c r="CH604" s="60"/>
      <x:c r="CI604" s="58"/>
      <x:c r="CJ604" s="47"/>
      <x:c r="CK604" s="60"/>
      <x:c r="CL604" s="58"/>
      <x:c r="CM604" s="47"/>
      <x:c r="CN604" s="60"/>
      <x:c r="CO604" s="58"/>
      <x:c r="CP604" s="47"/>
      <x:c r="CQ604" s="60"/>
      <x:c r="CR604" s="58"/>
      <x:c r="CS604" s="47"/>
      <x:c r="CT604" s="60"/>
      <x:c r="CU604" s="58"/>
      <x:c r="CV604" s="47"/>
      <x:c r="CW604" s="60"/>
      <x:c r="CX604" s="58"/>
      <x:c r="CY604" s="47"/>
      <x:c r="CZ604" s="60"/>
      <x:c r="DA604" s="58"/>
      <x:c r="DB604" s="47"/>
      <x:c r="DC604" s="60"/>
      <x:c r="DD604" s="58"/>
      <x:c r="DE604" s="47"/>
      <x:c r="DF604" s="60"/>
      <x:c r="DG604" s="58"/>
      <x:c r="DH604" s="47"/>
      <x:c r="DI604" s="60"/>
      <x:c r="DJ604" s="58"/>
      <x:c r="DK604" s="47"/>
      <x:c r="DL604" s="60"/>
      <x:c r="DM604" s="58"/>
      <x:c r="DN604" s="11"/>
      <x:c r="DO604" s="61"/>
      <x:c r="DP604" s="62"/>
      <x:c r="DQ604" s="11"/>
      <x:c r="DR604" s="61"/>
      <x:c r="DS604" s="62"/>
      <x:c r="DT604" s="11"/>
      <x:c r="DU604" s="61"/>
      <x:c r="DV604" s="62"/>
    </x:row>
    <x:row r="605" spans="1:126" x14ac:dyDescent="0.3">
      <x:c r="A605" s="47"/>
      <x:c r="B605" s="70"/>
      <x:c r="C605" s="70"/>
      <x:c r="D605" s="70"/>
      <x:c r="E605" s="70"/>
      <x:c r="F605" s="70"/>
      <x:c r="G605" s="70"/>
      <x:c r="H605" s="70"/>
      <x:c r="I605" s="70"/>
      <x:c r="J605" s="70"/>
      <x:c r="K605" s="190"/>
      <x:c r="L605" s="195"/>
      <x:c r="M605" s="192"/>
      <x:c r="N605" s="192"/>
      <x:c r="O605" s="69"/>
      <x:c r="P605" s="47"/>
      <x:c r="Q605" s="60"/>
      <x:c r="R605" s="58"/>
      <x:c r="S605" s="47"/>
      <x:c r="T605" s="60"/>
      <x:c r="U605" s="58"/>
      <x:c r="V605" s="47"/>
      <x:c r="W605" s="60"/>
      <x:c r="X605" s="58"/>
      <x:c r="Y605" s="47"/>
      <x:c r="Z605" s="60"/>
      <x:c r="AA605" s="58"/>
      <x:c r="AB605" s="47"/>
      <x:c r="AC605" s="60"/>
      <x:c r="AD605" s="58"/>
      <x:c r="AE605" s="47"/>
      <x:c r="AF605" s="60"/>
      <x:c r="AG605" s="58"/>
      <x:c r="AH605" s="47"/>
      <x:c r="AI605" s="60"/>
      <x:c r="AJ605" s="58"/>
      <x:c r="AK605" s="47"/>
      <x:c r="AL605" s="60"/>
      <x:c r="AM605" s="58"/>
      <x:c r="AN605" s="47"/>
      <x:c r="AO605" s="60"/>
      <x:c r="AP605" s="58"/>
      <x:c r="AQ605" s="47"/>
      <x:c r="AR605" s="60"/>
      <x:c r="AS605" s="58"/>
      <x:c r="AT605" s="47"/>
      <x:c r="AU605" s="60"/>
      <x:c r="AV605" s="58"/>
      <x:c r="AW605" s="47"/>
      <x:c r="AX605" s="60"/>
      <x:c r="AY605" s="58"/>
      <x:c r="AZ605" s="47"/>
      <x:c r="BA605" s="60"/>
      <x:c r="BB605" s="58"/>
      <x:c r="BC605" s="47"/>
      <x:c r="BD605" s="60"/>
      <x:c r="BE605" s="58"/>
      <x:c r="BF605" s="47"/>
      <x:c r="BG605" s="60"/>
      <x:c r="BH605" s="58"/>
      <x:c r="BI605" s="47"/>
      <x:c r="BJ605" s="60"/>
      <x:c r="BK605" s="58"/>
      <x:c r="BL605" s="47"/>
      <x:c r="BM605" s="60"/>
      <x:c r="BN605" s="58"/>
      <x:c r="BO605" s="47"/>
      <x:c r="BP605" s="60"/>
      <x:c r="BQ605" s="58"/>
      <x:c r="BR605" s="47"/>
      <x:c r="BS605" s="60"/>
      <x:c r="BT605" s="58"/>
      <x:c r="BU605" s="47"/>
      <x:c r="BV605" s="60"/>
      <x:c r="BW605" s="58"/>
      <x:c r="BX605" s="47"/>
      <x:c r="BY605" s="60"/>
      <x:c r="BZ605" s="58"/>
      <x:c r="CA605" s="47"/>
      <x:c r="CB605" s="60"/>
      <x:c r="CC605" s="58"/>
      <x:c r="CD605" s="47"/>
      <x:c r="CE605" s="60"/>
      <x:c r="CF605" s="58"/>
      <x:c r="CG605" s="47"/>
      <x:c r="CH605" s="60"/>
      <x:c r="CI605" s="58"/>
      <x:c r="CJ605" s="47"/>
      <x:c r="CK605" s="60"/>
      <x:c r="CL605" s="58"/>
      <x:c r="CM605" s="47"/>
      <x:c r="CN605" s="60"/>
      <x:c r="CO605" s="58"/>
      <x:c r="CP605" s="47"/>
      <x:c r="CQ605" s="60"/>
      <x:c r="CR605" s="58"/>
      <x:c r="CS605" s="47"/>
      <x:c r="CT605" s="60"/>
      <x:c r="CU605" s="58"/>
      <x:c r="CV605" s="47"/>
      <x:c r="CW605" s="60"/>
      <x:c r="CX605" s="58"/>
      <x:c r="CY605" s="47"/>
      <x:c r="CZ605" s="60"/>
      <x:c r="DA605" s="58"/>
      <x:c r="DB605" s="47"/>
      <x:c r="DC605" s="60"/>
      <x:c r="DD605" s="58"/>
      <x:c r="DE605" s="47"/>
      <x:c r="DF605" s="60"/>
      <x:c r="DG605" s="58"/>
      <x:c r="DH605" s="47"/>
      <x:c r="DI605" s="60"/>
      <x:c r="DJ605" s="58"/>
      <x:c r="DK605" s="47"/>
      <x:c r="DL605" s="60"/>
      <x:c r="DM605" s="58"/>
      <x:c r="DN605" s="11"/>
      <x:c r="DO605" s="61"/>
      <x:c r="DP605" s="62"/>
      <x:c r="DQ605" s="11"/>
      <x:c r="DR605" s="61"/>
      <x:c r="DS605" s="62"/>
      <x:c r="DT605" s="11"/>
      <x:c r="DU605" s="61"/>
      <x:c r="DV605" s="62"/>
    </x:row>
    <x:row r="606" spans="1:126" x14ac:dyDescent="0.3">
      <x:c r="A606" s="47"/>
      <x:c r="B606" s="70"/>
      <x:c r="C606" s="70"/>
      <x:c r="D606" s="70"/>
      <x:c r="E606" s="70"/>
      <x:c r="F606" s="70"/>
      <x:c r="G606" s="70"/>
      <x:c r="H606" s="70"/>
      <x:c r="I606" s="70"/>
      <x:c r="J606" s="70"/>
      <x:c r="K606" s="190"/>
      <x:c r="L606" s="195"/>
      <x:c r="M606" s="192"/>
      <x:c r="N606" s="192"/>
      <x:c r="O606" s="69"/>
      <x:c r="P606" s="47"/>
      <x:c r="Q606" s="60"/>
      <x:c r="R606" s="58"/>
      <x:c r="S606" s="47"/>
      <x:c r="T606" s="60"/>
      <x:c r="U606" s="58"/>
      <x:c r="V606" s="47"/>
      <x:c r="W606" s="60"/>
      <x:c r="X606" s="58"/>
      <x:c r="Y606" s="47"/>
      <x:c r="Z606" s="60"/>
      <x:c r="AA606" s="58"/>
      <x:c r="AB606" s="47"/>
      <x:c r="AC606" s="60"/>
      <x:c r="AD606" s="58"/>
      <x:c r="AE606" s="47"/>
      <x:c r="AF606" s="60"/>
      <x:c r="AG606" s="58"/>
      <x:c r="AH606" s="47"/>
      <x:c r="AI606" s="60"/>
      <x:c r="AJ606" s="58"/>
      <x:c r="AK606" s="47"/>
      <x:c r="AL606" s="60"/>
      <x:c r="AM606" s="58"/>
      <x:c r="AN606" s="47"/>
      <x:c r="AO606" s="60"/>
      <x:c r="AP606" s="58"/>
      <x:c r="AQ606" s="47"/>
      <x:c r="AR606" s="60"/>
      <x:c r="AS606" s="58"/>
      <x:c r="AT606" s="47"/>
      <x:c r="AU606" s="60"/>
      <x:c r="AV606" s="58"/>
      <x:c r="AW606" s="47"/>
      <x:c r="AX606" s="60"/>
      <x:c r="AY606" s="58"/>
      <x:c r="AZ606" s="47"/>
      <x:c r="BA606" s="60"/>
      <x:c r="BB606" s="58"/>
      <x:c r="BC606" s="47"/>
      <x:c r="BD606" s="60"/>
      <x:c r="BE606" s="58"/>
      <x:c r="BF606" s="47"/>
      <x:c r="BG606" s="60"/>
      <x:c r="BH606" s="58"/>
      <x:c r="BI606" s="47"/>
      <x:c r="BJ606" s="60"/>
      <x:c r="BK606" s="58"/>
      <x:c r="BL606" s="47"/>
      <x:c r="BM606" s="60"/>
      <x:c r="BN606" s="58"/>
      <x:c r="BO606" s="47"/>
      <x:c r="BP606" s="60"/>
      <x:c r="BQ606" s="58"/>
      <x:c r="BR606" s="47"/>
      <x:c r="BS606" s="60"/>
      <x:c r="BT606" s="58"/>
      <x:c r="BU606" s="47"/>
      <x:c r="BV606" s="60"/>
      <x:c r="BW606" s="58"/>
      <x:c r="BX606" s="47"/>
      <x:c r="BY606" s="60"/>
      <x:c r="BZ606" s="58"/>
      <x:c r="CA606" s="47"/>
      <x:c r="CB606" s="60"/>
      <x:c r="CC606" s="58"/>
      <x:c r="CD606" s="47"/>
      <x:c r="CE606" s="60"/>
      <x:c r="CF606" s="58"/>
      <x:c r="CG606" s="47"/>
      <x:c r="CH606" s="60"/>
      <x:c r="CI606" s="58"/>
      <x:c r="CJ606" s="47"/>
      <x:c r="CK606" s="60"/>
      <x:c r="CL606" s="58"/>
      <x:c r="CM606" s="47"/>
      <x:c r="CN606" s="60"/>
      <x:c r="CO606" s="58"/>
      <x:c r="CP606" s="47"/>
      <x:c r="CQ606" s="60"/>
      <x:c r="CR606" s="58"/>
      <x:c r="CS606" s="47"/>
      <x:c r="CT606" s="60"/>
      <x:c r="CU606" s="58"/>
      <x:c r="CV606" s="47"/>
      <x:c r="CW606" s="60"/>
      <x:c r="CX606" s="58"/>
      <x:c r="CY606" s="47"/>
      <x:c r="CZ606" s="60"/>
      <x:c r="DA606" s="58"/>
      <x:c r="DB606" s="47"/>
      <x:c r="DC606" s="60"/>
      <x:c r="DD606" s="58"/>
      <x:c r="DE606" s="47"/>
      <x:c r="DF606" s="60"/>
      <x:c r="DG606" s="58"/>
      <x:c r="DH606" s="47"/>
      <x:c r="DI606" s="60"/>
      <x:c r="DJ606" s="58"/>
      <x:c r="DK606" s="47"/>
      <x:c r="DL606" s="60"/>
      <x:c r="DM606" s="58"/>
      <x:c r="DN606" s="11"/>
      <x:c r="DO606" s="61"/>
      <x:c r="DP606" s="62"/>
      <x:c r="DQ606" s="11"/>
      <x:c r="DR606" s="61"/>
      <x:c r="DS606" s="62"/>
      <x:c r="DT606" s="11"/>
      <x:c r="DU606" s="61"/>
      <x:c r="DV606" s="62"/>
    </x:row>
    <x:row r="607" spans="1:126" x14ac:dyDescent="0.3">
      <x:c r="A607" s="47"/>
      <x:c r="B607" s="70"/>
      <x:c r="C607" s="70"/>
      <x:c r="D607" s="70"/>
      <x:c r="E607" s="70"/>
      <x:c r="F607" s="70"/>
      <x:c r="G607" s="70"/>
      <x:c r="H607" s="70"/>
      <x:c r="I607" s="70"/>
      <x:c r="J607" s="70"/>
      <x:c r="K607" s="190"/>
      <x:c r="L607" s="195"/>
      <x:c r="M607" s="192"/>
      <x:c r="N607" s="192"/>
      <x:c r="O607" s="69"/>
      <x:c r="P607" s="47"/>
      <x:c r="Q607" s="60"/>
      <x:c r="R607" s="58"/>
      <x:c r="S607" s="47"/>
      <x:c r="T607" s="60"/>
      <x:c r="U607" s="58"/>
      <x:c r="V607" s="47"/>
      <x:c r="W607" s="60"/>
      <x:c r="X607" s="58"/>
      <x:c r="Y607" s="47"/>
      <x:c r="Z607" s="60"/>
      <x:c r="AA607" s="58"/>
      <x:c r="AB607" s="47"/>
      <x:c r="AC607" s="60"/>
      <x:c r="AD607" s="58"/>
      <x:c r="AE607" s="47"/>
      <x:c r="AF607" s="60"/>
      <x:c r="AG607" s="58"/>
      <x:c r="AH607" s="47"/>
      <x:c r="AI607" s="60"/>
      <x:c r="AJ607" s="58"/>
      <x:c r="AK607" s="47"/>
      <x:c r="AL607" s="60"/>
      <x:c r="AM607" s="58"/>
      <x:c r="AN607" s="47"/>
      <x:c r="AO607" s="60"/>
      <x:c r="AP607" s="58"/>
      <x:c r="AQ607" s="47"/>
      <x:c r="AR607" s="60"/>
      <x:c r="AS607" s="58"/>
      <x:c r="AT607" s="47"/>
      <x:c r="AU607" s="60"/>
      <x:c r="AV607" s="58"/>
      <x:c r="AW607" s="47"/>
      <x:c r="AX607" s="60"/>
      <x:c r="AY607" s="58"/>
      <x:c r="AZ607" s="47"/>
      <x:c r="BA607" s="60"/>
      <x:c r="BB607" s="58"/>
      <x:c r="BC607" s="47"/>
      <x:c r="BD607" s="60"/>
      <x:c r="BE607" s="58"/>
      <x:c r="BF607" s="47"/>
      <x:c r="BG607" s="60"/>
      <x:c r="BH607" s="58"/>
      <x:c r="BI607" s="47"/>
      <x:c r="BJ607" s="60"/>
      <x:c r="BK607" s="58"/>
      <x:c r="BL607" s="47"/>
      <x:c r="BM607" s="60"/>
      <x:c r="BN607" s="58"/>
      <x:c r="BO607" s="47"/>
      <x:c r="BP607" s="60"/>
      <x:c r="BQ607" s="58"/>
      <x:c r="BR607" s="47"/>
      <x:c r="BS607" s="60"/>
      <x:c r="BT607" s="58"/>
      <x:c r="BU607" s="47"/>
      <x:c r="BV607" s="60"/>
      <x:c r="BW607" s="58"/>
      <x:c r="BX607" s="47"/>
      <x:c r="BY607" s="60"/>
      <x:c r="BZ607" s="58"/>
      <x:c r="CA607" s="47"/>
      <x:c r="CB607" s="60"/>
      <x:c r="CC607" s="58"/>
      <x:c r="CD607" s="47"/>
      <x:c r="CE607" s="60"/>
      <x:c r="CF607" s="58"/>
      <x:c r="CG607" s="47"/>
      <x:c r="CH607" s="60"/>
      <x:c r="CI607" s="58"/>
      <x:c r="CJ607" s="47"/>
      <x:c r="CK607" s="60"/>
      <x:c r="CL607" s="58"/>
      <x:c r="CM607" s="47"/>
      <x:c r="CN607" s="60"/>
      <x:c r="CO607" s="58"/>
      <x:c r="CP607" s="47"/>
      <x:c r="CQ607" s="60"/>
      <x:c r="CR607" s="58"/>
      <x:c r="CS607" s="47"/>
      <x:c r="CT607" s="60"/>
      <x:c r="CU607" s="58"/>
      <x:c r="CV607" s="47"/>
      <x:c r="CW607" s="60"/>
      <x:c r="CX607" s="58"/>
      <x:c r="CY607" s="47"/>
      <x:c r="CZ607" s="60"/>
      <x:c r="DA607" s="58"/>
      <x:c r="DB607" s="47"/>
      <x:c r="DC607" s="60"/>
      <x:c r="DD607" s="58"/>
      <x:c r="DE607" s="47"/>
      <x:c r="DF607" s="60"/>
      <x:c r="DG607" s="58"/>
      <x:c r="DH607" s="47"/>
      <x:c r="DI607" s="60"/>
      <x:c r="DJ607" s="58"/>
      <x:c r="DK607" s="47"/>
      <x:c r="DL607" s="60"/>
      <x:c r="DM607" s="58"/>
      <x:c r="DN607" s="11"/>
      <x:c r="DO607" s="61"/>
      <x:c r="DP607" s="62"/>
      <x:c r="DQ607" s="11"/>
      <x:c r="DR607" s="61"/>
      <x:c r="DS607" s="62"/>
      <x:c r="DT607" s="11"/>
      <x:c r="DU607" s="61"/>
      <x:c r="DV607" s="62"/>
    </x:row>
    <x:row r="608" spans="1:126" x14ac:dyDescent="0.3">
      <x:c r="A608" s="47"/>
      <x:c r="B608" s="70"/>
      <x:c r="C608" s="70"/>
      <x:c r="D608" s="70"/>
      <x:c r="E608" s="70"/>
      <x:c r="F608" s="70"/>
      <x:c r="G608" s="70"/>
      <x:c r="H608" s="70"/>
      <x:c r="I608" s="70"/>
      <x:c r="J608" s="70"/>
      <x:c r="K608" s="190"/>
      <x:c r="L608" s="195"/>
      <x:c r="M608" s="192"/>
      <x:c r="N608" s="192"/>
      <x:c r="O608" s="69"/>
      <x:c r="P608" s="47"/>
      <x:c r="Q608" s="60"/>
      <x:c r="R608" s="58"/>
      <x:c r="S608" s="47"/>
      <x:c r="T608" s="60"/>
      <x:c r="U608" s="58"/>
      <x:c r="V608" s="47"/>
      <x:c r="W608" s="60"/>
      <x:c r="X608" s="58"/>
      <x:c r="Y608" s="47"/>
      <x:c r="Z608" s="60"/>
      <x:c r="AA608" s="58"/>
      <x:c r="AB608" s="47"/>
      <x:c r="AC608" s="60"/>
      <x:c r="AD608" s="58"/>
      <x:c r="AE608" s="47"/>
      <x:c r="AF608" s="60"/>
      <x:c r="AG608" s="58"/>
      <x:c r="AH608" s="47"/>
      <x:c r="AI608" s="60"/>
      <x:c r="AJ608" s="58"/>
      <x:c r="AK608" s="47"/>
      <x:c r="AL608" s="60"/>
      <x:c r="AM608" s="58"/>
      <x:c r="AN608" s="47"/>
      <x:c r="AO608" s="60"/>
      <x:c r="AP608" s="58"/>
      <x:c r="AQ608" s="47"/>
      <x:c r="AR608" s="60"/>
      <x:c r="AS608" s="58"/>
      <x:c r="AT608" s="47"/>
      <x:c r="AU608" s="60"/>
      <x:c r="AV608" s="58"/>
      <x:c r="AW608" s="47"/>
      <x:c r="AX608" s="60"/>
      <x:c r="AY608" s="58"/>
      <x:c r="AZ608" s="47"/>
      <x:c r="BA608" s="60"/>
      <x:c r="BB608" s="58"/>
      <x:c r="BC608" s="47"/>
      <x:c r="BD608" s="60"/>
      <x:c r="BE608" s="58"/>
      <x:c r="BF608" s="47"/>
      <x:c r="BG608" s="60"/>
      <x:c r="BH608" s="58"/>
      <x:c r="BI608" s="47"/>
      <x:c r="BJ608" s="60"/>
      <x:c r="BK608" s="58"/>
      <x:c r="BL608" s="47"/>
      <x:c r="BM608" s="60"/>
      <x:c r="BN608" s="58"/>
      <x:c r="BO608" s="47"/>
      <x:c r="BP608" s="60"/>
      <x:c r="BQ608" s="58"/>
      <x:c r="BR608" s="47"/>
      <x:c r="BS608" s="60"/>
      <x:c r="BT608" s="58"/>
      <x:c r="BU608" s="47"/>
      <x:c r="BV608" s="60"/>
      <x:c r="BW608" s="58"/>
      <x:c r="BX608" s="47"/>
      <x:c r="BY608" s="60"/>
      <x:c r="BZ608" s="58"/>
      <x:c r="CA608" s="47"/>
      <x:c r="CB608" s="60"/>
      <x:c r="CC608" s="58"/>
      <x:c r="CD608" s="47"/>
      <x:c r="CE608" s="60"/>
      <x:c r="CF608" s="58"/>
      <x:c r="CG608" s="47"/>
      <x:c r="CH608" s="60"/>
      <x:c r="CI608" s="58"/>
      <x:c r="CJ608" s="47"/>
      <x:c r="CK608" s="60"/>
      <x:c r="CL608" s="58"/>
      <x:c r="CM608" s="47"/>
      <x:c r="CN608" s="60"/>
      <x:c r="CO608" s="58"/>
      <x:c r="CP608" s="47"/>
      <x:c r="CQ608" s="60"/>
      <x:c r="CR608" s="58"/>
      <x:c r="CS608" s="47"/>
      <x:c r="CT608" s="60"/>
      <x:c r="CU608" s="58"/>
      <x:c r="CV608" s="47"/>
      <x:c r="CW608" s="60"/>
      <x:c r="CX608" s="58"/>
      <x:c r="CY608" s="47"/>
      <x:c r="CZ608" s="60"/>
      <x:c r="DA608" s="58"/>
      <x:c r="DB608" s="47"/>
      <x:c r="DC608" s="60"/>
      <x:c r="DD608" s="58"/>
      <x:c r="DE608" s="47"/>
      <x:c r="DF608" s="60"/>
      <x:c r="DG608" s="58"/>
      <x:c r="DH608" s="47"/>
      <x:c r="DI608" s="60"/>
      <x:c r="DJ608" s="58"/>
      <x:c r="DK608" s="47"/>
      <x:c r="DL608" s="60"/>
      <x:c r="DM608" s="58"/>
      <x:c r="DN608" s="11"/>
      <x:c r="DO608" s="61"/>
      <x:c r="DP608" s="62"/>
      <x:c r="DQ608" s="11"/>
      <x:c r="DR608" s="61"/>
      <x:c r="DS608" s="62"/>
      <x:c r="DT608" s="11"/>
      <x:c r="DU608" s="61"/>
      <x:c r="DV608" s="62"/>
    </x:row>
    <x:row r="609" spans="1:126" x14ac:dyDescent="0.3">
      <x:c r="A609" s="47"/>
      <x:c r="B609" s="70"/>
      <x:c r="C609" s="70"/>
      <x:c r="D609" s="70"/>
      <x:c r="E609" s="70"/>
      <x:c r="F609" s="70"/>
      <x:c r="G609" s="70"/>
      <x:c r="H609" s="70"/>
      <x:c r="I609" s="70"/>
      <x:c r="J609" s="70"/>
      <x:c r="K609" s="190"/>
      <x:c r="L609" s="195"/>
      <x:c r="M609" s="192"/>
      <x:c r="N609" s="192"/>
      <x:c r="O609" s="69"/>
      <x:c r="P609" s="47"/>
      <x:c r="Q609" s="60"/>
      <x:c r="R609" s="58"/>
      <x:c r="S609" s="47"/>
      <x:c r="T609" s="60"/>
      <x:c r="U609" s="58"/>
      <x:c r="V609" s="47"/>
      <x:c r="W609" s="60"/>
      <x:c r="X609" s="58"/>
      <x:c r="Y609" s="47"/>
      <x:c r="Z609" s="60"/>
      <x:c r="AA609" s="58"/>
      <x:c r="AB609" s="47"/>
      <x:c r="AC609" s="60"/>
      <x:c r="AD609" s="58"/>
      <x:c r="AE609" s="47"/>
      <x:c r="AF609" s="60"/>
      <x:c r="AG609" s="58"/>
      <x:c r="AH609" s="47"/>
      <x:c r="AI609" s="60"/>
      <x:c r="AJ609" s="58"/>
      <x:c r="AK609" s="47"/>
      <x:c r="AL609" s="60"/>
      <x:c r="AM609" s="58"/>
      <x:c r="AN609" s="47"/>
      <x:c r="AO609" s="60"/>
      <x:c r="AP609" s="58"/>
      <x:c r="AQ609" s="47"/>
      <x:c r="AR609" s="60"/>
      <x:c r="AS609" s="58"/>
      <x:c r="AT609" s="47"/>
      <x:c r="AU609" s="60"/>
      <x:c r="AV609" s="58"/>
      <x:c r="AW609" s="47"/>
      <x:c r="AX609" s="60"/>
      <x:c r="AY609" s="58"/>
      <x:c r="AZ609" s="47"/>
      <x:c r="BA609" s="60"/>
      <x:c r="BB609" s="58"/>
      <x:c r="BC609" s="47"/>
      <x:c r="BD609" s="60"/>
      <x:c r="BE609" s="58"/>
      <x:c r="BF609" s="47"/>
      <x:c r="BG609" s="60"/>
      <x:c r="BH609" s="58"/>
      <x:c r="BI609" s="47"/>
      <x:c r="BJ609" s="60"/>
      <x:c r="BK609" s="58"/>
      <x:c r="BL609" s="47"/>
      <x:c r="BM609" s="60"/>
      <x:c r="BN609" s="58"/>
      <x:c r="BO609" s="47"/>
      <x:c r="BP609" s="60"/>
      <x:c r="BQ609" s="58"/>
      <x:c r="BR609" s="47"/>
      <x:c r="BS609" s="60"/>
      <x:c r="BT609" s="58"/>
      <x:c r="BU609" s="47"/>
      <x:c r="BV609" s="60"/>
      <x:c r="BW609" s="58"/>
      <x:c r="BX609" s="47"/>
      <x:c r="BY609" s="60"/>
      <x:c r="BZ609" s="58"/>
      <x:c r="CA609" s="47"/>
      <x:c r="CB609" s="60"/>
      <x:c r="CC609" s="58"/>
      <x:c r="CD609" s="47"/>
      <x:c r="CE609" s="60"/>
      <x:c r="CF609" s="58"/>
      <x:c r="CG609" s="47"/>
      <x:c r="CH609" s="60"/>
      <x:c r="CI609" s="58"/>
      <x:c r="CJ609" s="47"/>
      <x:c r="CK609" s="60"/>
      <x:c r="CL609" s="58"/>
      <x:c r="CM609" s="47"/>
      <x:c r="CN609" s="60"/>
      <x:c r="CO609" s="58"/>
      <x:c r="CP609" s="47"/>
      <x:c r="CQ609" s="60"/>
      <x:c r="CR609" s="58"/>
      <x:c r="CS609" s="47"/>
      <x:c r="CT609" s="60"/>
      <x:c r="CU609" s="58"/>
      <x:c r="CV609" s="47"/>
      <x:c r="CW609" s="60"/>
      <x:c r="CX609" s="58"/>
      <x:c r="CY609" s="47"/>
      <x:c r="CZ609" s="60"/>
      <x:c r="DA609" s="58"/>
      <x:c r="DB609" s="47"/>
      <x:c r="DC609" s="60"/>
      <x:c r="DD609" s="58"/>
      <x:c r="DE609" s="47"/>
      <x:c r="DF609" s="60"/>
      <x:c r="DG609" s="58"/>
      <x:c r="DH609" s="47"/>
      <x:c r="DI609" s="60"/>
      <x:c r="DJ609" s="58"/>
      <x:c r="DK609" s="47"/>
      <x:c r="DL609" s="60"/>
      <x:c r="DM609" s="58"/>
      <x:c r="DN609" s="11"/>
      <x:c r="DO609" s="61"/>
      <x:c r="DP609" s="62"/>
      <x:c r="DQ609" s="11"/>
      <x:c r="DR609" s="61"/>
      <x:c r="DS609" s="62"/>
      <x:c r="DT609" s="11"/>
      <x:c r="DU609" s="61"/>
      <x:c r="DV609" s="62"/>
    </x:row>
    <x:row r="610" spans="1:126" x14ac:dyDescent="0.3">
      <x:c r="A610" s="47"/>
      <x:c r="B610" s="70"/>
      <x:c r="C610" s="70"/>
      <x:c r="D610" s="70"/>
      <x:c r="E610" s="70"/>
      <x:c r="F610" s="70"/>
      <x:c r="G610" s="70"/>
      <x:c r="H610" s="70"/>
      <x:c r="I610" s="70"/>
      <x:c r="J610" s="70"/>
      <x:c r="K610" s="190"/>
      <x:c r="L610" s="195"/>
      <x:c r="M610" s="192"/>
      <x:c r="N610" s="192"/>
      <x:c r="O610" s="69"/>
      <x:c r="P610" s="47"/>
      <x:c r="Q610" s="60"/>
      <x:c r="R610" s="58"/>
      <x:c r="S610" s="47"/>
      <x:c r="T610" s="60"/>
      <x:c r="U610" s="58"/>
      <x:c r="V610" s="47"/>
      <x:c r="W610" s="60"/>
      <x:c r="X610" s="58"/>
      <x:c r="Y610" s="47"/>
      <x:c r="Z610" s="60"/>
      <x:c r="AA610" s="58"/>
      <x:c r="AB610" s="47"/>
      <x:c r="AC610" s="60"/>
      <x:c r="AD610" s="58"/>
      <x:c r="AE610" s="47"/>
      <x:c r="AF610" s="60"/>
      <x:c r="AG610" s="58"/>
      <x:c r="AH610" s="47"/>
      <x:c r="AI610" s="60"/>
      <x:c r="AJ610" s="58"/>
      <x:c r="AK610" s="47"/>
      <x:c r="AL610" s="60"/>
      <x:c r="AM610" s="58"/>
      <x:c r="AN610" s="47"/>
      <x:c r="AO610" s="60"/>
      <x:c r="AP610" s="58"/>
      <x:c r="AQ610" s="47"/>
      <x:c r="AR610" s="60"/>
      <x:c r="AS610" s="58"/>
      <x:c r="AT610" s="47"/>
      <x:c r="AU610" s="60"/>
      <x:c r="AV610" s="58"/>
      <x:c r="AW610" s="47"/>
      <x:c r="AX610" s="60"/>
      <x:c r="AY610" s="58"/>
      <x:c r="AZ610" s="47"/>
      <x:c r="BA610" s="60"/>
      <x:c r="BB610" s="58"/>
      <x:c r="BC610" s="47"/>
      <x:c r="BD610" s="60"/>
      <x:c r="BE610" s="58"/>
      <x:c r="BF610" s="47"/>
      <x:c r="BG610" s="60"/>
      <x:c r="BH610" s="58"/>
      <x:c r="BI610" s="47"/>
      <x:c r="BJ610" s="60"/>
      <x:c r="BK610" s="58"/>
      <x:c r="BL610" s="47"/>
      <x:c r="BM610" s="60"/>
      <x:c r="BN610" s="58"/>
      <x:c r="BO610" s="47"/>
      <x:c r="BP610" s="60"/>
      <x:c r="BQ610" s="58"/>
      <x:c r="BR610" s="47"/>
      <x:c r="BS610" s="60"/>
      <x:c r="BT610" s="58"/>
      <x:c r="BU610" s="47"/>
      <x:c r="BV610" s="60"/>
      <x:c r="BW610" s="58"/>
      <x:c r="BX610" s="47"/>
      <x:c r="BY610" s="60"/>
      <x:c r="BZ610" s="58"/>
      <x:c r="CA610" s="47"/>
      <x:c r="CB610" s="60"/>
      <x:c r="CC610" s="58"/>
      <x:c r="CD610" s="47"/>
      <x:c r="CE610" s="60"/>
      <x:c r="CF610" s="58"/>
      <x:c r="CG610" s="47"/>
      <x:c r="CH610" s="60"/>
      <x:c r="CI610" s="58"/>
      <x:c r="CJ610" s="47"/>
      <x:c r="CK610" s="60"/>
      <x:c r="CL610" s="58"/>
      <x:c r="CM610" s="47"/>
      <x:c r="CN610" s="60"/>
      <x:c r="CO610" s="58"/>
      <x:c r="CP610" s="47"/>
      <x:c r="CQ610" s="60"/>
      <x:c r="CR610" s="58"/>
      <x:c r="CS610" s="47"/>
      <x:c r="CT610" s="60"/>
      <x:c r="CU610" s="58"/>
      <x:c r="CV610" s="47"/>
      <x:c r="CW610" s="60"/>
      <x:c r="CX610" s="58"/>
      <x:c r="CY610" s="47"/>
      <x:c r="CZ610" s="60"/>
      <x:c r="DA610" s="58"/>
      <x:c r="DB610" s="47"/>
      <x:c r="DC610" s="60"/>
      <x:c r="DD610" s="58"/>
      <x:c r="DE610" s="47"/>
      <x:c r="DF610" s="60"/>
      <x:c r="DG610" s="58"/>
      <x:c r="DH610" s="47"/>
      <x:c r="DI610" s="60"/>
      <x:c r="DJ610" s="58"/>
      <x:c r="DK610" s="47"/>
      <x:c r="DL610" s="60"/>
      <x:c r="DM610" s="58"/>
      <x:c r="DN610" s="11"/>
      <x:c r="DO610" s="61"/>
      <x:c r="DP610" s="62"/>
      <x:c r="DQ610" s="11"/>
      <x:c r="DR610" s="61"/>
      <x:c r="DS610" s="62"/>
      <x:c r="DT610" s="11"/>
      <x:c r="DU610" s="61"/>
      <x:c r="DV610" s="62"/>
    </x:row>
    <x:row r="611" spans="1:126" x14ac:dyDescent="0.3">
      <x:c r="A611" s="47"/>
      <x:c r="B611" s="70"/>
      <x:c r="C611" s="70"/>
      <x:c r="D611" s="70"/>
      <x:c r="E611" s="70"/>
      <x:c r="F611" s="70"/>
      <x:c r="G611" s="70"/>
      <x:c r="H611" s="70"/>
      <x:c r="I611" s="70"/>
      <x:c r="J611" s="70"/>
      <x:c r="K611" s="190"/>
      <x:c r="L611" s="195"/>
      <x:c r="M611" s="192"/>
      <x:c r="N611" s="192"/>
      <x:c r="O611" s="69"/>
      <x:c r="P611" s="47"/>
      <x:c r="Q611" s="60"/>
      <x:c r="R611" s="58"/>
      <x:c r="S611" s="47"/>
      <x:c r="T611" s="60"/>
      <x:c r="U611" s="58"/>
      <x:c r="V611" s="47"/>
      <x:c r="W611" s="60"/>
      <x:c r="X611" s="58"/>
      <x:c r="Y611" s="47"/>
      <x:c r="Z611" s="60"/>
      <x:c r="AA611" s="58"/>
      <x:c r="AB611" s="47"/>
      <x:c r="AC611" s="60"/>
      <x:c r="AD611" s="58"/>
      <x:c r="AE611" s="47"/>
      <x:c r="AF611" s="60"/>
      <x:c r="AG611" s="58"/>
      <x:c r="AH611" s="47"/>
      <x:c r="AI611" s="60"/>
      <x:c r="AJ611" s="58"/>
      <x:c r="AK611" s="47"/>
      <x:c r="AL611" s="60"/>
      <x:c r="AM611" s="58"/>
      <x:c r="AN611" s="47"/>
      <x:c r="AO611" s="60"/>
      <x:c r="AP611" s="58"/>
      <x:c r="AQ611" s="47"/>
      <x:c r="AR611" s="60"/>
      <x:c r="AS611" s="58"/>
      <x:c r="AT611" s="47"/>
      <x:c r="AU611" s="60"/>
      <x:c r="AV611" s="58"/>
      <x:c r="AW611" s="47"/>
      <x:c r="AX611" s="60"/>
      <x:c r="AY611" s="58"/>
      <x:c r="AZ611" s="47"/>
      <x:c r="BA611" s="60"/>
      <x:c r="BB611" s="58"/>
      <x:c r="BC611" s="47"/>
      <x:c r="BD611" s="60"/>
      <x:c r="BE611" s="58"/>
      <x:c r="BF611" s="47"/>
      <x:c r="BG611" s="60"/>
      <x:c r="BH611" s="58"/>
      <x:c r="BI611" s="47"/>
      <x:c r="BJ611" s="60"/>
      <x:c r="BK611" s="58"/>
      <x:c r="BL611" s="47"/>
      <x:c r="BM611" s="60"/>
      <x:c r="BN611" s="58"/>
      <x:c r="BO611" s="47"/>
      <x:c r="BP611" s="60"/>
      <x:c r="BQ611" s="58"/>
      <x:c r="BR611" s="47"/>
      <x:c r="BS611" s="60"/>
      <x:c r="BT611" s="58"/>
      <x:c r="BU611" s="47"/>
      <x:c r="BV611" s="60"/>
      <x:c r="BW611" s="58"/>
      <x:c r="BX611" s="47"/>
      <x:c r="BY611" s="60"/>
      <x:c r="BZ611" s="58"/>
      <x:c r="CA611" s="47"/>
      <x:c r="CB611" s="60"/>
      <x:c r="CC611" s="58"/>
      <x:c r="CD611" s="47"/>
      <x:c r="CE611" s="60"/>
      <x:c r="CF611" s="58"/>
      <x:c r="CG611" s="47"/>
      <x:c r="CH611" s="60"/>
      <x:c r="CI611" s="58"/>
      <x:c r="CJ611" s="47"/>
      <x:c r="CK611" s="60"/>
      <x:c r="CL611" s="58"/>
      <x:c r="CM611" s="47"/>
      <x:c r="CN611" s="60"/>
      <x:c r="CO611" s="58"/>
      <x:c r="CP611" s="47"/>
      <x:c r="CQ611" s="60"/>
      <x:c r="CR611" s="58"/>
      <x:c r="CS611" s="47"/>
      <x:c r="CT611" s="60"/>
      <x:c r="CU611" s="58"/>
      <x:c r="CV611" s="47"/>
      <x:c r="CW611" s="60"/>
      <x:c r="CX611" s="58"/>
      <x:c r="CY611" s="47"/>
      <x:c r="CZ611" s="60"/>
      <x:c r="DA611" s="58"/>
      <x:c r="DB611" s="47"/>
      <x:c r="DC611" s="60"/>
      <x:c r="DD611" s="58"/>
      <x:c r="DE611" s="47"/>
      <x:c r="DF611" s="60"/>
      <x:c r="DG611" s="58"/>
      <x:c r="DH611" s="47"/>
      <x:c r="DI611" s="60"/>
      <x:c r="DJ611" s="58"/>
      <x:c r="DK611" s="47"/>
      <x:c r="DL611" s="60"/>
      <x:c r="DM611" s="58"/>
      <x:c r="DN611" s="11"/>
      <x:c r="DO611" s="61"/>
      <x:c r="DP611" s="62"/>
      <x:c r="DQ611" s="11"/>
      <x:c r="DR611" s="61"/>
      <x:c r="DS611" s="62"/>
      <x:c r="DT611" s="11"/>
      <x:c r="DU611" s="61"/>
      <x:c r="DV611" s="62"/>
    </x:row>
    <x:row r="612" spans="1:126" x14ac:dyDescent="0.3">
      <x:c r="A612" s="47"/>
      <x:c r="B612" s="70"/>
      <x:c r="C612" s="70"/>
      <x:c r="D612" s="70"/>
      <x:c r="E612" s="70"/>
      <x:c r="F612" s="70"/>
      <x:c r="G612" s="70"/>
      <x:c r="H612" s="70"/>
      <x:c r="I612" s="70"/>
      <x:c r="J612" s="70"/>
      <x:c r="K612" s="190"/>
      <x:c r="L612" s="195"/>
      <x:c r="M612" s="192"/>
      <x:c r="N612" s="192"/>
      <x:c r="O612" s="69"/>
      <x:c r="P612" s="47"/>
      <x:c r="Q612" s="60"/>
      <x:c r="R612" s="58"/>
      <x:c r="S612" s="47"/>
      <x:c r="T612" s="60"/>
      <x:c r="U612" s="58"/>
      <x:c r="V612" s="47"/>
      <x:c r="W612" s="60"/>
      <x:c r="X612" s="58"/>
      <x:c r="Y612" s="47"/>
      <x:c r="Z612" s="60"/>
      <x:c r="AA612" s="58"/>
      <x:c r="AB612" s="47"/>
      <x:c r="AC612" s="60"/>
      <x:c r="AD612" s="58"/>
      <x:c r="AE612" s="47"/>
      <x:c r="AF612" s="60"/>
      <x:c r="AG612" s="58"/>
      <x:c r="AH612" s="47"/>
      <x:c r="AI612" s="60"/>
      <x:c r="AJ612" s="58"/>
      <x:c r="AK612" s="47"/>
      <x:c r="AL612" s="60"/>
      <x:c r="AM612" s="58"/>
      <x:c r="AN612" s="47"/>
      <x:c r="AO612" s="60"/>
      <x:c r="AP612" s="58"/>
      <x:c r="AQ612" s="47"/>
      <x:c r="AR612" s="60"/>
      <x:c r="AS612" s="58"/>
      <x:c r="AT612" s="47"/>
      <x:c r="AU612" s="60"/>
      <x:c r="AV612" s="58"/>
      <x:c r="AW612" s="47"/>
      <x:c r="AX612" s="60"/>
      <x:c r="AY612" s="58"/>
      <x:c r="AZ612" s="47"/>
      <x:c r="BA612" s="60"/>
      <x:c r="BB612" s="58"/>
      <x:c r="BC612" s="47"/>
      <x:c r="BD612" s="60"/>
      <x:c r="BE612" s="58"/>
      <x:c r="BF612" s="47"/>
      <x:c r="BG612" s="60"/>
      <x:c r="BH612" s="58"/>
      <x:c r="BI612" s="47"/>
      <x:c r="BJ612" s="60"/>
      <x:c r="BK612" s="58"/>
      <x:c r="BL612" s="47"/>
      <x:c r="BM612" s="60"/>
      <x:c r="BN612" s="58"/>
      <x:c r="BO612" s="47"/>
      <x:c r="BP612" s="60"/>
      <x:c r="BQ612" s="58"/>
      <x:c r="BR612" s="47"/>
      <x:c r="BS612" s="60"/>
      <x:c r="BT612" s="58"/>
      <x:c r="BU612" s="47"/>
      <x:c r="BV612" s="60"/>
      <x:c r="BW612" s="58"/>
      <x:c r="BX612" s="47"/>
      <x:c r="BY612" s="60"/>
      <x:c r="BZ612" s="58"/>
      <x:c r="CA612" s="47"/>
      <x:c r="CB612" s="60"/>
      <x:c r="CC612" s="58"/>
      <x:c r="CD612" s="47"/>
      <x:c r="CE612" s="60"/>
      <x:c r="CF612" s="58"/>
      <x:c r="CG612" s="47"/>
      <x:c r="CH612" s="60"/>
      <x:c r="CI612" s="58"/>
      <x:c r="CJ612" s="47"/>
      <x:c r="CK612" s="60"/>
      <x:c r="CL612" s="58"/>
      <x:c r="CM612" s="47"/>
      <x:c r="CN612" s="60"/>
      <x:c r="CO612" s="58"/>
      <x:c r="CP612" s="47"/>
      <x:c r="CQ612" s="60"/>
      <x:c r="CR612" s="58"/>
      <x:c r="CS612" s="47"/>
      <x:c r="CT612" s="60"/>
      <x:c r="CU612" s="58"/>
      <x:c r="CV612" s="47"/>
      <x:c r="CW612" s="60"/>
      <x:c r="CX612" s="58"/>
      <x:c r="CY612" s="47"/>
      <x:c r="CZ612" s="60"/>
      <x:c r="DA612" s="58"/>
      <x:c r="DB612" s="47"/>
      <x:c r="DC612" s="60"/>
      <x:c r="DD612" s="58"/>
      <x:c r="DE612" s="47"/>
      <x:c r="DF612" s="60"/>
      <x:c r="DG612" s="58"/>
      <x:c r="DH612" s="47"/>
      <x:c r="DI612" s="60"/>
      <x:c r="DJ612" s="58"/>
      <x:c r="DK612" s="47"/>
      <x:c r="DL612" s="60"/>
      <x:c r="DM612" s="58"/>
      <x:c r="DN612" s="11"/>
      <x:c r="DO612" s="61"/>
      <x:c r="DP612" s="62"/>
      <x:c r="DQ612" s="11"/>
      <x:c r="DR612" s="61"/>
      <x:c r="DS612" s="62"/>
      <x:c r="DT612" s="11"/>
      <x:c r="DU612" s="61"/>
      <x:c r="DV612" s="62"/>
    </x:row>
    <x:row r="613" spans="1:126" x14ac:dyDescent="0.3">
      <x:c r="A613" s="47"/>
      <x:c r="B613" s="70"/>
      <x:c r="C613" s="70"/>
      <x:c r="D613" s="70"/>
      <x:c r="E613" s="70"/>
      <x:c r="F613" s="70"/>
      <x:c r="G613" s="70"/>
      <x:c r="H613" s="70"/>
      <x:c r="I613" s="70"/>
      <x:c r="J613" s="70"/>
      <x:c r="K613" s="190"/>
      <x:c r="L613" s="195"/>
      <x:c r="M613" s="192"/>
      <x:c r="N613" s="192"/>
      <x:c r="O613" s="69"/>
      <x:c r="P613" s="47"/>
      <x:c r="Q613" s="60"/>
      <x:c r="R613" s="58"/>
      <x:c r="S613" s="47"/>
      <x:c r="T613" s="60"/>
      <x:c r="U613" s="58"/>
      <x:c r="V613" s="47"/>
      <x:c r="W613" s="60"/>
      <x:c r="X613" s="58"/>
      <x:c r="Y613" s="47"/>
      <x:c r="Z613" s="60"/>
      <x:c r="AA613" s="58"/>
      <x:c r="AB613" s="47"/>
      <x:c r="AC613" s="60"/>
      <x:c r="AD613" s="58"/>
      <x:c r="AE613" s="47"/>
      <x:c r="AF613" s="60"/>
      <x:c r="AG613" s="58"/>
      <x:c r="AH613" s="47"/>
      <x:c r="AI613" s="60"/>
      <x:c r="AJ613" s="58"/>
      <x:c r="AK613" s="47"/>
      <x:c r="AL613" s="60"/>
      <x:c r="AM613" s="58"/>
      <x:c r="AN613" s="47"/>
      <x:c r="AO613" s="60"/>
      <x:c r="AP613" s="58"/>
      <x:c r="AQ613" s="47"/>
      <x:c r="AR613" s="60"/>
      <x:c r="AS613" s="58"/>
      <x:c r="AT613" s="47"/>
      <x:c r="AU613" s="60"/>
      <x:c r="AV613" s="58"/>
      <x:c r="AW613" s="47"/>
      <x:c r="AX613" s="60"/>
      <x:c r="AY613" s="58"/>
      <x:c r="AZ613" s="47"/>
      <x:c r="BA613" s="60"/>
      <x:c r="BB613" s="58"/>
      <x:c r="BC613" s="47"/>
      <x:c r="BD613" s="60"/>
      <x:c r="BE613" s="58"/>
      <x:c r="BF613" s="47"/>
      <x:c r="BG613" s="60"/>
      <x:c r="BH613" s="58"/>
      <x:c r="BI613" s="47"/>
      <x:c r="BJ613" s="60"/>
      <x:c r="BK613" s="58"/>
      <x:c r="BL613" s="47"/>
      <x:c r="BM613" s="60"/>
      <x:c r="BN613" s="58"/>
      <x:c r="BO613" s="47"/>
      <x:c r="BP613" s="60"/>
      <x:c r="BQ613" s="58"/>
      <x:c r="BR613" s="47"/>
      <x:c r="BS613" s="60"/>
      <x:c r="BT613" s="58"/>
      <x:c r="BU613" s="47"/>
      <x:c r="BV613" s="60"/>
      <x:c r="BW613" s="58"/>
      <x:c r="BX613" s="47"/>
      <x:c r="BY613" s="60"/>
      <x:c r="BZ613" s="58"/>
      <x:c r="CA613" s="47"/>
      <x:c r="CB613" s="60"/>
      <x:c r="CC613" s="58"/>
      <x:c r="CD613" s="47"/>
      <x:c r="CE613" s="60"/>
      <x:c r="CF613" s="58"/>
      <x:c r="CG613" s="47"/>
      <x:c r="CH613" s="60"/>
      <x:c r="CI613" s="58"/>
      <x:c r="CJ613" s="47"/>
      <x:c r="CK613" s="60"/>
      <x:c r="CL613" s="58"/>
      <x:c r="CM613" s="47"/>
      <x:c r="CN613" s="60"/>
      <x:c r="CO613" s="58"/>
      <x:c r="CP613" s="47"/>
      <x:c r="CQ613" s="60"/>
      <x:c r="CR613" s="58"/>
      <x:c r="CS613" s="47"/>
      <x:c r="CT613" s="60"/>
      <x:c r="CU613" s="58"/>
      <x:c r="CV613" s="47"/>
      <x:c r="CW613" s="60"/>
      <x:c r="CX613" s="58"/>
      <x:c r="CY613" s="47"/>
      <x:c r="CZ613" s="60"/>
      <x:c r="DA613" s="58"/>
      <x:c r="DB613" s="47"/>
      <x:c r="DC613" s="60"/>
      <x:c r="DD613" s="58"/>
      <x:c r="DE613" s="47"/>
      <x:c r="DF613" s="60"/>
      <x:c r="DG613" s="58"/>
      <x:c r="DH613" s="47"/>
      <x:c r="DI613" s="60"/>
      <x:c r="DJ613" s="58"/>
      <x:c r="DK613" s="47"/>
      <x:c r="DL613" s="60"/>
      <x:c r="DM613" s="58"/>
      <x:c r="DN613" s="11"/>
      <x:c r="DO613" s="61"/>
      <x:c r="DP613" s="62"/>
      <x:c r="DQ613" s="11"/>
      <x:c r="DR613" s="61"/>
      <x:c r="DS613" s="62"/>
      <x:c r="DT613" s="11"/>
      <x:c r="DU613" s="61"/>
      <x:c r="DV613" s="62"/>
    </x:row>
    <x:row r="614" spans="1:126" x14ac:dyDescent="0.3">
      <x:c r="A614" s="47"/>
      <x:c r="B614" s="70"/>
      <x:c r="C614" s="70"/>
      <x:c r="D614" s="70"/>
      <x:c r="E614" s="70"/>
      <x:c r="F614" s="70"/>
      <x:c r="G614" s="70"/>
      <x:c r="H614" s="70"/>
      <x:c r="I614" s="70"/>
      <x:c r="J614" s="70"/>
      <x:c r="K614" s="190"/>
      <x:c r="L614" s="195"/>
      <x:c r="M614" s="192"/>
      <x:c r="N614" s="192"/>
      <x:c r="O614" s="69"/>
      <x:c r="P614" s="47"/>
      <x:c r="Q614" s="60"/>
      <x:c r="R614" s="58"/>
      <x:c r="S614" s="47"/>
      <x:c r="T614" s="60"/>
      <x:c r="U614" s="58"/>
      <x:c r="V614" s="47"/>
      <x:c r="W614" s="60"/>
      <x:c r="X614" s="58"/>
      <x:c r="Y614" s="47"/>
      <x:c r="Z614" s="60"/>
      <x:c r="AA614" s="58"/>
      <x:c r="AB614" s="47"/>
      <x:c r="AC614" s="60"/>
      <x:c r="AD614" s="58"/>
      <x:c r="AE614" s="47"/>
      <x:c r="AF614" s="60"/>
      <x:c r="AG614" s="58"/>
      <x:c r="AH614" s="47"/>
      <x:c r="AI614" s="60"/>
      <x:c r="AJ614" s="58"/>
      <x:c r="AK614" s="47"/>
      <x:c r="AL614" s="60"/>
      <x:c r="AM614" s="58"/>
      <x:c r="AN614" s="47"/>
      <x:c r="AO614" s="60"/>
      <x:c r="AP614" s="58"/>
      <x:c r="AQ614" s="47"/>
      <x:c r="AR614" s="60"/>
      <x:c r="AS614" s="58"/>
      <x:c r="AT614" s="47"/>
      <x:c r="AU614" s="60"/>
      <x:c r="AV614" s="58"/>
      <x:c r="AW614" s="47"/>
      <x:c r="AX614" s="60"/>
      <x:c r="AY614" s="58"/>
      <x:c r="AZ614" s="47"/>
      <x:c r="BA614" s="60"/>
      <x:c r="BB614" s="58"/>
      <x:c r="BC614" s="47"/>
      <x:c r="BD614" s="60"/>
      <x:c r="BE614" s="58"/>
      <x:c r="BF614" s="47"/>
      <x:c r="BG614" s="60"/>
      <x:c r="BH614" s="58"/>
      <x:c r="BI614" s="47"/>
      <x:c r="BJ614" s="60"/>
      <x:c r="BK614" s="58"/>
      <x:c r="BL614" s="47"/>
      <x:c r="BM614" s="60"/>
      <x:c r="BN614" s="58"/>
      <x:c r="BO614" s="47"/>
      <x:c r="BP614" s="60"/>
      <x:c r="BQ614" s="58"/>
      <x:c r="BR614" s="47"/>
      <x:c r="BS614" s="60"/>
      <x:c r="BT614" s="58"/>
      <x:c r="BU614" s="47"/>
      <x:c r="BV614" s="60"/>
      <x:c r="BW614" s="58"/>
      <x:c r="BX614" s="47"/>
      <x:c r="BY614" s="60"/>
      <x:c r="BZ614" s="58"/>
      <x:c r="CA614" s="47"/>
      <x:c r="CB614" s="60"/>
      <x:c r="CC614" s="58"/>
      <x:c r="CD614" s="47"/>
      <x:c r="CE614" s="60"/>
      <x:c r="CF614" s="58"/>
      <x:c r="CG614" s="47"/>
      <x:c r="CH614" s="60"/>
      <x:c r="CI614" s="58"/>
      <x:c r="CJ614" s="47"/>
      <x:c r="CK614" s="60"/>
      <x:c r="CL614" s="58"/>
      <x:c r="CM614" s="47"/>
      <x:c r="CN614" s="60"/>
      <x:c r="CO614" s="58"/>
      <x:c r="CP614" s="47"/>
      <x:c r="CQ614" s="60"/>
      <x:c r="CR614" s="58"/>
      <x:c r="CS614" s="47"/>
      <x:c r="CT614" s="60"/>
      <x:c r="CU614" s="58"/>
      <x:c r="CV614" s="47"/>
      <x:c r="CW614" s="60"/>
      <x:c r="CX614" s="58"/>
      <x:c r="CY614" s="47"/>
      <x:c r="CZ614" s="60"/>
      <x:c r="DA614" s="58"/>
      <x:c r="DB614" s="47"/>
      <x:c r="DC614" s="60"/>
      <x:c r="DD614" s="58"/>
      <x:c r="DE614" s="47"/>
      <x:c r="DF614" s="60"/>
      <x:c r="DG614" s="58"/>
      <x:c r="DH614" s="47"/>
      <x:c r="DI614" s="60"/>
      <x:c r="DJ614" s="58"/>
      <x:c r="DK614" s="47"/>
      <x:c r="DL614" s="60"/>
      <x:c r="DM614" s="58"/>
      <x:c r="DN614" s="11"/>
      <x:c r="DO614" s="61"/>
      <x:c r="DP614" s="62"/>
      <x:c r="DQ614" s="11"/>
      <x:c r="DR614" s="61"/>
      <x:c r="DS614" s="62"/>
      <x:c r="DT614" s="11"/>
      <x:c r="DU614" s="61"/>
      <x:c r="DV614" s="62"/>
    </x:row>
    <x:row r="615" spans="1:126" x14ac:dyDescent="0.3">
      <x:c r="A615" s="47"/>
      <x:c r="B615" s="70"/>
      <x:c r="C615" s="70"/>
      <x:c r="D615" s="70"/>
      <x:c r="E615" s="70"/>
      <x:c r="F615" s="70"/>
      <x:c r="G615" s="70"/>
      <x:c r="H615" s="70"/>
      <x:c r="I615" s="70"/>
      <x:c r="J615" s="70"/>
      <x:c r="K615" s="190"/>
      <x:c r="L615" s="195"/>
      <x:c r="M615" s="192"/>
      <x:c r="N615" s="192"/>
      <x:c r="O615" s="69"/>
      <x:c r="P615" s="47"/>
      <x:c r="Q615" s="60"/>
      <x:c r="R615" s="58"/>
      <x:c r="S615" s="47"/>
      <x:c r="T615" s="60"/>
      <x:c r="U615" s="58"/>
      <x:c r="V615" s="47"/>
      <x:c r="W615" s="60"/>
      <x:c r="X615" s="58"/>
      <x:c r="Y615" s="47"/>
      <x:c r="Z615" s="60"/>
      <x:c r="AA615" s="58"/>
      <x:c r="AB615" s="47"/>
      <x:c r="AC615" s="60"/>
      <x:c r="AD615" s="58"/>
      <x:c r="AE615" s="47"/>
      <x:c r="AF615" s="60"/>
      <x:c r="AG615" s="58"/>
      <x:c r="AH615" s="47"/>
      <x:c r="AI615" s="60"/>
      <x:c r="AJ615" s="58"/>
      <x:c r="AK615" s="47"/>
      <x:c r="AL615" s="60"/>
      <x:c r="AM615" s="58"/>
      <x:c r="AN615" s="47"/>
      <x:c r="AO615" s="60"/>
      <x:c r="AP615" s="58"/>
      <x:c r="AQ615" s="47"/>
      <x:c r="AR615" s="60"/>
      <x:c r="AS615" s="58"/>
      <x:c r="AT615" s="47"/>
      <x:c r="AU615" s="60"/>
      <x:c r="AV615" s="58"/>
      <x:c r="AW615" s="47"/>
      <x:c r="AX615" s="60"/>
      <x:c r="AY615" s="58"/>
      <x:c r="AZ615" s="47"/>
      <x:c r="BA615" s="60"/>
      <x:c r="BB615" s="58"/>
      <x:c r="BC615" s="47"/>
      <x:c r="BD615" s="60"/>
      <x:c r="BE615" s="58"/>
      <x:c r="BF615" s="47"/>
      <x:c r="BG615" s="60"/>
      <x:c r="BH615" s="58"/>
      <x:c r="BI615" s="47"/>
      <x:c r="BJ615" s="60"/>
      <x:c r="BK615" s="58"/>
      <x:c r="BL615" s="47"/>
      <x:c r="BM615" s="60"/>
      <x:c r="BN615" s="58"/>
      <x:c r="BO615" s="47"/>
      <x:c r="BP615" s="60"/>
      <x:c r="BQ615" s="58"/>
      <x:c r="BR615" s="47"/>
      <x:c r="BS615" s="60"/>
      <x:c r="BT615" s="58"/>
      <x:c r="BU615" s="47"/>
      <x:c r="BV615" s="60"/>
      <x:c r="BW615" s="58"/>
      <x:c r="BX615" s="47"/>
      <x:c r="BY615" s="60"/>
      <x:c r="BZ615" s="58"/>
      <x:c r="CA615" s="47"/>
      <x:c r="CB615" s="60"/>
      <x:c r="CC615" s="58"/>
      <x:c r="CD615" s="47"/>
      <x:c r="CE615" s="60"/>
      <x:c r="CF615" s="58"/>
      <x:c r="CG615" s="47"/>
      <x:c r="CH615" s="60"/>
      <x:c r="CI615" s="58"/>
      <x:c r="CJ615" s="47"/>
      <x:c r="CK615" s="60"/>
      <x:c r="CL615" s="58"/>
      <x:c r="CM615" s="47"/>
      <x:c r="CN615" s="60"/>
      <x:c r="CO615" s="58"/>
      <x:c r="CP615" s="47"/>
      <x:c r="CQ615" s="60"/>
      <x:c r="CR615" s="58"/>
      <x:c r="CS615" s="47"/>
      <x:c r="CT615" s="60"/>
      <x:c r="CU615" s="58"/>
      <x:c r="CV615" s="47"/>
      <x:c r="CW615" s="60"/>
      <x:c r="CX615" s="58"/>
      <x:c r="CY615" s="47"/>
      <x:c r="CZ615" s="60"/>
      <x:c r="DA615" s="58"/>
      <x:c r="DB615" s="47"/>
      <x:c r="DC615" s="60"/>
      <x:c r="DD615" s="58"/>
      <x:c r="DE615" s="47"/>
      <x:c r="DF615" s="60"/>
      <x:c r="DG615" s="58"/>
      <x:c r="DH615" s="47"/>
      <x:c r="DI615" s="60"/>
      <x:c r="DJ615" s="58"/>
      <x:c r="DK615" s="47"/>
      <x:c r="DL615" s="60"/>
      <x:c r="DM615" s="58"/>
      <x:c r="DN615" s="11"/>
      <x:c r="DO615" s="61"/>
      <x:c r="DP615" s="62"/>
      <x:c r="DQ615" s="11"/>
      <x:c r="DR615" s="61"/>
      <x:c r="DS615" s="62"/>
      <x:c r="DT615" s="11"/>
      <x:c r="DU615" s="61"/>
      <x:c r="DV615" s="62"/>
    </x:row>
    <x:row r="616" spans="1:126" x14ac:dyDescent="0.3">
      <x:c r="A616" s="47"/>
      <x:c r="B616" s="70"/>
      <x:c r="C616" s="70"/>
      <x:c r="D616" s="70"/>
      <x:c r="E616" s="70"/>
      <x:c r="F616" s="70"/>
      <x:c r="G616" s="70"/>
      <x:c r="H616" s="70"/>
      <x:c r="I616" s="70"/>
      <x:c r="J616" s="70"/>
      <x:c r="K616" s="190"/>
      <x:c r="L616" s="195"/>
      <x:c r="M616" s="192"/>
      <x:c r="N616" s="192"/>
      <x:c r="O616" s="69"/>
      <x:c r="P616" s="47"/>
      <x:c r="Q616" s="60"/>
      <x:c r="R616" s="58"/>
      <x:c r="S616" s="47"/>
      <x:c r="T616" s="60"/>
      <x:c r="U616" s="58"/>
      <x:c r="V616" s="47"/>
      <x:c r="W616" s="60"/>
      <x:c r="X616" s="58"/>
      <x:c r="Y616" s="47"/>
      <x:c r="Z616" s="60"/>
      <x:c r="AA616" s="58"/>
      <x:c r="AB616" s="47"/>
      <x:c r="AC616" s="60"/>
      <x:c r="AD616" s="58"/>
      <x:c r="AE616" s="47"/>
      <x:c r="AF616" s="60"/>
      <x:c r="AG616" s="58"/>
      <x:c r="AH616" s="47"/>
      <x:c r="AI616" s="60"/>
      <x:c r="AJ616" s="58"/>
      <x:c r="AK616" s="47"/>
      <x:c r="AL616" s="60"/>
      <x:c r="AM616" s="58"/>
      <x:c r="AN616" s="47"/>
      <x:c r="AO616" s="60"/>
      <x:c r="AP616" s="58"/>
      <x:c r="AQ616" s="47"/>
      <x:c r="AR616" s="60"/>
      <x:c r="AS616" s="58"/>
      <x:c r="AT616" s="47"/>
      <x:c r="AU616" s="60"/>
      <x:c r="AV616" s="58"/>
      <x:c r="AW616" s="47"/>
      <x:c r="AX616" s="60"/>
      <x:c r="AY616" s="58"/>
      <x:c r="AZ616" s="47"/>
      <x:c r="BA616" s="60"/>
      <x:c r="BB616" s="58"/>
      <x:c r="BC616" s="47"/>
      <x:c r="BD616" s="60"/>
      <x:c r="BE616" s="58"/>
      <x:c r="BF616" s="47"/>
      <x:c r="BG616" s="60"/>
      <x:c r="BH616" s="58"/>
      <x:c r="BI616" s="47"/>
      <x:c r="BJ616" s="60"/>
      <x:c r="BK616" s="58"/>
      <x:c r="BL616" s="47"/>
      <x:c r="BM616" s="60"/>
      <x:c r="BN616" s="58"/>
      <x:c r="BO616" s="47"/>
      <x:c r="BP616" s="60"/>
      <x:c r="BQ616" s="58"/>
      <x:c r="BR616" s="47"/>
      <x:c r="BS616" s="60"/>
      <x:c r="BT616" s="58"/>
      <x:c r="BU616" s="47"/>
      <x:c r="BV616" s="60"/>
      <x:c r="BW616" s="58"/>
      <x:c r="BX616" s="47"/>
      <x:c r="BY616" s="60"/>
      <x:c r="BZ616" s="58"/>
      <x:c r="CA616" s="47"/>
      <x:c r="CB616" s="60"/>
      <x:c r="CC616" s="58"/>
      <x:c r="CD616" s="47"/>
      <x:c r="CE616" s="60"/>
      <x:c r="CF616" s="58"/>
      <x:c r="CG616" s="47"/>
      <x:c r="CH616" s="60"/>
      <x:c r="CI616" s="58"/>
      <x:c r="CJ616" s="47"/>
      <x:c r="CK616" s="60"/>
      <x:c r="CL616" s="58"/>
      <x:c r="CM616" s="47"/>
      <x:c r="CN616" s="60"/>
      <x:c r="CO616" s="58"/>
      <x:c r="CP616" s="47"/>
      <x:c r="CQ616" s="60"/>
      <x:c r="CR616" s="58"/>
      <x:c r="CS616" s="47"/>
      <x:c r="CT616" s="60"/>
      <x:c r="CU616" s="58"/>
      <x:c r="CV616" s="47"/>
      <x:c r="CW616" s="60"/>
      <x:c r="CX616" s="58"/>
      <x:c r="CY616" s="47"/>
      <x:c r="CZ616" s="60"/>
      <x:c r="DA616" s="58"/>
      <x:c r="DB616" s="47"/>
      <x:c r="DC616" s="60"/>
      <x:c r="DD616" s="58"/>
      <x:c r="DE616" s="47"/>
      <x:c r="DF616" s="60"/>
      <x:c r="DG616" s="58"/>
      <x:c r="DH616" s="47"/>
      <x:c r="DI616" s="60"/>
      <x:c r="DJ616" s="58"/>
      <x:c r="DK616" s="47"/>
      <x:c r="DL616" s="60"/>
      <x:c r="DM616" s="58"/>
      <x:c r="DN616" s="11"/>
      <x:c r="DO616" s="61"/>
      <x:c r="DP616" s="62"/>
      <x:c r="DQ616" s="11"/>
      <x:c r="DR616" s="61"/>
      <x:c r="DS616" s="62"/>
      <x:c r="DT616" s="11"/>
      <x:c r="DU616" s="61"/>
      <x:c r="DV616" s="62"/>
    </x:row>
    <x:row r="617" spans="1:126" x14ac:dyDescent="0.3">
      <x:c r="A617" s="47"/>
      <x:c r="B617" s="70"/>
      <x:c r="C617" s="70"/>
      <x:c r="D617" s="70"/>
      <x:c r="E617" s="70"/>
      <x:c r="F617" s="70"/>
      <x:c r="G617" s="70"/>
      <x:c r="H617" s="70"/>
      <x:c r="I617" s="70"/>
      <x:c r="J617" s="70"/>
      <x:c r="K617" s="190"/>
      <x:c r="L617" s="195"/>
      <x:c r="M617" s="192"/>
      <x:c r="N617" s="192"/>
      <x:c r="O617" s="69"/>
      <x:c r="P617" s="47"/>
      <x:c r="Q617" s="60"/>
      <x:c r="R617" s="58"/>
      <x:c r="S617" s="47"/>
      <x:c r="T617" s="60"/>
      <x:c r="U617" s="58"/>
      <x:c r="V617" s="47"/>
      <x:c r="W617" s="60"/>
      <x:c r="X617" s="58"/>
      <x:c r="Y617" s="47"/>
      <x:c r="Z617" s="60"/>
      <x:c r="AA617" s="58"/>
      <x:c r="AB617" s="47"/>
      <x:c r="AC617" s="60"/>
      <x:c r="AD617" s="58"/>
      <x:c r="AE617" s="47"/>
      <x:c r="AF617" s="60"/>
      <x:c r="AG617" s="58"/>
      <x:c r="AH617" s="47"/>
      <x:c r="AI617" s="60"/>
      <x:c r="AJ617" s="58"/>
      <x:c r="AK617" s="47"/>
      <x:c r="AL617" s="60"/>
      <x:c r="AM617" s="58"/>
      <x:c r="AN617" s="47"/>
      <x:c r="AO617" s="60"/>
      <x:c r="AP617" s="58"/>
      <x:c r="AQ617" s="47"/>
      <x:c r="AR617" s="60"/>
      <x:c r="AS617" s="58"/>
      <x:c r="AT617" s="47"/>
      <x:c r="AU617" s="60"/>
      <x:c r="AV617" s="58"/>
      <x:c r="AW617" s="47"/>
      <x:c r="AX617" s="60"/>
      <x:c r="AY617" s="58"/>
      <x:c r="AZ617" s="47"/>
      <x:c r="BA617" s="60"/>
      <x:c r="BB617" s="58"/>
      <x:c r="BC617" s="47"/>
      <x:c r="BD617" s="60"/>
      <x:c r="BE617" s="58"/>
      <x:c r="BF617" s="47"/>
      <x:c r="BG617" s="60"/>
      <x:c r="BH617" s="58"/>
      <x:c r="BI617" s="47"/>
      <x:c r="BJ617" s="60"/>
      <x:c r="BK617" s="58"/>
      <x:c r="BL617" s="47"/>
      <x:c r="BM617" s="60"/>
      <x:c r="BN617" s="58"/>
      <x:c r="BO617" s="47"/>
      <x:c r="BP617" s="60"/>
      <x:c r="BQ617" s="58"/>
      <x:c r="BR617" s="47"/>
      <x:c r="BS617" s="60"/>
      <x:c r="BT617" s="58"/>
      <x:c r="BU617" s="47"/>
      <x:c r="BV617" s="60"/>
      <x:c r="BW617" s="58"/>
      <x:c r="BX617" s="47"/>
      <x:c r="BY617" s="60"/>
      <x:c r="BZ617" s="58"/>
      <x:c r="CA617" s="47"/>
      <x:c r="CB617" s="60"/>
      <x:c r="CC617" s="58"/>
      <x:c r="CD617" s="47"/>
      <x:c r="CE617" s="60"/>
      <x:c r="CF617" s="58"/>
      <x:c r="CG617" s="47"/>
      <x:c r="CH617" s="60"/>
      <x:c r="CI617" s="58"/>
      <x:c r="CJ617" s="47"/>
      <x:c r="CK617" s="60"/>
      <x:c r="CL617" s="58"/>
      <x:c r="CM617" s="47"/>
      <x:c r="CN617" s="60"/>
      <x:c r="CO617" s="58"/>
      <x:c r="CP617" s="47"/>
      <x:c r="CQ617" s="60"/>
      <x:c r="CR617" s="58"/>
      <x:c r="CS617" s="47"/>
      <x:c r="CT617" s="60"/>
      <x:c r="CU617" s="58"/>
      <x:c r="CV617" s="47"/>
      <x:c r="CW617" s="60"/>
      <x:c r="CX617" s="58"/>
      <x:c r="CY617" s="47"/>
      <x:c r="CZ617" s="60"/>
      <x:c r="DA617" s="58"/>
      <x:c r="DB617" s="47"/>
      <x:c r="DC617" s="60"/>
      <x:c r="DD617" s="58"/>
      <x:c r="DE617" s="47"/>
      <x:c r="DF617" s="60"/>
      <x:c r="DG617" s="58"/>
      <x:c r="DH617" s="47"/>
      <x:c r="DI617" s="60"/>
      <x:c r="DJ617" s="58"/>
      <x:c r="DK617" s="47"/>
      <x:c r="DL617" s="60"/>
      <x:c r="DM617" s="58"/>
      <x:c r="DN617" s="11"/>
      <x:c r="DO617" s="61"/>
      <x:c r="DP617" s="62"/>
      <x:c r="DQ617" s="11"/>
      <x:c r="DR617" s="61"/>
      <x:c r="DS617" s="62"/>
      <x:c r="DT617" s="11"/>
      <x:c r="DU617" s="61"/>
      <x:c r="DV617" s="62"/>
    </x:row>
    <x:row r="618" spans="1:126" x14ac:dyDescent="0.3">
      <x:c r="A618" s="47"/>
      <x:c r="B618" s="70"/>
      <x:c r="C618" s="70"/>
      <x:c r="D618" s="70"/>
      <x:c r="E618" s="70"/>
      <x:c r="F618" s="70"/>
      <x:c r="G618" s="70"/>
      <x:c r="H618" s="70"/>
      <x:c r="I618" s="70"/>
      <x:c r="J618" s="70"/>
      <x:c r="K618" s="190"/>
      <x:c r="L618" s="195"/>
      <x:c r="M618" s="192"/>
      <x:c r="N618" s="192"/>
      <x:c r="O618" s="69"/>
      <x:c r="P618" s="47"/>
      <x:c r="Q618" s="60"/>
      <x:c r="R618" s="58"/>
      <x:c r="S618" s="47"/>
      <x:c r="T618" s="60"/>
      <x:c r="U618" s="58"/>
      <x:c r="V618" s="47"/>
      <x:c r="W618" s="60"/>
      <x:c r="X618" s="58"/>
      <x:c r="Y618" s="47"/>
      <x:c r="Z618" s="60"/>
      <x:c r="AA618" s="58"/>
      <x:c r="AB618" s="47"/>
      <x:c r="AC618" s="60"/>
      <x:c r="AD618" s="58"/>
      <x:c r="AE618" s="47"/>
      <x:c r="AF618" s="60"/>
      <x:c r="AG618" s="58"/>
      <x:c r="AH618" s="47"/>
      <x:c r="AI618" s="60"/>
      <x:c r="AJ618" s="58"/>
      <x:c r="AK618" s="47"/>
      <x:c r="AL618" s="60"/>
      <x:c r="AM618" s="58"/>
      <x:c r="AN618" s="47"/>
      <x:c r="AO618" s="60"/>
      <x:c r="AP618" s="58"/>
      <x:c r="AQ618" s="47"/>
      <x:c r="AR618" s="60"/>
      <x:c r="AS618" s="58"/>
      <x:c r="AT618" s="47"/>
      <x:c r="AU618" s="60"/>
      <x:c r="AV618" s="58"/>
      <x:c r="AW618" s="47"/>
      <x:c r="AX618" s="60"/>
      <x:c r="AY618" s="58"/>
      <x:c r="AZ618" s="47"/>
      <x:c r="BA618" s="60"/>
      <x:c r="BB618" s="58"/>
      <x:c r="BC618" s="47"/>
      <x:c r="BD618" s="60"/>
      <x:c r="BE618" s="58"/>
      <x:c r="BF618" s="47"/>
      <x:c r="BG618" s="60"/>
      <x:c r="BH618" s="58"/>
      <x:c r="BI618" s="47"/>
      <x:c r="BJ618" s="60"/>
      <x:c r="BK618" s="58"/>
      <x:c r="BL618" s="47"/>
      <x:c r="BM618" s="60"/>
      <x:c r="BN618" s="58"/>
      <x:c r="BO618" s="47"/>
      <x:c r="BP618" s="60"/>
      <x:c r="BQ618" s="58"/>
      <x:c r="BR618" s="47"/>
      <x:c r="BS618" s="60"/>
      <x:c r="BT618" s="58"/>
      <x:c r="BU618" s="47"/>
      <x:c r="BV618" s="60"/>
      <x:c r="BW618" s="58"/>
      <x:c r="BX618" s="47"/>
      <x:c r="BY618" s="60"/>
      <x:c r="BZ618" s="58"/>
      <x:c r="CA618" s="47"/>
      <x:c r="CB618" s="60"/>
      <x:c r="CC618" s="58"/>
      <x:c r="CD618" s="47"/>
      <x:c r="CE618" s="60"/>
      <x:c r="CF618" s="58"/>
      <x:c r="CG618" s="47"/>
      <x:c r="CH618" s="60"/>
      <x:c r="CI618" s="58"/>
      <x:c r="CJ618" s="47"/>
      <x:c r="CK618" s="60"/>
      <x:c r="CL618" s="58"/>
      <x:c r="CM618" s="47"/>
      <x:c r="CN618" s="60"/>
      <x:c r="CO618" s="58"/>
      <x:c r="CP618" s="47"/>
      <x:c r="CQ618" s="60"/>
      <x:c r="CR618" s="58"/>
      <x:c r="CS618" s="47"/>
      <x:c r="CT618" s="60"/>
      <x:c r="CU618" s="58"/>
      <x:c r="CV618" s="47"/>
      <x:c r="CW618" s="60"/>
      <x:c r="CX618" s="58"/>
      <x:c r="CY618" s="47"/>
      <x:c r="CZ618" s="60"/>
      <x:c r="DA618" s="58"/>
      <x:c r="DB618" s="47"/>
      <x:c r="DC618" s="60"/>
      <x:c r="DD618" s="58"/>
      <x:c r="DE618" s="47"/>
      <x:c r="DF618" s="60"/>
      <x:c r="DG618" s="58"/>
      <x:c r="DH618" s="47"/>
      <x:c r="DI618" s="60"/>
      <x:c r="DJ618" s="58"/>
      <x:c r="DK618" s="47"/>
      <x:c r="DL618" s="60"/>
      <x:c r="DM618" s="58"/>
      <x:c r="DN618" s="11"/>
      <x:c r="DO618" s="61"/>
      <x:c r="DP618" s="62"/>
      <x:c r="DQ618" s="11"/>
      <x:c r="DR618" s="61"/>
      <x:c r="DS618" s="62"/>
      <x:c r="DT618" s="11"/>
      <x:c r="DU618" s="61"/>
      <x:c r="DV618" s="62"/>
    </x:row>
    <x:row r="619" spans="1:126" x14ac:dyDescent="0.3">
      <x:c r="A619" s="47"/>
      <x:c r="B619" s="70"/>
      <x:c r="C619" s="70"/>
      <x:c r="D619" s="70"/>
      <x:c r="E619" s="70"/>
      <x:c r="F619" s="70"/>
      <x:c r="G619" s="70"/>
      <x:c r="H619" s="70"/>
      <x:c r="I619" s="70"/>
      <x:c r="J619" s="70"/>
      <x:c r="K619" s="190"/>
      <x:c r="L619" s="195"/>
      <x:c r="M619" s="192"/>
      <x:c r="N619" s="192"/>
      <x:c r="O619" s="69"/>
      <x:c r="P619" s="47"/>
      <x:c r="Q619" s="60"/>
      <x:c r="R619" s="58"/>
      <x:c r="S619" s="47"/>
      <x:c r="T619" s="60"/>
      <x:c r="U619" s="58"/>
      <x:c r="V619" s="47"/>
      <x:c r="W619" s="60"/>
      <x:c r="X619" s="58"/>
      <x:c r="Y619" s="47"/>
      <x:c r="Z619" s="60"/>
      <x:c r="AA619" s="58"/>
      <x:c r="AB619" s="47"/>
      <x:c r="AC619" s="60"/>
      <x:c r="AD619" s="58"/>
      <x:c r="AE619" s="47"/>
      <x:c r="AF619" s="60"/>
      <x:c r="AG619" s="58"/>
      <x:c r="AH619" s="47"/>
      <x:c r="AI619" s="60"/>
      <x:c r="AJ619" s="58"/>
      <x:c r="AK619" s="47"/>
      <x:c r="AL619" s="60"/>
      <x:c r="AM619" s="58"/>
      <x:c r="AN619" s="47"/>
      <x:c r="AO619" s="60"/>
      <x:c r="AP619" s="58"/>
      <x:c r="AQ619" s="47"/>
      <x:c r="AR619" s="60"/>
      <x:c r="AS619" s="58"/>
      <x:c r="AT619" s="47"/>
      <x:c r="AU619" s="60"/>
      <x:c r="AV619" s="58"/>
      <x:c r="AW619" s="47"/>
      <x:c r="AX619" s="60"/>
      <x:c r="AY619" s="58"/>
      <x:c r="AZ619" s="47"/>
      <x:c r="BA619" s="60"/>
      <x:c r="BB619" s="58"/>
      <x:c r="BC619" s="47"/>
      <x:c r="BD619" s="60"/>
      <x:c r="BE619" s="58"/>
      <x:c r="BF619" s="47"/>
      <x:c r="BG619" s="60"/>
      <x:c r="BH619" s="58"/>
      <x:c r="BI619" s="47"/>
      <x:c r="BJ619" s="60"/>
      <x:c r="BK619" s="58"/>
      <x:c r="BL619" s="47"/>
      <x:c r="BM619" s="60"/>
      <x:c r="BN619" s="58"/>
      <x:c r="BO619" s="47"/>
      <x:c r="BP619" s="60"/>
      <x:c r="BQ619" s="58"/>
      <x:c r="BR619" s="47"/>
      <x:c r="BS619" s="60"/>
      <x:c r="BT619" s="58"/>
      <x:c r="BU619" s="47"/>
      <x:c r="BV619" s="60"/>
      <x:c r="BW619" s="58"/>
      <x:c r="BX619" s="47"/>
      <x:c r="BY619" s="60"/>
      <x:c r="BZ619" s="58"/>
      <x:c r="CA619" s="47"/>
      <x:c r="CB619" s="60"/>
      <x:c r="CC619" s="58"/>
      <x:c r="CD619" s="47"/>
      <x:c r="CE619" s="60"/>
      <x:c r="CF619" s="58"/>
      <x:c r="CG619" s="47"/>
      <x:c r="CH619" s="60"/>
      <x:c r="CI619" s="58"/>
      <x:c r="CJ619" s="47"/>
      <x:c r="CK619" s="60"/>
      <x:c r="CL619" s="58"/>
      <x:c r="CM619" s="47"/>
      <x:c r="CN619" s="60"/>
      <x:c r="CO619" s="58"/>
      <x:c r="CP619" s="47"/>
      <x:c r="CQ619" s="60"/>
      <x:c r="CR619" s="58"/>
      <x:c r="CS619" s="47"/>
      <x:c r="CT619" s="60"/>
      <x:c r="CU619" s="58"/>
      <x:c r="CV619" s="47"/>
      <x:c r="CW619" s="60"/>
      <x:c r="CX619" s="58"/>
      <x:c r="CY619" s="47"/>
      <x:c r="CZ619" s="60"/>
      <x:c r="DA619" s="58"/>
      <x:c r="DB619" s="47"/>
      <x:c r="DC619" s="60"/>
      <x:c r="DD619" s="58"/>
      <x:c r="DE619" s="47"/>
      <x:c r="DF619" s="60"/>
      <x:c r="DG619" s="58"/>
      <x:c r="DH619" s="47"/>
      <x:c r="DI619" s="60"/>
      <x:c r="DJ619" s="58"/>
      <x:c r="DK619" s="47"/>
      <x:c r="DL619" s="60"/>
      <x:c r="DM619" s="58"/>
      <x:c r="DN619" s="11"/>
      <x:c r="DO619" s="61"/>
      <x:c r="DP619" s="62"/>
      <x:c r="DQ619" s="11"/>
      <x:c r="DR619" s="61"/>
      <x:c r="DS619" s="62"/>
      <x:c r="DT619" s="11"/>
      <x:c r="DU619" s="61"/>
      <x:c r="DV619" s="62"/>
    </x:row>
    <x:row r="620" spans="1:126" x14ac:dyDescent="0.3">
      <x:c r="A620" s="47"/>
      <x:c r="B620" s="70"/>
      <x:c r="C620" s="70"/>
      <x:c r="D620" s="70"/>
      <x:c r="E620" s="70"/>
      <x:c r="F620" s="70"/>
      <x:c r="G620" s="70"/>
      <x:c r="H620" s="70"/>
      <x:c r="I620" s="70"/>
      <x:c r="J620" s="70"/>
      <x:c r="K620" s="190"/>
      <x:c r="L620" s="195"/>
      <x:c r="M620" s="192"/>
      <x:c r="N620" s="192"/>
      <x:c r="O620" s="69"/>
      <x:c r="P620" s="47"/>
      <x:c r="Q620" s="60"/>
      <x:c r="R620" s="58"/>
      <x:c r="S620" s="47"/>
      <x:c r="T620" s="60"/>
      <x:c r="U620" s="58"/>
      <x:c r="V620" s="47"/>
      <x:c r="W620" s="60"/>
      <x:c r="X620" s="58"/>
      <x:c r="Y620" s="47"/>
      <x:c r="Z620" s="60"/>
      <x:c r="AA620" s="58"/>
      <x:c r="AB620" s="47"/>
      <x:c r="AC620" s="60"/>
      <x:c r="AD620" s="58"/>
      <x:c r="AE620" s="47"/>
      <x:c r="AF620" s="60"/>
      <x:c r="AG620" s="58"/>
      <x:c r="AH620" s="47"/>
      <x:c r="AI620" s="60"/>
      <x:c r="AJ620" s="58"/>
      <x:c r="AK620" s="47"/>
      <x:c r="AL620" s="60"/>
      <x:c r="AM620" s="58"/>
      <x:c r="AN620" s="47"/>
      <x:c r="AO620" s="60"/>
      <x:c r="AP620" s="58"/>
      <x:c r="AQ620" s="47"/>
      <x:c r="AR620" s="60"/>
      <x:c r="AS620" s="58"/>
      <x:c r="AT620" s="47"/>
      <x:c r="AU620" s="60"/>
      <x:c r="AV620" s="58"/>
      <x:c r="AW620" s="47"/>
      <x:c r="AX620" s="60"/>
      <x:c r="AY620" s="58"/>
      <x:c r="AZ620" s="47"/>
      <x:c r="BA620" s="60"/>
      <x:c r="BB620" s="58"/>
      <x:c r="BC620" s="47"/>
      <x:c r="BD620" s="60"/>
      <x:c r="BE620" s="58"/>
      <x:c r="BF620" s="47"/>
      <x:c r="BG620" s="60"/>
      <x:c r="BH620" s="58"/>
      <x:c r="BI620" s="47"/>
      <x:c r="BJ620" s="60"/>
      <x:c r="BK620" s="58"/>
      <x:c r="BL620" s="47"/>
      <x:c r="BM620" s="60"/>
      <x:c r="BN620" s="58"/>
      <x:c r="BO620" s="47"/>
      <x:c r="BP620" s="60"/>
      <x:c r="BQ620" s="58"/>
      <x:c r="BR620" s="47"/>
      <x:c r="BS620" s="60"/>
      <x:c r="BT620" s="58"/>
      <x:c r="BU620" s="47"/>
      <x:c r="BV620" s="60"/>
      <x:c r="BW620" s="58"/>
      <x:c r="BX620" s="47"/>
      <x:c r="BY620" s="60"/>
      <x:c r="BZ620" s="58"/>
      <x:c r="CA620" s="47"/>
      <x:c r="CB620" s="60"/>
      <x:c r="CC620" s="58"/>
      <x:c r="CD620" s="47"/>
      <x:c r="CE620" s="60"/>
      <x:c r="CF620" s="58"/>
      <x:c r="CG620" s="47"/>
      <x:c r="CH620" s="60"/>
      <x:c r="CI620" s="58"/>
      <x:c r="CJ620" s="47"/>
      <x:c r="CK620" s="60"/>
      <x:c r="CL620" s="58"/>
      <x:c r="CM620" s="47"/>
      <x:c r="CN620" s="60"/>
      <x:c r="CO620" s="58"/>
      <x:c r="CP620" s="47"/>
      <x:c r="CQ620" s="60"/>
      <x:c r="CR620" s="58"/>
      <x:c r="CS620" s="47"/>
      <x:c r="CT620" s="60"/>
      <x:c r="CU620" s="58"/>
      <x:c r="CV620" s="47"/>
      <x:c r="CW620" s="60"/>
      <x:c r="CX620" s="58"/>
      <x:c r="CY620" s="47"/>
      <x:c r="CZ620" s="60"/>
      <x:c r="DA620" s="58"/>
      <x:c r="DB620" s="47"/>
      <x:c r="DC620" s="60"/>
      <x:c r="DD620" s="58"/>
      <x:c r="DE620" s="47"/>
      <x:c r="DF620" s="60"/>
      <x:c r="DG620" s="58"/>
      <x:c r="DH620" s="47"/>
      <x:c r="DI620" s="60"/>
      <x:c r="DJ620" s="58"/>
      <x:c r="DK620" s="47"/>
      <x:c r="DL620" s="60"/>
      <x:c r="DM620" s="58"/>
      <x:c r="DN620" s="11"/>
      <x:c r="DO620" s="61"/>
      <x:c r="DP620" s="62"/>
      <x:c r="DQ620" s="11"/>
      <x:c r="DR620" s="61"/>
      <x:c r="DS620" s="62"/>
      <x:c r="DT620" s="11"/>
      <x:c r="DU620" s="61"/>
      <x:c r="DV620" s="62"/>
    </x:row>
    <x:row r="621" spans="1:126" x14ac:dyDescent="0.3">
      <x:c r="A621" s="47"/>
      <x:c r="B621" s="70"/>
      <x:c r="C621" s="70"/>
      <x:c r="D621" s="70"/>
      <x:c r="E621" s="70"/>
      <x:c r="F621" s="70"/>
      <x:c r="G621" s="70"/>
      <x:c r="H621" s="70"/>
      <x:c r="I621" s="70"/>
      <x:c r="J621" s="70"/>
      <x:c r="K621" s="190"/>
      <x:c r="L621" s="195"/>
      <x:c r="M621" s="192"/>
      <x:c r="N621" s="192"/>
      <x:c r="O621" s="69"/>
      <x:c r="P621" s="47"/>
      <x:c r="Q621" s="60"/>
      <x:c r="R621" s="58"/>
      <x:c r="S621" s="47"/>
      <x:c r="T621" s="60"/>
      <x:c r="U621" s="58"/>
      <x:c r="V621" s="47"/>
      <x:c r="W621" s="60"/>
      <x:c r="X621" s="58"/>
      <x:c r="Y621" s="47"/>
      <x:c r="Z621" s="60"/>
      <x:c r="AA621" s="58"/>
      <x:c r="AB621" s="47"/>
      <x:c r="AC621" s="60"/>
      <x:c r="AD621" s="58"/>
      <x:c r="AE621" s="47"/>
      <x:c r="AF621" s="60"/>
      <x:c r="AG621" s="58"/>
      <x:c r="AH621" s="47"/>
      <x:c r="AI621" s="60"/>
      <x:c r="AJ621" s="58"/>
      <x:c r="AK621" s="47"/>
      <x:c r="AL621" s="60"/>
      <x:c r="AM621" s="58"/>
      <x:c r="AN621" s="47"/>
      <x:c r="AO621" s="60"/>
      <x:c r="AP621" s="58"/>
      <x:c r="AQ621" s="47"/>
      <x:c r="AR621" s="60"/>
      <x:c r="AS621" s="58"/>
      <x:c r="AT621" s="47"/>
      <x:c r="AU621" s="60"/>
      <x:c r="AV621" s="58"/>
      <x:c r="AW621" s="47"/>
      <x:c r="AX621" s="60"/>
      <x:c r="AY621" s="58"/>
      <x:c r="AZ621" s="47"/>
      <x:c r="BA621" s="60"/>
      <x:c r="BB621" s="58"/>
      <x:c r="BC621" s="47"/>
      <x:c r="BD621" s="60"/>
      <x:c r="BE621" s="58"/>
      <x:c r="BF621" s="47"/>
      <x:c r="BG621" s="60"/>
      <x:c r="BH621" s="58"/>
      <x:c r="BI621" s="47"/>
      <x:c r="BJ621" s="60"/>
      <x:c r="BK621" s="58"/>
      <x:c r="BL621" s="47"/>
      <x:c r="BM621" s="60"/>
      <x:c r="BN621" s="58"/>
      <x:c r="BO621" s="47"/>
      <x:c r="BP621" s="60"/>
      <x:c r="BQ621" s="58"/>
      <x:c r="BR621" s="47"/>
      <x:c r="BS621" s="60"/>
      <x:c r="BT621" s="58"/>
      <x:c r="BU621" s="47"/>
      <x:c r="BV621" s="60"/>
      <x:c r="BW621" s="58"/>
      <x:c r="BX621" s="47"/>
      <x:c r="BY621" s="60"/>
      <x:c r="BZ621" s="58"/>
      <x:c r="CA621" s="47"/>
      <x:c r="CB621" s="60"/>
      <x:c r="CC621" s="58"/>
      <x:c r="CD621" s="47"/>
      <x:c r="CE621" s="60"/>
      <x:c r="CF621" s="58"/>
      <x:c r="CG621" s="47"/>
      <x:c r="CH621" s="60"/>
      <x:c r="CI621" s="58"/>
      <x:c r="CJ621" s="47"/>
      <x:c r="CK621" s="60"/>
      <x:c r="CL621" s="58"/>
      <x:c r="CM621" s="47"/>
      <x:c r="CN621" s="60"/>
      <x:c r="CO621" s="58"/>
      <x:c r="CP621" s="47"/>
      <x:c r="CQ621" s="60"/>
      <x:c r="CR621" s="58"/>
      <x:c r="CS621" s="47"/>
      <x:c r="CT621" s="60"/>
      <x:c r="CU621" s="58"/>
      <x:c r="CV621" s="47"/>
      <x:c r="CW621" s="60"/>
      <x:c r="CX621" s="58"/>
      <x:c r="CY621" s="47"/>
      <x:c r="CZ621" s="60"/>
      <x:c r="DA621" s="58"/>
      <x:c r="DB621" s="47"/>
      <x:c r="DC621" s="60"/>
      <x:c r="DD621" s="58"/>
      <x:c r="DE621" s="47"/>
      <x:c r="DF621" s="60"/>
      <x:c r="DG621" s="58"/>
      <x:c r="DH621" s="47"/>
      <x:c r="DI621" s="60"/>
      <x:c r="DJ621" s="58"/>
      <x:c r="DK621" s="47"/>
      <x:c r="DL621" s="60"/>
      <x:c r="DM621" s="58"/>
      <x:c r="DN621" s="11"/>
      <x:c r="DO621" s="61"/>
      <x:c r="DP621" s="62"/>
      <x:c r="DQ621" s="11"/>
      <x:c r="DR621" s="61"/>
      <x:c r="DS621" s="62"/>
      <x:c r="DT621" s="11"/>
      <x:c r="DU621" s="61"/>
      <x:c r="DV621" s="62"/>
    </x:row>
    <x:row r="622" spans="1:126" x14ac:dyDescent="0.3">
      <x:c r="A622" s="47"/>
      <x:c r="B622" s="70"/>
      <x:c r="C622" s="70"/>
      <x:c r="D622" s="70"/>
      <x:c r="E622" s="70"/>
      <x:c r="F622" s="70"/>
      <x:c r="G622" s="70"/>
      <x:c r="H622" s="70"/>
      <x:c r="I622" s="70"/>
      <x:c r="J622" s="70"/>
      <x:c r="K622" s="190"/>
      <x:c r="L622" s="195"/>
      <x:c r="M622" s="192"/>
      <x:c r="N622" s="192"/>
      <x:c r="O622" s="69"/>
      <x:c r="P622" s="47"/>
      <x:c r="Q622" s="60"/>
      <x:c r="R622" s="58"/>
      <x:c r="S622" s="47"/>
      <x:c r="T622" s="60"/>
      <x:c r="U622" s="58"/>
      <x:c r="V622" s="47"/>
      <x:c r="W622" s="60"/>
      <x:c r="X622" s="58"/>
      <x:c r="Y622" s="47"/>
      <x:c r="Z622" s="60"/>
      <x:c r="AA622" s="58"/>
      <x:c r="AB622" s="47"/>
      <x:c r="AC622" s="60"/>
      <x:c r="AD622" s="58"/>
      <x:c r="AE622" s="47"/>
      <x:c r="AF622" s="60"/>
      <x:c r="AG622" s="58"/>
      <x:c r="AH622" s="47"/>
      <x:c r="AI622" s="60"/>
      <x:c r="AJ622" s="58"/>
      <x:c r="AK622" s="47"/>
      <x:c r="AL622" s="60"/>
      <x:c r="AM622" s="58"/>
      <x:c r="AN622" s="47"/>
      <x:c r="AO622" s="60"/>
      <x:c r="AP622" s="58"/>
      <x:c r="AQ622" s="47"/>
      <x:c r="AR622" s="60"/>
      <x:c r="AS622" s="58"/>
      <x:c r="AT622" s="47"/>
      <x:c r="AU622" s="60"/>
      <x:c r="AV622" s="58"/>
      <x:c r="AW622" s="47"/>
      <x:c r="AX622" s="60"/>
      <x:c r="AY622" s="58"/>
      <x:c r="AZ622" s="47"/>
      <x:c r="BA622" s="60"/>
      <x:c r="BB622" s="58"/>
      <x:c r="BC622" s="47"/>
      <x:c r="BD622" s="60"/>
      <x:c r="BE622" s="58"/>
      <x:c r="BF622" s="47"/>
      <x:c r="BG622" s="60"/>
      <x:c r="BH622" s="58"/>
      <x:c r="BI622" s="47"/>
      <x:c r="BJ622" s="60"/>
      <x:c r="BK622" s="58"/>
      <x:c r="BL622" s="47"/>
      <x:c r="BM622" s="60"/>
      <x:c r="BN622" s="58"/>
      <x:c r="BO622" s="47"/>
      <x:c r="BP622" s="60"/>
      <x:c r="BQ622" s="58"/>
      <x:c r="BR622" s="47"/>
      <x:c r="BS622" s="60"/>
      <x:c r="BT622" s="58"/>
      <x:c r="BU622" s="47"/>
      <x:c r="BV622" s="60"/>
      <x:c r="BW622" s="58"/>
      <x:c r="BX622" s="47"/>
      <x:c r="BY622" s="60"/>
      <x:c r="BZ622" s="58"/>
      <x:c r="CA622" s="47"/>
      <x:c r="CB622" s="60"/>
      <x:c r="CC622" s="58"/>
      <x:c r="CD622" s="47"/>
      <x:c r="CE622" s="60"/>
      <x:c r="CF622" s="58"/>
      <x:c r="CG622" s="47"/>
      <x:c r="CH622" s="60"/>
      <x:c r="CI622" s="58"/>
      <x:c r="CJ622" s="47"/>
      <x:c r="CK622" s="60"/>
      <x:c r="CL622" s="58"/>
      <x:c r="CM622" s="47"/>
      <x:c r="CN622" s="60"/>
      <x:c r="CO622" s="58"/>
      <x:c r="CP622" s="47"/>
      <x:c r="CQ622" s="60"/>
      <x:c r="CR622" s="58"/>
      <x:c r="CS622" s="47"/>
      <x:c r="CT622" s="60"/>
      <x:c r="CU622" s="58"/>
      <x:c r="CV622" s="47"/>
      <x:c r="CW622" s="60"/>
      <x:c r="CX622" s="58"/>
      <x:c r="CY622" s="47"/>
      <x:c r="CZ622" s="60"/>
      <x:c r="DA622" s="58"/>
      <x:c r="DB622" s="47"/>
      <x:c r="DC622" s="60"/>
      <x:c r="DD622" s="58"/>
      <x:c r="DE622" s="47"/>
      <x:c r="DF622" s="60"/>
      <x:c r="DG622" s="58"/>
      <x:c r="DH622" s="47"/>
      <x:c r="DI622" s="60"/>
      <x:c r="DJ622" s="58"/>
      <x:c r="DK622" s="47"/>
      <x:c r="DL622" s="60"/>
      <x:c r="DM622" s="58"/>
      <x:c r="DN622" s="11"/>
      <x:c r="DO622" s="61"/>
      <x:c r="DP622" s="62"/>
      <x:c r="DQ622" s="11"/>
      <x:c r="DR622" s="61"/>
      <x:c r="DS622" s="62"/>
      <x:c r="DT622" s="11"/>
      <x:c r="DU622" s="61"/>
      <x:c r="DV622" s="62"/>
    </x:row>
    <x:row r="623" spans="1:126" x14ac:dyDescent="0.3">
      <x:c r="A623" s="47"/>
      <x:c r="B623" s="70"/>
      <x:c r="C623" s="70"/>
      <x:c r="D623" s="70"/>
      <x:c r="E623" s="70"/>
      <x:c r="F623" s="70"/>
      <x:c r="G623" s="70"/>
      <x:c r="H623" s="70"/>
      <x:c r="I623" s="70"/>
      <x:c r="J623" s="70"/>
      <x:c r="K623" s="190"/>
      <x:c r="L623" s="195"/>
      <x:c r="M623" s="192"/>
      <x:c r="N623" s="192"/>
      <x:c r="O623" s="69"/>
      <x:c r="P623" s="47"/>
      <x:c r="Q623" s="60"/>
      <x:c r="R623" s="58"/>
      <x:c r="S623" s="47"/>
      <x:c r="T623" s="60"/>
      <x:c r="U623" s="58"/>
      <x:c r="V623" s="47"/>
      <x:c r="W623" s="60"/>
      <x:c r="X623" s="58"/>
      <x:c r="Y623" s="47"/>
      <x:c r="Z623" s="60"/>
      <x:c r="AA623" s="58"/>
      <x:c r="AB623" s="47"/>
      <x:c r="AC623" s="60"/>
      <x:c r="AD623" s="58"/>
      <x:c r="AE623" s="47"/>
      <x:c r="AF623" s="60"/>
      <x:c r="AG623" s="58"/>
      <x:c r="AH623" s="47"/>
      <x:c r="AI623" s="60"/>
      <x:c r="AJ623" s="58"/>
      <x:c r="AK623" s="47"/>
      <x:c r="AL623" s="60"/>
      <x:c r="AM623" s="58"/>
      <x:c r="AN623" s="47"/>
      <x:c r="AO623" s="60"/>
      <x:c r="AP623" s="58"/>
      <x:c r="AQ623" s="47"/>
      <x:c r="AR623" s="60"/>
      <x:c r="AS623" s="58"/>
      <x:c r="AT623" s="47"/>
      <x:c r="AU623" s="60"/>
      <x:c r="AV623" s="58"/>
      <x:c r="AW623" s="47"/>
      <x:c r="AX623" s="60"/>
      <x:c r="AY623" s="58"/>
      <x:c r="AZ623" s="47"/>
      <x:c r="BA623" s="60"/>
      <x:c r="BB623" s="58"/>
      <x:c r="BC623" s="47"/>
      <x:c r="BD623" s="60"/>
      <x:c r="BE623" s="58"/>
      <x:c r="BF623" s="47"/>
      <x:c r="BG623" s="60"/>
      <x:c r="BH623" s="58"/>
      <x:c r="BI623" s="47"/>
      <x:c r="BJ623" s="60"/>
      <x:c r="BK623" s="58"/>
      <x:c r="BL623" s="47"/>
      <x:c r="BM623" s="60"/>
      <x:c r="BN623" s="58"/>
      <x:c r="BO623" s="47"/>
      <x:c r="BP623" s="60"/>
      <x:c r="BQ623" s="58"/>
      <x:c r="BR623" s="47"/>
      <x:c r="BS623" s="60"/>
      <x:c r="BT623" s="58"/>
      <x:c r="BU623" s="47"/>
      <x:c r="BV623" s="60"/>
      <x:c r="BW623" s="58"/>
      <x:c r="BX623" s="47"/>
      <x:c r="BY623" s="60"/>
      <x:c r="BZ623" s="58"/>
      <x:c r="CA623" s="47"/>
      <x:c r="CB623" s="60"/>
      <x:c r="CC623" s="58"/>
      <x:c r="CD623" s="47"/>
      <x:c r="CE623" s="60"/>
      <x:c r="CF623" s="58"/>
      <x:c r="CG623" s="47"/>
      <x:c r="CH623" s="60"/>
      <x:c r="CI623" s="58"/>
      <x:c r="CJ623" s="47"/>
      <x:c r="CK623" s="60"/>
      <x:c r="CL623" s="58"/>
      <x:c r="CM623" s="47"/>
      <x:c r="CN623" s="60"/>
      <x:c r="CO623" s="58"/>
      <x:c r="CP623" s="47"/>
      <x:c r="CQ623" s="60"/>
      <x:c r="CR623" s="58"/>
      <x:c r="CS623" s="47"/>
      <x:c r="CT623" s="60"/>
      <x:c r="CU623" s="58"/>
      <x:c r="CV623" s="47"/>
      <x:c r="CW623" s="60"/>
      <x:c r="CX623" s="58"/>
      <x:c r="CY623" s="47"/>
      <x:c r="CZ623" s="60"/>
      <x:c r="DA623" s="58"/>
      <x:c r="DB623" s="47"/>
      <x:c r="DC623" s="60"/>
      <x:c r="DD623" s="58"/>
      <x:c r="DE623" s="47"/>
      <x:c r="DF623" s="60"/>
      <x:c r="DG623" s="58"/>
      <x:c r="DH623" s="47"/>
      <x:c r="DI623" s="60"/>
      <x:c r="DJ623" s="58"/>
      <x:c r="DK623" s="47"/>
      <x:c r="DL623" s="60"/>
      <x:c r="DM623" s="58"/>
      <x:c r="DN623" s="11"/>
      <x:c r="DO623" s="61"/>
      <x:c r="DP623" s="62"/>
      <x:c r="DQ623" s="11"/>
      <x:c r="DR623" s="61"/>
      <x:c r="DS623" s="62"/>
      <x:c r="DT623" s="11"/>
      <x:c r="DU623" s="61"/>
      <x:c r="DV623" s="62"/>
    </x:row>
    <x:row r="624" spans="1:126" x14ac:dyDescent="0.3">
      <x:c r="A624" s="47"/>
      <x:c r="B624" s="70"/>
      <x:c r="C624" s="70"/>
      <x:c r="D624" s="70"/>
      <x:c r="E624" s="70"/>
      <x:c r="F624" s="70"/>
      <x:c r="G624" s="70"/>
      <x:c r="H624" s="70"/>
      <x:c r="I624" s="70"/>
      <x:c r="J624" s="70"/>
      <x:c r="K624" s="190"/>
      <x:c r="L624" s="195"/>
      <x:c r="M624" s="192"/>
      <x:c r="N624" s="192"/>
      <x:c r="O624" s="69"/>
      <x:c r="P624" s="47"/>
      <x:c r="Q624" s="60"/>
      <x:c r="R624" s="58"/>
      <x:c r="S624" s="47"/>
      <x:c r="T624" s="60"/>
      <x:c r="U624" s="58"/>
      <x:c r="V624" s="47"/>
      <x:c r="W624" s="60"/>
      <x:c r="X624" s="58"/>
      <x:c r="Y624" s="47"/>
      <x:c r="Z624" s="60"/>
      <x:c r="AA624" s="58"/>
      <x:c r="AB624" s="47"/>
      <x:c r="AC624" s="60"/>
      <x:c r="AD624" s="58"/>
      <x:c r="AE624" s="47"/>
      <x:c r="AF624" s="60"/>
      <x:c r="AG624" s="58"/>
      <x:c r="AH624" s="47"/>
      <x:c r="AI624" s="60"/>
      <x:c r="AJ624" s="58"/>
      <x:c r="AK624" s="47"/>
      <x:c r="AL624" s="60"/>
      <x:c r="AM624" s="58"/>
      <x:c r="AN624" s="47"/>
      <x:c r="AO624" s="60"/>
      <x:c r="AP624" s="58"/>
      <x:c r="AQ624" s="47"/>
      <x:c r="AR624" s="60"/>
      <x:c r="AS624" s="58"/>
      <x:c r="AT624" s="47"/>
      <x:c r="AU624" s="60"/>
      <x:c r="AV624" s="58"/>
      <x:c r="AW624" s="47"/>
      <x:c r="AX624" s="60"/>
      <x:c r="AY624" s="58"/>
      <x:c r="AZ624" s="47"/>
      <x:c r="BA624" s="60"/>
      <x:c r="BB624" s="58"/>
      <x:c r="BC624" s="47"/>
      <x:c r="BD624" s="60"/>
      <x:c r="BE624" s="58"/>
      <x:c r="BF624" s="47"/>
      <x:c r="BG624" s="60"/>
      <x:c r="BH624" s="58"/>
      <x:c r="BI624" s="47"/>
      <x:c r="BJ624" s="60"/>
      <x:c r="BK624" s="58"/>
      <x:c r="BL624" s="47"/>
      <x:c r="BM624" s="60"/>
      <x:c r="BN624" s="58"/>
      <x:c r="BO624" s="47"/>
      <x:c r="BP624" s="60"/>
      <x:c r="BQ624" s="58"/>
      <x:c r="BR624" s="47"/>
      <x:c r="BS624" s="60"/>
      <x:c r="BT624" s="58"/>
      <x:c r="BU624" s="47"/>
      <x:c r="BV624" s="60"/>
      <x:c r="BW624" s="58"/>
      <x:c r="BX624" s="47"/>
      <x:c r="BY624" s="60"/>
      <x:c r="BZ624" s="58"/>
      <x:c r="CA624" s="47"/>
      <x:c r="CB624" s="60"/>
      <x:c r="CC624" s="58"/>
      <x:c r="CD624" s="47"/>
      <x:c r="CE624" s="60"/>
      <x:c r="CF624" s="58"/>
      <x:c r="CG624" s="47"/>
      <x:c r="CH624" s="60"/>
      <x:c r="CI624" s="58"/>
      <x:c r="CJ624" s="47"/>
      <x:c r="CK624" s="60"/>
      <x:c r="CL624" s="58"/>
      <x:c r="CM624" s="47"/>
      <x:c r="CN624" s="60"/>
      <x:c r="CO624" s="58"/>
      <x:c r="CP624" s="47"/>
      <x:c r="CQ624" s="60"/>
      <x:c r="CR624" s="58"/>
      <x:c r="CS624" s="47"/>
      <x:c r="CT624" s="60"/>
      <x:c r="CU624" s="58"/>
      <x:c r="CV624" s="47"/>
      <x:c r="CW624" s="60"/>
      <x:c r="CX624" s="58"/>
      <x:c r="CY624" s="47"/>
      <x:c r="CZ624" s="60"/>
      <x:c r="DA624" s="58"/>
      <x:c r="DB624" s="47"/>
      <x:c r="DC624" s="60"/>
      <x:c r="DD624" s="58"/>
      <x:c r="DE624" s="47"/>
      <x:c r="DF624" s="60"/>
      <x:c r="DG624" s="58"/>
      <x:c r="DH624" s="47"/>
      <x:c r="DI624" s="60"/>
      <x:c r="DJ624" s="58"/>
      <x:c r="DK624" s="47"/>
      <x:c r="DL624" s="60"/>
      <x:c r="DM624" s="58"/>
      <x:c r="DN624" s="11"/>
      <x:c r="DO624" s="61"/>
      <x:c r="DP624" s="62"/>
      <x:c r="DQ624" s="11"/>
      <x:c r="DR624" s="61"/>
      <x:c r="DS624" s="62"/>
      <x:c r="DT624" s="11"/>
      <x:c r="DU624" s="61"/>
      <x:c r="DV624" s="62"/>
    </x:row>
    <x:row r="625" spans="1:126" x14ac:dyDescent="0.3">
      <x:c r="A625" s="47"/>
      <x:c r="B625" s="70"/>
      <x:c r="C625" s="70"/>
      <x:c r="D625" s="70"/>
      <x:c r="E625" s="70"/>
      <x:c r="F625" s="70"/>
      <x:c r="G625" s="70"/>
      <x:c r="H625" s="70"/>
      <x:c r="I625" s="70"/>
      <x:c r="J625" s="70"/>
      <x:c r="K625" s="190"/>
      <x:c r="L625" s="195"/>
      <x:c r="M625" s="192"/>
      <x:c r="N625" s="192"/>
      <x:c r="O625" s="69"/>
      <x:c r="P625" s="47"/>
      <x:c r="Q625" s="60"/>
      <x:c r="R625" s="58"/>
      <x:c r="S625" s="47"/>
      <x:c r="T625" s="60"/>
      <x:c r="U625" s="58"/>
      <x:c r="V625" s="47"/>
      <x:c r="W625" s="60"/>
      <x:c r="X625" s="58"/>
      <x:c r="Y625" s="47"/>
      <x:c r="Z625" s="60"/>
      <x:c r="AA625" s="58"/>
      <x:c r="AB625" s="47"/>
      <x:c r="AC625" s="60"/>
      <x:c r="AD625" s="58"/>
      <x:c r="AE625" s="47"/>
      <x:c r="AF625" s="60"/>
      <x:c r="AG625" s="58"/>
      <x:c r="AH625" s="47"/>
      <x:c r="AI625" s="60"/>
      <x:c r="AJ625" s="58"/>
      <x:c r="AK625" s="47"/>
      <x:c r="AL625" s="60"/>
      <x:c r="AM625" s="58"/>
      <x:c r="AN625" s="47"/>
      <x:c r="AO625" s="60"/>
      <x:c r="AP625" s="58"/>
      <x:c r="AQ625" s="47"/>
      <x:c r="AR625" s="60"/>
      <x:c r="AS625" s="58"/>
      <x:c r="AT625" s="47"/>
      <x:c r="AU625" s="60"/>
      <x:c r="AV625" s="58"/>
      <x:c r="AW625" s="47"/>
      <x:c r="AX625" s="60"/>
      <x:c r="AY625" s="58"/>
      <x:c r="AZ625" s="47"/>
      <x:c r="BA625" s="60"/>
      <x:c r="BB625" s="58"/>
      <x:c r="BC625" s="47"/>
      <x:c r="BD625" s="60"/>
      <x:c r="BE625" s="58"/>
      <x:c r="BF625" s="47"/>
      <x:c r="BG625" s="60"/>
      <x:c r="BH625" s="58"/>
      <x:c r="BI625" s="47"/>
      <x:c r="BJ625" s="60"/>
      <x:c r="BK625" s="58"/>
      <x:c r="BL625" s="47"/>
      <x:c r="BM625" s="60"/>
      <x:c r="BN625" s="58"/>
      <x:c r="BO625" s="47"/>
      <x:c r="BP625" s="60"/>
      <x:c r="BQ625" s="58"/>
      <x:c r="BR625" s="47"/>
      <x:c r="BS625" s="60"/>
      <x:c r="BT625" s="58"/>
      <x:c r="BU625" s="47"/>
      <x:c r="BV625" s="60"/>
      <x:c r="BW625" s="58"/>
      <x:c r="BX625" s="47"/>
      <x:c r="BY625" s="60"/>
      <x:c r="BZ625" s="58"/>
      <x:c r="CA625" s="47"/>
      <x:c r="CB625" s="60"/>
      <x:c r="CC625" s="58"/>
      <x:c r="CD625" s="47"/>
      <x:c r="CE625" s="60"/>
      <x:c r="CF625" s="58"/>
      <x:c r="CG625" s="47"/>
      <x:c r="CH625" s="60"/>
      <x:c r="CI625" s="58"/>
      <x:c r="CJ625" s="47"/>
      <x:c r="CK625" s="60"/>
      <x:c r="CL625" s="58"/>
      <x:c r="CM625" s="47"/>
      <x:c r="CN625" s="60"/>
      <x:c r="CO625" s="58"/>
      <x:c r="CP625" s="47"/>
      <x:c r="CQ625" s="60"/>
      <x:c r="CR625" s="58"/>
      <x:c r="CS625" s="47"/>
      <x:c r="CT625" s="60"/>
      <x:c r="CU625" s="58"/>
      <x:c r="CV625" s="47"/>
      <x:c r="CW625" s="60"/>
      <x:c r="CX625" s="58"/>
      <x:c r="CY625" s="47"/>
      <x:c r="CZ625" s="60"/>
      <x:c r="DA625" s="58"/>
      <x:c r="DB625" s="47"/>
      <x:c r="DC625" s="60"/>
      <x:c r="DD625" s="58"/>
      <x:c r="DE625" s="47"/>
      <x:c r="DF625" s="60"/>
      <x:c r="DG625" s="58"/>
      <x:c r="DH625" s="47"/>
      <x:c r="DI625" s="60"/>
      <x:c r="DJ625" s="58"/>
      <x:c r="DK625" s="47"/>
      <x:c r="DL625" s="60"/>
      <x:c r="DM625" s="58"/>
      <x:c r="DN625" s="11"/>
      <x:c r="DO625" s="61"/>
      <x:c r="DP625" s="62"/>
      <x:c r="DQ625" s="11"/>
      <x:c r="DR625" s="61"/>
      <x:c r="DS625" s="62"/>
      <x:c r="DT625" s="11"/>
      <x:c r="DU625" s="61"/>
      <x:c r="DV625" s="62"/>
    </x:row>
    <x:row r="626" spans="1:126" x14ac:dyDescent="0.3">
      <x:c r="A626" s="47"/>
      <x:c r="B626" s="70"/>
      <x:c r="C626" s="70"/>
      <x:c r="D626" s="70"/>
      <x:c r="E626" s="70"/>
      <x:c r="F626" s="70"/>
      <x:c r="G626" s="70"/>
      <x:c r="H626" s="70"/>
      <x:c r="I626" s="70"/>
      <x:c r="J626" s="70"/>
      <x:c r="K626" s="190"/>
      <x:c r="L626" s="195"/>
      <x:c r="M626" s="192"/>
      <x:c r="N626" s="192"/>
      <x:c r="O626" s="69"/>
      <x:c r="P626" s="47"/>
      <x:c r="Q626" s="60"/>
      <x:c r="R626" s="58"/>
      <x:c r="S626" s="47"/>
      <x:c r="T626" s="60"/>
      <x:c r="U626" s="58"/>
      <x:c r="V626" s="47"/>
      <x:c r="W626" s="60"/>
      <x:c r="X626" s="58"/>
      <x:c r="Y626" s="47"/>
      <x:c r="Z626" s="60"/>
      <x:c r="AA626" s="58"/>
      <x:c r="AB626" s="47"/>
      <x:c r="AC626" s="60"/>
      <x:c r="AD626" s="58"/>
      <x:c r="AE626" s="47"/>
      <x:c r="AF626" s="60"/>
      <x:c r="AG626" s="58"/>
      <x:c r="AH626" s="47"/>
      <x:c r="AI626" s="60"/>
      <x:c r="AJ626" s="58"/>
      <x:c r="AK626" s="47"/>
      <x:c r="AL626" s="60"/>
      <x:c r="AM626" s="58"/>
      <x:c r="AN626" s="47"/>
      <x:c r="AO626" s="60"/>
      <x:c r="AP626" s="58"/>
      <x:c r="AQ626" s="47"/>
      <x:c r="AR626" s="60"/>
      <x:c r="AS626" s="58"/>
      <x:c r="AT626" s="47"/>
      <x:c r="AU626" s="60"/>
      <x:c r="AV626" s="58"/>
      <x:c r="AW626" s="47"/>
      <x:c r="AX626" s="60"/>
      <x:c r="AY626" s="58"/>
      <x:c r="AZ626" s="47"/>
      <x:c r="BA626" s="60"/>
      <x:c r="BB626" s="58"/>
      <x:c r="BC626" s="47"/>
      <x:c r="BD626" s="60"/>
      <x:c r="BE626" s="58"/>
      <x:c r="BF626" s="47"/>
      <x:c r="BG626" s="60"/>
      <x:c r="BH626" s="58"/>
      <x:c r="BI626" s="47"/>
      <x:c r="BJ626" s="60"/>
      <x:c r="BK626" s="58"/>
      <x:c r="BL626" s="47"/>
      <x:c r="BM626" s="60"/>
      <x:c r="BN626" s="58"/>
      <x:c r="BO626" s="47"/>
      <x:c r="BP626" s="60"/>
      <x:c r="BQ626" s="58"/>
      <x:c r="BR626" s="47"/>
      <x:c r="BS626" s="60"/>
      <x:c r="BT626" s="58"/>
      <x:c r="BU626" s="47"/>
      <x:c r="BV626" s="60"/>
      <x:c r="BW626" s="58"/>
      <x:c r="BX626" s="47"/>
      <x:c r="BY626" s="60"/>
      <x:c r="BZ626" s="58"/>
      <x:c r="CA626" s="47"/>
      <x:c r="CB626" s="60"/>
      <x:c r="CC626" s="58"/>
      <x:c r="CD626" s="47"/>
      <x:c r="CE626" s="60"/>
      <x:c r="CF626" s="58"/>
      <x:c r="CG626" s="47"/>
      <x:c r="CH626" s="60"/>
      <x:c r="CI626" s="58"/>
      <x:c r="CJ626" s="47"/>
      <x:c r="CK626" s="60"/>
      <x:c r="CL626" s="58"/>
      <x:c r="CM626" s="47"/>
      <x:c r="CN626" s="60"/>
      <x:c r="CO626" s="58"/>
      <x:c r="CP626" s="47"/>
      <x:c r="CQ626" s="60"/>
      <x:c r="CR626" s="58"/>
      <x:c r="CS626" s="47"/>
      <x:c r="CT626" s="60"/>
      <x:c r="CU626" s="58"/>
      <x:c r="CV626" s="47"/>
      <x:c r="CW626" s="60"/>
      <x:c r="CX626" s="58"/>
      <x:c r="CY626" s="47"/>
      <x:c r="CZ626" s="60"/>
      <x:c r="DA626" s="58"/>
      <x:c r="DB626" s="47"/>
      <x:c r="DC626" s="60"/>
      <x:c r="DD626" s="58"/>
      <x:c r="DE626" s="47"/>
      <x:c r="DF626" s="60"/>
      <x:c r="DG626" s="58"/>
      <x:c r="DH626" s="47"/>
      <x:c r="DI626" s="60"/>
      <x:c r="DJ626" s="58"/>
      <x:c r="DK626" s="47"/>
      <x:c r="DL626" s="60"/>
      <x:c r="DM626" s="58"/>
      <x:c r="DN626" s="11"/>
      <x:c r="DO626" s="61"/>
      <x:c r="DP626" s="62"/>
      <x:c r="DQ626" s="11"/>
      <x:c r="DR626" s="61"/>
      <x:c r="DS626" s="62"/>
      <x:c r="DT626" s="11"/>
      <x:c r="DU626" s="61"/>
      <x:c r="DV626" s="62"/>
    </x:row>
    <x:row r="627" spans="1:126" x14ac:dyDescent="0.3">
      <x:c r="A627" s="47"/>
      <x:c r="B627" s="70"/>
      <x:c r="C627" s="70"/>
      <x:c r="D627" s="70"/>
      <x:c r="E627" s="70"/>
      <x:c r="F627" s="70"/>
      <x:c r="G627" s="70"/>
      <x:c r="H627" s="70"/>
      <x:c r="I627" s="70"/>
      <x:c r="J627" s="70"/>
      <x:c r="K627" s="190"/>
      <x:c r="L627" s="195"/>
      <x:c r="M627" s="192"/>
      <x:c r="N627" s="192"/>
      <x:c r="O627" s="69"/>
      <x:c r="P627" s="47"/>
      <x:c r="Q627" s="60"/>
      <x:c r="R627" s="58"/>
      <x:c r="S627" s="47"/>
      <x:c r="T627" s="60"/>
      <x:c r="U627" s="58"/>
      <x:c r="V627" s="47"/>
      <x:c r="W627" s="60"/>
      <x:c r="X627" s="58"/>
      <x:c r="Y627" s="47"/>
      <x:c r="Z627" s="60"/>
      <x:c r="AA627" s="58"/>
      <x:c r="AB627" s="47"/>
      <x:c r="AC627" s="60"/>
      <x:c r="AD627" s="58"/>
      <x:c r="AE627" s="47"/>
      <x:c r="AF627" s="60"/>
      <x:c r="AG627" s="58"/>
      <x:c r="AH627" s="47"/>
      <x:c r="AI627" s="60"/>
      <x:c r="AJ627" s="58"/>
      <x:c r="AK627" s="47"/>
      <x:c r="AL627" s="60"/>
      <x:c r="AM627" s="58"/>
      <x:c r="AN627" s="47"/>
      <x:c r="AO627" s="60"/>
      <x:c r="AP627" s="58"/>
      <x:c r="AQ627" s="47"/>
      <x:c r="AR627" s="60"/>
      <x:c r="AS627" s="58"/>
      <x:c r="AT627" s="47"/>
      <x:c r="AU627" s="60"/>
      <x:c r="AV627" s="58"/>
      <x:c r="AW627" s="47"/>
      <x:c r="AX627" s="60"/>
      <x:c r="AY627" s="58"/>
      <x:c r="AZ627" s="47"/>
      <x:c r="BA627" s="60"/>
      <x:c r="BB627" s="58"/>
      <x:c r="BC627" s="47"/>
      <x:c r="BD627" s="60"/>
      <x:c r="BE627" s="58"/>
      <x:c r="BF627" s="47"/>
      <x:c r="BG627" s="60"/>
      <x:c r="BH627" s="58"/>
      <x:c r="BI627" s="47"/>
      <x:c r="BJ627" s="60"/>
      <x:c r="BK627" s="58"/>
      <x:c r="BL627" s="47"/>
      <x:c r="BM627" s="60"/>
      <x:c r="BN627" s="58"/>
      <x:c r="BO627" s="47"/>
      <x:c r="BP627" s="60"/>
      <x:c r="BQ627" s="58"/>
      <x:c r="BR627" s="47"/>
      <x:c r="BS627" s="60"/>
      <x:c r="BT627" s="58"/>
      <x:c r="BU627" s="47"/>
      <x:c r="BV627" s="60"/>
      <x:c r="BW627" s="58"/>
      <x:c r="BX627" s="47"/>
      <x:c r="BY627" s="60"/>
      <x:c r="BZ627" s="58"/>
      <x:c r="CA627" s="47"/>
      <x:c r="CB627" s="60"/>
      <x:c r="CC627" s="58"/>
      <x:c r="CD627" s="47"/>
      <x:c r="CE627" s="60"/>
      <x:c r="CF627" s="58"/>
      <x:c r="CG627" s="47"/>
      <x:c r="CH627" s="60"/>
      <x:c r="CI627" s="58"/>
      <x:c r="CJ627" s="47"/>
      <x:c r="CK627" s="60"/>
      <x:c r="CL627" s="58"/>
      <x:c r="CM627" s="47"/>
      <x:c r="CN627" s="60"/>
      <x:c r="CO627" s="58"/>
      <x:c r="CP627" s="47"/>
      <x:c r="CQ627" s="60"/>
      <x:c r="CR627" s="58"/>
      <x:c r="CS627" s="47"/>
      <x:c r="CT627" s="60"/>
      <x:c r="CU627" s="58"/>
      <x:c r="CV627" s="47"/>
      <x:c r="CW627" s="60"/>
      <x:c r="CX627" s="58"/>
      <x:c r="CY627" s="47"/>
      <x:c r="CZ627" s="60"/>
      <x:c r="DA627" s="58"/>
      <x:c r="DB627" s="47"/>
      <x:c r="DC627" s="60"/>
      <x:c r="DD627" s="58"/>
      <x:c r="DE627" s="47"/>
      <x:c r="DF627" s="60"/>
      <x:c r="DG627" s="58"/>
      <x:c r="DH627" s="47"/>
      <x:c r="DI627" s="60"/>
      <x:c r="DJ627" s="58"/>
      <x:c r="DK627" s="47"/>
      <x:c r="DL627" s="60"/>
      <x:c r="DM627" s="58"/>
      <x:c r="DN627" s="11"/>
      <x:c r="DO627" s="61"/>
      <x:c r="DP627" s="62"/>
      <x:c r="DQ627" s="11"/>
      <x:c r="DR627" s="61"/>
      <x:c r="DS627" s="62"/>
      <x:c r="DT627" s="11"/>
      <x:c r="DU627" s="61"/>
      <x:c r="DV627" s="62"/>
    </x:row>
    <x:row r="628" spans="1:126" x14ac:dyDescent="0.3">
      <x:c r="A628" s="47"/>
      <x:c r="B628" s="70"/>
      <x:c r="C628" s="70"/>
      <x:c r="D628" s="70"/>
      <x:c r="E628" s="70"/>
      <x:c r="F628" s="70"/>
      <x:c r="G628" s="70"/>
      <x:c r="H628" s="70"/>
      <x:c r="I628" s="70"/>
      <x:c r="J628" s="70"/>
      <x:c r="K628" s="190"/>
      <x:c r="L628" s="195"/>
      <x:c r="M628" s="192"/>
      <x:c r="N628" s="192"/>
      <x:c r="O628" s="69"/>
      <x:c r="P628" s="47"/>
      <x:c r="Q628" s="60"/>
      <x:c r="R628" s="58"/>
      <x:c r="S628" s="47"/>
      <x:c r="T628" s="60"/>
      <x:c r="U628" s="58"/>
      <x:c r="V628" s="47"/>
      <x:c r="W628" s="60"/>
      <x:c r="X628" s="58"/>
      <x:c r="Y628" s="47"/>
      <x:c r="Z628" s="60"/>
      <x:c r="AA628" s="58"/>
      <x:c r="AB628" s="47"/>
      <x:c r="AC628" s="60"/>
      <x:c r="AD628" s="58"/>
      <x:c r="AE628" s="47"/>
      <x:c r="AF628" s="60"/>
      <x:c r="AG628" s="58"/>
      <x:c r="AH628" s="47"/>
      <x:c r="AI628" s="60"/>
      <x:c r="AJ628" s="58"/>
      <x:c r="AK628" s="47"/>
      <x:c r="AL628" s="60"/>
      <x:c r="AM628" s="58"/>
      <x:c r="AN628" s="47"/>
      <x:c r="AO628" s="60"/>
      <x:c r="AP628" s="58"/>
      <x:c r="AQ628" s="47"/>
      <x:c r="AR628" s="60"/>
      <x:c r="AS628" s="58"/>
      <x:c r="AT628" s="47"/>
      <x:c r="AU628" s="60"/>
      <x:c r="AV628" s="58"/>
      <x:c r="AW628" s="47"/>
      <x:c r="AX628" s="60"/>
      <x:c r="AY628" s="58"/>
      <x:c r="AZ628" s="47"/>
      <x:c r="BA628" s="60"/>
      <x:c r="BB628" s="58"/>
      <x:c r="BC628" s="47"/>
      <x:c r="BD628" s="60"/>
      <x:c r="BE628" s="58"/>
      <x:c r="BF628" s="47"/>
      <x:c r="BG628" s="60"/>
      <x:c r="BH628" s="58"/>
      <x:c r="BI628" s="47"/>
      <x:c r="BJ628" s="60"/>
      <x:c r="BK628" s="58"/>
      <x:c r="BL628" s="47"/>
      <x:c r="BM628" s="60"/>
      <x:c r="BN628" s="58"/>
      <x:c r="BO628" s="47"/>
      <x:c r="BP628" s="60"/>
      <x:c r="BQ628" s="58"/>
      <x:c r="BR628" s="47"/>
      <x:c r="BS628" s="60"/>
      <x:c r="BT628" s="58"/>
      <x:c r="BU628" s="47"/>
      <x:c r="BV628" s="60"/>
      <x:c r="BW628" s="58"/>
      <x:c r="BX628" s="47"/>
      <x:c r="BY628" s="60"/>
      <x:c r="BZ628" s="58"/>
      <x:c r="CA628" s="47"/>
      <x:c r="CB628" s="60"/>
      <x:c r="CC628" s="58"/>
      <x:c r="CD628" s="47"/>
      <x:c r="CE628" s="60"/>
      <x:c r="CF628" s="58"/>
      <x:c r="CG628" s="47"/>
      <x:c r="CH628" s="60"/>
      <x:c r="CI628" s="58"/>
      <x:c r="CJ628" s="47"/>
      <x:c r="CK628" s="60"/>
      <x:c r="CL628" s="58"/>
      <x:c r="CM628" s="47"/>
      <x:c r="CN628" s="60"/>
      <x:c r="CO628" s="58"/>
      <x:c r="CP628" s="47"/>
      <x:c r="CQ628" s="60"/>
      <x:c r="CR628" s="58"/>
      <x:c r="CS628" s="47"/>
      <x:c r="CT628" s="60"/>
      <x:c r="CU628" s="58"/>
      <x:c r="CV628" s="47"/>
      <x:c r="CW628" s="60"/>
      <x:c r="CX628" s="58"/>
      <x:c r="CY628" s="47"/>
      <x:c r="CZ628" s="60"/>
      <x:c r="DA628" s="58"/>
      <x:c r="DB628" s="47"/>
      <x:c r="DC628" s="60"/>
      <x:c r="DD628" s="58"/>
      <x:c r="DE628" s="47"/>
      <x:c r="DF628" s="60"/>
      <x:c r="DG628" s="58"/>
      <x:c r="DH628" s="47"/>
      <x:c r="DI628" s="60"/>
      <x:c r="DJ628" s="58"/>
      <x:c r="DK628" s="47"/>
      <x:c r="DL628" s="60"/>
      <x:c r="DM628" s="58"/>
      <x:c r="DN628" s="11"/>
      <x:c r="DO628" s="61"/>
      <x:c r="DP628" s="62"/>
      <x:c r="DQ628" s="11"/>
      <x:c r="DR628" s="61"/>
      <x:c r="DS628" s="62"/>
      <x:c r="DT628" s="11"/>
      <x:c r="DU628" s="61"/>
      <x:c r="DV628" s="62"/>
    </x:row>
    <x:row r="629" spans="1:126" x14ac:dyDescent="0.3">
      <x:c r="A629" s="47"/>
      <x:c r="B629" s="70"/>
      <x:c r="C629" s="70"/>
      <x:c r="D629" s="70"/>
      <x:c r="E629" s="70"/>
      <x:c r="F629" s="70"/>
      <x:c r="G629" s="70"/>
      <x:c r="H629" s="70"/>
      <x:c r="I629" s="70"/>
      <x:c r="J629" s="70"/>
      <x:c r="K629" s="190"/>
      <x:c r="L629" s="195"/>
      <x:c r="M629" s="192"/>
      <x:c r="N629" s="192"/>
      <x:c r="O629" s="69"/>
      <x:c r="P629" s="47"/>
      <x:c r="Q629" s="60"/>
      <x:c r="R629" s="58"/>
      <x:c r="S629" s="47"/>
      <x:c r="T629" s="60"/>
      <x:c r="U629" s="58"/>
      <x:c r="V629" s="47"/>
      <x:c r="W629" s="60"/>
      <x:c r="X629" s="58"/>
      <x:c r="Y629" s="47"/>
      <x:c r="Z629" s="60"/>
      <x:c r="AA629" s="58"/>
      <x:c r="AB629" s="47"/>
      <x:c r="AC629" s="60"/>
      <x:c r="AD629" s="58"/>
      <x:c r="AE629" s="47"/>
      <x:c r="AF629" s="60"/>
      <x:c r="AG629" s="58"/>
      <x:c r="AH629" s="47"/>
      <x:c r="AI629" s="60"/>
      <x:c r="AJ629" s="58"/>
      <x:c r="AK629" s="47"/>
      <x:c r="AL629" s="60"/>
      <x:c r="AM629" s="58"/>
      <x:c r="AN629" s="47"/>
      <x:c r="AO629" s="60"/>
      <x:c r="AP629" s="58"/>
      <x:c r="AQ629" s="47"/>
      <x:c r="AR629" s="60"/>
      <x:c r="AS629" s="58"/>
      <x:c r="AT629" s="47"/>
      <x:c r="AU629" s="60"/>
      <x:c r="AV629" s="58"/>
      <x:c r="AW629" s="47"/>
      <x:c r="AX629" s="60"/>
      <x:c r="AY629" s="58"/>
      <x:c r="AZ629" s="47"/>
      <x:c r="BA629" s="60"/>
      <x:c r="BB629" s="58"/>
      <x:c r="BC629" s="47"/>
      <x:c r="BD629" s="60"/>
      <x:c r="BE629" s="58"/>
      <x:c r="BF629" s="47"/>
      <x:c r="BG629" s="60"/>
      <x:c r="BH629" s="58"/>
      <x:c r="BI629" s="47"/>
      <x:c r="BJ629" s="60"/>
      <x:c r="BK629" s="58"/>
      <x:c r="BL629" s="47"/>
      <x:c r="BM629" s="60"/>
      <x:c r="BN629" s="58"/>
      <x:c r="BO629" s="47"/>
      <x:c r="BP629" s="60"/>
      <x:c r="BQ629" s="58"/>
      <x:c r="BR629" s="47"/>
      <x:c r="BS629" s="60"/>
      <x:c r="BT629" s="58"/>
      <x:c r="BU629" s="47"/>
      <x:c r="BV629" s="60"/>
      <x:c r="BW629" s="58"/>
      <x:c r="BX629" s="47"/>
      <x:c r="BY629" s="60"/>
      <x:c r="BZ629" s="58"/>
      <x:c r="CA629" s="47"/>
      <x:c r="CB629" s="60"/>
      <x:c r="CC629" s="58"/>
      <x:c r="CD629" s="47"/>
      <x:c r="CE629" s="60"/>
      <x:c r="CF629" s="58"/>
      <x:c r="CG629" s="47"/>
      <x:c r="CH629" s="60"/>
      <x:c r="CI629" s="58"/>
      <x:c r="CJ629" s="47"/>
      <x:c r="CK629" s="60"/>
      <x:c r="CL629" s="58"/>
      <x:c r="CM629" s="47"/>
      <x:c r="CN629" s="60"/>
      <x:c r="CO629" s="58"/>
      <x:c r="CP629" s="47"/>
      <x:c r="CQ629" s="60"/>
      <x:c r="CR629" s="58"/>
      <x:c r="CS629" s="47"/>
      <x:c r="CT629" s="60"/>
      <x:c r="CU629" s="58"/>
      <x:c r="CV629" s="47"/>
      <x:c r="CW629" s="60"/>
      <x:c r="CX629" s="58"/>
      <x:c r="CY629" s="47"/>
      <x:c r="CZ629" s="60"/>
      <x:c r="DA629" s="58"/>
      <x:c r="DB629" s="47"/>
      <x:c r="DC629" s="60"/>
      <x:c r="DD629" s="58"/>
      <x:c r="DE629" s="47"/>
      <x:c r="DF629" s="60"/>
      <x:c r="DG629" s="58"/>
      <x:c r="DH629" s="47"/>
      <x:c r="DI629" s="60"/>
      <x:c r="DJ629" s="58"/>
      <x:c r="DK629" s="47"/>
      <x:c r="DL629" s="60"/>
      <x:c r="DM629" s="58"/>
      <x:c r="DN629" s="11"/>
      <x:c r="DO629" s="61"/>
      <x:c r="DP629" s="62"/>
      <x:c r="DQ629" s="11"/>
      <x:c r="DR629" s="61"/>
      <x:c r="DS629" s="62"/>
      <x:c r="DT629" s="11"/>
      <x:c r="DU629" s="61"/>
      <x:c r="DV629" s="62"/>
    </x:row>
    <x:row r="630" spans="1:126" x14ac:dyDescent="0.3">
      <x:c r="A630" s="47"/>
      <x:c r="B630" s="70"/>
      <x:c r="C630" s="70"/>
      <x:c r="D630" s="70"/>
      <x:c r="E630" s="70"/>
      <x:c r="F630" s="70"/>
      <x:c r="G630" s="70"/>
      <x:c r="H630" s="70"/>
      <x:c r="I630" s="70"/>
      <x:c r="J630" s="70"/>
      <x:c r="K630" s="190"/>
      <x:c r="L630" s="195"/>
      <x:c r="M630" s="192"/>
      <x:c r="N630" s="192"/>
      <x:c r="O630" s="69"/>
      <x:c r="P630" s="47"/>
      <x:c r="Q630" s="60"/>
      <x:c r="R630" s="58"/>
      <x:c r="S630" s="47"/>
      <x:c r="T630" s="60"/>
      <x:c r="U630" s="58"/>
      <x:c r="V630" s="47"/>
      <x:c r="W630" s="60"/>
      <x:c r="X630" s="58"/>
      <x:c r="Y630" s="47"/>
      <x:c r="Z630" s="60"/>
      <x:c r="AA630" s="58"/>
      <x:c r="AB630" s="47"/>
      <x:c r="AC630" s="60"/>
      <x:c r="AD630" s="58"/>
      <x:c r="AE630" s="47"/>
      <x:c r="AF630" s="60"/>
      <x:c r="AG630" s="58"/>
      <x:c r="AH630" s="47"/>
      <x:c r="AI630" s="60"/>
      <x:c r="AJ630" s="58"/>
      <x:c r="AK630" s="47"/>
      <x:c r="AL630" s="60"/>
      <x:c r="AM630" s="58"/>
      <x:c r="AN630" s="47"/>
      <x:c r="AO630" s="60"/>
      <x:c r="AP630" s="58"/>
      <x:c r="AQ630" s="47"/>
      <x:c r="AR630" s="60"/>
      <x:c r="AS630" s="58"/>
      <x:c r="AT630" s="47"/>
      <x:c r="AU630" s="60"/>
      <x:c r="AV630" s="58"/>
      <x:c r="AW630" s="47"/>
      <x:c r="AX630" s="60"/>
      <x:c r="AY630" s="58"/>
      <x:c r="AZ630" s="47"/>
      <x:c r="BA630" s="60"/>
      <x:c r="BB630" s="58"/>
      <x:c r="BC630" s="47"/>
      <x:c r="BD630" s="60"/>
      <x:c r="BE630" s="58"/>
      <x:c r="BF630" s="47"/>
      <x:c r="BG630" s="60"/>
      <x:c r="BH630" s="58"/>
      <x:c r="BI630" s="47"/>
      <x:c r="BJ630" s="60"/>
      <x:c r="BK630" s="58"/>
      <x:c r="BL630" s="47"/>
      <x:c r="BM630" s="60"/>
      <x:c r="BN630" s="58"/>
      <x:c r="BO630" s="47"/>
      <x:c r="BP630" s="60"/>
      <x:c r="BQ630" s="58"/>
      <x:c r="BR630" s="47"/>
      <x:c r="BS630" s="60"/>
      <x:c r="BT630" s="58"/>
      <x:c r="BU630" s="47"/>
      <x:c r="BV630" s="60"/>
      <x:c r="BW630" s="58"/>
      <x:c r="BX630" s="47"/>
      <x:c r="BY630" s="60"/>
      <x:c r="BZ630" s="58"/>
      <x:c r="CA630" s="47"/>
      <x:c r="CB630" s="60"/>
      <x:c r="CC630" s="58"/>
      <x:c r="CD630" s="47"/>
      <x:c r="CE630" s="60"/>
      <x:c r="CF630" s="58"/>
      <x:c r="CG630" s="47"/>
      <x:c r="CH630" s="60"/>
      <x:c r="CI630" s="58"/>
      <x:c r="CJ630" s="47"/>
      <x:c r="CK630" s="60"/>
      <x:c r="CL630" s="58"/>
      <x:c r="CM630" s="47"/>
      <x:c r="CN630" s="60"/>
      <x:c r="CO630" s="58"/>
      <x:c r="CP630" s="47"/>
      <x:c r="CQ630" s="60"/>
      <x:c r="CR630" s="58"/>
      <x:c r="CS630" s="47"/>
      <x:c r="CT630" s="60"/>
      <x:c r="CU630" s="58"/>
      <x:c r="CV630" s="47"/>
      <x:c r="CW630" s="60"/>
      <x:c r="CX630" s="58"/>
      <x:c r="CY630" s="47"/>
      <x:c r="CZ630" s="60"/>
      <x:c r="DA630" s="58"/>
      <x:c r="DB630" s="47"/>
      <x:c r="DC630" s="60"/>
      <x:c r="DD630" s="58"/>
      <x:c r="DE630" s="47"/>
      <x:c r="DF630" s="60"/>
      <x:c r="DG630" s="58"/>
      <x:c r="DH630" s="47"/>
      <x:c r="DI630" s="60"/>
      <x:c r="DJ630" s="58"/>
      <x:c r="DK630" s="47"/>
      <x:c r="DL630" s="60"/>
      <x:c r="DM630" s="58"/>
      <x:c r="DN630" s="11"/>
      <x:c r="DO630" s="61"/>
      <x:c r="DP630" s="62"/>
      <x:c r="DQ630" s="11"/>
      <x:c r="DR630" s="61"/>
      <x:c r="DS630" s="62"/>
      <x:c r="DT630" s="11"/>
      <x:c r="DU630" s="61"/>
      <x:c r="DV630" s="62"/>
    </x:row>
    <x:row r="631" spans="1:126" x14ac:dyDescent="0.3">
      <x:c r="A631" s="47"/>
      <x:c r="B631" s="70"/>
      <x:c r="C631" s="70"/>
      <x:c r="D631" s="70"/>
      <x:c r="E631" s="70"/>
      <x:c r="F631" s="70"/>
      <x:c r="G631" s="70"/>
      <x:c r="H631" s="70"/>
      <x:c r="I631" s="70"/>
      <x:c r="J631" s="70"/>
      <x:c r="K631" s="190"/>
      <x:c r="L631" s="195"/>
      <x:c r="M631" s="192"/>
      <x:c r="N631" s="192"/>
      <x:c r="O631" s="69"/>
      <x:c r="P631" s="47"/>
      <x:c r="Q631" s="60"/>
      <x:c r="R631" s="58"/>
      <x:c r="S631" s="47"/>
      <x:c r="T631" s="60"/>
      <x:c r="U631" s="58"/>
      <x:c r="V631" s="47"/>
      <x:c r="W631" s="60"/>
      <x:c r="X631" s="58"/>
      <x:c r="Y631" s="47"/>
      <x:c r="Z631" s="60"/>
      <x:c r="AA631" s="58"/>
      <x:c r="AB631" s="47"/>
      <x:c r="AC631" s="60"/>
      <x:c r="AD631" s="58"/>
      <x:c r="AE631" s="47"/>
      <x:c r="AF631" s="60"/>
      <x:c r="AG631" s="58"/>
      <x:c r="AH631" s="47"/>
      <x:c r="AI631" s="60"/>
      <x:c r="AJ631" s="58"/>
      <x:c r="AK631" s="47"/>
      <x:c r="AL631" s="60"/>
      <x:c r="AM631" s="58"/>
      <x:c r="AN631" s="47"/>
      <x:c r="AO631" s="60"/>
      <x:c r="AP631" s="58"/>
      <x:c r="AQ631" s="47"/>
      <x:c r="AR631" s="60"/>
      <x:c r="AS631" s="58"/>
      <x:c r="AT631" s="47"/>
      <x:c r="AU631" s="60"/>
      <x:c r="AV631" s="58"/>
      <x:c r="AW631" s="47"/>
      <x:c r="AX631" s="60"/>
      <x:c r="AY631" s="58"/>
      <x:c r="AZ631" s="47"/>
      <x:c r="BA631" s="60"/>
      <x:c r="BB631" s="58"/>
      <x:c r="BC631" s="47"/>
      <x:c r="BD631" s="60"/>
      <x:c r="BE631" s="58"/>
      <x:c r="BF631" s="47"/>
      <x:c r="BG631" s="60"/>
      <x:c r="BH631" s="58"/>
      <x:c r="BI631" s="47"/>
      <x:c r="BJ631" s="60"/>
      <x:c r="BK631" s="58"/>
      <x:c r="BL631" s="47"/>
      <x:c r="BM631" s="60"/>
      <x:c r="BN631" s="58"/>
      <x:c r="BO631" s="47"/>
      <x:c r="BP631" s="60"/>
      <x:c r="BQ631" s="58"/>
      <x:c r="BR631" s="47"/>
      <x:c r="BS631" s="60"/>
      <x:c r="BT631" s="58"/>
      <x:c r="BU631" s="47"/>
      <x:c r="BV631" s="60"/>
      <x:c r="BW631" s="58"/>
      <x:c r="BX631" s="47"/>
      <x:c r="BY631" s="60"/>
      <x:c r="BZ631" s="58"/>
      <x:c r="CA631" s="47"/>
      <x:c r="CB631" s="60"/>
      <x:c r="CC631" s="58"/>
      <x:c r="CD631" s="47"/>
      <x:c r="CE631" s="60"/>
      <x:c r="CF631" s="58"/>
      <x:c r="CG631" s="47"/>
      <x:c r="CH631" s="60"/>
      <x:c r="CI631" s="58"/>
      <x:c r="CJ631" s="47"/>
      <x:c r="CK631" s="60"/>
      <x:c r="CL631" s="58"/>
      <x:c r="CM631" s="47"/>
      <x:c r="CN631" s="60"/>
      <x:c r="CO631" s="58"/>
      <x:c r="CP631" s="47"/>
      <x:c r="CQ631" s="60"/>
      <x:c r="CR631" s="58"/>
      <x:c r="CS631" s="47"/>
      <x:c r="CT631" s="60"/>
      <x:c r="CU631" s="58"/>
      <x:c r="CV631" s="47"/>
      <x:c r="CW631" s="60"/>
      <x:c r="CX631" s="58"/>
      <x:c r="CY631" s="47"/>
      <x:c r="CZ631" s="60"/>
      <x:c r="DA631" s="58"/>
      <x:c r="DB631" s="47"/>
      <x:c r="DC631" s="60"/>
      <x:c r="DD631" s="58"/>
      <x:c r="DE631" s="47"/>
      <x:c r="DF631" s="60"/>
      <x:c r="DG631" s="58"/>
      <x:c r="DH631" s="47"/>
      <x:c r="DI631" s="60"/>
      <x:c r="DJ631" s="58"/>
      <x:c r="DK631" s="47"/>
      <x:c r="DL631" s="60"/>
      <x:c r="DM631" s="58"/>
      <x:c r="DN631" s="11"/>
      <x:c r="DO631" s="61"/>
      <x:c r="DP631" s="62"/>
      <x:c r="DQ631" s="11"/>
      <x:c r="DR631" s="61"/>
      <x:c r="DS631" s="62"/>
      <x:c r="DT631" s="11"/>
      <x:c r="DU631" s="61"/>
      <x:c r="DV631" s="62"/>
    </x:row>
    <x:row r="632" spans="1:126" x14ac:dyDescent="0.3">
      <x:c r="A632" s="47"/>
      <x:c r="B632" s="70"/>
      <x:c r="C632" s="70"/>
      <x:c r="D632" s="70"/>
      <x:c r="E632" s="70"/>
      <x:c r="F632" s="70"/>
      <x:c r="G632" s="70"/>
      <x:c r="H632" s="70"/>
      <x:c r="I632" s="70"/>
      <x:c r="J632" s="70"/>
      <x:c r="K632" s="190"/>
      <x:c r="L632" s="195"/>
      <x:c r="M632" s="192"/>
      <x:c r="N632" s="192"/>
      <x:c r="O632" s="69"/>
      <x:c r="P632" s="47"/>
      <x:c r="Q632" s="60"/>
      <x:c r="R632" s="58"/>
      <x:c r="S632" s="47"/>
      <x:c r="T632" s="60"/>
      <x:c r="U632" s="58"/>
      <x:c r="V632" s="47"/>
      <x:c r="W632" s="60"/>
      <x:c r="X632" s="58"/>
      <x:c r="Y632" s="47"/>
      <x:c r="Z632" s="60"/>
      <x:c r="AA632" s="58"/>
      <x:c r="AB632" s="47"/>
      <x:c r="AC632" s="60"/>
      <x:c r="AD632" s="58"/>
      <x:c r="AE632" s="47"/>
      <x:c r="AF632" s="60"/>
      <x:c r="AG632" s="58"/>
      <x:c r="AH632" s="47"/>
      <x:c r="AI632" s="60"/>
      <x:c r="AJ632" s="58"/>
      <x:c r="AK632" s="47"/>
      <x:c r="AL632" s="60"/>
      <x:c r="AM632" s="58"/>
      <x:c r="AN632" s="47"/>
      <x:c r="AO632" s="60"/>
      <x:c r="AP632" s="58"/>
      <x:c r="AQ632" s="47"/>
      <x:c r="AR632" s="60"/>
      <x:c r="AS632" s="58"/>
      <x:c r="AT632" s="47"/>
      <x:c r="AU632" s="60"/>
      <x:c r="AV632" s="58"/>
      <x:c r="AW632" s="47"/>
      <x:c r="AX632" s="60"/>
      <x:c r="AY632" s="58"/>
      <x:c r="AZ632" s="47"/>
      <x:c r="BA632" s="60"/>
      <x:c r="BB632" s="58"/>
      <x:c r="BC632" s="47"/>
      <x:c r="BD632" s="60"/>
      <x:c r="BE632" s="58"/>
      <x:c r="BF632" s="47"/>
      <x:c r="BG632" s="60"/>
      <x:c r="BH632" s="58"/>
      <x:c r="BI632" s="47"/>
      <x:c r="BJ632" s="60"/>
      <x:c r="BK632" s="58"/>
      <x:c r="BL632" s="47"/>
      <x:c r="BM632" s="60"/>
      <x:c r="BN632" s="58"/>
      <x:c r="BO632" s="47"/>
      <x:c r="BP632" s="60"/>
      <x:c r="BQ632" s="58"/>
      <x:c r="BR632" s="47"/>
      <x:c r="BS632" s="60"/>
      <x:c r="BT632" s="58"/>
      <x:c r="BU632" s="47"/>
      <x:c r="BV632" s="60"/>
      <x:c r="BW632" s="58"/>
      <x:c r="BX632" s="47"/>
      <x:c r="BY632" s="60"/>
      <x:c r="BZ632" s="58"/>
      <x:c r="CA632" s="47"/>
      <x:c r="CB632" s="60"/>
      <x:c r="CC632" s="58"/>
      <x:c r="CD632" s="47"/>
      <x:c r="CE632" s="60"/>
      <x:c r="CF632" s="58"/>
      <x:c r="CG632" s="47"/>
      <x:c r="CH632" s="60"/>
      <x:c r="CI632" s="58"/>
      <x:c r="CJ632" s="47"/>
      <x:c r="CK632" s="60"/>
      <x:c r="CL632" s="58"/>
      <x:c r="CM632" s="47"/>
      <x:c r="CN632" s="60"/>
      <x:c r="CO632" s="58"/>
      <x:c r="CP632" s="47"/>
      <x:c r="CQ632" s="60"/>
      <x:c r="CR632" s="58"/>
      <x:c r="CS632" s="47"/>
      <x:c r="CT632" s="60"/>
      <x:c r="CU632" s="58"/>
      <x:c r="CV632" s="47"/>
      <x:c r="CW632" s="60"/>
      <x:c r="CX632" s="58"/>
      <x:c r="CY632" s="47"/>
      <x:c r="CZ632" s="60"/>
      <x:c r="DA632" s="58"/>
      <x:c r="DB632" s="47"/>
      <x:c r="DC632" s="60"/>
      <x:c r="DD632" s="58"/>
      <x:c r="DE632" s="47"/>
      <x:c r="DF632" s="60"/>
      <x:c r="DG632" s="58"/>
      <x:c r="DH632" s="47"/>
      <x:c r="DI632" s="60"/>
      <x:c r="DJ632" s="58"/>
      <x:c r="DK632" s="47"/>
      <x:c r="DL632" s="60"/>
      <x:c r="DM632" s="58"/>
      <x:c r="DN632" s="11"/>
      <x:c r="DO632" s="61"/>
      <x:c r="DP632" s="62"/>
      <x:c r="DQ632" s="11"/>
      <x:c r="DR632" s="61"/>
      <x:c r="DS632" s="62"/>
      <x:c r="DT632" s="11"/>
      <x:c r="DU632" s="61"/>
      <x:c r="DV632" s="62"/>
    </x:row>
    <x:row r="633" spans="1:126" x14ac:dyDescent="0.3">
      <x:c r="A633" s="47"/>
      <x:c r="B633" s="70"/>
      <x:c r="C633" s="70"/>
      <x:c r="D633" s="70"/>
      <x:c r="E633" s="70"/>
      <x:c r="F633" s="70"/>
      <x:c r="G633" s="70"/>
      <x:c r="H633" s="70"/>
      <x:c r="I633" s="70"/>
      <x:c r="J633" s="70"/>
      <x:c r="K633" s="190"/>
      <x:c r="L633" s="195"/>
      <x:c r="M633" s="192"/>
      <x:c r="N633" s="192"/>
      <x:c r="O633" s="69"/>
      <x:c r="P633" s="47"/>
      <x:c r="Q633" s="60"/>
      <x:c r="R633" s="58"/>
      <x:c r="S633" s="47"/>
      <x:c r="T633" s="60"/>
      <x:c r="U633" s="58"/>
      <x:c r="V633" s="47"/>
      <x:c r="W633" s="60"/>
      <x:c r="X633" s="58"/>
      <x:c r="Y633" s="47"/>
      <x:c r="Z633" s="60"/>
      <x:c r="AA633" s="58"/>
      <x:c r="AB633" s="47"/>
      <x:c r="AC633" s="60"/>
      <x:c r="AD633" s="58"/>
      <x:c r="AE633" s="47"/>
      <x:c r="AF633" s="60"/>
      <x:c r="AG633" s="58"/>
      <x:c r="AH633" s="47"/>
      <x:c r="AI633" s="60"/>
      <x:c r="AJ633" s="58"/>
      <x:c r="AK633" s="47"/>
      <x:c r="AL633" s="60"/>
      <x:c r="AM633" s="58"/>
      <x:c r="AN633" s="47"/>
      <x:c r="AO633" s="60"/>
      <x:c r="AP633" s="58"/>
      <x:c r="AQ633" s="47"/>
      <x:c r="AR633" s="60"/>
      <x:c r="AS633" s="58"/>
      <x:c r="AT633" s="47"/>
      <x:c r="AU633" s="60"/>
      <x:c r="AV633" s="58"/>
      <x:c r="AW633" s="47"/>
      <x:c r="AX633" s="60"/>
      <x:c r="AY633" s="58"/>
      <x:c r="AZ633" s="47"/>
      <x:c r="BA633" s="60"/>
      <x:c r="BB633" s="58"/>
      <x:c r="BC633" s="47"/>
      <x:c r="BD633" s="60"/>
      <x:c r="BE633" s="58"/>
      <x:c r="BF633" s="47"/>
      <x:c r="BG633" s="60"/>
      <x:c r="BH633" s="58"/>
      <x:c r="BI633" s="47"/>
      <x:c r="BJ633" s="60"/>
      <x:c r="BK633" s="58"/>
      <x:c r="BL633" s="47"/>
      <x:c r="BM633" s="60"/>
      <x:c r="BN633" s="58"/>
      <x:c r="BO633" s="47"/>
      <x:c r="BP633" s="60"/>
      <x:c r="BQ633" s="58"/>
      <x:c r="BR633" s="47"/>
      <x:c r="BS633" s="60"/>
      <x:c r="BT633" s="58"/>
      <x:c r="BU633" s="47"/>
      <x:c r="BV633" s="60"/>
      <x:c r="BW633" s="58"/>
      <x:c r="BX633" s="47"/>
      <x:c r="BY633" s="60"/>
      <x:c r="BZ633" s="58"/>
      <x:c r="CA633" s="47"/>
      <x:c r="CB633" s="60"/>
      <x:c r="CC633" s="58"/>
      <x:c r="CD633" s="47"/>
      <x:c r="CE633" s="60"/>
      <x:c r="CF633" s="58"/>
      <x:c r="CG633" s="47"/>
      <x:c r="CH633" s="60"/>
      <x:c r="CI633" s="58"/>
      <x:c r="CJ633" s="47"/>
      <x:c r="CK633" s="60"/>
      <x:c r="CL633" s="58"/>
      <x:c r="CM633" s="47"/>
      <x:c r="CN633" s="60"/>
      <x:c r="CO633" s="58"/>
      <x:c r="CP633" s="47"/>
      <x:c r="CQ633" s="60"/>
      <x:c r="CR633" s="58"/>
      <x:c r="CS633" s="47"/>
      <x:c r="CT633" s="60"/>
      <x:c r="CU633" s="58"/>
      <x:c r="CV633" s="47"/>
      <x:c r="CW633" s="60"/>
      <x:c r="CX633" s="58"/>
      <x:c r="CY633" s="47"/>
      <x:c r="CZ633" s="60"/>
      <x:c r="DA633" s="58"/>
      <x:c r="DB633" s="47"/>
      <x:c r="DC633" s="60"/>
      <x:c r="DD633" s="58"/>
      <x:c r="DE633" s="47"/>
      <x:c r="DF633" s="60"/>
      <x:c r="DG633" s="58"/>
      <x:c r="DH633" s="47"/>
      <x:c r="DI633" s="60"/>
      <x:c r="DJ633" s="58"/>
      <x:c r="DK633" s="47"/>
      <x:c r="DL633" s="60"/>
      <x:c r="DM633" s="58"/>
      <x:c r="DN633" s="11"/>
      <x:c r="DO633" s="61"/>
      <x:c r="DP633" s="62"/>
      <x:c r="DQ633" s="11"/>
      <x:c r="DR633" s="61"/>
      <x:c r="DS633" s="62"/>
      <x:c r="DT633" s="11"/>
      <x:c r="DU633" s="61"/>
      <x:c r="DV633" s="62"/>
    </x:row>
    <x:row r="634" spans="1:126" x14ac:dyDescent="0.3">
      <x:c r="A634" s="47"/>
      <x:c r="B634" s="70"/>
      <x:c r="C634" s="70"/>
      <x:c r="D634" s="70"/>
      <x:c r="E634" s="70"/>
      <x:c r="F634" s="70"/>
      <x:c r="G634" s="70"/>
      <x:c r="H634" s="70"/>
      <x:c r="I634" s="70"/>
      <x:c r="J634" s="70"/>
      <x:c r="K634" s="190"/>
      <x:c r="L634" s="195"/>
      <x:c r="M634" s="192"/>
      <x:c r="N634" s="192"/>
      <x:c r="O634" s="69"/>
      <x:c r="P634" s="47"/>
      <x:c r="Q634" s="60"/>
      <x:c r="R634" s="58"/>
      <x:c r="S634" s="47"/>
      <x:c r="T634" s="60"/>
      <x:c r="U634" s="58"/>
      <x:c r="V634" s="47"/>
      <x:c r="W634" s="60"/>
      <x:c r="X634" s="58"/>
      <x:c r="Y634" s="47"/>
      <x:c r="Z634" s="60"/>
      <x:c r="AA634" s="58"/>
      <x:c r="AB634" s="47"/>
      <x:c r="AC634" s="60"/>
      <x:c r="AD634" s="58"/>
      <x:c r="AE634" s="47"/>
      <x:c r="AF634" s="60"/>
      <x:c r="AG634" s="58"/>
      <x:c r="AH634" s="47"/>
      <x:c r="AI634" s="60"/>
      <x:c r="AJ634" s="58"/>
      <x:c r="AK634" s="47"/>
      <x:c r="AL634" s="60"/>
      <x:c r="AM634" s="58"/>
      <x:c r="AN634" s="47"/>
      <x:c r="AO634" s="60"/>
      <x:c r="AP634" s="58"/>
      <x:c r="AQ634" s="47"/>
      <x:c r="AR634" s="60"/>
      <x:c r="AS634" s="58"/>
      <x:c r="AT634" s="47"/>
      <x:c r="AU634" s="60"/>
      <x:c r="AV634" s="58"/>
      <x:c r="AW634" s="47"/>
      <x:c r="AX634" s="60"/>
      <x:c r="AY634" s="58"/>
      <x:c r="AZ634" s="47"/>
      <x:c r="BA634" s="60"/>
      <x:c r="BB634" s="58"/>
      <x:c r="BC634" s="47"/>
      <x:c r="BD634" s="60"/>
      <x:c r="BE634" s="58"/>
      <x:c r="BF634" s="47"/>
      <x:c r="BG634" s="60"/>
      <x:c r="BH634" s="58"/>
      <x:c r="BI634" s="47"/>
      <x:c r="BJ634" s="60"/>
      <x:c r="BK634" s="58"/>
      <x:c r="BL634" s="47"/>
      <x:c r="BM634" s="60"/>
      <x:c r="BN634" s="58"/>
      <x:c r="BO634" s="47"/>
      <x:c r="BP634" s="60"/>
      <x:c r="BQ634" s="58"/>
      <x:c r="BR634" s="47"/>
      <x:c r="BS634" s="60"/>
      <x:c r="BT634" s="58"/>
      <x:c r="BU634" s="47"/>
      <x:c r="BV634" s="60"/>
      <x:c r="BW634" s="58"/>
      <x:c r="BX634" s="47"/>
      <x:c r="BY634" s="60"/>
      <x:c r="BZ634" s="58"/>
      <x:c r="CA634" s="47"/>
      <x:c r="CB634" s="60"/>
      <x:c r="CC634" s="58"/>
      <x:c r="CD634" s="47"/>
      <x:c r="CE634" s="60"/>
      <x:c r="CF634" s="58"/>
      <x:c r="CG634" s="47"/>
      <x:c r="CH634" s="60"/>
      <x:c r="CI634" s="58"/>
      <x:c r="CJ634" s="47"/>
      <x:c r="CK634" s="60"/>
      <x:c r="CL634" s="58"/>
      <x:c r="CM634" s="47"/>
      <x:c r="CN634" s="60"/>
      <x:c r="CO634" s="58"/>
      <x:c r="CP634" s="47"/>
      <x:c r="CQ634" s="60"/>
      <x:c r="CR634" s="58"/>
      <x:c r="CS634" s="47"/>
      <x:c r="CT634" s="60"/>
      <x:c r="CU634" s="58"/>
      <x:c r="CV634" s="47"/>
      <x:c r="CW634" s="60"/>
      <x:c r="CX634" s="58"/>
      <x:c r="CY634" s="47"/>
      <x:c r="CZ634" s="60"/>
      <x:c r="DA634" s="58"/>
      <x:c r="DB634" s="47"/>
      <x:c r="DC634" s="60"/>
      <x:c r="DD634" s="58"/>
      <x:c r="DE634" s="47"/>
      <x:c r="DF634" s="60"/>
      <x:c r="DG634" s="58"/>
      <x:c r="DH634" s="47"/>
      <x:c r="DI634" s="60"/>
      <x:c r="DJ634" s="58"/>
      <x:c r="DK634" s="47"/>
      <x:c r="DL634" s="60"/>
      <x:c r="DM634" s="58"/>
      <x:c r="DN634" s="11"/>
      <x:c r="DO634" s="61"/>
      <x:c r="DP634" s="62"/>
      <x:c r="DQ634" s="11"/>
      <x:c r="DR634" s="61"/>
      <x:c r="DS634" s="62"/>
      <x:c r="DT634" s="11"/>
      <x:c r="DU634" s="61"/>
      <x:c r="DV634" s="62"/>
    </x:row>
    <x:row r="635" spans="1:126" x14ac:dyDescent="0.3">
      <x:c r="A635" s="47"/>
      <x:c r="B635" s="70"/>
      <x:c r="C635" s="70"/>
      <x:c r="D635" s="70"/>
      <x:c r="E635" s="70"/>
      <x:c r="F635" s="70"/>
      <x:c r="G635" s="70"/>
      <x:c r="H635" s="70"/>
      <x:c r="I635" s="70"/>
      <x:c r="J635" s="70"/>
      <x:c r="K635" s="190"/>
      <x:c r="L635" s="195"/>
      <x:c r="M635" s="192"/>
      <x:c r="N635" s="192"/>
      <x:c r="O635" s="69"/>
      <x:c r="P635" s="47"/>
      <x:c r="Q635" s="60"/>
      <x:c r="R635" s="58"/>
      <x:c r="S635" s="47"/>
      <x:c r="T635" s="60"/>
      <x:c r="U635" s="58"/>
      <x:c r="V635" s="47"/>
      <x:c r="W635" s="60"/>
      <x:c r="X635" s="58"/>
      <x:c r="Y635" s="47"/>
      <x:c r="Z635" s="60"/>
      <x:c r="AA635" s="58"/>
      <x:c r="AB635" s="47"/>
      <x:c r="AC635" s="60"/>
      <x:c r="AD635" s="58"/>
      <x:c r="AE635" s="47"/>
      <x:c r="AF635" s="60"/>
      <x:c r="AG635" s="58"/>
      <x:c r="AH635" s="47"/>
      <x:c r="AI635" s="60"/>
      <x:c r="AJ635" s="58"/>
      <x:c r="AK635" s="47"/>
      <x:c r="AL635" s="60"/>
      <x:c r="AM635" s="58"/>
      <x:c r="AN635" s="47"/>
      <x:c r="AO635" s="60"/>
      <x:c r="AP635" s="58"/>
      <x:c r="AQ635" s="47"/>
      <x:c r="AR635" s="60"/>
      <x:c r="AS635" s="58"/>
      <x:c r="AT635" s="47"/>
      <x:c r="AU635" s="60"/>
      <x:c r="AV635" s="58"/>
      <x:c r="AW635" s="47"/>
      <x:c r="AX635" s="60"/>
      <x:c r="AY635" s="58"/>
      <x:c r="AZ635" s="47"/>
      <x:c r="BA635" s="60"/>
      <x:c r="BB635" s="58"/>
      <x:c r="BC635" s="47"/>
      <x:c r="BD635" s="60"/>
      <x:c r="BE635" s="58"/>
      <x:c r="BF635" s="47"/>
      <x:c r="BG635" s="60"/>
      <x:c r="BH635" s="58"/>
      <x:c r="BI635" s="47"/>
      <x:c r="BJ635" s="60"/>
      <x:c r="BK635" s="58"/>
      <x:c r="BL635" s="47"/>
      <x:c r="BM635" s="60"/>
      <x:c r="BN635" s="58"/>
      <x:c r="BO635" s="47"/>
      <x:c r="BP635" s="60"/>
      <x:c r="BQ635" s="58"/>
      <x:c r="BR635" s="47"/>
      <x:c r="BS635" s="60"/>
      <x:c r="BT635" s="58"/>
      <x:c r="BU635" s="47"/>
      <x:c r="BV635" s="60"/>
      <x:c r="BW635" s="58"/>
      <x:c r="BX635" s="47"/>
      <x:c r="BY635" s="60"/>
      <x:c r="BZ635" s="58"/>
      <x:c r="CA635" s="47"/>
      <x:c r="CB635" s="60"/>
      <x:c r="CC635" s="58"/>
      <x:c r="CD635" s="47"/>
      <x:c r="CE635" s="60"/>
      <x:c r="CF635" s="58"/>
      <x:c r="CG635" s="47"/>
      <x:c r="CH635" s="60"/>
      <x:c r="CI635" s="58"/>
      <x:c r="CJ635" s="47"/>
      <x:c r="CK635" s="60"/>
      <x:c r="CL635" s="58"/>
      <x:c r="CM635" s="47"/>
      <x:c r="CN635" s="60"/>
      <x:c r="CO635" s="58"/>
      <x:c r="CP635" s="47"/>
      <x:c r="CQ635" s="60"/>
      <x:c r="CR635" s="58"/>
      <x:c r="CS635" s="47"/>
      <x:c r="CT635" s="60"/>
      <x:c r="CU635" s="58"/>
      <x:c r="CV635" s="47"/>
      <x:c r="CW635" s="60"/>
      <x:c r="CX635" s="58"/>
      <x:c r="CY635" s="47"/>
      <x:c r="CZ635" s="60"/>
      <x:c r="DA635" s="58"/>
      <x:c r="DB635" s="47"/>
      <x:c r="DC635" s="60"/>
      <x:c r="DD635" s="58"/>
      <x:c r="DE635" s="47"/>
      <x:c r="DF635" s="60"/>
      <x:c r="DG635" s="58"/>
      <x:c r="DH635" s="47"/>
      <x:c r="DI635" s="60"/>
      <x:c r="DJ635" s="58"/>
      <x:c r="DK635" s="47"/>
      <x:c r="DL635" s="60"/>
      <x:c r="DM635" s="58"/>
      <x:c r="DN635" s="11"/>
      <x:c r="DO635" s="61"/>
      <x:c r="DP635" s="62"/>
      <x:c r="DQ635" s="11"/>
      <x:c r="DR635" s="61"/>
      <x:c r="DS635" s="62"/>
      <x:c r="DT635" s="11"/>
      <x:c r="DU635" s="61"/>
      <x:c r="DV635" s="62"/>
    </x:row>
    <x:row r="636" spans="1:126" x14ac:dyDescent="0.3">
      <x:c r="A636" s="47"/>
      <x:c r="B636" s="70"/>
      <x:c r="C636" s="70"/>
      <x:c r="D636" s="70"/>
      <x:c r="E636" s="70"/>
      <x:c r="F636" s="70"/>
      <x:c r="G636" s="70"/>
      <x:c r="H636" s="70"/>
      <x:c r="I636" s="70"/>
      <x:c r="J636" s="70"/>
      <x:c r="K636" s="190"/>
      <x:c r="L636" s="195"/>
      <x:c r="M636" s="192"/>
      <x:c r="N636" s="192"/>
      <x:c r="O636" s="69"/>
      <x:c r="P636" s="47"/>
      <x:c r="Q636" s="60"/>
      <x:c r="R636" s="58"/>
      <x:c r="S636" s="47"/>
      <x:c r="T636" s="60"/>
      <x:c r="U636" s="58"/>
      <x:c r="V636" s="47"/>
      <x:c r="W636" s="60"/>
      <x:c r="X636" s="58"/>
      <x:c r="Y636" s="47"/>
      <x:c r="Z636" s="60"/>
      <x:c r="AA636" s="58"/>
      <x:c r="AB636" s="47"/>
      <x:c r="AC636" s="60"/>
      <x:c r="AD636" s="58"/>
      <x:c r="AE636" s="47"/>
      <x:c r="AF636" s="60"/>
      <x:c r="AG636" s="58"/>
      <x:c r="AH636" s="47"/>
      <x:c r="AI636" s="60"/>
      <x:c r="AJ636" s="58"/>
      <x:c r="AK636" s="47"/>
      <x:c r="AL636" s="60"/>
      <x:c r="AM636" s="58"/>
      <x:c r="AN636" s="47"/>
      <x:c r="AO636" s="60"/>
      <x:c r="AP636" s="58"/>
      <x:c r="AQ636" s="47"/>
      <x:c r="AR636" s="60"/>
      <x:c r="AS636" s="58"/>
      <x:c r="AT636" s="47"/>
      <x:c r="AU636" s="60"/>
      <x:c r="AV636" s="58"/>
      <x:c r="AW636" s="47"/>
      <x:c r="AX636" s="60"/>
      <x:c r="AY636" s="58"/>
      <x:c r="AZ636" s="47"/>
      <x:c r="BA636" s="60"/>
      <x:c r="BB636" s="58"/>
      <x:c r="BC636" s="47"/>
      <x:c r="BD636" s="60"/>
      <x:c r="BE636" s="58"/>
      <x:c r="BF636" s="47"/>
      <x:c r="BG636" s="60"/>
      <x:c r="BH636" s="58"/>
      <x:c r="BI636" s="47"/>
      <x:c r="BJ636" s="60"/>
      <x:c r="BK636" s="58"/>
      <x:c r="BL636" s="47"/>
      <x:c r="BM636" s="60"/>
      <x:c r="BN636" s="58"/>
      <x:c r="BO636" s="47"/>
      <x:c r="BP636" s="60"/>
      <x:c r="BQ636" s="58"/>
      <x:c r="BR636" s="47"/>
      <x:c r="BS636" s="60"/>
      <x:c r="BT636" s="58"/>
      <x:c r="BU636" s="47"/>
      <x:c r="BV636" s="60"/>
      <x:c r="BW636" s="58"/>
      <x:c r="BX636" s="47"/>
      <x:c r="BY636" s="60"/>
      <x:c r="BZ636" s="58"/>
      <x:c r="CA636" s="47"/>
      <x:c r="CB636" s="60"/>
      <x:c r="CC636" s="58"/>
      <x:c r="CD636" s="47"/>
      <x:c r="CE636" s="60"/>
      <x:c r="CF636" s="58"/>
      <x:c r="CG636" s="47"/>
      <x:c r="CH636" s="60"/>
      <x:c r="CI636" s="58"/>
      <x:c r="CJ636" s="47"/>
      <x:c r="CK636" s="60"/>
      <x:c r="CL636" s="58"/>
      <x:c r="CM636" s="47"/>
      <x:c r="CN636" s="60"/>
      <x:c r="CO636" s="58"/>
      <x:c r="CP636" s="47"/>
      <x:c r="CQ636" s="60"/>
      <x:c r="CR636" s="58"/>
      <x:c r="CS636" s="47"/>
      <x:c r="CT636" s="60"/>
      <x:c r="CU636" s="58"/>
      <x:c r="CV636" s="47"/>
      <x:c r="CW636" s="60"/>
      <x:c r="CX636" s="58"/>
      <x:c r="CY636" s="47"/>
      <x:c r="CZ636" s="60"/>
      <x:c r="DA636" s="58"/>
      <x:c r="DB636" s="47"/>
      <x:c r="DC636" s="60"/>
      <x:c r="DD636" s="58"/>
      <x:c r="DE636" s="47"/>
      <x:c r="DF636" s="60"/>
      <x:c r="DG636" s="58"/>
      <x:c r="DH636" s="47"/>
      <x:c r="DI636" s="60"/>
      <x:c r="DJ636" s="58"/>
      <x:c r="DK636" s="47"/>
      <x:c r="DL636" s="60"/>
      <x:c r="DM636" s="58"/>
      <x:c r="DN636" s="11"/>
      <x:c r="DO636" s="61"/>
      <x:c r="DP636" s="62"/>
      <x:c r="DQ636" s="11"/>
      <x:c r="DR636" s="61"/>
      <x:c r="DS636" s="62"/>
      <x:c r="DT636" s="11"/>
      <x:c r="DU636" s="61"/>
      <x:c r="DV636" s="62"/>
    </x:row>
    <x:row r="637" spans="1:126" x14ac:dyDescent="0.3">
      <x:c r="A637" s="47"/>
      <x:c r="B637" s="70"/>
      <x:c r="C637" s="70"/>
      <x:c r="D637" s="70"/>
      <x:c r="E637" s="70"/>
      <x:c r="F637" s="70"/>
      <x:c r="G637" s="70"/>
      <x:c r="H637" s="70"/>
      <x:c r="I637" s="70"/>
      <x:c r="J637" s="70"/>
      <x:c r="K637" s="190"/>
      <x:c r="L637" s="195"/>
      <x:c r="M637" s="192"/>
      <x:c r="N637" s="192"/>
      <x:c r="O637" s="69"/>
      <x:c r="P637" s="47"/>
      <x:c r="Q637" s="60"/>
      <x:c r="R637" s="58"/>
      <x:c r="S637" s="47"/>
      <x:c r="T637" s="60"/>
      <x:c r="U637" s="58"/>
      <x:c r="V637" s="47"/>
      <x:c r="W637" s="60"/>
      <x:c r="X637" s="58"/>
      <x:c r="Y637" s="47"/>
      <x:c r="Z637" s="60"/>
      <x:c r="AA637" s="58"/>
      <x:c r="AB637" s="47"/>
      <x:c r="AC637" s="60"/>
      <x:c r="AD637" s="58"/>
      <x:c r="AE637" s="47"/>
      <x:c r="AF637" s="60"/>
      <x:c r="AG637" s="58"/>
      <x:c r="AH637" s="47"/>
      <x:c r="AI637" s="60"/>
      <x:c r="AJ637" s="58"/>
      <x:c r="AK637" s="47"/>
      <x:c r="AL637" s="60"/>
      <x:c r="AM637" s="58"/>
      <x:c r="AN637" s="47"/>
      <x:c r="AO637" s="60"/>
      <x:c r="AP637" s="58"/>
      <x:c r="AQ637" s="47"/>
      <x:c r="AR637" s="60"/>
      <x:c r="AS637" s="58"/>
      <x:c r="AT637" s="47"/>
      <x:c r="AU637" s="60"/>
      <x:c r="AV637" s="58"/>
      <x:c r="AW637" s="47"/>
      <x:c r="AX637" s="60"/>
      <x:c r="AY637" s="58"/>
      <x:c r="AZ637" s="47"/>
      <x:c r="BA637" s="60"/>
      <x:c r="BB637" s="58"/>
      <x:c r="BC637" s="47"/>
      <x:c r="BD637" s="60"/>
      <x:c r="BE637" s="58"/>
      <x:c r="BF637" s="47"/>
      <x:c r="BG637" s="60"/>
      <x:c r="BH637" s="58"/>
      <x:c r="BI637" s="47"/>
      <x:c r="BJ637" s="60"/>
      <x:c r="BK637" s="58"/>
      <x:c r="BL637" s="47"/>
      <x:c r="BM637" s="60"/>
      <x:c r="BN637" s="58"/>
      <x:c r="BO637" s="47"/>
      <x:c r="BP637" s="60"/>
      <x:c r="BQ637" s="58"/>
      <x:c r="BR637" s="47"/>
      <x:c r="BS637" s="60"/>
      <x:c r="BT637" s="58"/>
      <x:c r="BU637" s="47"/>
      <x:c r="BV637" s="60"/>
      <x:c r="BW637" s="58"/>
      <x:c r="BX637" s="47"/>
      <x:c r="BY637" s="60"/>
      <x:c r="BZ637" s="58"/>
      <x:c r="CA637" s="47"/>
      <x:c r="CB637" s="60"/>
      <x:c r="CC637" s="58"/>
      <x:c r="CD637" s="47"/>
      <x:c r="CE637" s="60"/>
      <x:c r="CF637" s="58"/>
      <x:c r="CG637" s="47"/>
      <x:c r="CH637" s="60"/>
      <x:c r="CI637" s="58"/>
      <x:c r="CJ637" s="47"/>
      <x:c r="CK637" s="60"/>
      <x:c r="CL637" s="58"/>
      <x:c r="CM637" s="47"/>
      <x:c r="CN637" s="60"/>
      <x:c r="CO637" s="58"/>
      <x:c r="CP637" s="47"/>
      <x:c r="CQ637" s="60"/>
      <x:c r="CR637" s="58"/>
      <x:c r="CS637" s="47"/>
      <x:c r="CT637" s="60"/>
      <x:c r="CU637" s="58"/>
      <x:c r="CV637" s="47"/>
      <x:c r="CW637" s="60"/>
      <x:c r="CX637" s="58"/>
      <x:c r="CY637" s="47"/>
      <x:c r="CZ637" s="60"/>
      <x:c r="DA637" s="58"/>
      <x:c r="DB637" s="47"/>
      <x:c r="DC637" s="60"/>
      <x:c r="DD637" s="58"/>
      <x:c r="DE637" s="47"/>
      <x:c r="DF637" s="60"/>
      <x:c r="DG637" s="58"/>
      <x:c r="DH637" s="47"/>
      <x:c r="DI637" s="60"/>
      <x:c r="DJ637" s="58"/>
      <x:c r="DK637" s="47"/>
      <x:c r="DL637" s="60"/>
      <x:c r="DM637" s="58"/>
      <x:c r="DN637" s="11"/>
      <x:c r="DO637" s="61"/>
      <x:c r="DP637" s="62"/>
      <x:c r="DQ637" s="11"/>
      <x:c r="DR637" s="61"/>
      <x:c r="DS637" s="62"/>
      <x:c r="DT637" s="11"/>
      <x:c r="DU637" s="61"/>
      <x:c r="DV637" s="62"/>
    </x:row>
    <x:row r="638" spans="1:126" x14ac:dyDescent="0.3">
      <x:c r="A638" s="47"/>
      <x:c r="B638" s="70"/>
      <x:c r="C638" s="70"/>
      <x:c r="D638" s="70"/>
      <x:c r="E638" s="70"/>
      <x:c r="F638" s="70"/>
      <x:c r="G638" s="70"/>
      <x:c r="H638" s="70"/>
      <x:c r="I638" s="70"/>
      <x:c r="J638" s="70"/>
      <x:c r="K638" s="190"/>
      <x:c r="L638" s="195"/>
      <x:c r="M638" s="192"/>
      <x:c r="N638" s="192"/>
      <x:c r="O638" s="69"/>
      <x:c r="P638" s="47"/>
      <x:c r="Q638" s="60"/>
      <x:c r="R638" s="58"/>
      <x:c r="S638" s="47"/>
      <x:c r="T638" s="60"/>
      <x:c r="U638" s="58"/>
      <x:c r="V638" s="47"/>
      <x:c r="W638" s="60"/>
      <x:c r="X638" s="58"/>
      <x:c r="Y638" s="47"/>
      <x:c r="Z638" s="60"/>
      <x:c r="AA638" s="58"/>
      <x:c r="AB638" s="47"/>
      <x:c r="AC638" s="60"/>
      <x:c r="AD638" s="58"/>
      <x:c r="AE638" s="47"/>
      <x:c r="AF638" s="60"/>
      <x:c r="AG638" s="58"/>
      <x:c r="AH638" s="47"/>
      <x:c r="AI638" s="60"/>
      <x:c r="AJ638" s="58"/>
      <x:c r="AK638" s="47"/>
      <x:c r="AL638" s="60"/>
      <x:c r="AM638" s="58"/>
      <x:c r="AN638" s="47"/>
      <x:c r="AO638" s="60"/>
      <x:c r="AP638" s="58"/>
      <x:c r="AQ638" s="47"/>
      <x:c r="AR638" s="60"/>
      <x:c r="AS638" s="58"/>
      <x:c r="AT638" s="47"/>
      <x:c r="AU638" s="60"/>
      <x:c r="AV638" s="58"/>
      <x:c r="AW638" s="47"/>
      <x:c r="AX638" s="60"/>
      <x:c r="AY638" s="58"/>
      <x:c r="AZ638" s="47"/>
      <x:c r="BA638" s="60"/>
      <x:c r="BB638" s="58"/>
      <x:c r="BC638" s="47"/>
      <x:c r="BD638" s="60"/>
      <x:c r="BE638" s="58"/>
      <x:c r="BF638" s="47"/>
      <x:c r="BG638" s="60"/>
      <x:c r="BH638" s="58"/>
      <x:c r="BI638" s="47"/>
      <x:c r="BJ638" s="60"/>
      <x:c r="BK638" s="58"/>
      <x:c r="BL638" s="47"/>
      <x:c r="BM638" s="60"/>
      <x:c r="BN638" s="58"/>
      <x:c r="BO638" s="47"/>
      <x:c r="BP638" s="60"/>
      <x:c r="BQ638" s="58"/>
      <x:c r="BR638" s="47"/>
      <x:c r="BS638" s="60"/>
      <x:c r="BT638" s="58"/>
      <x:c r="BU638" s="47"/>
      <x:c r="BV638" s="60"/>
      <x:c r="BW638" s="58"/>
      <x:c r="BX638" s="47"/>
      <x:c r="BY638" s="60"/>
      <x:c r="BZ638" s="58"/>
      <x:c r="CA638" s="47"/>
      <x:c r="CB638" s="60"/>
      <x:c r="CC638" s="58"/>
      <x:c r="CD638" s="47"/>
      <x:c r="CE638" s="60"/>
      <x:c r="CF638" s="58"/>
      <x:c r="CG638" s="47"/>
      <x:c r="CH638" s="60"/>
      <x:c r="CI638" s="58"/>
      <x:c r="CJ638" s="47"/>
      <x:c r="CK638" s="60"/>
      <x:c r="CL638" s="58"/>
      <x:c r="CM638" s="47"/>
      <x:c r="CN638" s="60"/>
      <x:c r="CO638" s="58"/>
      <x:c r="CP638" s="47"/>
      <x:c r="CQ638" s="60"/>
      <x:c r="CR638" s="58"/>
      <x:c r="CS638" s="47"/>
      <x:c r="CT638" s="60"/>
      <x:c r="CU638" s="58"/>
      <x:c r="CV638" s="47"/>
      <x:c r="CW638" s="60"/>
      <x:c r="CX638" s="58"/>
      <x:c r="CY638" s="47"/>
      <x:c r="CZ638" s="60"/>
      <x:c r="DA638" s="58"/>
      <x:c r="DB638" s="47"/>
      <x:c r="DC638" s="60"/>
      <x:c r="DD638" s="58"/>
      <x:c r="DE638" s="47"/>
      <x:c r="DF638" s="60"/>
      <x:c r="DG638" s="58"/>
      <x:c r="DH638" s="47"/>
      <x:c r="DI638" s="60"/>
      <x:c r="DJ638" s="58"/>
      <x:c r="DK638" s="47"/>
      <x:c r="DL638" s="60"/>
      <x:c r="DM638" s="58"/>
      <x:c r="DN638" s="11"/>
      <x:c r="DO638" s="61"/>
      <x:c r="DP638" s="62"/>
      <x:c r="DQ638" s="11"/>
      <x:c r="DR638" s="61"/>
      <x:c r="DS638" s="62"/>
      <x:c r="DT638" s="11"/>
      <x:c r="DU638" s="61"/>
      <x:c r="DV638" s="62"/>
    </x:row>
    <x:row r="639" spans="1:126" x14ac:dyDescent="0.3">
      <x:c r="A639" s="47"/>
      <x:c r="B639" s="70"/>
      <x:c r="C639" s="70"/>
      <x:c r="D639" s="70"/>
      <x:c r="E639" s="70"/>
      <x:c r="F639" s="70"/>
      <x:c r="G639" s="70"/>
      <x:c r="H639" s="70"/>
      <x:c r="I639" s="70"/>
      <x:c r="J639" s="70"/>
      <x:c r="K639" s="190"/>
      <x:c r="L639" s="195"/>
      <x:c r="M639" s="192"/>
      <x:c r="N639" s="192"/>
      <x:c r="O639" s="69"/>
      <x:c r="P639" s="47"/>
      <x:c r="Q639" s="60"/>
      <x:c r="R639" s="58"/>
      <x:c r="S639" s="47"/>
      <x:c r="T639" s="60"/>
      <x:c r="U639" s="58"/>
      <x:c r="V639" s="47"/>
      <x:c r="W639" s="60"/>
      <x:c r="X639" s="58"/>
      <x:c r="Y639" s="47"/>
      <x:c r="Z639" s="60"/>
      <x:c r="AA639" s="58"/>
      <x:c r="AB639" s="47"/>
      <x:c r="AC639" s="60"/>
      <x:c r="AD639" s="58"/>
      <x:c r="AE639" s="47"/>
      <x:c r="AF639" s="60"/>
      <x:c r="AG639" s="58"/>
      <x:c r="AH639" s="47"/>
      <x:c r="AI639" s="60"/>
      <x:c r="AJ639" s="58"/>
      <x:c r="AK639" s="47"/>
      <x:c r="AL639" s="60"/>
      <x:c r="AM639" s="58"/>
      <x:c r="AN639" s="47"/>
      <x:c r="AO639" s="60"/>
      <x:c r="AP639" s="58"/>
      <x:c r="AQ639" s="47"/>
      <x:c r="AR639" s="60"/>
      <x:c r="AS639" s="58"/>
      <x:c r="AT639" s="47"/>
      <x:c r="AU639" s="60"/>
      <x:c r="AV639" s="58"/>
      <x:c r="AW639" s="47"/>
      <x:c r="AX639" s="60"/>
      <x:c r="AY639" s="58"/>
      <x:c r="AZ639" s="47"/>
      <x:c r="BA639" s="60"/>
      <x:c r="BB639" s="58"/>
      <x:c r="BC639" s="47"/>
      <x:c r="BD639" s="60"/>
      <x:c r="BE639" s="58"/>
      <x:c r="BF639" s="47"/>
      <x:c r="BG639" s="60"/>
      <x:c r="BH639" s="58"/>
      <x:c r="BI639" s="47"/>
      <x:c r="BJ639" s="60"/>
      <x:c r="BK639" s="58"/>
      <x:c r="BL639" s="47"/>
      <x:c r="BM639" s="60"/>
      <x:c r="BN639" s="58"/>
      <x:c r="BO639" s="47"/>
      <x:c r="BP639" s="60"/>
      <x:c r="BQ639" s="58"/>
      <x:c r="BR639" s="47"/>
      <x:c r="BS639" s="60"/>
      <x:c r="BT639" s="58"/>
      <x:c r="BU639" s="47"/>
      <x:c r="BV639" s="60"/>
      <x:c r="BW639" s="58"/>
      <x:c r="BX639" s="47"/>
      <x:c r="BY639" s="60"/>
      <x:c r="BZ639" s="58"/>
      <x:c r="CA639" s="47"/>
      <x:c r="CB639" s="60"/>
      <x:c r="CC639" s="58"/>
      <x:c r="CD639" s="47"/>
      <x:c r="CE639" s="60"/>
      <x:c r="CF639" s="58"/>
      <x:c r="CG639" s="47"/>
      <x:c r="CH639" s="60"/>
      <x:c r="CI639" s="58"/>
      <x:c r="CJ639" s="47"/>
      <x:c r="CK639" s="60"/>
      <x:c r="CL639" s="58"/>
      <x:c r="CM639" s="47"/>
      <x:c r="CN639" s="60"/>
      <x:c r="CO639" s="58"/>
      <x:c r="CP639" s="47"/>
      <x:c r="CQ639" s="60"/>
      <x:c r="CR639" s="58"/>
      <x:c r="CS639" s="47"/>
      <x:c r="CT639" s="60"/>
      <x:c r="CU639" s="58"/>
      <x:c r="CV639" s="47"/>
      <x:c r="CW639" s="60"/>
      <x:c r="CX639" s="58"/>
      <x:c r="CY639" s="47"/>
      <x:c r="CZ639" s="60"/>
      <x:c r="DA639" s="58"/>
      <x:c r="DB639" s="47"/>
      <x:c r="DC639" s="60"/>
      <x:c r="DD639" s="58"/>
      <x:c r="DE639" s="47"/>
      <x:c r="DF639" s="60"/>
      <x:c r="DG639" s="58"/>
      <x:c r="DH639" s="47"/>
      <x:c r="DI639" s="60"/>
      <x:c r="DJ639" s="58"/>
      <x:c r="DK639" s="47"/>
      <x:c r="DL639" s="60"/>
      <x:c r="DM639" s="58"/>
      <x:c r="DN639" s="11"/>
      <x:c r="DO639" s="61"/>
      <x:c r="DP639" s="62"/>
      <x:c r="DQ639" s="11"/>
      <x:c r="DR639" s="61"/>
      <x:c r="DS639" s="62"/>
      <x:c r="DT639" s="11"/>
      <x:c r="DU639" s="61"/>
      <x:c r="DV639" s="62"/>
    </x:row>
    <x:row r="640" spans="1:126" x14ac:dyDescent="0.3">
      <x:c r="A640" s="47"/>
      <x:c r="B640" s="70"/>
      <x:c r="C640" s="70"/>
      <x:c r="D640" s="70"/>
      <x:c r="E640" s="70"/>
      <x:c r="F640" s="70"/>
      <x:c r="G640" s="70"/>
      <x:c r="H640" s="70"/>
      <x:c r="I640" s="70"/>
      <x:c r="J640" s="70"/>
      <x:c r="K640" s="190"/>
      <x:c r="L640" s="195"/>
      <x:c r="M640" s="192"/>
      <x:c r="N640" s="192"/>
      <x:c r="O640" s="69"/>
      <x:c r="P640" s="47"/>
      <x:c r="Q640" s="60"/>
      <x:c r="R640" s="58"/>
      <x:c r="S640" s="47"/>
      <x:c r="T640" s="60"/>
      <x:c r="U640" s="58"/>
      <x:c r="V640" s="47"/>
      <x:c r="W640" s="60"/>
      <x:c r="X640" s="58"/>
      <x:c r="Y640" s="47"/>
      <x:c r="Z640" s="60"/>
      <x:c r="AA640" s="58"/>
      <x:c r="AB640" s="47"/>
      <x:c r="AC640" s="60"/>
      <x:c r="AD640" s="58"/>
      <x:c r="AE640" s="47"/>
      <x:c r="AF640" s="60"/>
      <x:c r="AG640" s="58"/>
      <x:c r="AH640" s="47"/>
      <x:c r="AI640" s="60"/>
      <x:c r="AJ640" s="58"/>
      <x:c r="AK640" s="47"/>
      <x:c r="AL640" s="60"/>
      <x:c r="AM640" s="58"/>
      <x:c r="AN640" s="47"/>
      <x:c r="AO640" s="60"/>
      <x:c r="AP640" s="58"/>
      <x:c r="AQ640" s="47"/>
      <x:c r="AR640" s="60"/>
      <x:c r="AS640" s="58"/>
      <x:c r="AT640" s="47"/>
      <x:c r="AU640" s="60"/>
      <x:c r="AV640" s="58"/>
      <x:c r="AW640" s="47"/>
      <x:c r="AX640" s="60"/>
      <x:c r="AY640" s="58"/>
      <x:c r="AZ640" s="47"/>
      <x:c r="BA640" s="60"/>
      <x:c r="BB640" s="58"/>
      <x:c r="BC640" s="47"/>
      <x:c r="BD640" s="60"/>
      <x:c r="BE640" s="58"/>
      <x:c r="BF640" s="47"/>
      <x:c r="BG640" s="60"/>
      <x:c r="BH640" s="58"/>
      <x:c r="BI640" s="47"/>
      <x:c r="BJ640" s="60"/>
      <x:c r="BK640" s="58"/>
      <x:c r="BL640" s="47"/>
      <x:c r="BM640" s="60"/>
      <x:c r="BN640" s="58"/>
      <x:c r="BO640" s="47"/>
      <x:c r="BP640" s="60"/>
      <x:c r="BQ640" s="58"/>
      <x:c r="BR640" s="47"/>
      <x:c r="BS640" s="60"/>
      <x:c r="BT640" s="58"/>
      <x:c r="BU640" s="47"/>
      <x:c r="BV640" s="60"/>
      <x:c r="BW640" s="58"/>
      <x:c r="BX640" s="47"/>
      <x:c r="BY640" s="60"/>
      <x:c r="BZ640" s="58"/>
      <x:c r="CA640" s="47"/>
      <x:c r="CB640" s="60"/>
      <x:c r="CC640" s="58"/>
      <x:c r="CD640" s="47"/>
      <x:c r="CE640" s="60"/>
      <x:c r="CF640" s="58"/>
      <x:c r="CG640" s="47"/>
      <x:c r="CH640" s="60"/>
      <x:c r="CI640" s="58"/>
      <x:c r="CJ640" s="47"/>
      <x:c r="CK640" s="60"/>
      <x:c r="CL640" s="58"/>
      <x:c r="CM640" s="47"/>
      <x:c r="CN640" s="60"/>
      <x:c r="CO640" s="58"/>
      <x:c r="CP640" s="47"/>
      <x:c r="CQ640" s="60"/>
      <x:c r="CR640" s="58"/>
      <x:c r="CS640" s="47"/>
      <x:c r="CT640" s="60"/>
      <x:c r="CU640" s="58"/>
      <x:c r="CV640" s="47"/>
      <x:c r="CW640" s="60"/>
      <x:c r="CX640" s="58"/>
      <x:c r="CY640" s="47"/>
      <x:c r="CZ640" s="60"/>
      <x:c r="DA640" s="58"/>
      <x:c r="DB640" s="47"/>
      <x:c r="DC640" s="60"/>
      <x:c r="DD640" s="58"/>
      <x:c r="DE640" s="47"/>
      <x:c r="DF640" s="60"/>
      <x:c r="DG640" s="58"/>
      <x:c r="DH640" s="47"/>
      <x:c r="DI640" s="60"/>
      <x:c r="DJ640" s="58"/>
      <x:c r="DK640" s="47"/>
      <x:c r="DL640" s="60"/>
      <x:c r="DM640" s="58"/>
      <x:c r="DN640" s="11"/>
      <x:c r="DO640" s="61"/>
      <x:c r="DP640" s="62"/>
      <x:c r="DQ640" s="11"/>
      <x:c r="DR640" s="61"/>
      <x:c r="DS640" s="62"/>
      <x:c r="DT640" s="11"/>
      <x:c r="DU640" s="61"/>
      <x:c r="DV640" s="62"/>
    </x:row>
    <x:row r="641" spans="1:126" x14ac:dyDescent="0.3">
      <x:c r="A641" s="47"/>
      <x:c r="B641" s="70"/>
      <x:c r="C641" s="70"/>
      <x:c r="D641" s="70"/>
      <x:c r="E641" s="70"/>
      <x:c r="F641" s="70"/>
      <x:c r="G641" s="70"/>
      <x:c r="H641" s="70"/>
      <x:c r="I641" s="70"/>
      <x:c r="J641" s="70"/>
      <x:c r="K641" s="190"/>
      <x:c r="L641" s="195"/>
      <x:c r="M641" s="192"/>
      <x:c r="N641" s="192"/>
      <x:c r="O641" s="69"/>
      <x:c r="P641" s="47"/>
      <x:c r="Q641" s="60"/>
      <x:c r="R641" s="58"/>
      <x:c r="S641" s="47"/>
      <x:c r="T641" s="60"/>
      <x:c r="U641" s="58"/>
      <x:c r="V641" s="47"/>
      <x:c r="W641" s="60"/>
      <x:c r="X641" s="58"/>
      <x:c r="Y641" s="47"/>
      <x:c r="Z641" s="60"/>
      <x:c r="AA641" s="58"/>
      <x:c r="AB641" s="47"/>
      <x:c r="AC641" s="60"/>
      <x:c r="AD641" s="58"/>
      <x:c r="AE641" s="47"/>
      <x:c r="AF641" s="60"/>
      <x:c r="AG641" s="58"/>
      <x:c r="AH641" s="47"/>
      <x:c r="AI641" s="60"/>
      <x:c r="AJ641" s="58"/>
      <x:c r="AK641" s="47"/>
      <x:c r="AL641" s="60"/>
      <x:c r="AM641" s="58"/>
      <x:c r="AN641" s="47"/>
      <x:c r="AO641" s="60"/>
      <x:c r="AP641" s="58"/>
      <x:c r="AQ641" s="47"/>
      <x:c r="AR641" s="60"/>
      <x:c r="AS641" s="58"/>
      <x:c r="AT641" s="47"/>
      <x:c r="AU641" s="60"/>
      <x:c r="AV641" s="58"/>
      <x:c r="AW641" s="47"/>
      <x:c r="AX641" s="60"/>
      <x:c r="AY641" s="58"/>
      <x:c r="AZ641" s="47"/>
      <x:c r="BA641" s="60"/>
      <x:c r="BB641" s="58"/>
      <x:c r="BC641" s="47"/>
      <x:c r="BD641" s="60"/>
      <x:c r="BE641" s="58"/>
      <x:c r="BF641" s="47"/>
      <x:c r="BG641" s="60"/>
      <x:c r="BH641" s="58"/>
      <x:c r="BI641" s="47"/>
      <x:c r="BJ641" s="60"/>
      <x:c r="BK641" s="58"/>
      <x:c r="BL641" s="47"/>
      <x:c r="BM641" s="60"/>
      <x:c r="BN641" s="58"/>
      <x:c r="BO641" s="47"/>
      <x:c r="BP641" s="60"/>
      <x:c r="BQ641" s="58"/>
      <x:c r="BR641" s="47"/>
      <x:c r="BS641" s="60"/>
      <x:c r="BT641" s="58"/>
      <x:c r="BU641" s="47"/>
      <x:c r="BV641" s="60"/>
      <x:c r="BW641" s="58"/>
      <x:c r="BX641" s="47"/>
      <x:c r="BY641" s="60"/>
      <x:c r="BZ641" s="58"/>
      <x:c r="CA641" s="47"/>
      <x:c r="CB641" s="60"/>
      <x:c r="CC641" s="58"/>
      <x:c r="CD641" s="47"/>
      <x:c r="CE641" s="60"/>
      <x:c r="CF641" s="58"/>
      <x:c r="CG641" s="47"/>
      <x:c r="CH641" s="60"/>
      <x:c r="CI641" s="58"/>
      <x:c r="CJ641" s="47"/>
      <x:c r="CK641" s="60"/>
      <x:c r="CL641" s="58"/>
      <x:c r="CM641" s="47"/>
      <x:c r="CN641" s="60"/>
      <x:c r="CO641" s="58"/>
      <x:c r="CP641" s="47"/>
      <x:c r="CQ641" s="60"/>
      <x:c r="CR641" s="58"/>
      <x:c r="CS641" s="47"/>
      <x:c r="CT641" s="60"/>
      <x:c r="CU641" s="58"/>
      <x:c r="CV641" s="47"/>
      <x:c r="CW641" s="60"/>
      <x:c r="CX641" s="58"/>
      <x:c r="CY641" s="47"/>
      <x:c r="CZ641" s="60"/>
      <x:c r="DA641" s="58"/>
      <x:c r="DB641" s="47"/>
      <x:c r="DC641" s="60"/>
      <x:c r="DD641" s="58"/>
      <x:c r="DE641" s="47"/>
      <x:c r="DF641" s="60"/>
      <x:c r="DG641" s="58"/>
      <x:c r="DH641" s="47"/>
      <x:c r="DI641" s="60"/>
      <x:c r="DJ641" s="58"/>
      <x:c r="DK641" s="47"/>
      <x:c r="DL641" s="60"/>
      <x:c r="DM641" s="58"/>
      <x:c r="DN641" s="11"/>
      <x:c r="DO641" s="61"/>
      <x:c r="DP641" s="62"/>
      <x:c r="DQ641" s="11"/>
      <x:c r="DR641" s="61"/>
      <x:c r="DS641" s="62"/>
      <x:c r="DT641" s="11"/>
      <x:c r="DU641" s="61"/>
      <x:c r="DV641" s="62"/>
    </x:row>
    <x:row r="642" spans="1:126" x14ac:dyDescent="0.3">
      <x:c r="A642" s="47"/>
      <x:c r="B642" s="70"/>
      <x:c r="C642" s="70"/>
      <x:c r="D642" s="70"/>
      <x:c r="E642" s="70"/>
      <x:c r="F642" s="70"/>
      <x:c r="G642" s="70"/>
      <x:c r="H642" s="70"/>
      <x:c r="I642" s="70"/>
      <x:c r="J642" s="70"/>
      <x:c r="K642" s="190"/>
      <x:c r="L642" s="195"/>
      <x:c r="M642" s="192"/>
      <x:c r="N642" s="192"/>
      <x:c r="O642" s="69"/>
      <x:c r="P642" s="47"/>
      <x:c r="Q642" s="60"/>
      <x:c r="R642" s="58"/>
      <x:c r="S642" s="47"/>
      <x:c r="T642" s="60"/>
      <x:c r="U642" s="58"/>
      <x:c r="V642" s="47"/>
      <x:c r="W642" s="60"/>
      <x:c r="X642" s="58"/>
      <x:c r="Y642" s="47"/>
      <x:c r="Z642" s="60"/>
      <x:c r="AA642" s="58"/>
      <x:c r="AB642" s="47"/>
      <x:c r="AC642" s="60"/>
      <x:c r="AD642" s="58"/>
      <x:c r="AE642" s="47"/>
      <x:c r="AF642" s="60"/>
      <x:c r="AG642" s="58"/>
      <x:c r="AH642" s="47"/>
      <x:c r="AI642" s="60"/>
      <x:c r="AJ642" s="58"/>
      <x:c r="AK642" s="47"/>
      <x:c r="AL642" s="60"/>
      <x:c r="AM642" s="58"/>
      <x:c r="AN642" s="47"/>
      <x:c r="AO642" s="60"/>
      <x:c r="AP642" s="58"/>
      <x:c r="AQ642" s="47"/>
      <x:c r="AR642" s="60"/>
      <x:c r="AS642" s="58"/>
      <x:c r="AT642" s="47"/>
      <x:c r="AU642" s="60"/>
      <x:c r="AV642" s="58"/>
      <x:c r="AW642" s="47"/>
      <x:c r="AX642" s="60"/>
      <x:c r="AY642" s="58"/>
      <x:c r="AZ642" s="47"/>
      <x:c r="BA642" s="60"/>
      <x:c r="BB642" s="58"/>
      <x:c r="BC642" s="47"/>
      <x:c r="BD642" s="60"/>
      <x:c r="BE642" s="58"/>
      <x:c r="BF642" s="47"/>
      <x:c r="BG642" s="60"/>
      <x:c r="BH642" s="58"/>
      <x:c r="BI642" s="47"/>
      <x:c r="BJ642" s="60"/>
      <x:c r="BK642" s="58"/>
      <x:c r="BL642" s="47"/>
      <x:c r="BM642" s="60"/>
      <x:c r="BN642" s="58"/>
      <x:c r="BO642" s="47"/>
      <x:c r="BP642" s="60"/>
      <x:c r="BQ642" s="58"/>
      <x:c r="BR642" s="47"/>
      <x:c r="BS642" s="60"/>
      <x:c r="BT642" s="58"/>
      <x:c r="BU642" s="47"/>
      <x:c r="BV642" s="60"/>
      <x:c r="BW642" s="58"/>
      <x:c r="BX642" s="47"/>
      <x:c r="BY642" s="60"/>
      <x:c r="BZ642" s="58"/>
      <x:c r="CA642" s="47"/>
      <x:c r="CB642" s="60"/>
      <x:c r="CC642" s="58"/>
      <x:c r="CD642" s="47"/>
      <x:c r="CE642" s="60"/>
      <x:c r="CF642" s="58"/>
      <x:c r="CG642" s="47"/>
      <x:c r="CH642" s="60"/>
      <x:c r="CI642" s="58"/>
      <x:c r="CJ642" s="47"/>
      <x:c r="CK642" s="60"/>
      <x:c r="CL642" s="58"/>
      <x:c r="CM642" s="47"/>
      <x:c r="CN642" s="60"/>
      <x:c r="CO642" s="58"/>
      <x:c r="CP642" s="47"/>
      <x:c r="CQ642" s="60"/>
      <x:c r="CR642" s="58"/>
      <x:c r="CS642" s="47"/>
      <x:c r="CT642" s="60"/>
      <x:c r="CU642" s="58"/>
      <x:c r="CV642" s="47"/>
      <x:c r="CW642" s="60"/>
      <x:c r="CX642" s="58"/>
      <x:c r="CY642" s="47"/>
      <x:c r="CZ642" s="60"/>
      <x:c r="DA642" s="58"/>
      <x:c r="DB642" s="47"/>
      <x:c r="DC642" s="60"/>
      <x:c r="DD642" s="58"/>
      <x:c r="DE642" s="47"/>
      <x:c r="DF642" s="60"/>
      <x:c r="DG642" s="58"/>
      <x:c r="DH642" s="47"/>
      <x:c r="DI642" s="60"/>
      <x:c r="DJ642" s="58"/>
      <x:c r="DK642" s="47"/>
      <x:c r="DL642" s="60"/>
      <x:c r="DM642" s="58"/>
      <x:c r="DN642" s="11"/>
      <x:c r="DO642" s="61"/>
      <x:c r="DP642" s="62"/>
      <x:c r="DQ642" s="11"/>
      <x:c r="DR642" s="61"/>
      <x:c r="DS642" s="62"/>
      <x:c r="DT642" s="11"/>
      <x:c r="DU642" s="61"/>
      <x:c r="DV642" s="62"/>
    </x:row>
    <x:row r="643" spans="1:126" x14ac:dyDescent="0.3">
      <x:c r="A643" s="47"/>
      <x:c r="B643" s="70"/>
      <x:c r="C643" s="70"/>
      <x:c r="D643" s="70"/>
      <x:c r="E643" s="70"/>
      <x:c r="F643" s="70"/>
      <x:c r="G643" s="70"/>
      <x:c r="H643" s="70"/>
      <x:c r="I643" s="70"/>
      <x:c r="J643" s="70"/>
      <x:c r="K643" s="190"/>
      <x:c r="L643" s="195"/>
      <x:c r="M643" s="192"/>
      <x:c r="N643" s="192"/>
      <x:c r="O643" s="69"/>
      <x:c r="P643" s="47"/>
      <x:c r="Q643" s="60"/>
      <x:c r="R643" s="58"/>
      <x:c r="S643" s="47"/>
      <x:c r="T643" s="60"/>
      <x:c r="U643" s="58"/>
      <x:c r="V643" s="47"/>
      <x:c r="W643" s="60"/>
      <x:c r="X643" s="58"/>
      <x:c r="Y643" s="47"/>
      <x:c r="Z643" s="60"/>
      <x:c r="AA643" s="58"/>
      <x:c r="AB643" s="47"/>
      <x:c r="AC643" s="60"/>
      <x:c r="AD643" s="58"/>
      <x:c r="AE643" s="47"/>
      <x:c r="AF643" s="60"/>
      <x:c r="AG643" s="58"/>
      <x:c r="AH643" s="47"/>
      <x:c r="AI643" s="60"/>
      <x:c r="AJ643" s="58"/>
      <x:c r="AK643" s="47"/>
      <x:c r="AL643" s="60"/>
      <x:c r="AM643" s="58"/>
      <x:c r="AN643" s="47"/>
      <x:c r="AO643" s="60"/>
      <x:c r="AP643" s="58"/>
      <x:c r="AQ643" s="47"/>
      <x:c r="AR643" s="60"/>
      <x:c r="AS643" s="58"/>
      <x:c r="AT643" s="47"/>
      <x:c r="AU643" s="60"/>
      <x:c r="AV643" s="58"/>
      <x:c r="AW643" s="47"/>
      <x:c r="AX643" s="60"/>
      <x:c r="AY643" s="58"/>
      <x:c r="AZ643" s="47"/>
      <x:c r="BA643" s="60"/>
      <x:c r="BB643" s="58"/>
      <x:c r="BC643" s="47"/>
      <x:c r="BD643" s="60"/>
      <x:c r="BE643" s="58"/>
      <x:c r="BF643" s="47"/>
      <x:c r="BG643" s="60"/>
      <x:c r="BH643" s="58"/>
      <x:c r="BI643" s="47"/>
      <x:c r="BJ643" s="60"/>
      <x:c r="BK643" s="58"/>
      <x:c r="BL643" s="47"/>
      <x:c r="BM643" s="60"/>
      <x:c r="BN643" s="58"/>
      <x:c r="BO643" s="47"/>
      <x:c r="BP643" s="60"/>
      <x:c r="BQ643" s="58"/>
      <x:c r="BR643" s="47"/>
      <x:c r="BS643" s="60"/>
      <x:c r="BT643" s="58"/>
      <x:c r="BU643" s="47"/>
      <x:c r="BV643" s="60"/>
      <x:c r="BW643" s="58"/>
      <x:c r="BX643" s="47"/>
      <x:c r="BY643" s="60"/>
      <x:c r="BZ643" s="58"/>
      <x:c r="CA643" s="47"/>
      <x:c r="CB643" s="60"/>
      <x:c r="CC643" s="58"/>
      <x:c r="CD643" s="47"/>
      <x:c r="CE643" s="60"/>
      <x:c r="CF643" s="58"/>
      <x:c r="CG643" s="47"/>
      <x:c r="CH643" s="60"/>
      <x:c r="CI643" s="58"/>
      <x:c r="CJ643" s="47"/>
      <x:c r="CK643" s="60"/>
      <x:c r="CL643" s="58"/>
      <x:c r="CM643" s="47"/>
      <x:c r="CN643" s="60"/>
      <x:c r="CO643" s="58"/>
      <x:c r="CP643" s="47"/>
      <x:c r="CQ643" s="60"/>
      <x:c r="CR643" s="58"/>
      <x:c r="CS643" s="47"/>
      <x:c r="CT643" s="60"/>
      <x:c r="CU643" s="58"/>
      <x:c r="CV643" s="47"/>
      <x:c r="CW643" s="60"/>
      <x:c r="CX643" s="58"/>
      <x:c r="CY643" s="47"/>
      <x:c r="CZ643" s="60"/>
      <x:c r="DA643" s="58"/>
      <x:c r="DB643" s="47"/>
      <x:c r="DC643" s="60"/>
      <x:c r="DD643" s="58"/>
      <x:c r="DE643" s="47"/>
      <x:c r="DF643" s="60"/>
      <x:c r="DG643" s="58"/>
      <x:c r="DH643" s="47"/>
      <x:c r="DI643" s="60"/>
      <x:c r="DJ643" s="58"/>
      <x:c r="DK643" s="47"/>
      <x:c r="DL643" s="60"/>
      <x:c r="DM643" s="58"/>
      <x:c r="DN643" s="11"/>
      <x:c r="DO643" s="61"/>
      <x:c r="DP643" s="62"/>
      <x:c r="DQ643" s="11"/>
      <x:c r="DR643" s="61"/>
      <x:c r="DS643" s="62"/>
      <x:c r="DT643" s="11"/>
      <x:c r="DU643" s="61"/>
      <x:c r="DV643" s="62"/>
    </x:row>
    <x:row r="644" spans="1:126" x14ac:dyDescent="0.3">
      <x:c r="A644" s="47"/>
      <x:c r="B644" s="70"/>
      <x:c r="C644" s="70"/>
      <x:c r="D644" s="70"/>
      <x:c r="E644" s="70"/>
      <x:c r="F644" s="70"/>
      <x:c r="G644" s="70"/>
      <x:c r="H644" s="70"/>
      <x:c r="I644" s="70"/>
      <x:c r="J644" s="70"/>
      <x:c r="K644" s="190"/>
      <x:c r="L644" s="195"/>
      <x:c r="M644" s="192"/>
      <x:c r="N644" s="192"/>
      <x:c r="O644" s="69"/>
      <x:c r="P644" s="47"/>
      <x:c r="Q644" s="60"/>
      <x:c r="R644" s="58"/>
      <x:c r="S644" s="47"/>
      <x:c r="T644" s="60"/>
      <x:c r="U644" s="58"/>
      <x:c r="V644" s="47"/>
      <x:c r="W644" s="60"/>
      <x:c r="X644" s="58"/>
      <x:c r="Y644" s="47"/>
      <x:c r="Z644" s="60"/>
      <x:c r="AA644" s="58"/>
      <x:c r="AB644" s="47"/>
      <x:c r="AC644" s="60"/>
      <x:c r="AD644" s="58"/>
      <x:c r="AE644" s="47"/>
      <x:c r="AF644" s="60"/>
      <x:c r="AG644" s="58"/>
      <x:c r="AH644" s="47"/>
      <x:c r="AI644" s="60"/>
      <x:c r="AJ644" s="58"/>
      <x:c r="AK644" s="47"/>
      <x:c r="AL644" s="60"/>
      <x:c r="AM644" s="58"/>
      <x:c r="AN644" s="47"/>
      <x:c r="AO644" s="60"/>
      <x:c r="AP644" s="58"/>
      <x:c r="AQ644" s="47"/>
      <x:c r="AR644" s="60"/>
      <x:c r="AS644" s="58"/>
      <x:c r="AT644" s="47"/>
      <x:c r="AU644" s="60"/>
      <x:c r="AV644" s="58"/>
      <x:c r="AW644" s="47"/>
      <x:c r="AX644" s="60"/>
      <x:c r="AY644" s="58"/>
      <x:c r="AZ644" s="47"/>
      <x:c r="BA644" s="60"/>
      <x:c r="BB644" s="58"/>
      <x:c r="BC644" s="47"/>
      <x:c r="BD644" s="60"/>
      <x:c r="BE644" s="58"/>
      <x:c r="BF644" s="47"/>
      <x:c r="BG644" s="60"/>
      <x:c r="BH644" s="58"/>
      <x:c r="BI644" s="47"/>
      <x:c r="BJ644" s="60"/>
      <x:c r="BK644" s="58"/>
      <x:c r="BL644" s="47"/>
      <x:c r="BM644" s="60"/>
      <x:c r="BN644" s="58"/>
      <x:c r="BO644" s="47"/>
      <x:c r="BP644" s="60"/>
      <x:c r="BQ644" s="58"/>
      <x:c r="BR644" s="47"/>
      <x:c r="BS644" s="60"/>
      <x:c r="BT644" s="58"/>
      <x:c r="BU644" s="47"/>
      <x:c r="BV644" s="60"/>
      <x:c r="BW644" s="58"/>
      <x:c r="BX644" s="47"/>
      <x:c r="BY644" s="60"/>
      <x:c r="BZ644" s="58"/>
      <x:c r="CA644" s="47"/>
      <x:c r="CB644" s="60"/>
      <x:c r="CC644" s="58"/>
      <x:c r="CD644" s="47"/>
      <x:c r="CE644" s="60"/>
      <x:c r="CF644" s="58"/>
      <x:c r="CG644" s="47"/>
      <x:c r="CH644" s="60"/>
      <x:c r="CI644" s="58"/>
      <x:c r="CJ644" s="47"/>
      <x:c r="CK644" s="60"/>
      <x:c r="CL644" s="58"/>
      <x:c r="CM644" s="47"/>
      <x:c r="CN644" s="60"/>
      <x:c r="CO644" s="58"/>
      <x:c r="CP644" s="47"/>
      <x:c r="CQ644" s="60"/>
      <x:c r="CR644" s="58"/>
      <x:c r="CS644" s="47"/>
      <x:c r="CT644" s="60"/>
      <x:c r="CU644" s="58"/>
      <x:c r="CV644" s="47"/>
      <x:c r="CW644" s="60"/>
      <x:c r="CX644" s="58"/>
      <x:c r="CY644" s="47"/>
      <x:c r="CZ644" s="60"/>
      <x:c r="DA644" s="58"/>
      <x:c r="DB644" s="47"/>
      <x:c r="DC644" s="60"/>
      <x:c r="DD644" s="58"/>
      <x:c r="DE644" s="47"/>
      <x:c r="DF644" s="60"/>
      <x:c r="DG644" s="58"/>
      <x:c r="DH644" s="47"/>
      <x:c r="DI644" s="60"/>
      <x:c r="DJ644" s="58"/>
      <x:c r="DK644" s="47"/>
      <x:c r="DL644" s="60"/>
      <x:c r="DM644" s="58"/>
      <x:c r="DN644" s="11"/>
      <x:c r="DO644" s="61"/>
      <x:c r="DP644" s="62"/>
      <x:c r="DQ644" s="11"/>
      <x:c r="DR644" s="61"/>
      <x:c r="DS644" s="62"/>
      <x:c r="DT644" s="11"/>
      <x:c r="DU644" s="61"/>
      <x:c r="DV644" s="62"/>
    </x:row>
    <x:row r="645" spans="1:126" x14ac:dyDescent="0.3">
      <x:c r="A645" s="47"/>
      <x:c r="B645" s="70"/>
      <x:c r="C645" s="70"/>
      <x:c r="D645" s="70"/>
      <x:c r="E645" s="70"/>
      <x:c r="F645" s="70"/>
      <x:c r="G645" s="70"/>
      <x:c r="H645" s="70"/>
      <x:c r="I645" s="70"/>
      <x:c r="J645" s="70"/>
      <x:c r="K645" s="190"/>
      <x:c r="L645" s="195"/>
      <x:c r="M645" s="192"/>
      <x:c r="N645" s="192"/>
      <x:c r="O645" s="69"/>
      <x:c r="P645" s="47"/>
      <x:c r="Q645" s="60"/>
      <x:c r="R645" s="58"/>
      <x:c r="S645" s="47"/>
      <x:c r="T645" s="60"/>
      <x:c r="U645" s="58"/>
      <x:c r="V645" s="47"/>
      <x:c r="W645" s="60"/>
      <x:c r="X645" s="58"/>
      <x:c r="Y645" s="47"/>
      <x:c r="Z645" s="60"/>
      <x:c r="AA645" s="58"/>
      <x:c r="AB645" s="47"/>
      <x:c r="AC645" s="60"/>
      <x:c r="AD645" s="58"/>
      <x:c r="AE645" s="47"/>
      <x:c r="AF645" s="60"/>
      <x:c r="AG645" s="58"/>
      <x:c r="AH645" s="47"/>
      <x:c r="AI645" s="60"/>
      <x:c r="AJ645" s="58"/>
      <x:c r="AK645" s="47"/>
      <x:c r="AL645" s="60"/>
      <x:c r="AM645" s="58"/>
      <x:c r="AN645" s="47"/>
      <x:c r="AO645" s="60"/>
      <x:c r="AP645" s="58"/>
      <x:c r="AQ645" s="47"/>
      <x:c r="AR645" s="60"/>
      <x:c r="AS645" s="58"/>
      <x:c r="AT645" s="47"/>
      <x:c r="AU645" s="60"/>
      <x:c r="AV645" s="58"/>
      <x:c r="AW645" s="47"/>
      <x:c r="AX645" s="60"/>
      <x:c r="AY645" s="58"/>
      <x:c r="AZ645" s="47"/>
      <x:c r="BA645" s="60"/>
      <x:c r="BB645" s="58"/>
      <x:c r="BC645" s="47"/>
      <x:c r="BD645" s="60"/>
      <x:c r="BE645" s="58"/>
      <x:c r="BF645" s="47"/>
      <x:c r="BG645" s="60"/>
      <x:c r="BH645" s="58"/>
      <x:c r="BI645" s="47"/>
      <x:c r="BJ645" s="60"/>
      <x:c r="BK645" s="58"/>
      <x:c r="BL645" s="47"/>
      <x:c r="BM645" s="60"/>
      <x:c r="BN645" s="58"/>
      <x:c r="BO645" s="47"/>
      <x:c r="BP645" s="60"/>
      <x:c r="BQ645" s="58"/>
      <x:c r="BR645" s="47"/>
      <x:c r="BS645" s="60"/>
      <x:c r="BT645" s="58"/>
      <x:c r="BU645" s="47"/>
      <x:c r="BV645" s="60"/>
      <x:c r="BW645" s="58"/>
      <x:c r="BX645" s="47"/>
      <x:c r="BY645" s="60"/>
      <x:c r="BZ645" s="58"/>
      <x:c r="CA645" s="47"/>
      <x:c r="CB645" s="60"/>
      <x:c r="CC645" s="58"/>
      <x:c r="CD645" s="47"/>
      <x:c r="CE645" s="60"/>
      <x:c r="CF645" s="58"/>
      <x:c r="CG645" s="47"/>
      <x:c r="CH645" s="60"/>
      <x:c r="CI645" s="58"/>
      <x:c r="CJ645" s="47"/>
      <x:c r="CK645" s="60"/>
      <x:c r="CL645" s="58"/>
      <x:c r="CM645" s="47"/>
      <x:c r="CN645" s="60"/>
      <x:c r="CO645" s="58"/>
      <x:c r="CP645" s="47"/>
      <x:c r="CQ645" s="60"/>
      <x:c r="CR645" s="58"/>
      <x:c r="CS645" s="47"/>
      <x:c r="CT645" s="60"/>
      <x:c r="CU645" s="58"/>
      <x:c r="CV645" s="47"/>
      <x:c r="CW645" s="60"/>
      <x:c r="CX645" s="58"/>
      <x:c r="CY645" s="47"/>
      <x:c r="CZ645" s="60"/>
      <x:c r="DA645" s="58"/>
      <x:c r="DB645" s="47"/>
      <x:c r="DC645" s="60"/>
      <x:c r="DD645" s="58"/>
      <x:c r="DE645" s="47"/>
      <x:c r="DF645" s="60"/>
      <x:c r="DG645" s="58"/>
      <x:c r="DH645" s="47"/>
      <x:c r="DI645" s="60"/>
      <x:c r="DJ645" s="58"/>
      <x:c r="DK645" s="47"/>
      <x:c r="DL645" s="60"/>
      <x:c r="DM645" s="58"/>
      <x:c r="DN645" s="11"/>
      <x:c r="DO645" s="61"/>
      <x:c r="DP645" s="62"/>
      <x:c r="DQ645" s="11"/>
      <x:c r="DR645" s="61"/>
      <x:c r="DS645" s="62"/>
      <x:c r="DT645" s="11"/>
      <x:c r="DU645" s="61"/>
      <x:c r="DV645" s="62"/>
    </x:row>
    <x:row r="646" spans="1:126" x14ac:dyDescent="0.3">
      <x:c r="A646" s="47"/>
      <x:c r="B646" s="70"/>
      <x:c r="C646" s="70"/>
      <x:c r="D646" s="70"/>
      <x:c r="E646" s="70"/>
      <x:c r="F646" s="70"/>
      <x:c r="G646" s="70"/>
      <x:c r="H646" s="70"/>
      <x:c r="I646" s="70"/>
      <x:c r="J646" s="70"/>
      <x:c r="K646" s="190"/>
      <x:c r="L646" s="195"/>
      <x:c r="M646" s="192"/>
      <x:c r="N646" s="192"/>
      <x:c r="O646" s="69"/>
      <x:c r="P646" s="47"/>
      <x:c r="Q646" s="60"/>
      <x:c r="R646" s="58"/>
      <x:c r="S646" s="47"/>
      <x:c r="T646" s="60"/>
      <x:c r="U646" s="58"/>
      <x:c r="V646" s="47"/>
      <x:c r="W646" s="60"/>
      <x:c r="X646" s="58"/>
      <x:c r="Y646" s="47"/>
      <x:c r="Z646" s="60"/>
      <x:c r="AA646" s="58"/>
      <x:c r="AB646" s="47"/>
      <x:c r="AC646" s="60"/>
      <x:c r="AD646" s="58"/>
      <x:c r="AE646" s="47"/>
      <x:c r="AF646" s="60"/>
      <x:c r="AG646" s="58"/>
      <x:c r="AH646" s="47"/>
      <x:c r="AI646" s="60"/>
      <x:c r="AJ646" s="58"/>
      <x:c r="AK646" s="47"/>
      <x:c r="AL646" s="60"/>
      <x:c r="AM646" s="58"/>
      <x:c r="AN646" s="47"/>
      <x:c r="AO646" s="60"/>
      <x:c r="AP646" s="58"/>
      <x:c r="AQ646" s="47"/>
      <x:c r="AR646" s="60"/>
      <x:c r="AS646" s="58"/>
      <x:c r="AT646" s="47"/>
      <x:c r="AU646" s="60"/>
      <x:c r="AV646" s="58"/>
      <x:c r="AW646" s="47"/>
      <x:c r="AX646" s="60"/>
      <x:c r="AY646" s="58"/>
      <x:c r="AZ646" s="47"/>
      <x:c r="BA646" s="60"/>
      <x:c r="BB646" s="58"/>
      <x:c r="BC646" s="47"/>
      <x:c r="BD646" s="60"/>
      <x:c r="BE646" s="58"/>
      <x:c r="BF646" s="47"/>
      <x:c r="BG646" s="60"/>
      <x:c r="BH646" s="58"/>
      <x:c r="BI646" s="47"/>
      <x:c r="BJ646" s="60"/>
      <x:c r="BK646" s="58"/>
      <x:c r="BL646" s="47"/>
      <x:c r="BM646" s="60"/>
      <x:c r="BN646" s="58"/>
      <x:c r="BO646" s="47"/>
      <x:c r="BP646" s="60"/>
      <x:c r="BQ646" s="58"/>
      <x:c r="BR646" s="47"/>
      <x:c r="BS646" s="60"/>
      <x:c r="BT646" s="58"/>
      <x:c r="BU646" s="47"/>
      <x:c r="BV646" s="60"/>
      <x:c r="BW646" s="58"/>
      <x:c r="BX646" s="47"/>
      <x:c r="BY646" s="60"/>
      <x:c r="BZ646" s="58"/>
      <x:c r="CA646" s="47"/>
      <x:c r="CB646" s="60"/>
      <x:c r="CC646" s="58"/>
      <x:c r="CD646" s="47"/>
      <x:c r="CE646" s="60"/>
      <x:c r="CF646" s="58"/>
      <x:c r="CG646" s="47"/>
      <x:c r="CH646" s="60"/>
      <x:c r="CI646" s="58"/>
      <x:c r="CJ646" s="47"/>
      <x:c r="CK646" s="60"/>
      <x:c r="CL646" s="58"/>
      <x:c r="CM646" s="47"/>
      <x:c r="CN646" s="60"/>
      <x:c r="CO646" s="58"/>
      <x:c r="CP646" s="47"/>
      <x:c r="CQ646" s="60"/>
      <x:c r="CR646" s="58"/>
      <x:c r="CS646" s="47"/>
      <x:c r="CT646" s="60"/>
      <x:c r="CU646" s="58"/>
      <x:c r="CV646" s="47"/>
      <x:c r="CW646" s="60"/>
      <x:c r="CX646" s="58"/>
      <x:c r="CY646" s="47"/>
      <x:c r="CZ646" s="60"/>
      <x:c r="DA646" s="58"/>
      <x:c r="DB646" s="47"/>
      <x:c r="DC646" s="60"/>
      <x:c r="DD646" s="58"/>
      <x:c r="DE646" s="47"/>
      <x:c r="DF646" s="60"/>
      <x:c r="DG646" s="58"/>
      <x:c r="DH646" s="47"/>
      <x:c r="DI646" s="60"/>
      <x:c r="DJ646" s="58"/>
      <x:c r="DK646" s="47"/>
      <x:c r="DL646" s="60"/>
      <x:c r="DM646" s="58"/>
      <x:c r="DN646" s="11"/>
      <x:c r="DO646" s="61"/>
      <x:c r="DP646" s="62"/>
      <x:c r="DQ646" s="11"/>
      <x:c r="DR646" s="61"/>
      <x:c r="DS646" s="62"/>
      <x:c r="DT646" s="11"/>
      <x:c r="DU646" s="61"/>
      <x:c r="DV646" s="62"/>
    </x:row>
    <x:row r="647" spans="1:126" x14ac:dyDescent="0.3">
      <x:c r="A647" s="47"/>
      <x:c r="B647" s="70"/>
      <x:c r="C647" s="70"/>
      <x:c r="D647" s="70"/>
      <x:c r="E647" s="70"/>
      <x:c r="F647" s="70"/>
      <x:c r="G647" s="70"/>
      <x:c r="H647" s="70"/>
      <x:c r="I647" s="70"/>
      <x:c r="J647" s="70"/>
      <x:c r="K647" s="190"/>
      <x:c r="L647" s="195"/>
      <x:c r="M647" s="192"/>
      <x:c r="N647" s="192"/>
      <x:c r="O647" s="69"/>
      <x:c r="P647" s="47"/>
      <x:c r="Q647" s="60"/>
      <x:c r="R647" s="58"/>
      <x:c r="S647" s="47"/>
      <x:c r="T647" s="60"/>
      <x:c r="U647" s="58"/>
      <x:c r="V647" s="47"/>
      <x:c r="W647" s="60"/>
      <x:c r="X647" s="58"/>
      <x:c r="Y647" s="47"/>
      <x:c r="Z647" s="60"/>
      <x:c r="AA647" s="58"/>
      <x:c r="AB647" s="47"/>
      <x:c r="AC647" s="60"/>
      <x:c r="AD647" s="58"/>
      <x:c r="AE647" s="47"/>
      <x:c r="AF647" s="60"/>
      <x:c r="AG647" s="58"/>
      <x:c r="AH647" s="47"/>
      <x:c r="AI647" s="60"/>
      <x:c r="AJ647" s="58"/>
      <x:c r="AK647" s="47"/>
      <x:c r="AL647" s="60"/>
      <x:c r="AM647" s="58"/>
      <x:c r="AN647" s="47"/>
      <x:c r="AO647" s="60"/>
      <x:c r="AP647" s="58"/>
      <x:c r="AQ647" s="47"/>
      <x:c r="AR647" s="60"/>
      <x:c r="AS647" s="58"/>
      <x:c r="AT647" s="47"/>
      <x:c r="AU647" s="60"/>
      <x:c r="AV647" s="58"/>
      <x:c r="AW647" s="47"/>
      <x:c r="AX647" s="60"/>
      <x:c r="AY647" s="58"/>
      <x:c r="AZ647" s="47"/>
      <x:c r="BA647" s="60"/>
      <x:c r="BB647" s="58"/>
      <x:c r="BC647" s="47"/>
      <x:c r="BD647" s="60"/>
      <x:c r="BE647" s="58"/>
      <x:c r="BF647" s="47"/>
      <x:c r="BG647" s="60"/>
      <x:c r="BH647" s="58"/>
      <x:c r="BI647" s="47"/>
      <x:c r="BJ647" s="60"/>
      <x:c r="BK647" s="58"/>
      <x:c r="BL647" s="47"/>
      <x:c r="BM647" s="60"/>
      <x:c r="BN647" s="58"/>
      <x:c r="BO647" s="47"/>
      <x:c r="BP647" s="60"/>
      <x:c r="BQ647" s="58"/>
      <x:c r="BR647" s="47"/>
      <x:c r="BS647" s="60"/>
      <x:c r="BT647" s="58"/>
      <x:c r="BU647" s="47"/>
      <x:c r="BV647" s="60"/>
      <x:c r="BW647" s="58"/>
      <x:c r="BX647" s="47"/>
      <x:c r="BY647" s="60"/>
      <x:c r="BZ647" s="58"/>
      <x:c r="CA647" s="47"/>
      <x:c r="CB647" s="60"/>
      <x:c r="CC647" s="58"/>
      <x:c r="CD647" s="47"/>
      <x:c r="CE647" s="60"/>
      <x:c r="CF647" s="58"/>
      <x:c r="CG647" s="47"/>
      <x:c r="CH647" s="60"/>
      <x:c r="CI647" s="58"/>
      <x:c r="CJ647" s="47"/>
      <x:c r="CK647" s="60"/>
      <x:c r="CL647" s="58"/>
      <x:c r="CM647" s="47"/>
      <x:c r="CN647" s="60"/>
      <x:c r="CO647" s="58"/>
      <x:c r="CP647" s="47"/>
      <x:c r="CQ647" s="60"/>
      <x:c r="CR647" s="58"/>
      <x:c r="CS647" s="47"/>
      <x:c r="CT647" s="60"/>
      <x:c r="CU647" s="58"/>
      <x:c r="CV647" s="47"/>
      <x:c r="CW647" s="60"/>
      <x:c r="CX647" s="58"/>
      <x:c r="CY647" s="47"/>
      <x:c r="CZ647" s="60"/>
      <x:c r="DA647" s="58"/>
      <x:c r="DB647" s="47"/>
      <x:c r="DC647" s="60"/>
      <x:c r="DD647" s="58"/>
      <x:c r="DE647" s="47"/>
      <x:c r="DF647" s="60"/>
      <x:c r="DG647" s="58"/>
      <x:c r="DH647" s="47"/>
      <x:c r="DI647" s="60"/>
      <x:c r="DJ647" s="58"/>
      <x:c r="DK647" s="47"/>
      <x:c r="DL647" s="60"/>
      <x:c r="DM647" s="58"/>
      <x:c r="DN647" s="11"/>
      <x:c r="DO647" s="61"/>
      <x:c r="DP647" s="62"/>
      <x:c r="DQ647" s="11"/>
      <x:c r="DR647" s="61"/>
      <x:c r="DS647" s="62"/>
      <x:c r="DT647" s="11"/>
      <x:c r="DU647" s="61"/>
      <x:c r="DV647" s="62"/>
    </x:row>
    <x:row r="648" spans="1:126" x14ac:dyDescent="0.3">
      <x:c r="A648" s="47"/>
      <x:c r="B648" s="70"/>
      <x:c r="C648" s="70"/>
      <x:c r="D648" s="70"/>
      <x:c r="E648" s="70"/>
      <x:c r="F648" s="70"/>
      <x:c r="G648" s="70"/>
      <x:c r="H648" s="70"/>
      <x:c r="I648" s="70"/>
      <x:c r="J648" s="70"/>
      <x:c r="K648" s="190"/>
      <x:c r="L648" s="195"/>
      <x:c r="M648" s="192"/>
      <x:c r="N648" s="192"/>
      <x:c r="O648" s="69"/>
      <x:c r="P648" s="47"/>
      <x:c r="Q648" s="60"/>
      <x:c r="R648" s="58"/>
      <x:c r="S648" s="47"/>
      <x:c r="T648" s="60"/>
      <x:c r="U648" s="58"/>
      <x:c r="V648" s="47"/>
      <x:c r="W648" s="60"/>
      <x:c r="X648" s="58"/>
      <x:c r="Y648" s="47"/>
      <x:c r="Z648" s="60"/>
      <x:c r="AA648" s="58"/>
      <x:c r="AB648" s="47"/>
      <x:c r="AC648" s="60"/>
      <x:c r="AD648" s="58"/>
      <x:c r="AE648" s="47"/>
      <x:c r="AF648" s="60"/>
      <x:c r="AG648" s="58"/>
      <x:c r="AH648" s="47"/>
      <x:c r="AI648" s="60"/>
      <x:c r="AJ648" s="58"/>
      <x:c r="AK648" s="47"/>
      <x:c r="AL648" s="60"/>
      <x:c r="AM648" s="58"/>
      <x:c r="AN648" s="47"/>
      <x:c r="AO648" s="60"/>
      <x:c r="AP648" s="58"/>
      <x:c r="AQ648" s="47"/>
      <x:c r="AR648" s="60"/>
      <x:c r="AS648" s="58"/>
      <x:c r="AT648" s="47"/>
      <x:c r="AU648" s="60"/>
      <x:c r="AV648" s="58"/>
      <x:c r="AW648" s="47"/>
      <x:c r="AX648" s="60"/>
      <x:c r="AY648" s="58"/>
      <x:c r="AZ648" s="47"/>
      <x:c r="BA648" s="60"/>
      <x:c r="BB648" s="58"/>
      <x:c r="BC648" s="47"/>
      <x:c r="BD648" s="60"/>
      <x:c r="BE648" s="58"/>
      <x:c r="BF648" s="47"/>
      <x:c r="BG648" s="60"/>
      <x:c r="BH648" s="58"/>
      <x:c r="BI648" s="47"/>
      <x:c r="BJ648" s="60"/>
      <x:c r="BK648" s="58"/>
      <x:c r="BL648" s="47"/>
      <x:c r="BM648" s="60"/>
      <x:c r="BN648" s="58"/>
      <x:c r="BO648" s="47"/>
      <x:c r="BP648" s="60"/>
      <x:c r="BQ648" s="58"/>
      <x:c r="BR648" s="47"/>
      <x:c r="BS648" s="60"/>
      <x:c r="BT648" s="58"/>
      <x:c r="BU648" s="47"/>
      <x:c r="BV648" s="60"/>
      <x:c r="BW648" s="58"/>
      <x:c r="BX648" s="47"/>
      <x:c r="BY648" s="60"/>
      <x:c r="BZ648" s="58"/>
      <x:c r="CA648" s="47"/>
      <x:c r="CB648" s="60"/>
      <x:c r="CC648" s="58"/>
      <x:c r="CD648" s="47"/>
      <x:c r="CE648" s="60"/>
      <x:c r="CF648" s="58"/>
      <x:c r="CG648" s="47"/>
      <x:c r="CH648" s="60"/>
      <x:c r="CI648" s="58"/>
      <x:c r="CJ648" s="47"/>
      <x:c r="CK648" s="60"/>
      <x:c r="CL648" s="58"/>
      <x:c r="CM648" s="47"/>
      <x:c r="CN648" s="60"/>
      <x:c r="CO648" s="58"/>
      <x:c r="CP648" s="47"/>
      <x:c r="CQ648" s="60"/>
      <x:c r="CR648" s="58"/>
      <x:c r="CS648" s="47"/>
      <x:c r="CT648" s="60"/>
      <x:c r="CU648" s="58"/>
      <x:c r="CV648" s="47"/>
      <x:c r="CW648" s="60"/>
      <x:c r="CX648" s="58"/>
      <x:c r="CY648" s="47"/>
      <x:c r="CZ648" s="60"/>
      <x:c r="DA648" s="58"/>
      <x:c r="DB648" s="47"/>
      <x:c r="DC648" s="60"/>
      <x:c r="DD648" s="58"/>
      <x:c r="DE648" s="47"/>
      <x:c r="DF648" s="60"/>
      <x:c r="DG648" s="58"/>
      <x:c r="DH648" s="47"/>
      <x:c r="DI648" s="60"/>
      <x:c r="DJ648" s="58"/>
      <x:c r="DK648" s="47"/>
      <x:c r="DL648" s="60"/>
      <x:c r="DM648" s="58"/>
      <x:c r="DN648" s="11"/>
      <x:c r="DO648" s="61"/>
      <x:c r="DP648" s="62"/>
      <x:c r="DQ648" s="11"/>
      <x:c r="DR648" s="61"/>
      <x:c r="DS648" s="62"/>
      <x:c r="DT648" s="11"/>
      <x:c r="DU648" s="61"/>
      <x:c r="DV648" s="62"/>
    </x:row>
    <x:row r="649" spans="1:126" x14ac:dyDescent="0.3">
      <x:c r="A649" s="47"/>
      <x:c r="B649" s="70"/>
      <x:c r="C649" s="70"/>
      <x:c r="D649" s="70"/>
      <x:c r="E649" s="70"/>
      <x:c r="F649" s="70"/>
      <x:c r="G649" s="70"/>
      <x:c r="H649" s="70"/>
      <x:c r="I649" s="70"/>
      <x:c r="J649" s="70"/>
      <x:c r="K649" s="190"/>
      <x:c r="L649" s="195"/>
      <x:c r="M649" s="192"/>
      <x:c r="N649" s="192"/>
      <x:c r="O649" s="69"/>
      <x:c r="P649" s="47"/>
      <x:c r="Q649" s="60"/>
      <x:c r="R649" s="58"/>
      <x:c r="S649" s="47"/>
      <x:c r="T649" s="60"/>
      <x:c r="U649" s="58"/>
      <x:c r="V649" s="47"/>
      <x:c r="W649" s="60"/>
      <x:c r="X649" s="58"/>
      <x:c r="Y649" s="47"/>
      <x:c r="Z649" s="60"/>
      <x:c r="AA649" s="58"/>
      <x:c r="AB649" s="47"/>
      <x:c r="AC649" s="60"/>
      <x:c r="AD649" s="58"/>
      <x:c r="AE649" s="47"/>
      <x:c r="AF649" s="60"/>
      <x:c r="AG649" s="58"/>
      <x:c r="AH649" s="47"/>
      <x:c r="AI649" s="60"/>
      <x:c r="AJ649" s="58"/>
      <x:c r="AK649" s="47"/>
      <x:c r="AL649" s="60"/>
      <x:c r="AM649" s="58"/>
      <x:c r="AN649" s="47"/>
      <x:c r="AO649" s="60"/>
      <x:c r="AP649" s="58"/>
      <x:c r="AQ649" s="47"/>
      <x:c r="AR649" s="60"/>
      <x:c r="AS649" s="58"/>
      <x:c r="AT649" s="47"/>
      <x:c r="AU649" s="60"/>
      <x:c r="AV649" s="58"/>
      <x:c r="AW649" s="47"/>
      <x:c r="AX649" s="60"/>
      <x:c r="AY649" s="58"/>
      <x:c r="AZ649" s="47"/>
      <x:c r="BA649" s="60"/>
      <x:c r="BB649" s="58"/>
      <x:c r="BC649" s="47"/>
      <x:c r="BD649" s="60"/>
      <x:c r="BE649" s="58"/>
      <x:c r="BF649" s="47"/>
      <x:c r="BG649" s="60"/>
      <x:c r="BH649" s="58"/>
      <x:c r="BI649" s="47"/>
      <x:c r="BJ649" s="60"/>
      <x:c r="BK649" s="58"/>
      <x:c r="BL649" s="47"/>
      <x:c r="BM649" s="60"/>
      <x:c r="BN649" s="58"/>
      <x:c r="BO649" s="47"/>
      <x:c r="BP649" s="60"/>
      <x:c r="BQ649" s="58"/>
      <x:c r="BR649" s="47"/>
      <x:c r="BS649" s="60"/>
      <x:c r="BT649" s="58"/>
      <x:c r="BU649" s="47"/>
      <x:c r="BV649" s="60"/>
      <x:c r="BW649" s="58"/>
      <x:c r="BX649" s="47"/>
      <x:c r="BY649" s="60"/>
      <x:c r="BZ649" s="58"/>
      <x:c r="CA649" s="47"/>
      <x:c r="CB649" s="60"/>
      <x:c r="CC649" s="58"/>
      <x:c r="CD649" s="47"/>
      <x:c r="CE649" s="60"/>
      <x:c r="CF649" s="58"/>
      <x:c r="CG649" s="47"/>
      <x:c r="CH649" s="60"/>
      <x:c r="CI649" s="58"/>
      <x:c r="CJ649" s="47"/>
      <x:c r="CK649" s="60"/>
      <x:c r="CL649" s="58"/>
      <x:c r="CM649" s="47"/>
      <x:c r="CN649" s="60"/>
      <x:c r="CO649" s="58"/>
      <x:c r="CP649" s="47"/>
      <x:c r="CQ649" s="60"/>
      <x:c r="CR649" s="58"/>
      <x:c r="CS649" s="47"/>
      <x:c r="CT649" s="60"/>
      <x:c r="CU649" s="58"/>
      <x:c r="CV649" s="47"/>
      <x:c r="CW649" s="60"/>
      <x:c r="CX649" s="58"/>
      <x:c r="CY649" s="47"/>
      <x:c r="CZ649" s="60"/>
      <x:c r="DA649" s="58"/>
      <x:c r="DB649" s="47"/>
      <x:c r="DC649" s="60"/>
      <x:c r="DD649" s="58"/>
      <x:c r="DE649" s="47"/>
      <x:c r="DF649" s="60"/>
      <x:c r="DG649" s="58"/>
      <x:c r="DH649" s="47"/>
      <x:c r="DI649" s="60"/>
      <x:c r="DJ649" s="58"/>
      <x:c r="DK649" s="47"/>
      <x:c r="DL649" s="60"/>
      <x:c r="DM649" s="58"/>
      <x:c r="DN649" s="11"/>
      <x:c r="DO649" s="61"/>
      <x:c r="DP649" s="62"/>
      <x:c r="DQ649" s="11"/>
      <x:c r="DR649" s="61"/>
      <x:c r="DS649" s="62"/>
      <x:c r="DT649" s="11"/>
      <x:c r="DU649" s="61"/>
      <x:c r="DV649" s="62"/>
    </x:row>
    <x:row r="650" spans="1:126" x14ac:dyDescent="0.3">
      <x:c r="A650" s="47"/>
      <x:c r="B650" s="70"/>
      <x:c r="C650" s="70"/>
      <x:c r="D650" s="70"/>
      <x:c r="E650" s="70"/>
      <x:c r="F650" s="70"/>
      <x:c r="G650" s="70"/>
      <x:c r="H650" s="70"/>
      <x:c r="I650" s="70"/>
      <x:c r="J650" s="70"/>
      <x:c r="K650" s="190"/>
      <x:c r="L650" s="195"/>
      <x:c r="M650" s="192"/>
      <x:c r="N650" s="192"/>
      <x:c r="O650" s="69"/>
      <x:c r="P650" s="47"/>
      <x:c r="Q650" s="60"/>
      <x:c r="R650" s="58"/>
      <x:c r="S650" s="47"/>
      <x:c r="T650" s="60"/>
      <x:c r="U650" s="58"/>
      <x:c r="V650" s="47"/>
      <x:c r="W650" s="60"/>
      <x:c r="X650" s="58"/>
      <x:c r="Y650" s="47"/>
      <x:c r="Z650" s="60"/>
      <x:c r="AA650" s="58"/>
      <x:c r="AB650" s="47"/>
      <x:c r="AC650" s="60"/>
      <x:c r="AD650" s="58"/>
      <x:c r="AE650" s="47"/>
      <x:c r="AF650" s="60"/>
      <x:c r="AG650" s="58"/>
      <x:c r="AH650" s="47"/>
      <x:c r="AI650" s="60"/>
      <x:c r="AJ650" s="58"/>
      <x:c r="AK650" s="47"/>
      <x:c r="AL650" s="60"/>
      <x:c r="AM650" s="58"/>
      <x:c r="AN650" s="47"/>
      <x:c r="AO650" s="60"/>
      <x:c r="AP650" s="58"/>
      <x:c r="AQ650" s="47"/>
      <x:c r="AR650" s="60"/>
      <x:c r="AS650" s="58"/>
      <x:c r="AT650" s="47"/>
      <x:c r="AU650" s="60"/>
      <x:c r="AV650" s="58"/>
      <x:c r="AW650" s="47"/>
      <x:c r="AX650" s="60"/>
      <x:c r="AY650" s="58"/>
      <x:c r="AZ650" s="47"/>
      <x:c r="BA650" s="60"/>
      <x:c r="BB650" s="58"/>
      <x:c r="BC650" s="47"/>
      <x:c r="BD650" s="60"/>
      <x:c r="BE650" s="58"/>
      <x:c r="BF650" s="47"/>
      <x:c r="BG650" s="60"/>
      <x:c r="BH650" s="58"/>
      <x:c r="BI650" s="47"/>
      <x:c r="BJ650" s="60"/>
      <x:c r="BK650" s="58"/>
      <x:c r="BL650" s="47"/>
      <x:c r="BM650" s="60"/>
      <x:c r="BN650" s="58"/>
      <x:c r="BO650" s="47"/>
      <x:c r="BP650" s="60"/>
      <x:c r="BQ650" s="58"/>
      <x:c r="BR650" s="47"/>
      <x:c r="BS650" s="60"/>
      <x:c r="BT650" s="58"/>
      <x:c r="BU650" s="47"/>
      <x:c r="BV650" s="60"/>
      <x:c r="BW650" s="58"/>
      <x:c r="BX650" s="47"/>
      <x:c r="BY650" s="60"/>
      <x:c r="BZ650" s="58"/>
      <x:c r="CA650" s="47"/>
      <x:c r="CB650" s="60"/>
      <x:c r="CC650" s="58"/>
      <x:c r="CD650" s="47"/>
      <x:c r="CE650" s="60"/>
      <x:c r="CF650" s="58"/>
      <x:c r="CG650" s="47"/>
      <x:c r="CH650" s="60"/>
      <x:c r="CI650" s="58"/>
      <x:c r="CJ650" s="47"/>
      <x:c r="CK650" s="60"/>
      <x:c r="CL650" s="58"/>
      <x:c r="CM650" s="47"/>
      <x:c r="CN650" s="60"/>
      <x:c r="CO650" s="58"/>
      <x:c r="CP650" s="47"/>
      <x:c r="CQ650" s="60"/>
      <x:c r="CR650" s="58"/>
      <x:c r="CS650" s="47"/>
      <x:c r="CT650" s="60"/>
      <x:c r="CU650" s="58"/>
      <x:c r="CV650" s="47"/>
      <x:c r="CW650" s="60"/>
      <x:c r="CX650" s="58"/>
      <x:c r="CY650" s="47"/>
      <x:c r="CZ650" s="60"/>
      <x:c r="DA650" s="58"/>
      <x:c r="DB650" s="47"/>
      <x:c r="DC650" s="60"/>
      <x:c r="DD650" s="58"/>
      <x:c r="DE650" s="47"/>
      <x:c r="DF650" s="60"/>
      <x:c r="DG650" s="58"/>
      <x:c r="DH650" s="47"/>
      <x:c r="DI650" s="60"/>
      <x:c r="DJ650" s="58"/>
      <x:c r="DK650" s="47"/>
      <x:c r="DL650" s="60"/>
      <x:c r="DM650" s="58"/>
      <x:c r="DN650" s="11"/>
      <x:c r="DO650" s="61"/>
      <x:c r="DP650" s="62"/>
      <x:c r="DQ650" s="11"/>
      <x:c r="DR650" s="61"/>
      <x:c r="DS650" s="62"/>
      <x:c r="DT650" s="11"/>
      <x:c r="DU650" s="61"/>
      <x:c r="DV650" s="62"/>
    </x:row>
    <x:row r="651" spans="1:126" x14ac:dyDescent="0.3">
      <x:c r="A651" s="47"/>
      <x:c r="B651" s="70"/>
      <x:c r="C651" s="70"/>
      <x:c r="D651" s="70"/>
      <x:c r="E651" s="70"/>
      <x:c r="F651" s="70"/>
      <x:c r="G651" s="70"/>
      <x:c r="H651" s="70"/>
      <x:c r="I651" s="70"/>
      <x:c r="J651" s="70"/>
      <x:c r="K651" s="190"/>
      <x:c r="L651" s="195"/>
      <x:c r="M651" s="192"/>
      <x:c r="N651" s="192"/>
      <x:c r="O651" s="69"/>
      <x:c r="P651" s="47"/>
      <x:c r="Q651" s="60"/>
      <x:c r="R651" s="58"/>
      <x:c r="S651" s="47"/>
      <x:c r="T651" s="60"/>
      <x:c r="U651" s="58"/>
      <x:c r="V651" s="47"/>
      <x:c r="W651" s="60"/>
      <x:c r="X651" s="58"/>
      <x:c r="Y651" s="47"/>
      <x:c r="Z651" s="60"/>
      <x:c r="AA651" s="58"/>
      <x:c r="AB651" s="47"/>
      <x:c r="AC651" s="60"/>
      <x:c r="AD651" s="58"/>
      <x:c r="AE651" s="47"/>
      <x:c r="AF651" s="60"/>
      <x:c r="AG651" s="58"/>
      <x:c r="AH651" s="47"/>
      <x:c r="AI651" s="60"/>
      <x:c r="AJ651" s="58"/>
      <x:c r="AK651" s="47"/>
      <x:c r="AL651" s="60"/>
      <x:c r="AM651" s="58"/>
      <x:c r="AN651" s="47"/>
      <x:c r="AO651" s="60"/>
      <x:c r="AP651" s="58"/>
      <x:c r="AQ651" s="47"/>
      <x:c r="AR651" s="60"/>
      <x:c r="AS651" s="58"/>
      <x:c r="AT651" s="47"/>
      <x:c r="AU651" s="60"/>
      <x:c r="AV651" s="58"/>
      <x:c r="AW651" s="47"/>
      <x:c r="AX651" s="60"/>
      <x:c r="AY651" s="58"/>
      <x:c r="AZ651" s="47"/>
      <x:c r="BA651" s="60"/>
      <x:c r="BB651" s="58"/>
      <x:c r="BC651" s="47"/>
      <x:c r="BD651" s="60"/>
      <x:c r="BE651" s="58"/>
      <x:c r="BF651" s="47"/>
      <x:c r="BG651" s="60"/>
      <x:c r="BH651" s="58"/>
      <x:c r="BI651" s="47"/>
      <x:c r="BJ651" s="60"/>
      <x:c r="BK651" s="58"/>
      <x:c r="BL651" s="47"/>
      <x:c r="BM651" s="60"/>
      <x:c r="BN651" s="58"/>
      <x:c r="BO651" s="47"/>
      <x:c r="BP651" s="60"/>
      <x:c r="BQ651" s="58"/>
      <x:c r="BR651" s="47"/>
      <x:c r="BS651" s="60"/>
      <x:c r="BT651" s="58"/>
      <x:c r="BU651" s="47"/>
      <x:c r="BV651" s="60"/>
      <x:c r="BW651" s="58"/>
      <x:c r="BX651" s="47"/>
      <x:c r="BY651" s="60"/>
      <x:c r="BZ651" s="58"/>
      <x:c r="CA651" s="47"/>
      <x:c r="CB651" s="60"/>
      <x:c r="CC651" s="58"/>
      <x:c r="CD651" s="47"/>
      <x:c r="CE651" s="60"/>
      <x:c r="CF651" s="58"/>
      <x:c r="CG651" s="47"/>
      <x:c r="CH651" s="60"/>
      <x:c r="CI651" s="58"/>
      <x:c r="CJ651" s="47"/>
      <x:c r="CK651" s="60"/>
      <x:c r="CL651" s="58"/>
      <x:c r="CM651" s="47"/>
      <x:c r="CN651" s="60"/>
      <x:c r="CO651" s="58"/>
      <x:c r="CP651" s="47"/>
      <x:c r="CQ651" s="60"/>
      <x:c r="CR651" s="58"/>
      <x:c r="CS651" s="47"/>
      <x:c r="CT651" s="60"/>
      <x:c r="CU651" s="58"/>
      <x:c r="CV651" s="47"/>
      <x:c r="CW651" s="60"/>
      <x:c r="CX651" s="58"/>
      <x:c r="CY651" s="47"/>
      <x:c r="CZ651" s="60"/>
      <x:c r="DA651" s="58"/>
      <x:c r="DB651" s="47"/>
      <x:c r="DC651" s="60"/>
      <x:c r="DD651" s="58"/>
      <x:c r="DE651" s="47"/>
      <x:c r="DF651" s="60"/>
      <x:c r="DG651" s="58"/>
      <x:c r="DH651" s="47"/>
      <x:c r="DI651" s="60"/>
      <x:c r="DJ651" s="58"/>
      <x:c r="DK651" s="47"/>
      <x:c r="DL651" s="60"/>
      <x:c r="DM651" s="58"/>
      <x:c r="DN651" s="11"/>
      <x:c r="DO651" s="61"/>
      <x:c r="DP651" s="62"/>
      <x:c r="DQ651" s="11"/>
      <x:c r="DR651" s="61"/>
      <x:c r="DS651" s="62"/>
      <x:c r="DT651" s="11"/>
      <x:c r="DU651" s="61"/>
      <x:c r="DV651" s="62"/>
    </x:row>
    <x:row r="652" spans="1:126" x14ac:dyDescent="0.3">
      <x:c r="A652" s="47"/>
      <x:c r="B652" s="70"/>
      <x:c r="C652" s="70"/>
      <x:c r="D652" s="70"/>
      <x:c r="E652" s="70"/>
      <x:c r="F652" s="70"/>
      <x:c r="G652" s="70"/>
      <x:c r="H652" s="70"/>
      <x:c r="I652" s="70"/>
      <x:c r="J652" s="70"/>
      <x:c r="K652" s="190"/>
      <x:c r="L652" s="195"/>
      <x:c r="M652" s="192"/>
      <x:c r="N652" s="192"/>
      <x:c r="O652" s="69"/>
      <x:c r="P652" s="47"/>
      <x:c r="Q652" s="60"/>
      <x:c r="R652" s="58"/>
      <x:c r="S652" s="47"/>
      <x:c r="T652" s="60"/>
      <x:c r="U652" s="58"/>
      <x:c r="V652" s="47"/>
      <x:c r="W652" s="60"/>
      <x:c r="X652" s="58"/>
      <x:c r="Y652" s="47"/>
      <x:c r="Z652" s="60"/>
      <x:c r="AA652" s="58"/>
      <x:c r="AB652" s="47"/>
      <x:c r="AC652" s="60"/>
      <x:c r="AD652" s="58"/>
      <x:c r="AE652" s="47"/>
      <x:c r="AF652" s="60"/>
      <x:c r="AG652" s="58"/>
      <x:c r="AH652" s="47"/>
      <x:c r="AI652" s="60"/>
      <x:c r="AJ652" s="58"/>
      <x:c r="AK652" s="47"/>
      <x:c r="AL652" s="60"/>
      <x:c r="AM652" s="58"/>
      <x:c r="AN652" s="47"/>
      <x:c r="AO652" s="60"/>
      <x:c r="AP652" s="58"/>
      <x:c r="AQ652" s="47"/>
      <x:c r="AR652" s="60"/>
      <x:c r="AS652" s="58"/>
      <x:c r="AT652" s="47"/>
      <x:c r="AU652" s="60"/>
      <x:c r="AV652" s="58"/>
      <x:c r="AW652" s="47"/>
      <x:c r="AX652" s="60"/>
      <x:c r="AY652" s="58"/>
      <x:c r="AZ652" s="47"/>
      <x:c r="BA652" s="60"/>
      <x:c r="BB652" s="58"/>
      <x:c r="BC652" s="47"/>
      <x:c r="BD652" s="60"/>
      <x:c r="BE652" s="58"/>
      <x:c r="BF652" s="47"/>
      <x:c r="BG652" s="60"/>
      <x:c r="BH652" s="58"/>
      <x:c r="BI652" s="47"/>
      <x:c r="BJ652" s="60"/>
      <x:c r="BK652" s="58"/>
      <x:c r="BL652" s="47"/>
      <x:c r="BM652" s="60"/>
      <x:c r="BN652" s="58"/>
      <x:c r="BO652" s="47"/>
      <x:c r="BP652" s="60"/>
      <x:c r="BQ652" s="58"/>
      <x:c r="BR652" s="47"/>
      <x:c r="BS652" s="60"/>
      <x:c r="BT652" s="58"/>
      <x:c r="BU652" s="47"/>
      <x:c r="BV652" s="60"/>
      <x:c r="BW652" s="58"/>
      <x:c r="BX652" s="47"/>
      <x:c r="BY652" s="60"/>
      <x:c r="BZ652" s="58"/>
      <x:c r="CA652" s="47"/>
      <x:c r="CB652" s="60"/>
      <x:c r="CC652" s="58"/>
      <x:c r="CD652" s="47"/>
      <x:c r="CE652" s="60"/>
      <x:c r="CF652" s="58"/>
      <x:c r="CG652" s="47"/>
      <x:c r="CH652" s="60"/>
      <x:c r="CI652" s="58"/>
      <x:c r="CJ652" s="47"/>
      <x:c r="CK652" s="60"/>
      <x:c r="CL652" s="58"/>
      <x:c r="CM652" s="47"/>
      <x:c r="CN652" s="60"/>
      <x:c r="CO652" s="58"/>
      <x:c r="CP652" s="47"/>
      <x:c r="CQ652" s="60"/>
      <x:c r="CR652" s="58"/>
      <x:c r="CS652" s="47"/>
      <x:c r="CT652" s="60"/>
      <x:c r="CU652" s="58"/>
      <x:c r="CV652" s="47"/>
      <x:c r="CW652" s="60"/>
      <x:c r="CX652" s="58"/>
      <x:c r="CY652" s="47"/>
      <x:c r="CZ652" s="60"/>
      <x:c r="DA652" s="58"/>
      <x:c r="DB652" s="47"/>
      <x:c r="DC652" s="60"/>
      <x:c r="DD652" s="58"/>
      <x:c r="DE652" s="47"/>
      <x:c r="DF652" s="60"/>
      <x:c r="DG652" s="58"/>
      <x:c r="DH652" s="47"/>
      <x:c r="DI652" s="60"/>
      <x:c r="DJ652" s="58"/>
      <x:c r="DK652" s="47"/>
      <x:c r="DL652" s="60"/>
      <x:c r="DM652" s="58"/>
      <x:c r="DN652" s="11"/>
      <x:c r="DO652" s="61"/>
      <x:c r="DP652" s="62"/>
      <x:c r="DQ652" s="11"/>
      <x:c r="DR652" s="61"/>
      <x:c r="DS652" s="62"/>
      <x:c r="DT652" s="11"/>
      <x:c r="DU652" s="61"/>
      <x:c r="DV652" s="62"/>
    </x:row>
    <x:row r="653" spans="1:126" x14ac:dyDescent="0.3">
      <x:c r="A653" s="47"/>
      <x:c r="B653" s="70"/>
      <x:c r="C653" s="70"/>
      <x:c r="D653" s="70"/>
      <x:c r="E653" s="70"/>
      <x:c r="F653" s="70"/>
      <x:c r="G653" s="70"/>
      <x:c r="H653" s="70"/>
      <x:c r="I653" s="70"/>
      <x:c r="J653" s="70"/>
      <x:c r="K653" s="190"/>
      <x:c r="L653" s="195"/>
      <x:c r="M653" s="192"/>
      <x:c r="N653" s="192"/>
      <x:c r="O653" s="69"/>
      <x:c r="P653" s="47"/>
      <x:c r="Q653" s="60"/>
      <x:c r="R653" s="58"/>
      <x:c r="S653" s="47"/>
      <x:c r="T653" s="60"/>
      <x:c r="U653" s="58"/>
      <x:c r="V653" s="47"/>
      <x:c r="W653" s="60"/>
      <x:c r="X653" s="58"/>
      <x:c r="Y653" s="47"/>
      <x:c r="Z653" s="60"/>
      <x:c r="AA653" s="58"/>
      <x:c r="AB653" s="47"/>
      <x:c r="AC653" s="60"/>
      <x:c r="AD653" s="58"/>
      <x:c r="AE653" s="47"/>
      <x:c r="AF653" s="60"/>
      <x:c r="AG653" s="58"/>
      <x:c r="AH653" s="47"/>
      <x:c r="AI653" s="60"/>
      <x:c r="AJ653" s="58"/>
      <x:c r="AK653" s="47"/>
      <x:c r="AL653" s="60"/>
      <x:c r="AM653" s="58"/>
      <x:c r="AN653" s="47"/>
      <x:c r="AO653" s="60"/>
      <x:c r="AP653" s="58"/>
      <x:c r="AQ653" s="47"/>
      <x:c r="AR653" s="60"/>
      <x:c r="AS653" s="58"/>
      <x:c r="AT653" s="47"/>
      <x:c r="AU653" s="60"/>
      <x:c r="AV653" s="58"/>
      <x:c r="AW653" s="47"/>
      <x:c r="AX653" s="60"/>
      <x:c r="AY653" s="58"/>
      <x:c r="AZ653" s="47"/>
      <x:c r="BA653" s="60"/>
      <x:c r="BB653" s="58"/>
      <x:c r="BC653" s="47"/>
      <x:c r="BD653" s="60"/>
      <x:c r="BE653" s="58"/>
      <x:c r="BF653" s="47"/>
      <x:c r="BG653" s="60"/>
      <x:c r="BH653" s="58"/>
      <x:c r="BI653" s="47"/>
      <x:c r="BJ653" s="60"/>
      <x:c r="BK653" s="58"/>
      <x:c r="BL653" s="47"/>
      <x:c r="BM653" s="60"/>
      <x:c r="BN653" s="58"/>
      <x:c r="BO653" s="47"/>
      <x:c r="BP653" s="60"/>
      <x:c r="BQ653" s="58"/>
      <x:c r="BR653" s="47"/>
      <x:c r="BS653" s="60"/>
      <x:c r="BT653" s="58"/>
      <x:c r="BU653" s="47"/>
      <x:c r="BV653" s="60"/>
      <x:c r="BW653" s="58"/>
      <x:c r="BX653" s="47"/>
      <x:c r="BY653" s="60"/>
      <x:c r="BZ653" s="58"/>
      <x:c r="CA653" s="47"/>
      <x:c r="CB653" s="60"/>
      <x:c r="CC653" s="58"/>
      <x:c r="CD653" s="47"/>
      <x:c r="CE653" s="60"/>
      <x:c r="CF653" s="58"/>
      <x:c r="CG653" s="47"/>
      <x:c r="CH653" s="60"/>
      <x:c r="CI653" s="58"/>
      <x:c r="CJ653" s="47"/>
      <x:c r="CK653" s="60"/>
      <x:c r="CL653" s="58"/>
      <x:c r="CM653" s="47"/>
      <x:c r="CN653" s="60"/>
      <x:c r="CO653" s="58"/>
      <x:c r="CP653" s="47"/>
      <x:c r="CQ653" s="60"/>
      <x:c r="CR653" s="58"/>
      <x:c r="CS653" s="47"/>
      <x:c r="CT653" s="60"/>
      <x:c r="CU653" s="58"/>
      <x:c r="CV653" s="47"/>
      <x:c r="CW653" s="60"/>
      <x:c r="CX653" s="58"/>
      <x:c r="CY653" s="47"/>
      <x:c r="CZ653" s="60"/>
      <x:c r="DA653" s="58"/>
      <x:c r="DB653" s="47"/>
      <x:c r="DC653" s="60"/>
      <x:c r="DD653" s="58"/>
      <x:c r="DE653" s="47"/>
      <x:c r="DF653" s="60"/>
      <x:c r="DG653" s="58"/>
      <x:c r="DH653" s="47"/>
      <x:c r="DI653" s="60"/>
      <x:c r="DJ653" s="58"/>
      <x:c r="DK653" s="47"/>
      <x:c r="DL653" s="60"/>
      <x:c r="DM653" s="58"/>
      <x:c r="DN653" s="11"/>
      <x:c r="DO653" s="61"/>
      <x:c r="DP653" s="62"/>
      <x:c r="DQ653" s="11"/>
      <x:c r="DR653" s="61"/>
      <x:c r="DS653" s="62"/>
      <x:c r="DT653" s="11"/>
      <x:c r="DU653" s="61"/>
      <x:c r="DV653" s="62"/>
    </x:row>
    <x:row r="654" spans="1:126" x14ac:dyDescent="0.3">
      <x:c r="A654" s="47"/>
      <x:c r="B654" s="70"/>
      <x:c r="C654" s="70"/>
      <x:c r="D654" s="70"/>
      <x:c r="E654" s="70"/>
      <x:c r="F654" s="70"/>
      <x:c r="G654" s="70"/>
      <x:c r="H654" s="70"/>
      <x:c r="I654" s="70"/>
      <x:c r="J654" s="70"/>
      <x:c r="K654" s="190"/>
      <x:c r="L654" s="195"/>
      <x:c r="M654" s="192"/>
      <x:c r="N654" s="192"/>
      <x:c r="O654" s="69"/>
      <x:c r="P654" s="47"/>
      <x:c r="Q654" s="60"/>
      <x:c r="R654" s="58"/>
      <x:c r="S654" s="47"/>
      <x:c r="T654" s="60"/>
      <x:c r="U654" s="58"/>
      <x:c r="V654" s="47"/>
      <x:c r="W654" s="60"/>
      <x:c r="X654" s="58"/>
      <x:c r="Y654" s="47"/>
      <x:c r="Z654" s="60"/>
      <x:c r="AA654" s="58"/>
      <x:c r="AB654" s="47"/>
      <x:c r="AC654" s="60"/>
      <x:c r="AD654" s="58"/>
      <x:c r="AE654" s="47"/>
      <x:c r="AF654" s="60"/>
      <x:c r="AG654" s="58"/>
      <x:c r="AH654" s="47"/>
      <x:c r="AI654" s="60"/>
      <x:c r="AJ654" s="58"/>
      <x:c r="AK654" s="47"/>
      <x:c r="AL654" s="60"/>
      <x:c r="AM654" s="58"/>
      <x:c r="AN654" s="47"/>
      <x:c r="AO654" s="60"/>
      <x:c r="AP654" s="58"/>
      <x:c r="AQ654" s="47"/>
      <x:c r="AR654" s="60"/>
      <x:c r="AS654" s="58"/>
      <x:c r="AT654" s="47"/>
      <x:c r="AU654" s="60"/>
      <x:c r="AV654" s="58"/>
      <x:c r="AW654" s="47"/>
      <x:c r="AX654" s="60"/>
      <x:c r="AY654" s="58"/>
      <x:c r="AZ654" s="47"/>
      <x:c r="BA654" s="60"/>
      <x:c r="BB654" s="58"/>
      <x:c r="BC654" s="47"/>
      <x:c r="BD654" s="60"/>
      <x:c r="BE654" s="58"/>
      <x:c r="BF654" s="47"/>
      <x:c r="BG654" s="60"/>
      <x:c r="BH654" s="58"/>
      <x:c r="BI654" s="47"/>
      <x:c r="BJ654" s="60"/>
      <x:c r="BK654" s="58"/>
      <x:c r="BL654" s="47"/>
      <x:c r="BM654" s="60"/>
      <x:c r="BN654" s="58"/>
      <x:c r="BO654" s="47"/>
      <x:c r="BP654" s="60"/>
      <x:c r="BQ654" s="58"/>
      <x:c r="BR654" s="47"/>
      <x:c r="BS654" s="60"/>
      <x:c r="BT654" s="58"/>
      <x:c r="BU654" s="47"/>
      <x:c r="BV654" s="60"/>
      <x:c r="BW654" s="58"/>
      <x:c r="BX654" s="47"/>
      <x:c r="BY654" s="60"/>
      <x:c r="BZ654" s="58"/>
      <x:c r="CA654" s="47"/>
      <x:c r="CB654" s="60"/>
      <x:c r="CC654" s="58"/>
      <x:c r="CD654" s="47"/>
      <x:c r="CE654" s="60"/>
      <x:c r="CF654" s="58"/>
      <x:c r="CG654" s="47"/>
      <x:c r="CH654" s="60"/>
      <x:c r="CI654" s="58"/>
      <x:c r="CJ654" s="47"/>
      <x:c r="CK654" s="60"/>
      <x:c r="CL654" s="58"/>
      <x:c r="CM654" s="47"/>
      <x:c r="CN654" s="60"/>
      <x:c r="CO654" s="58"/>
      <x:c r="CP654" s="47"/>
      <x:c r="CQ654" s="60"/>
      <x:c r="CR654" s="58"/>
      <x:c r="CS654" s="47"/>
      <x:c r="CT654" s="60"/>
      <x:c r="CU654" s="58"/>
      <x:c r="CV654" s="47"/>
      <x:c r="CW654" s="60"/>
      <x:c r="CX654" s="58"/>
      <x:c r="CY654" s="47"/>
      <x:c r="CZ654" s="60"/>
      <x:c r="DA654" s="58"/>
      <x:c r="DB654" s="47"/>
      <x:c r="DC654" s="60"/>
      <x:c r="DD654" s="58"/>
      <x:c r="DE654" s="47"/>
      <x:c r="DF654" s="60"/>
      <x:c r="DG654" s="58"/>
      <x:c r="DH654" s="47"/>
      <x:c r="DI654" s="60"/>
      <x:c r="DJ654" s="58"/>
      <x:c r="DK654" s="47"/>
      <x:c r="DL654" s="60"/>
      <x:c r="DM654" s="58"/>
      <x:c r="DN654" s="11"/>
      <x:c r="DO654" s="61"/>
      <x:c r="DP654" s="62"/>
      <x:c r="DQ654" s="11"/>
      <x:c r="DR654" s="61"/>
      <x:c r="DS654" s="62"/>
      <x:c r="DT654" s="11"/>
      <x:c r="DU654" s="61"/>
      <x:c r="DV654" s="62"/>
    </x:row>
    <x:row r="655" spans="1:126" x14ac:dyDescent="0.3">
      <x:c r="A655" s="47"/>
      <x:c r="B655" s="70"/>
      <x:c r="C655" s="70"/>
      <x:c r="D655" s="70"/>
      <x:c r="E655" s="70"/>
      <x:c r="F655" s="70"/>
      <x:c r="G655" s="70"/>
      <x:c r="H655" s="70"/>
      <x:c r="I655" s="70"/>
      <x:c r="J655" s="70"/>
      <x:c r="K655" s="190"/>
      <x:c r="L655" s="195"/>
      <x:c r="M655" s="192"/>
      <x:c r="N655" s="192"/>
      <x:c r="O655" s="69"/>
      <x:c r="P655" s="47"/>
      <x:c r="Q655" s="60"/>
      <x:c r="R655" s="58"/>
      <x:c r="S655" s="47"/>
      <x:c r="T655" s="60"/>
      <x:c r="U655" s="58"/>
      <x:c r="V655" s="47"/>
      <x:c r="W655" s="60"/>
      <x:c r="X655" s="58"/>
      <x:c r="Y655" s="47"/>
      <x:c r="Z655" s="60"/>
      <x:c r="AA655" s="58"/>
      <x:c r="AB655" s="47"/>
      <x:c r="AC655" s="60"/>
      <x:c r="AD655" s="58"/>
      <x:c r="AE655" s="47"/>
      <x:c r="AF655" s="60"/>
      <x:c r="AG655" s="58"/>
      <x:c r="AH655" s="47"/>
      <x:c r="AI655" s="60"/>
      <x:c r="AJ655" s="58"/>
      <x:c r="AK655" s="47"/>
      <x:c r="AL655" s="60"/>
      <x:c r="AM655" s="58"/>
      <x:c r="AN655" s="47"/>
      <x:c r="AO655" s="60"/>
      <x:c r="AP655" s="58"/>
      <x:c r="AQ655" s="47"/>
      <x:c r="AR655" s="60"/>
      <x:c r="AS655" s="58"/>
      <x:c r="AT655" s="47"/>
      <x:c r="AU655" s="60"/>
      <x:c r="AV655" s="58"/>
      <x:c r="AW655" s="47"/>
      <x:c r="AX655" s="60"/>
      <x:c r="AY655" s="58"/>
      <x:c r="AZ655" s="47"/>
      <x:c r="BA655" s="60"/>
      <x:c r="BB655" s="58"/>
      <x:c r="BC655" s="47"/>
      <x:c r="BD655" s="60"/>
      <x:c r="BE655" s="58"/>
      <x:c r="BF655" s="47"/>
      <x:c r="BG655" s="60"/>
      <x:c r="BH655" s="58"/>
      <x:c r="BI655" s="47"/>
      <x:c r="BJ655" s="60"/>
      <x:c r="BK655" s="58"/>
      <x:c r="BL655" s="47"/>
      <x:c r="BM655" s="60"/>
      <x:c r="BN655" s="58"/>
      <x:c r="BO655" s="47"/>
      <x:c r="BP655" s="60"/>
      <x:c r="BQ655" s="58"/>
      <x:c r="BR655" s="47"/>
      <x:c r="BS655" s="60"/>
      <x:c r="BT655" s="58"/>
      <x:c r="BU655" s="47"/>
      <x:c r="BV655" s="60"/>
      <x:c r="BW655" s="58"/>
      <x:c r="BX655" s="47"/>
      <x:c r="BY655" s="60"/>
      <x:c r="BZ655" s="58"/>
      <x:c r="CA655" s="47"/>
      <x:c r="CB655" s="60"/>
      <x:c r="CC655" s="58"/>
      <x:c r="CD655" s="47"/>
      <x:c r="CE655" s="60"/>
      <x:c r="CF655" s="58"/>
      <x:c r="CG655" s="47"/>
      <x:c r="CH655" s="60"/>
      <x:c r="CI655" s="58"/>
      <x:c r="CJ655" s="47"/>
      <x:c r="CK655" s="60"/>
      <x:c r="CL655" s="58"/>
      <x:c r="CM655" s="47"/>
      <x:c r="CN655" s="60"/>
      <x:c r="CO655" s="58"/>
      <x:c r="CP655" s="47"/>
      <x:c r="CQ655" s="60"/>
      <x:c r="CR655" s="58"/>
      <x:c r="CS655" s="47"/>
      <x:c r="CT655" s="60"/>
      <x:c r="CU655" s="58"/>
      <x:c r="CV655" s="47"/>
      <x:c r="CW655" s="60"/>
      <x:c r="CX655" s="58"/>
      <x:c r="CY655" s="47"/>
      <x:c r="CZ655" s="60"/>
      <x:c r="DA655" s="58"/>
      <x:c r="DB655" s="47"/>
      <x:c r="DC655" s="60"/>
      <x:c r="DD655" s="58"/>
      <x:c r="DE655" s="47"/>
      <x:c r="DF655" s="60"/>
      <x:c r="DG655" s="58"/>
      <x:c r="DH655" s="47"/>
      <x:c r="DI655" s="60"/>
      <x:c r="DJ655" s="58"/>
      <x:c r="DK655" s="47"/>
      <x:c r="DL655" s="60"/>
      <x:c r="DM655" s="58"/>
      <x:c r="DN655" s="11"/>
      <x:c r="DO655" s="61"/>
      <x:c r="DP655" s="62"/>
      <x:c r="DQ655" s="11"/>
      <x:c r="DR655" s="61"/>
      <x:c r="DS655" s="62"/>
      <x:c r="DT655" s="11"/>
      <x:c r="DU655" s="61"/>
      <x:c r="DV655" s="62"/>
    </x:row>
    <x:row r="656" spans="1:126" x14ac:dyDescent="0.3">
      <x:c r="A656" s="47"/>
      <x:c r="B656" s="70"/>
      <x:c r="C656" s="70"/>
      <x:c r="D656" s="70"/>
      <x:c r="E656" s="70"/>
      <x:c r="F656" s="70"/>
      <x:c r="G656" s="70"/>
      <x:c r="H656" s="70"/>
      <x:c r="I656" s="70"/>
      <x:c r="J656" s="70"/>
      <x:c r="K656" s="190"/>
      <x:c r="L656" s="195"/>
      <x:c r="M656" s="192"/>
      <x:c r="N656" s="192"/>
      <x:c r="O656" s="69"/>
      <x:c r="P656" s="47"/>
      <x:c r="Q656" s="60"/>
      <x:c r="R656" s="58"/>
      <x:c r="S656" s="47"/>
      <x:c r="T656" s="60"/>
      <x:c r="U656" s="58"/>
      <x:c r="V656" s="47"/>
      <x:c r="W656" s="60"/>
      <x:c r="X656" s="58"/>
      <x:c r="Y656" s="47"/>
      <x:c r="Z656" s="60"/>
      <x:c r="AA656" s="58"/>
      <x:c r="AB656" s="47"/>
      <x:c r="AC656" s="60"/>
      <x:c r="AD656" s="58"/>
      <x:c r="AE656" s="47"/>
      <x:c r="AF656" s="60"/>
      <x:c r="AG656" s="58"/>
      <x:c r="AH656" s="47"/>
      <x:c r="AI656" s="60"/>
      <x:c r="AJ656" s="58"/>
      <x:c r="AK656" s="47"/>
      <x:c r="AL656" s="60"/>
      <x:c r="AM656" s="58"/>
      <x:c r="AN656" s="47"/>
      <x:c r="AO656" s="60"/>
      <x:c r="AP656" s="58"/>
      <x:c r="AQ656" s="47"/>
      <x:c r="AR656" s="60"/>
      <x:c r="AS656" s="58"/>
      <x:c r="AT656" s="47"/>
      <x:c r="AU656" s="60"/>
      <x:c r="AV656" s="58"/>
      <x:c r="AW656" s="47"/>
      <x:c r="AX656" s="60"/>
      <x:c r="AY656" s="58"/>
      <x:c r="AZ656" s="47"/>
      <x:c r="BA656" s="60"/>
      <x:c r="BB656" s="58"/>
      <x:c r="BC656" s="47"/>
      <x:c r="BD656" s="60"/>
      <x:c r="BE656" s="58"/>
      <x:c r="BF656" s="47"/>
      <x:c r="BG656" s="60"/>
      <x:c r="BH656" s="58"/>
      <x:c r="BI656" s="47"/>
      <x:c r="BJ656" s="60"/>
      <x:c r="BK656" s="58"/>
      <x:c r="BL656" s="47"/>
      <x:c r="BM656" s="60"/>
      <x:c r="BN656" s="58"/>
      <x:c r="BO656" s="47"/>
      <x:c r="BP656" s="60"/>
      <x:c r="BQ656" s="58"/>
      <x:c r="BR656" s="47"/>
      <x:c r="BS656" s="60"/>
      <x:c r="BT656" s="58"/>
      <x:c r="BU656" s="47"/>
      <x:c r="BV656" s="60"/>
      <x:c r="BW656" s="58"/>
      <x:c r="BX656" s="47"/>
      <x:c r="BY656" s="60"/>
      <x:c r="BZ656" s="58"/>
      <x:c r="CA656" s="47"/>
      <x:c r="CB656" s="60"/>
      <x:c r="CC656" s="58"/>
      <x:c r="CD656" s="47"/>
      <x:c r="CE656" s="60"/>
      <x:c r="CF656" s="58"/>
      <x:c r="CG656" s="47"/>
      <x:c r="CH656" s="60"/>
      <x:c r="CI656" s="58"/>
      <x:c r="CJ656" s="47"/>
      <x:c r="CK656" s="60"/>
      <x:c r="CL656" s="58"/>
      <x:c r="CM656" s="47"/>
      <x:c r="CN656" s="60"/>
      <x:c r="CO656" s="58"/>
      <x:c r="CP656" s="47"/>
      <x:c r="CQ656" s="60"/>
      <x:c r="CR656" s="58"/>
      <x:c r="CS656" s="47"/>
      <x:c r="CT656" s="60"/>
      <x:c r="CU656" s="58"/>
      <x:c r="CV656" s="47"/>
      <x:c r="CW656" s="60"/>
      <x:c r="CX656" s="58"/>
      <x:c r="CY656" s="47"/>
      <x:c r="CZ656" s="60"/>
      <x:c r="DA656" s="58"/>
      <x:c r="DB656" s="47"/>
      <x:c r="DC656" s="60"/>
      <x:c r="DD656" s="58"/>
      <x:c r="DE656" s="47"/>
      <x:c r="DF656" s="60"/>
      <x:c r="DG656" s="58"/>
      <x:c r="DH656" s="47"/>
      <x:c r="DI656" s="60"/>
      <x:c r="DJ656" s="58"/>
      <x:c r="DK656" s="47"/>
      <x:c r="DL656" s="60"/>
      <x:c r="DM656" s="58"/>
      <x:c r="DN656" s="11"/>
      <x:c r="DO656" s="61"/>
      <x:c r="DP656" s="62"/>
      <x:c r="DQ656" s="11"/>
      <x:c r="DR656" s="61"/>
      <x:c r="DS656" s="62"/>
      <x:c r="DT656" s="11"/>
      <x:c r="DU656" s="61"/>
      <x:c r="DV656" s="62"/>
    </x:row>
    <x:row r="657" spans="1:126" x14ac:dyDescent="0.3">
      <x:c r="A657" s="47"/>
      <x:c r="B657" s="70"/>
      <x:c r="C657" s="70"/>
      <x:c r="D657" s="70"/>
      <x:c r="E657" s="70"/>
      <x:c r="F657" s="70"/>
      <x:c r="G657" s="70"/>
      <x:c r="H657" s="70"/>
      <x:c r="I657" s="70"/>
      <x:c r="J657" s="70"/>
      <x:c r="K657" s="190"/>
      <x:c r="L657" s="195"/>
      <x:c r="M657" s="192"/>
      <x:c r="N657" s="192"/>
      <x:c r="O657" s="69"/>
      <x:c r="P657" s="47"/>
      <x:c r="Q657" s="60"/>
      <x:c r="R657" s="58"/>
      <x:c r="S657" s="47"/>
      <x:c r="T657" s="60"/>
      <x:c r="U657" s="58"/>
      <x:c r="V657" s="47"/>
      <x:c r="W657" s="60"/>
      <x:c r="X657" s="58"/>
      <x:c r="Y657" s="47"/>
      <x:c r="Z657" s="60"/>
      <x:c r="AA657" s="58"/>
      <x:c r="AB657" s="47"/>
      <x:c r="AC657" s="60"/>
      <x:c r="AD657" s="58"/>
      <x:c r="AE657" s="47"/>
      <x:c r="AF657" s="60"/>
      <x:c r="AG657" s="58"/>
      <x:c r="AH657" s="47"/>
      <x:c r="AI657" s="60"/>
      <x:c r="AJ657" s="58"/>
      <x:c r="AK657" s="47"/>
      <x:c r="AL657" s="60"/>
      <x:c r="AM657" s="58"/>
      <x:c r="AN657" s="47"/>
      <x:c r="AO657" s="60"/>
      <x:c r="AP657" s="58"/>
      <x:c r="AQ657" s="47"/>
      <x:c r="AR657" s="60"/>
      <x:c r="AS657" s="58"/>
      <x:c r="AT657" s="47"/>
      <x:c r="AU657" s="60"/>
      <x:c r="AV657" s="58"/>
      <x:c r="AW657" s="47"/>
      <x:c r="AX657" s="60"/>
      <x:c r="AY657" s="58"/>
      <x:c r="AZ657" s="47"/>
      <x:c r="BA657" s="60"/>
      <x:c r="BB657" s="58"/>
      <x:c r="BC657" s="47"/>
      <x:c r="BD657" s="60"/>
      <x:c r="BE657" s="58"/>
      <x:c r="BF657" s="47"/>
      <x:c r="BG657" s="60"/>
      <x:c r="BH657" s="58"/>
      <x:c r="BI657" s="47"/>
      <x:c r="BJ657" s="60"/>
      <x:c r="BK657" s="58"/>
      <x:c r="BL657" s="47"/>
      <x:c r="BM657" s="60"/>
      <x:c r="BN657" s="58"/>
      <x:c r="BO657" s="47"/>
      <x:c r="BP657" s="60"/>
      <x:c r="BQ657" s="58"/>
      <x:c r="BR657" s="47"/>
      <x:c r="BS657" s="60"/>
      <x:c r="BT657" s="58"/>
      <x:c r="BU657" s="47"/>
      <x:c r="BV657" s="60"/>
      <x:c r="BW657" s="58"/>
      <x:c r="BX657" s="47"/>
      <x:c r="BY657" s="60"/>
      <x:c r="BZ657" s="58"/>
      <x:c r="CA657" s="47"/>
      <x:c r="CB657" s="60"/>
      <x:c r="CC657" s="58"/>
      <x:c r="CD657" s="47"/>
      <x:c r="CE657" s="60"/>
      <x:c r="CF657" s="58"/>
      <x:c r="CG657" s="47"/>
      <x:c r="CH657" s="60"/>
      <x:c r="CI657" s="58"/>
      <x:c r="CJ657" s="47"/>
      <x:c r="CK657" s="60"/>
      <x:c r="CL657" s="58"/>
      <x:c r="CM657" s="47"/>
      <x:c r="CN657" s="60"/>
      <x:c r="CO657" s="58"/>
      <x:c r="CP657" s="47"/>
      <x:c r="CQ657" s="60"/>
      <x:c r="CR657" s="58"/>
      <x:c r="CS657" s="47"/>
      <x:c r="CT657" s="60"/>
      <x:c r="CU657" s="58"/>
      <x:c r="CV657" s="47"/>
      <x:c r="CW657" s="60"/>
      <x:c r="CX657" s="58"/>
      <x:c r="CY657" s="47"/>
      <x:c r="CZ657" s="60"/>
      <x:c r="DA657" s="58"/>
      <x:c r="DB657" s="47"/>
      <x:c r="DC657" s="60"/>
      <x:c r="DD657" s="58"/>
      <x:c r="DE657" s="47"/>
      <x:c r="DF657" s="60"/>
      <x:c r="DG657" s="58"/>
      <x:c r="DH657" s="47"/>
      <x:c r="DI657" s="60"/>
      <x:c r="DJ657" s="58"/>
      <x:c r="DK657" s="47"/>
      <x:c r="DL657" s="60"/>
      <x:c r="DM657" s="58"/>
      <x:c r="DN657" s="11"/>
      <x:c r="DO657" s="61"/>
      <x:c r="DP657" s="62"/>
      <x:c r="DQ657" s="11"/>
      <x:c r="DR657" s="61"/>
      <x:c r="DS657" s="62"/>
      <x:c r="DT657" s="11"/>
      <x:c r="DU657" s="61"/>
      <x:c r="DV657" s="62"/>
    </x:row>
    <x:row r="658" spans="1:126" x14ac:dyDescent="0.3">
      <x:c r="A658" s="47"/>
      <x:c r="B658" s="70"/>
      <x:c r="C658" s="70"/>
      <x:c r="D658" s="70"/>
      <x:c r="E658" s="70"/>
      <x:c r="F658" s="70"/>
      <x:c r="G658" s="70"/>
      <x:c r="H658" s="70"/>
      <x:c r="I658" s="70"/>
      <x:c r="J658" s="70"/>
      <x:c r="K658" s="190"/>
      <x:c r="L658" s="195"/>
      <x:c r="M658" s="192"/>
      <x:c r="N658" s="192"/>
      <x:c r="O658" s="69"/>
      <x:c r="P658" s="47"/>
      <x:c r="Q658" s="60"/>
      <x:c r="R658" s="58"/>
      <x:c r="S658" s="47"/>
      <x:c r="T658" s="60"/>
      <x:c r="U658" s="58"/>
      <x:c r="V658" s="47"/>
      <x:c r="W658" s="60"/>
      <x:c r="X658" s="58"/>
      <x:c r="Y658" s="47"/>
      <x:c r="Z658" s="60"/>
      <x:c r="AA658" s="58"/>
      <x:c r="AB658" s="47"/>
      <x:c r="AC658" s="60"/>
      <x:c r="AD658" s="58"/>
      <x:c r="AE658" s="47"/>
      <x:c r="AF658" s="60"/>
      <x:c r="AG658" s="58"/>
      <x:c r="AH658" s="47"/>
      <x:c r="AI658" s="60"/>
      <x:c r="AJ658" s="58"/>
      <x:c r="AK658" s="47"/>
      <x:c r="AL658" s="60"/>
      <x:c r="AM658" s="58"/>
      <x:c r="AN658" s="47"/>
      <x:c r="AO658" s="60"/>
      <x:c r="AP658" s="58"/>
      <x:c r="AQ658" s="47"/>
      <x:c r="AR658" s="60"/>
      <x:c r="AS658" s="58"/>
      <x:c r="AT658" s="47"/>
      <x:c r="AU658" s="60"/>
      <x:c r="AV658" s="58"/>
      <x:c r="AW658" s="47"/>
      <x:c r="AX658" s="60"/>
      <x:c r="AY658" s="58"/>
      <x:c r="AZ658" s="47"/>
      <x:c r="BA658" s="60"/>
      <x:c r="BB658" s="58"/>
      <x:c r="BC658" s="47"/>
      <x:c r="BD658" s="60"/>
      <x:c r="BE658" s="58"/>
      <x:c r="BF658" s="47"/>
      <x:c r="BG658" s="60"/>
      <x:c r="BH658" s="58"/>
      <x:c r="BI658" s="47"/>
      <x:c r="BJ658" s="60"/>
      <x:c r="BK658" s="58"/>
      <x:c r="BL658" s="47"/>
      <x:c r="BM658" s="60"/>
      <x:c r="BN658" s="58"/>
      <x:c r="BO658" s="47"/>
      <x:c r="BP658" s="60"/>
      <x:c r="BQ658" s="58"/>
      <x:c r="BR658" s="47"/>
      <x:c r="BS658" s="60"/>
      <x:c r="BT658" s="58"/>
      <x:c r="BU658" s="47"/>
      <x:c r="BV658" s="60"/>
      <x:c r="BW658" s="58"/>
      <x:c r="BX658" s="47"/>
      <x:c r="BY658" s="60"/>
      <x:c r="BZ658" s="58"/>
      <x:c r="CA658" s="47"/>
      <x:c r="CB658" s="60"/>
      <x:c r="CC658" s="58"/>
      <x:c r="CD658" s="47"/>
      <x:c r="CE658" s="60"/>
      <x:c r="CF658" s="58"/>
      <x:c r="CG658" s="47"/>
      <x:c r="CH658" s="60"/>
      <x:c r="CI658" s="58"/>
      <x:c r="CJ658" s="47"/>
      <x:c r="CK658" s="60"/>
      <x:c r="CL658" s="58"/>
      <x:c r="CM658" s="47"/>
      <x:c r="CN658" s="60"/>
      <x:c r="CO658" s="58"/>
      <x:c r="CP658" s="47"/>
      <x:c r="CQ658" s="60"/>
      <x:c r="CR658" s="58"/>
      <x:c r="CS658" s="47"/>
      <x:c r="CT658" s="60"/>
      <x:c r="CU658" s="58"/>
      <x:c r="CV658" s="47"/>
      <x:c r="CW658" s="60"/>
      <x:c r="CX658" s="58"/>
      <x:c r="CY658" s="47"/>
      <x:c r="CZ658" s="60"/>
      <x:c r="DA658" s="58"/>
      <x:c r="DB658" s="47"/>
      <x:c r="DC658" s="60"/>
      <x:c r="DD658" s="58"/>
      <x:c r="DE658" s="47"/>
      <x:c r="DF658" s="60"/>
      <x:c r="DG658" s="58"/>
      <x:c r="DH658" s="47"/>
      <x:c r="DI658" s="60"/>
      <x:c r="DJ658" s="58"/>
      <x:c r="DK658" s="47"/>
      <x:c r="DL658" s="60"/>
      <x:c r="DM658" s="58"/>
      <x:c r="DN658" s="11"/>
      <x:c r="DO658" s="61"/>
      <x:c r="DP658" s="62"/>
      <x:c r="DQ658" s="11"/>
      <x:c r="DR658" s="61"/>
      <x:c r="DS658" s="62"/>
      <x:c r="DT658" s="11"/>
      <x:c r="DU658" s="61"/>
      <x:c r="DV658" s="62"/>
    </x:row>
    <x:row r="659" spans="1:126" x14ac:dyDescent="0.3">
      <x:c r="A659" s="47"/>
      <x:c r="B659" s="70"/>
      <x:c r="C659" s="70"/>
      <x:c r="D659" s="70"/>
      <x:c r="E659" s="70"/>
      <x:c r="F659" s="70"/>
      <x:c r="G659" s="70"/>
      <x:c r="H659" s="70"/>
      <x:c r="I659" s="70"/>
      <x:c r="J659" s="70"/>
      <x:c r="K659" s="190"/>
      <x:c r="L659" s="195"/>
      <x:c r="M659" s="192"/>
      <x:c r="N659" s="192"/>
      <x:c r="O659" s="69"/>
      <x:c r="P659" s="47"/>
      <x:c r="Q659" s="60"/>
      <x:c r="R659" s="58"/>
      <x:c r="S659" s="47"/>
      <x:c r="T659" s="60"/>
      <x:c r="U659" s="58"/>
      <x:c r="V659" s="47"/>
      <x:c r="W659" s="60"/>
      <x:c r="X659" s="58"/>
      <x:c r="Y659" s="47"/>
      <x:c r="Z659" s="60"/>
      <x:c r="AA659" s="58"/>
      <x:c r="AB659" s="47"/>
      <x:c r="AC659" s="60"/>
      <x:c r="AD659" s="58"/>
      <x:c r="AE659" s="47"/>
      <x:c r="AF659" s="60"/>
      <x:c r="AG659" s="58"/>
      <x:c r="AH659" s="47"/>
      <x:c r="AI659" s="60"/>
      <x:c r="AJ659" s="58"/>
      <x:c r="AK659" s="47"/>
      <x:c r="AL659" s="60"/>
      <x:c r="AM659" s="58"/>
      <x:c r="AN659" s="47"/>
      <x:c r="AO659" s="60"/>
      <x:c r="AP659" s="58"/>
      <x:c r="AQ659" s="47"/>
      <x:c r="AR659" s="60"/>
      <x:c r="AS659" s="58"/>
      <x:c r="AT659" s="47"/>
      <x:c r="AU659" s="60"/>
      <x:c r="AV659" s="58"/>
      <x:c r="AW659" s="47"/>
      <x:c r="AX659" s="60"/>
      <x:c r="AY659" s="58"/>
      <x:c r="AZ659" s="47"/>
      <x:c r="BA659" s="60"/>
      <x:c r="BB659" s="58"/>
      <x:c r="BC659" s="47"/>
      <x:c r="BD659" s="60"/>
      <x:c r="BE659" s="58"/>
      <x:c r="BF659" s="47"/>
      <x:c r="BG659" s="60"/>
      <x:c r="BH659" s="58"/>
      <x:c r="BI659" s="47"/>
      <x:c r="BJ659" s="60"/>
      <x:c r="BK659" s="58"/>
      <x:c r="BL659" s="47"/>
      <x:c r="BM659" s="60"/>
      <x:c r="BN659" s="58"/>
      <x:c r="BO659" s="47"/>
      <x:c r="BP659" s="60"/>
      <x:c r="BQ659" s="58"/>
      <x:c r="BR659" s="47"/>
      <x:c r="BS659" s="60"/>
      <x:c r="BT659" s="58"/>
      <x:c r="BU659" s="47"/>
      <x:c r="BV659" s="60"/>
      <x:c r="BW659" s="58"/>
      <x:c r="BX659" s="47"/>
      <x:c r="BY659" s="60"/>
      <x:c r="BZ659" s="58"/>
      <x:c r="CA659" s="47"/>
      <x:c r="CB659" s="60"/>
      <x:c r="CC659" s="58"/>
      <x:c r="CD659" s="47"/>
      <x:c r="CE659" s="60"/>
      <x:c r="CF659" s="58"/>
      <x:c r="CG659" s="47"/>
      <x:c r="CH659" s="60"/>
      <x:c r="CI659" s="58"/>
      <x:c r="CJ659" s="47"/>
      <x:c r="CK659" s="60"/>
      <x:c r="CL659" s="58"/>
      <x:c r="CM659" s="47"/>
      <x:c r="CN659" s="60"/>
      <x:c r="CO659" s="58"/>
      <x:c r="CP659" s="47"/>
      <x:c r="CQ659" s="60"/>
      <x:c r="CR659" s="58"/>
      <x:c r="CS659" s="47"/>
      <x:c r="CT659" s="60"/>
      <x:c r="CU659" s="58"/>
      <x:c r="CV659" s="47"/>
      <x:c r="CW659" s="60"/>
      <x:c r="CX659" s="58"/>
      <x:c r="CY659" s="47"/>
      <x:c r="CZ659" s="60"/>
      <x:c r="DA659" s="58"/>
      <x:c r="DB659" s="47"/>
      <x:c r="DC659" s="60"/>
      <x:c r="DD659" s="58"/>
      <x:c r="DE659" s="47"/>
      <x:c r="DF659" s="60"/>
      <x:c r="DG659" s="58"/>
      <x:c r="DH659" s="47"/>
      <x:c r="DI659" s="60"/>
      <x:c r="DJ659" s="58"/>
      <x:c r="DK659" s="47"/>
      <x:c r="DL659" s="60"/>
      <x:c r="DM659" s="58"/>
      <x:c r="DN659" s="11"/>
      <x:c r="DO659" s="61"/>
      <x:c r="DP659" s="62"/>
      <x:c r="DQ659" s="11"/>
      <x:c r="DR659" s="61"/>
      <x:c r="DS659" s="62"/>
      <x:c r="DT659" s="11"/>
      <x:c r="DU659" s="61"/>
      <x:c r="DV659" s="62"/>
    </x:row>
    <x:row r="660" spans="1:126" x14ac:dyDescent="0.3">
      <x:c r="A660" s="47"/>
      <x:c r="B660" s="70"/>
      <x:c r="C660" s="70"/>
      <x:c r="D660" s="70"/>
      <x:c r="E660" s="70"/>
      <x:c r="F660" s="70"/>
      <x:c r="G660" s="70"/>
      <x:c r="H660" s="70"/>
      <x:c r="I660" s="70"/>
      <x:c r="J660" s="70"/>
      <x:c r="K660" s="190"/>
      <x:c r="L660" s="195"/>
      <x:c r="M660" s="192"/>
      <x:c r="N660" s="192"/>
      <x:c r="O660" s="69"/>
      <x:c r="P660" s="47"/>
      <x:c r="Q660" s="60"/>
      <x:c r="R660" s="58"/>
      <x:c r="S660" s="47"/>
      <x:c r="T660" s="60"/>
      <x:c r="U660" s="58"/>
      <x:c r="V660" s="47"/>
      <x:c r="W660" s="60"/>
      <x:c r="X660" s="58"/>
      <x:c r="Y660" s="47"/>
      <x:c r="Z660" s="60"/>
      <x:c r="AA660" s="58"/>
      <x:c r="AB660" s="47"/>
      <x:c r="AC660" s="60"/>
      <x:c r="AD660" s="58"/>
      <x:c r="AE660" s="47"/>
      <x:c r="AF660" s="60"/>
      <x:c r="AG660" s="58"/>
      <x:c r="AH660" s="47"/>
      <x:c r="AI660" s="60"/>
      <x:c r="AJ660" s="58"/>
      <x:c r="AK660" s="47"/>
      <x:c r="AL660" s="60"/>
      <x:c r="AM660" s="58"/>
      <x:c r="AN660" s="47"/>
      <x:c r="AO660" s="60"/>
      <x:c r="AP660" s="58"/>
      <x:c r="AQ660" s="47"/>
      <x:c r="AR660" s="60"/>
      <x:c r="AS660" s="58"/>
      <x:c r="AT660" s="47"/>
      <x:c r="AU660" s="60"/>
      <x:c r="AV660" s="58"/>
      <x:c r="AW660" s="47"/>
      <x:c r="AX660" s="60"/>
      <x:c r="AY660" s="58"/>
      <x:c r="AZ660" s="47"/>
      <x:c r="BA660" s="60"/>
      <x:c r="BB660" s="58"/>
      <x:c r="BC660" s="47"/>
      <x:c r="BD660" s="60"/>
      <x:c r="BE660" s="58"/>
      <x:c r="BF660" s="47"/>
      <x:c r="BG660" s="60"/>
      <x:c r="BH660" s="58"/>
      <x:c r="BI660" s="47"/>
      <x:c r="BJ660" s="60"/>
      <x:c r="BK660" s="58"/>
      <x:c r="BL660" s="47"/>
      <x:c r="BM660" s="60"/>
      <x:c r="BN660" s="58"/>
      <x:c r="BO660" s="47"/>
      <x:c r="BP660" s="60"/>
      <x:c r="BQ660" s="58"/>
      <x:c r="BR660" s="47"/>
      <x:c r="BS660" s="60"/>
      <x:c r="BT660" s="58"/>
      <x:c r="BU660" s="47"/>
      <x:c r="BV660" s="60"/>
      <x:c r="BW660" s="58"/>
      <x:c r="BX660" s="47"/>
      <x:c r="BY660" s="60"/>
      <x:c r="BZ660" s="58"/>
      <x:c r="CA660" s="47"/>
      <x:c r="CB660" s="60"/>
      <x:c r="CC660" s="58"/>
      <x:c r="CD660" s="47"/>
      <x:c r="CE660" s="60"/>
      <x:c r="CF660" s="58"/>
      <x:c r="CG660" s="47"/>
      <x:c r="CH660" s="60"/>
      <x:c r="CI660" s="58"/>
      <x:c r="CJ660" s="47"/>
      <x:c r="CK660" s="60"/>
      <x:c r="CL660" s="58"/>
      <x:c r="CM660" s="47"/>
      <x:c r="CN660" s="60"/>
      <x:c r="CO660" s="58"/>
      <x:c r="CP660" s="47"/>
      <x:c r="CQ660" s="60"/>
      <x:c r="CR660" s="58"/>
      <x:c r="CS660" s="47"/>
      <x:c r="CT660" s="60"/>
      <x:c r="CU660" s="58"/>
      <x:c r="CV660" s="47"/>
      <x:c r="CW660" s="60"/>
      <x:c r="CX660" s="58"/>
      <x:c r="CY660" s="47"/>
      <x:c r="CZ660" s="60"/>
      <x:c r="DA660" s="58"/>
      <x:c r="DB660" s="47"/>
      <x:c r="DC660" s="60"/>
      <x:c r="DD660" s="58"/>
      <x:c r="DE660" s="47"/>
      <x:c r="DF660" s="60"/>
      <x:c r="DG660" s="58"/>
      <x:c r="DH660" s="47"/>
      <x:c r="DI660" s="60"/>
      <x:c r="DJ660" s="58"/>
      <x:c r="DK660" s="47"/>
      <x:c r="DL660" s="60"/>
      <x:c r="DM660" s="58"/>
      <x:c r="DN660" s="11"/>
      <x:c r="DO660" s="61"/>
      <x:c r="DP660" s="62"/>
      <x:c r="DQ660" s="11"/>
      <x:c r="DR660" s="61"/>
      <x:c r="DS660" s="62"/>
      <x:c r="DT660" s="11"/>
      <x:c r="DU660" s="61"/>
      <x:c r="DV660" s="62"/>
    </x:row>
    <x:row r="661" spans="1:126" x14ac:dyDescent="0.3">
      <x:c r="A661" s="47"/>
      <x:c r="B661" s="70"/>
      <x:c r="C661" s="70"/>
      <x:c r="D661" s="70"/>
      <x:c r="E661" s="70"/>
      <x:c r="F661" s="70"/>
      <x:c r="G661" s="70"/>
      <x:c r="H661" s="70"/>
      <x:c r="I661" s="70"/>
      <x:c r="J661" s="70"/>
      <x:c r="K661" s="190"/>
      <x:c r="L661" s="195"/>
      <x:c r="M661" s="192"/>
      <x:c r="N661" s="192"/>
      <x:c r="O661" s="69"/>
      <x:c r="P661" s="47"/>
      <x:c r="Q661" s="60"/>
      <x:c r="R661" s="58"/>
      <x:c r="S661" s="47"/>
      <x:c r="T661" s="60"/>
      <x:c r="U661" s="58"/>
      <x:c r="V661" s="47"/>
      <x:c r="W661" s="60"/>
      <x:c r="X661" s="58"/>
      <x:c r="Y661" s="47"/>
      <x:c r="Z661" s="60"/>
      <x:c r="AA661" s="58"/>
      <x:c r="AB661" s="47"/>
      <x:c r="AC661" s="60"/>
      <x:c r="AD661" s="58"/>
      <x:c r="AE661" s="47"/>
      <x:c r="AF661" s="60"/>
      <x:c r="AG661" s="58"/>
      <x:c r="AH661" s="47"/>
      <x:c r="AI661" s="60"/>
      <x:c r="AJ661" s="58"/>
      <x:c r="AK661" s="47"/>
      <x:c r="AL661" s="60"/>
      <x:c r="AM661" s="58"/>
      <x:c r="AN661" s="47"/>
      <x:c r="AO661" s="60"/>
      <x:c r="AP661" s="58"/>
      <x:c r="AQ661" s="47"/>
      <x:c r="AR661" s="60"/>
      <x:c r="AS661" s="58"/>
      <x:c r="AT661" s="47"/>
      <x:c r="AU661" s="60"/>
      <x:c r="AV661" s="58"/>
      <x:c r="AW661" s="47"/>
      <x:c r="AX661" s="60"/>
      <x:c r="AY661" s="58"/>
      <x:c r="AZ661" s="47"/>
      <x:c r="BA661" s="60"/>
      <x:c r="BB661" s="58"/>
      <x:c r="BC661" s="47"/>
      <x:c r="BD661" s="60"/>
      <x:c r="BE661" s="58"/>
      <x:c r="BF661" s="47"/>
      <x:c r="BG661" s="60"/>
      <x:c r="BH661" s="58"/>
      <x:c r="BI661" s="47"/>
      <x:c r="BJ661" s="60"/>
      <x:c r="BK661" s="58"/>
      <x:c r="BL661" s="47"/>
      <x:c r="BM661" s="60"/>
      <x:c r="BN661" s="58"/>
      <x:c r="BO661" s="47"/>
      <x:c r="BP661" s="60"/>
      <x:c r="BQ661" s="58"/>
      <x:c r="BR661" s="47"/>
      <x:c r="BS661" s="60"/>
      <x:c r="BT661" s="58"/>
      <x:c r="BU661" s="47"/>
      <x:c r="BV661" s="60"/>
      <x:c r="BW661" s="58"/>
      <x:c r="BX661" s="47"/>
      <x:c r="BY661" s="60"/>
      <x:c r="BZ661" s="58"/>
      <x:c r="CA661" s="47"/>
      <x:c r="CB661" s="60"/>
      <x:c r="CC661" s="58"/>
      <x:c r="CD661" s="47"/>
      <x:c r="CE661" s="60"/>
      <x:c r="CF661" s="58"/>
      <x:c r="CG661" s="47"/>
      <x:c r="CH661" s="60"/>
      <x:c r="CI661" s="58"/>
      <x:c r="CJ661" s="47"/>
      <x:c r="CK661" s="60"/>
      <x:c r="CL661" s="58"/>
      <x:c r="CM661" s="47"/>
      <x:c r="CN661" s="60"/>
      <x:c r="CO661" s="58"/>
      <x:c r="CP661" s="47"/>
      <x:c r="CQ661" s="60"/>
      <x:c r="CR661" s="58"/>
      <x:c r="CS661" s="47"/>
      <x:c r="CT661" s="60"/>
      <x:c r="CU661" s="58"/>
      <x:c r="CV661" s="47"/>
      <x:c r="CW661" s="60"/>
      <x:c r="CX661" s="58"/>
      <x:c r="CY661" s="47"/>
      <x:c r="CZ661" s="60"/>
      <x:c r="DA661" s="58"/>
      <x:c r="DB661" s="47"/>
      <x:c r="DC661" s="60"/>
      <x:c r="DD661" s="58"/>
      <x:c r="DE661" s="47"/>
      <x:c r="DF661" s="60"/>
      <x:c r="DG661" s="58"/>
      <x:c r="DH661" s="47"/>
      <x:c r="DI661" s="60"/>
      <x:c r="DJ661" s="58"/>
      <x:c r="DK661" s="47"/>
      <x:c r="DL661" s="60"/>
      <x:c r="DM661" s="58"/>
      <x:c r="DN661" s="11"/>
      <x:c r="DO661" s="61"/>
      <x:c r="DP661" s="62"/>
      <x:c r="DQ661" s="11"/>
      <x:c r="DR661" s="61"/>
      <x:c r="DS661" s="62"/>
      <x:c r="DT661" s="11"/>
      <x:c r="DU661" s="61"/>
      <x:c r="DV661" s="62"/>
    </x:row>
    <x:row r="662" spans="1:126" x14ac:dyDescent="0.3">
      <x:c r="A662" s="47"/>
      <x:c r="B662" s="70"/>
      <x:c r="C662" s="70"/>
      <x:c r="D662" s="70"/>
      <x:c r="E662" s="70"/>
      <x:c r="F662" s="70"/>
      <x:c r="G662" s="70"/>
      <x:c r="H662" s="70"/>
      <x:c r="I662" s="70"/>
      <x:c r="J662" s="70"/>
      <x:c r="K662" s="190"/>
      <x:c r="L662" s="195"/>
      <x:c r="M662" s="192"/>
      <x:c r="N662" s="192"/>
      <x:c r="O662" s="69"/>
      <x:c r="P662" s="47"/>
      <x:c r="Q662" s="60"/>
      <x:c r="R662" s="58"/>
      <x:c r="S662" s="47"/>
      <x:c r="T662" s="60"/>
      <x:c r="U662" s="58"/>
      <x:c r="V662" s="47"/>
      <x:c r="W662" s="60"/>
      <x:c r="X662" s="58"/>
      <x:c r="Y662" s="47"/>
      <x:c r="Z662" s="60"/>
      <x:c r="AA662" s="58"/>
      <x:c r="AB662" s="47"/>
      <x:c r="AC662" s="60"/>
      <x:c r="AD662" s="58"/>
      <x:c r="AE662" s="47"/>
      <x:c r="AF662" s="60"/>
      <x:c r="AG662" s="58"/>
      <x:c r="AH662" s="47"/>
      <x:c r="AI662" s="60"/>
      <x:c r="AJ662" s="58"/>
      <x:c r="AK662" s="47"/>
      <x:c r="AL662" s="60"/>
      <x:c r="AM662" s="58"/>
      <x:c r="AN662" s="47"/>
      <x:c r="AO662" s="60"/>
      <x:c r="AP662" s="58"/>
      <x:c r="AQ662" s="47"/>
      <x:c r="AR662" s="60"/>
      <x:c r="AS662" s="58"/>
      <x:c r="AT662" s="47"/>
      <x:c r="AU662" s="60"/>
      <x:c r="AV662" s="58"/>
      <x:c r="AW662" s="47"/>
      <x:c r="AX662" s="60"/>
      <x:c r="AY662" s="58"/>
      <x:c r="AZ662" s="47"/>
      <x:c r="BA662" s="60"/>
      <x:c r="BB662" s="58"/>
      <x:c r="BC662" s="47"/>
      <x:c r="BD662" s="60"/>
      <x:c r="BE662" s="58"/>
      <x:c r="BF662" s="47"/>
      <x:c r="BG662" s="60"/>
      <x:c r="BH662" s="58"/>
      <x:c r="BI662" s="47"/>
      <x:c r="BJ662" s="60"/>
      <x:c r="BK662" s="58"/>
      <x:c r="BL662" s="47"/>
      <x:c r="BM662" s="60"/>
      <x:c r="BN662" s="58"/>
      <x:c r="BO662" s="47"/>
      <x:c r="BP662" s="60"/>
      <x:c r="BQ662" s="58"/>
      <x:c r="BR662" s="47"/>
      <x:c r="BS662" s="60"/>
      <x:c r="BT662" s="58"/>
      <x:c r="BU662" s="47"/>
      <x:c r="BV662" s="60"/>
      <x:c r="BW662" s="58"/>
      <x:c r="BX662" s="47"/>
      <x:c r="BY662" s="60"/>
      <x:c r="BZ662" s="58"/>
      <x:c r="CA662" s="47"/>
      <x:c r="CB662" s="60"/>
      <x:c r="CC662" s="58"/>
      <x:c r="CD662" s="47"/>
      <x:c r="CE662" s="60"/>
      <x:c r="CF662" s="58"/>
      <x:c r="CG662" s="47"/>
      <x:c r="CH662" s="60"/>
      <x:c r="CI662" s="58"/>
      <x:c r="CJ662" s="47"/>
      <x:c r="CK662" s="60"/>
      <x:c r="CL662" s="58"/>
      <x:c r="CM662" s="47"/>
      <x:c r="CN662" s="60"/>
      <x:c r="CO662" s="58"/>
      <x:c r="CP662" s="47"/>
      <x:c r="CQ662" s="60"/>
      <x:c r="CR662" s="58"/>
      <x:c r="CS662" s="47"/>
      <x:c r="CT662" s="60"/>
      <x:c r="CU662" s="58"/>
      <x:c r="CV662" s="47"/>
      <x:c r="CW662" s="60"/>
      <x:c r="CX662" s="58"/>
      <x:c r="CY662" s="47"/>
      <x:c r="CZ662" s="60"/>
      <x:c r="DA662" s="58"/>
      <x:c r="DB662" s="47"/>
      <x:c r="DC662" s="60"/>
      <x:c r="DD662" s="58"/>
      <x:c r="DE662" s="47"/>
      <x:c r="DF662" s="60"/>
      <x:c r="DG662" s="58"/>
      <x:c r="DH662" s="47"/>
      <x:c r="DI662" s="60"/>
      <x:c r="DJ662" s="58"/>
      <x:c r="DK662" s="47"/>
      <x:c r="DL662" s="60"/>
      <x:c r="DM662" s="58"/>
      <x:c r="DN662" s="11"/>
      <x:c r="DO662" s="61"/>
      <x:c r="DP662" s="62"/>
      <x:c r="DQ662" s="11"/>
      <x:c r="DR662" s="61"/>
      <x:c r="DS662" s="62"/>
      <x:c r="DT662" s="11"/>
      <x:c r="DU662" s="61"/>
      <x:c r="DV662" s="62"/>
    </x:row>
    <x:row r="663" spans="1:126" x14ac:dyDescent="0.3">
      <x:c r="A663" s="47"/>
      <x:c r="B663" s="70"/>
      <x:c r="C663" s="70"/>
      <x:c r="D663" s="70"/>
      <x:c r="E663" s="70"/>
      <x:c r="F663" s="70"/>
      <x:c r="G663" s="70"/>
      <x:c r="H663" s="70"/>
      <x:c r="I663" s="70"/>
      <x:c r="J663" s="70"/>
      <x:c r="K663" s="190"/>
      <x:c r="L663" s="195"/>
      <x:c r="M663" s="192"/>
      <x:c r="N663" s="192"/>
      <x:c r="O663" s="69"/>
      <x:c r="P663" s="47"/>
      <x:c r="Q663" s="60"/>
      <x:c r="R663" s="58"/>
      <x:c r="S663" s="47"/>
      <x:c r="T663" s="60"/>
      <x:c r="U663" s="58"/>
      <x:c r="V663" s="47"/>
      <x:c r="W663" s="60"/>
      <x:c r="X663" s="58"/>
      <x:c r="Y663" s="47"/>
      <x:c r="Z663" s="60"/>
      <x:c r="AA663" s="58"/>
      <x:c r="AB663" s="47"/>
      <x:c r="AC663" s="60"/>
      <x:c r="AD663" s="58"/>
      <x:c r="AE663" s="47"/>
      <x:c r="AF663" s="60"/>
      <x:c r="AG663" s="58"/>
      <x:c r="AH663" s="47"/>
      <x:c r="AI663" s="60"/>
      <x:c r="AJ663" s="58"/>
      <x:c r="AK663" s="47"/>
      <x:c r="AL663" s="60"/>
      <x:c r="AM663" s="58"/>
      <x:c r="AN663" s="47"/>
      <x:c r="AO663" s="60"/>
      <x:c r="AP663" s="58"/>
      <x:c r="AQ663" s="47"/>
      <x:c r="AR663" s="60"/>
      <x:c r="AS663" s="58"/>
      <x:c r="AT663" s="47"/>
      <x:c r="AU663" s="60"/>
      <x:c r="AV663" s="58"/>
      <x:c r="AW663" s="47"/>
      <x:c r="AX663" s="60"/>
      <x:c r="AY663" s="58"/>
      <x:c r="AZ663" s="47"/>
      <x:c r="BA663" s="60"/>
      <x:c r="BB663" s="58"/>
      <x:c r="BC663" s="47"/>
      <x:c r="BD663" s="60"/>
      <x:c r="BE663" s="58"/>
      <x:c r="BF663" s="47"/>
      <x:c r="BG663" s="60"/>
      <x:c r="BH663" s="58"/>
      <x:c r="BI663" s="47"/>
      <x:c r="BJ663" s="60"/>
      <x:c r="BK663" s="58"/>
      <x:c r="BL663" s="47"/>
      <x:c r="BM663" s="60"/>
      <x:c r="BN663" s="58"/>
      <x:c r="BO663" s="47"/>
      <x:c r="BP663" s="60"/>
      <x:c r="BQ663" s="58"/>
      <x:c r="BR663" s="47"/>
      <x:c r="BS663" s="60"/>
      <x:c r="BT663" s="58"/>
      <x:c r="BU663" s="47"/>
      <x:c r="BV663" s="60"/>
      <x:c r="BW663" s="58"/>
      <x:c r="BX663" s="47"/>
      <x:c r="BY663" s="60"/>
      <x:c r="BZ663" s="58"/>
      <x:c r="CA663" s="47"/>
      <x:c r="CB663" s="60"/>
      <x:c r="CC663" s="58"/>
      <x:c r="CD663" s="47"/>
      <x:c r="CE663" s="60"/>
      <x:c r="CF663" s="58"/>
      <x:c r="CG663" s="47"/>
      <x:c r="CH663" s="60"/>
      <x:c r="CI663" s="58"/>
      <x:c r="CJ663" s="47"/>
      <x:c r="CK663" s="60"/>
      <x:c r="CL663" s="58"/>
      <x:c r="CM663" s="47"/>
      <x:c r="CN663" s="60"/>
      <x:c r="CO663" s="58"/>
      <x:c r="CP663" s="47"/>
      <x:c r="CQ663" s="60"/>
      <x:c r="CR663" s="58"/>
      <x:c r="CS663" s="47"/>
      <x:c r="CT663" s="60"/>
      <x:c r="CU663" s="58"/>
      <x:c r="CV663" s="47"/>
      <x:c r="CW663" s="60"/>
      <x:c r="CX663" s="58"/>
      <x:c r="CY663" s="47"/>
      <x:c r="CZ663" s="60"/>
      <x:c r="DA663" s="58"/>
      <x:c r="DB663" s="47"/>
      <x:c r="DC663" s="60"/>
      <x:c r="DD663" s="58"/>
      <x:c r="DE663" s="47"/>
      <x:c r="DF663" s="60"/>
      <x:c r="DG663" s="58"/>
      <x:c r="DH663" s="47"/>
      <x:c r="DI663" s="60"/>
      <x:c r="DJ663" s="58"/>
      <x:c r="DK663" s="47"/>
      <x:c r="DL663" s="60"/>
      <x:c r="DM663" s="58"/>
      <x:c r="DN663" s="11"/>
      <x:c r="DO663" s="61"/>
      <x:c r="DP663" s="62"/>
      <x:c r="DQ663" s="11"/>
      <x:c r="DR663" s="61"/>
      <x:c r="DS663" s="62"/>
      <x:c r="DT663" s="11"/>
      <x:c r="DU663" s="61"/>
      <x:c r="DV663" s="62"/>
    </x:row>
    <x:row r="664" spans="1:126" x14ac:dyDescent="0.3">
      <x:c r="A664" s="47"/>
      <x:c r="B664" s="70"/>
      <x:c r="C664" s="70"/>
      <x:c r="D664" s="70"/>
      <x:c r="E664" s="70"/>
      <x:c r="F664" s="70"/>
      <x:c r="G664" s="70"/>
      <x:c r="H664" s="70"/>
      <x:c r="I664" s="70"/>
      <x:c r="J664" s="70"/>
      <x:c r="K664" s="190"/>
      <x:c r="L664" s="195"/>
      <x:c r="M664" s="192"/>
      <x:c r="N664" s="192"/>
      <x:c r="O664" s="69"/>
      <x:c r="P664" s="47"/>
      <x:c r="Q664" s="60"/>
      <x:c r="R664" s="58"/>
      <x:c r="S664" s="47"/>
      <x:c r="T664" s="60"/>
      <x:c r="U664" s="58"/>
      <x:c r="V664" s="47"/>
      <x:c r="W664" s="60"/>
      <x:c r="X664" s="58"/>
      <x:c r="Y664" s="47"/>
      <x:c r="Z664" s="60"/>
      <x:c r="AA664" s="58"/>
      <x:c r="AB664" s="47"/>
      <x:c r="AC664" s="60"/>
      <x:c r="AD664" s="58"/>
      <x:c r="AE664" s="47"/>
      <x:c r="AF664" s="60"/>
      <x:c r="AG664" s="58"/>
      <x:c r="AH664" s="47"/>
      <x:c r="AI664" s="60"/>
      <x:c r="AJ664" s="58"/>
      <x:c r="AK664" s="47"/>
      <x:c r="AL664" s="60"/>
      <x:c r="AM664" s="58"/>
      <x:c r="AN664" s="47"/>
      <x:c r="AO664" s="60"/>
      <x:c r="AP664" s="58"/>
      <x:c r="AQ664" s="47"/>
      <x:c r="AR664" s="60"/>
      <x:c r="AS664" s="58"/>
      <x:c r="AT664" s="47"/>
      <x:c r="AU664" s="60"/>
      <x:c r="AV664" s="58"/>
      <x:c r="AW664" s="47"/>
      <x:c r="AX664" s="60"/>
      <x:c r="AY664" s="58"/>
      <x:c r="AZ664" s="47"/>
      <x:c r="BA664" s="60"/>
      <x:c r="BB664" s="58"/>
      <x:c r="BC664" s="47"/>
      <x:c r="BD664" s="60"/>
      <x:c r="BE664" s="58"/>
      <x:c r="BF664" s="47"/>
      <x:c r="BG664" s="60"/>
      <x:c r="BH664" s="58"/>
      <x:c r="BI664" s="47"/>
      <x:c r="BJ664" s="60"/>
      <x:c r="BK664" s="58"/>
      <x:c r="BL664" s="47"/>
      <x:c r="BM664" s="60"/>
      <x:c r="BN664" s="58"/>
      <x:c r="BO664" s="47"/>
      <x:c r="BP664" s="60"/>
      <x:c r="BQ664" s="58"/>
      <x:c r="BR664" s="47"/>
      <x:c r="BS664" s="60"/>
      <x:c r="BT664" s="58"/>
      <x:c r="BU664" s="47"/>
      <x:c r="BV664" s="60"/>
      <x:c r="BW664" s="58"/>
      <x:c r="BX664" s="47"/>
      <x:c r="BY664" s="60"/>
      <x:c r="BZ664" s="58"/>
      <x:c r="CA664" s="47"/>
      <x:c r="CB664" s="60"/>
      <x:c r="CC664" s="58"/>
      <x:c r="CD664" s="47"/>
      <x:c r="CE664" s="60"/>
      <x:c r="CF664" s="58"/>
      <x:c r="CG664" s="47"/>
      <x:c r="CH664" s="60"/>
      <x:c r="CI664" s="58"/>
      <x:c r="CJ664" s="47"/>
      <x:c r="CK664" s="60"/>
      <x:c r="CL664" s="58"/>
      <x:c r="CM664" s="47"/>
      <x:c r="CN664" s="60"/>
      <x:c r="CO664" s="58"/>
      <x:c r="CP664" s="47"/>
      <x:c r="CQ664" s="60"/>
      <x:c r="CR664" s="58"/>
      <x:c r="CS664" s="47"/>
      <x:c r="CT664" s="60"/>
      <x:c r="CU664" s="58"/>
      <x:c r="CV664" s="47"/>
      <x:c r="CW664" s="60"/>
      <x:c r="CX664" s="58"/>
      <x:c r="CY664" s="47"/>
      <x:c r="CZ664" s="60"/>
      <x:c r="DA664" s="58"/>
      <x:c r="DB664" s="47"/>
      <x:c r="DC664" s="60"/>
      <x:c r="DD664" s="58"/>
      <x:c r="DE664" s="47"/>
      <x:c r="DF664" s="60"/>
      <x:c r="DG664" s="58"/>
      <x:c r="DH664" s="47"/>
      <x:c r="DI664" s="60"/>
      <x:c r="DJ664" s="58"/>
      <x:c r="DK664" s="47"/>
      <x:c r="DL664" s="60"/>
      <x:c r="DM664" s="58"/>
      <x:c r="DN664" s="11"/>
      <x:c r="DO664" s="61"/>
      <x:c r="DP664" s="62"/>
      <x:c r="DQ664" s="11"/>
      <x:c r="DR664" s="61"/>
      <x:c r="DS664" s="62"/>
      <x:c r="DT664" s="11"/>
      <x:c r="DU664" s="61"/>
      <x:c r="DV664" s="62"/>
    </x:row>
    <x:row r="665" spans="1:126" x14ac:dyDescent="0.3">
      <x:c r="A665" s="47"/>
      <x:c r="B665" s="70"/>
      <x:c r="C665" s="70"/>
      <x:c r="D665" s="70"/>
      <x:c r="E665" s="70"/>
      <x:c r="F665" s="70"/>
      <x:c r="G665" s="70"/>
      <x:c r="H665" s="70"/>
      <x:c r="I665" s="70"/>
      <x:c r="J665" s="70"/>
      <x:c r="K665" s="190"/>
      <x:c r="L665" s="195"/>
      <x:c r="M665" s="192"/>
      <x:c r="N665" s="192"/>
      <x:c r="O665" s="69"/>
      <x:c r="P665" s="47"/>
      <x:c r="Q665" s="60"/>
      <x:c r="R665" s="58"/>
      <x:c r="S665" s="47"/>
      <x:c r="T665" s="60"/>
      <x:c r="U665" s="58"/>
      <x:c r="V665" s="47"/>
      <x:c r="W665" s="60"/>
      <x:c r="X665" s="58"/>
      <x:c r="Y665" s="47"/>
      <x:c r="Z665" s="60"/>
      <x:c r="AA665" s="58"/>
      <x:c r="AB665" s="47"/>
      <x:c r="AC665" s="60"/>
      <x:c r="AD665" s="58"/>
      <x:c r="AE665" s="47"/>
      <x:c r="AF665" s="60"/>
      <x:c r="AG665" s="58"/>
      <x:c r="AH665" s="47"/>
      <x:c r="AI665" s="60"/>
      <x:c r="AJ665" s="58"/>
      <x:c r="AK665" s="47"/>
      <x:c r="AL665" s="60"/>
      <x:c r="AM665" s="58"/>
      <x:c r="AN665" s="47"/>
      <x:c r="AO665" s="60"/>
      <x:c r="AP665" s="58"/>
      <x:c r="AQ665" s="47"/>
      <x:c r="AR665" s="60"/>
      <x:c r="AS665" s="58"/>
      <x:c r="AT665" s="47"/>
      <x:c r="AU665" s="60"/>
      <x:c r="AV665" s="58"/>
      <x:c r="AW665" s="47"/>
      <x:c r="AX665" s="60"/>
      <x:c r="AY665" s="58"/>
      <x:c r="AZ665" s="47"/>
      <x:c r="BA665" s="60"/>
      <x:c r="BB665" s="58"/>
      <x:c r="BC665" s="47"/>
      <x:c r="BD665" s="60"/>
      <x:c r="BE665" s="58"/>
      <x:c r="BF665" s="47"/>
      <x:c r="BG665" s="60"/>
      <x:c r="BH665" s="58"/>
      <x:c r="BI665" s="47"/>
      <x:c r="BJ665" s="60"/>
      <x:c r="BK665" s="58"/>
      <x:c r="BL665" s="47"/>
      <x:c r="BM665" s="60"/>
      <x:c r="BN665" s="58"/>
      <x:c r="BO665" s="47"/>
      <x:c r="BP665" s="60"/>
      <x:c r="BQ665" s="58"/>
      <x:c r="BR665" s="47"/>
      <x:c r="BS665" s="60"/>
      <x:c r="BT665" s="58"/>
      <x:c r="BU665" s="47"/>
      <x:c r="BV665" s="60"/>
      <x:c r="BW665" s="58"/>
      <x:c r="BX665" s="47"/>
      <x:c r="BY665" s="60"/>
      <x:c r="BZ665" s="58"/>
      <x:c r="CA665" s="47"/>
      <x:c r="CB665" s="60"/>
      <x:c r="CC665" s="58"/>
      <x:c r="CD665" s="47"/>
      <x:c r="CE665" s="60"/>
      <x:c r="CF665" s="58"/>
      <x:c r="CG665" s="47"/>
      <x:c r="CH665" s="60"/>
      <x:c r="CI665" s="58"/>
      <x:c r="CJ665" s="47"/>
      <x:c r="CK665" s="60"/>
      <x:c r="CL665" s="58"/>
      <x:c r="CM665" s="47"/>
      <x:c r="CN665" s="60"/>
      <x:c r="CO665" s="58"/>
      <x:c r="CP665" s="47"/>
      <x:c r="CQ665" s="60"/>
      <x:c r="CR665" s="58"/>
      <x:c r="CS665" s="47"/>
      <x:c r="CT665" s="60"/>
      <x:c r="CU665" s="58"/>
      <x:c r="CV665" s="47"/>
      <x:c r="CW665" s="60"/>
      <x:c r="CX665" s="58"/>
      <x:c r="CY665" s="47"/>
      <x:c r="CZ665" s="60"/>
      <x:c r="DA665" s="58"/>
      <x:c r="DB665" s="47"/>
      <x:c r="DC665" s="60"/>
      <x:c r="DD665" s="58"/>
      <x:c r="DE665" s="47"/>
      <x:c r="DF665" s="60"/>
      <x:c r="DG665" s="58"/>
      <x:c r="DH665" s="47"/>
      <x:c r="DI665" s="60"/>
      <x:c r="DJ665" s="58"/>
      <x:c r="DK665" s="47"/>
      <x:c r="DL665" s="60"/>
      <x:c r="DM665" s="58"/>
      <x:c r="DN665" s="11"/>
      <x:c r="DO665" s="61"/>
      <x:c r="DP665" s="62"/>
      <x:c r="DQ665" s="11"/>
      <x:c r="DR665" s="61"/>
      <x:c r="DS665" s="62"/>
      <x:c r="DT665" s="11"/>
      <x:c r="DU665" s="61"/>
      <x:c r="DV665" s="62"/>
    </x:row>
    <x:row r="666" spans="1:126" x14ac:dyDescent="0.3">
      <x:c r="A666" s="47"/>
      <x:c r="B666" s="70"/>
      <x:c r="C666" s="70"/>
      <x:c r="D666" s="70"/>
      <x:c r="E666" s="70"/>
      <x:c r="F666" s="70"/>
      <x:c r="G666" s="70"/>
      <x:c r="H666" s="70"/>
      <x:c r="I666" s="70"/>
      <x:c r="J666" s="70"/>
      <x:c r="K666" s="190"/>
      <x:c r="L666" s="195"/>
      <x:c r="M666" s="192"/>
      <x:c r="N666" s="192"/>
      <x:c r="O666" s="69"/>
      <x:c r="P666" s="47"/>
      <x:c r="Q666" s="60"/>
      <x:c r="R666" s="58"/>
      <x:c r="S666" s="47"/>
      <x:c r="T666" s="60"/>
      <x:c r="U666" s="58"/>
      <x:c r="V666" s="47"/>
      <x:c r="W666" s="60"/>
      <x:c r="X666" s="58"/>
      <x:c r="Y666" s="47"/>
      <x:c r="Z666" s="60"/>
      <x:c r="AA666" s="58"/>
      <x:c r="AB666" s="47"/>
      <x:c r="AC666" s="60"/>
      <x:c r="AD666" s="58"/>
      <x:c r="AE666" s="47"/>
      <x:c r="AF666" s="60"/>
      <x:c r="AG666" s="58"/>
      <x:c r="AH666" s="47"/>
      <x:c r="AI666" s="60"/>
      <x:c r="AJ666" s="58"/>
      <x:c r="AK666" s="47"/>
      <x:c r="AL666" s="60"/>
      <x:c r="AM666" s="58"/>
      <x:c r="AN666" s="47"/>
      <x:c r="AO666" s="60"/>
      <x:c r="AP666" s="58"/>
      <x:c r="AQ666" s="47"/>
      <x:c r="AR666" s="60"/>
      <x:c r="AS666" s="58"/>
      <x:c r="AT666" s="47"/>
      <x:c r="AU666" s="60"/>
      <x:c r="AV666" s="58"/>
      <x:c r="AW666" s="47"/>
      <x:c r="AX666" s="60"/>
      <x:c r="AY666" s="58"/>
      <x:c r="AZ666" s="47"/>
      <x:c r="BA666" s="60"/>
      <x:c r="BB666" s="58"/>
      <x:c r="BC666" s="47"/>
      <x:c r="BD666" s="60"/>
      <x:c r="BE666" s="58"/>
      <x:c r="BF666" s="47"/>
      <x:c r="BG666" s="60"/>
      <x:c r="BH666" s="58"/>
      <x:c r="BI666" s="47"/>
      <x:c r="BJ666" s="60"/>
      <x:c r="BK666" s="58"/>
      <x:c r="BL666" s="47"/>
      <x:c r="BM666" s="60"/>
      <x:c r="BN666" s="58"/>
      <x:c r="BO666" s="47"/>
      <x:c r="BP666" s="60"/>
      <x:c r="BQ666" s="58"/>
      <x:c r="BR666" s="47"/>
      <x:c r="BS666" s="60"/>
      <x:c r="BT666" s="58"/>
      <x:c r="BU666" s="47"/>
      <x:c r="BV666" s="60"/>
      <x:c r="BW666" s="58"/>
      <x:c r="BX666" s="47"/>
      <x:c r="BY666" s="60"/>
      <x:c r="BZ666" s="58"/>
      <x:c r="CA666" s="47"/>
      <x:c r="CB666" s="60"/>
      <x:c r="CC666" s="58"/>
      <x:c r="CD666" s="47"/>
      <x:c r="CE666" s="60"/>
      <x:c r="CF666" s="58"/>
      <x:c r="CG666" s="47"/>
      <x:c r="CH666" s="60"/>
      <x:c r="CI666" s="58"/>
      <x:c r="CJ666" s="47"/>
      <x:c r="CK666" s="60"/>
      <x:c r="CL666" s="58"/>
      <x:c r="CM666" s="47"/>
      <x:c r="CN666" s="60"/>
      <x:c r="CO666" s="58"/>
      <x:c r="CP666" s="47"/>
      <x:c r="CQ666" s="60"/>
      <x:c r="CR666" s="58"/>
      <x:c r="CS666" s="47"/>
      <x:c r="CT666" s="60"/>
      <x:c r="CU666" s="58"/>
      <x:c r="CV666" s="47"/>
      <x:c r="CW666" s="60"/>
      <x:c r="CX666" s="58"/>
      <x:c r="CY666" s="47"/>
      <x:c r="CZ666" s="60"/>
      <x:c r="DA666" s="58"/>
      <x:c r="DB666" s="47"/>
      <x:c r="DC666" s="60"/>
      <x:c r="DD666" s="58"/>
      <x:c r="DE666" s="47"/>
      <x:c r="DF666" s="60"/>
      <x:c r="DG666" s="58"/>
      <x:c r="DH666" s="47"/>
      <x:c r="DI666" s="60"/>
      <x:c r="DJ666" s="58"/>
      <x:c r="DK666" s="47"/>
      <x:c r="DL666" s="60"/>
      <x:c r="DM666" s="58"/>
      <x:c r="DN666" s="11"/>
      <x:c r="DO666" s="61"/>
      <x:c r="DP666" s="62"/>
      <x:c r="DQ666" s="11"/>
      <x:c r="DR666" s="61"/>
      <x:c r="DS666" s="62"/>
      <x:c r="DT666" s="11"/>
      <x:c r="DU666" s="61"/>
      <x:c r="DV666" s="62"/>
    </x:row>
    <x:row r="667" spans="1:126" x14ac:dyDescent="0.3">
      <x:c r="A667" s="47"/>
      <x:c r="B667" s="70"/>
      <x:c r="C667" s="70"/>
      <x:c r="D667" s="70"/>
      <x:c r="E667" s="70"/>
      <x:c r="F667" s="70"/>
      <x:c r="G667" s="70"/>
      <x:c r="H667" s="70"/>
      <x:c r="I667" s="70"/>
      <x:c r="J667" s="70"/>
      <x:c r="K667" s="190"/>
      <x:c r="L667" s="195"/>
      <x:c r="M667" s="192"/>
      <x:c r="N667" s="192"/>
      <x:c r="O667" s="69"/>
      <x:c r="P667" s="47"/>
      <x:c r="Q667" s="60"/>
      <x:c r="R667" s="58"/>
      <x:c r="S667" s="47"/>
      <x:c r="T667" s="60"/>
      <x:c r="U667" s="58"/>
      <x:c r="V667" s="47"/>
      <x:c r="W667" s="60"/>
      <x:c r="X667" s="58"/>
      <x:c r="Y667" s="47"/>
      <x:c r="Z667" s="60"/>
      <x:c r="AA667" s="58"/>
      <x:c r="AB667" s="47"/>
      <x:c r="AC667" s="60"/>
      <x:c r="AD667" s="58"/>
      <x:c r="AE667" s="47"/>
      <x:c r="AF667" s="60"/>
      <x:c r="AG667" s="58"/>
      <x:c r="AH667" s="47"/>
      <x:c r="AI667" s="60"/>
      <x:c r="AJ667" s="58"/>
      <x:c r="AK667" s="47"/>
      <x:c r="AL667" s="60"/>
      <x:c r="AM667" s="58"/>
      <x:c r="AN667" s="47"/>
      <x:c r="AO667" s="60"/>
      <x:c r="AP667" s="58"/>
      <x:c r="AQ667" s="47"/>
      <x:c r="AR667" s="60"/>
      <x:c r="AS667" s="58"/>
      <x:c r="AT667" s="47"/>
      <x:c r="AU667" s="60"/>
      <x:c r="AV667" s="58"/>
      <x:c r="AW667" s="47"/>
      <x:c r="AX667" s="60"/>
      <x:c r="AY667" s="58"/>
      <x:c r="AZ667" s="47"/>
      <x:c r="BA667" s="60"/>
      <x:c r="BB667" s="58"/>
      <x:c r="BC667" s="47"/>
      <x:c r="BD667" s="60"/>
      <x:c r="BE667" s="58"/>
      <x:c r="BF667" s="47"/>
      <x:c r="BG667" s="60"/>
      <x:c r="BH667" s="58"/>
      <x:c r="BI667" s="47"/>
      <x:c r="BJ667" s="60"/>
      <x:c r="BK667" s="58"/>
      <x:c r="BL667" s="47"/>
      <x:c r="BM667" s="60"/>
      <x:c r="BN667" s="58"/>
      <x:c r="BO667" s="47"/>
      <x:c r="BP667" s="60"/>
      <x:c r="BQ667" s="58"/>
      <x:c r="BR667" s="47"/>
      <x:c r="BS667" s="60"/>
      <x:c r="BT667" s="58"/>
      <x:c r="BU667" s="47"/>
      <x:c r="BV667" s="60"/>
      <x:c r="BW667" s="58"/>
      <x:c r="BX667" s="47"/>
      <x:c r="BY667" s="60"/>
      <x:c r="BZ667" s="58"/>
      <x:c r="CA667" s="47"/>
      <x:c r="CB667" s="60"/>
      <x:c r="CC667" s="58"/>
      <x:c r="CD667" s="47"/>
      <x:c r="CE667" s="60"/>
      <x:c r="CF667" s="58"/>
      <x:c r="CG667" s="47"/>
      <x:c r="CH667" s="60"/>
      <x:c r="CI667" s="58"/>
      <x:c r="CJ667" s="47"/>
      <x:c r="CK667" s="60"/>
      <x:c r="CL667" s="58"/>
      <x:c r="CM667" s="47"/>
      <x:c r="CN667" s="60"/>
      <x:c r="CO667" s="58"/>
      <x:c r="CP667" s="47"/>
      <x:c r="CQ667" s="60"/>
      <x:c r="CR667" s="58"/>
      <x:c r="CS667" s="47"/>
      <x:c r="CT667" s="60"/>
      <x:c r="CU667" s="58"/>
      <x:c r="CV667" s="47"/>
      <x:c r="CW667" s="60"/>
      <x:c r="CX667" s="58"/>
      <x:c r="CY667" s="47"/>
      <x:c r="CZ667" s="60"/>
      <x:c r="DA667" s="58"/>
      <x:c r="DB667" s="47"/>
      <x:c r="DC667" s="60"/>
      <x:c r="DD667" s="58"/>
      <x:c r="DE667" s="47"/>
      <x:c r="DF667" s="60"/>
      <x:c r="DG667" s="58"/>
      <x:c r="DH667" s="47"/>
      <x:c r="DI667" s="60"/>
      <x:c r="DJ667" s="58"/>
      <x:c r="DK667" s="47"/>
      <x:c r="DL667" s="60"/>
      <x:c r="DM667" s="58"/>
      <x:c r="DN667" s="11"/>
      <x:c r="DO667" s="61"/>
      <x:c r="DP667" s="62"/>
      <x:c r="DQ667" s="11"/>
      <x:c r="DR667" s="61"/>
      <x:c r="DS667" s="62"/>
      <x:c r="DT667" s="11"/>
      <x:c r="DU667" s="61"/>
      <x:c r="DV667" s="62"/>
    </x:row>
    <x:row r="668" spans="1:126" x14ac:dyDescent="0.3">
      <x:c r="A668" s="47"/>
      <x:c r="B668" s="70"/>
      <x:c r="C668" s="70"/>
      <x:c r="D668" s="70"/>
      <x:c r="E668" s="70"/>
      <x:c r="F668" s="70"/>
      <x:c r="G668" s="70"/>
      <x:c r="H668" s="70"/>
      <x:c r="I668" s="70"/>
      <x:c r="J668" s="70"/>
      <x:c r="K668" s="190"/>
      <x:c r="L668" s="195"/>
      <x:c r="M668" s="192"/>
      <x:c r="N668" s="192"/>
      <x:c r="O668" s="69"/>
      <x:c r="P668" s="47"/>
      <x:c r="Q668" s="60"/>
      <x:c r="R668" s="58"/>
      <x:c r="S668" s="47"/>
      <x:c r="T668" s="60"/>
      <x:c r="U668" s="58"/>
      <x:c r="V668" s="47"/>
      <x:c r="W668" s="60"/>
      <x:c r="X668" s="58"/>
      <x:c r="Y668" s="47"/>
      <x:c r="Z668" s="60"/>
      <x:c r="AA668" s="58"/>
      <x:c r="AB668" s="47"/>
      <x:c r="AC668" s="60"/>
      <x:c r="AD668" s="58"/>
      <x:c r="AE668" s="47"/>
      <x:c r="AF668" s="60"/>
      <x:c r="AG668" s="58"/>
      <x:c r="AH668" s="47"/>
      <x:c r="AI668" s="60"/>
      <x:c r="AJ668" s="58"/>
      <x:c r="AK668" s="47"/>
      <x:c r="AL668" s="60"/>
      <x:c r="AM668" s="58"/>
      <x:c r="AN668" s="47"/>
      <x:c r="AO668" s="60"/>
      <x:c r="AP668" s="58"/>
      <x:c r="AQ668" s="47"/>
      <x:c r="AR668" s="60"/>
      <x:c r="AS668" s="58"/>
      <x:c r="AT668" s="47"/>
      <x:c r="AU668" s="60"/>
      <x:c r="AV668" s="58"/>
      <x:c r="AW668" s="47"/>
      <x:c r="AX668" s="60"/>
      <x:c r="AY668" s="58"/>
      <x:c r="AZ668" s="47"/>
      <x:c r="BA668" s="60"/>
      <x:c r="BB668" s="58"/>
      <x:c r="BC668" s="47"/>
      <x:c r="BD668" s="60"/>
      <x:c r="BE668" s="58"/>
      <x:c r="BF668" s="47"/>
      <x:c r="BG668" s="60"/>
      <x:c r="BH668" s="58"/>
      <x:c r="BI668" s="47"/>
      <x:c r="BJ668" s="60"/>
      <x:c r="BK668" s="58"/>
      <x:c r="BL668" s="47"/>
      <x:c r="BM668" s="60"/>
      <x:c r="BN668" s="58"/>
      <x:c r="BO668" s="47"/>
      <x:c r="BP668" s="60"/>
      <x:c r="BQ668" s="58"/>
      <x:c r="BR668" s="47"/>
      <x:c r="BS668" s="60"/>
      <x:c r="BT668" s="58"/>
      <x:c r="BU668" s="47"/>
      <x:c r="BV668" s="60"/>
      <x:c r="BW668" s="58"/>
      <x:c r="BX668" s="47"/>
      <x:c r="BY668" s="60"/>
      <x:c r="BZ668" s="58"/>
      <x:c r="CA668" s="47"/>
      <x:c r="CB668" s="60"/>
      <x:c r="CC668" s="58"/>
      <x:c r="CD668" s="47"/>
      <x:c r="CE668" s="60"/>
      <x:c r="CF668" s="58"/>
      <x:c r="CG668" s="47"/>
      <x:c r="CH668" s="60"/>
      <x:c r="CI668" s="58"/>
      <x:c r="CJ668" s="47"/>
      <x:c r="CK668" s="60"/>
      <x:c r="CL668" s="58"/>
      <x:c r="CM668" s="47"/>
      <x:c r="CN668" s="60"/>
      <x:c r="CO668" s="58"/>
      <x:c r="CP668" s="47"/>
      <x:c r="CQ668" s="60"/>
      <x:c r="CR668" s="58"/>
      <x:c r="CS668" s="47"/>
      <x:c r="CT668" s="60"/>
      <x:c r="CU668" s="58"/>
      <x:c r="CV668" s="47"/>
      <x:c r="CW668" s="60"/>
      <x:c r="CX668" s="58"/>
      <x:c r="CY668" s="47"/>
      <x:c r="CZ668" s="60"/>
      <x:c r="DA668" s="58"/>
      <x:c r="DB668" s="47"/>
      <x:c r="DC668" s="60"/>
      <x:c r="DD668" s="58"/>
      <x:c r="DE668" s="47"/>
      <x:c r="DF668" s="60"/>
      <x:c r="DG668" s="58"/>
      <x:c r="DH668" s="47"/>
      <x:c r="DI668" s="60"/>
      <x:c r="DJ668" s="58"/>
      <x:c r="DK668" s="47"/>
      <x:c r="DL668" s="60"/>
      <x:c r="DM668" s="58"/>
      <x:c r="DN668" s="11"/>
      <x:c r="DO668" s="61"/>
      <x:c r="DP668" s="62"/>
      <x:c r="DQ668" s="11"/>
      <x:c r="DR668" s="61"/>
      <x:c r="DS668" s="62"/>
      <x:c r="DT668" s="11"/>
      <x:c r="DU668" s="61"/>
      <x:c r="DV668" s="62"/>
    </x:row>
    <x:row r="669" spans="1:126" x14ac:dyDescent="0.3">
      <x:c r="A669" s="47"/>
      <x:c r="B669" s="70"/>
      <x:c r="C669" s="70"/>
      <x:c r="D669" s="70"/>
      <x:c r="E669" s="70"/>
      <x:c r="F669" s="70"/>
      <x:c r="G669" s="70"/>
      <x:c r="H669" s="70"/>
      <x:c r="I669" s="70"/>
      <x:c r="J669" s="70"/>
      <x:c r="K669" s="190"/>
      <x:c r="L669" s="195"/>
      <x:c r="M669" s="192"/>
      <x:c r="N669" s="192"/>
      <x:c r="O669" s="69"/>
      <x:c r="P669" s="47"/>
      <x:c r="Q669" s="60"/>
      <x:c r="R669" s="58"/>
      <x:c r="S669" s="47"/>
      <x:c r="T669" s="60"/>
      <x:c r="U669" s="58"/>
      <x:c r="V669" s="47"/>
      <x:c r="W669" s="60"/>
      <x:c r="X669" s="58"/>
      <x:c r="Y669" s="47"/>
      <x:c r="Z669" s="60"/>
      <x:c r="AA669" s="58"/>
      <x:c r="AB669" s="47"/>
      <x:c r="AC669" s="60"/>
      <x:c r="AD669" s="58"/>
      <x:c r="AE669" s="47"/>
      <x:c r="AF669" s="60"/>
      <x:c r="AG669" s="58"/>
      <x:c r="AH669" s="47"/>
      <x:c r="AI669" s="60"/>
      <x:c r="AJ669" s="58"/>
      <x:c r="AK669" s="47"/>
      <x:c r="AL669" s="60"/>
      <x:c r="AM669" s="58"/>
      <x:c r="AN669" s="47"/>
      <x:c r="AO669" s="60"/>
      <x:c r="AP669" s="58"/>
      <x:c r="AQ669" s="47"/>
      <x:c r="AR669" s="60"/>
      <x:c r="AS669" s="58"/>
      <x:c r="AT669" s="47"/>
      <x:c r="AU669" s="60"/>
      <x:c r="AV669" s="58"/>
      <x:c r="AW669" s="47"/>
      <x:c r="AX669" s="60"/>
      <x:c r="AY669" s="58"/>
      <x:c r="AZ669" s="47"/>
      <x:c r="BA669" s="60"/>
      <x:c r="BB669" s="58"/>
      <x:c r="BC669" s="47"/>
      <x:c r="BD669" s="60"/>
      <x:c r="BE669" s="58"/>
      <x:c r="BF669" s="47"/>
      <x:c r="BG669" s="60"/>
      <x:c r="BH669" s="58"/>
      <x:c r="BI669" s="47"/>
      <x:c r="BJ669" s="60"/>
      <x:c r="BK669" s="58"/>
      <x:c r="BL669" s="47"/>
      <x:c r="BM669" s="60"/>
      <x:c r="BN669" s="58"/>
      <x:c r="BO669" s="47"/>
      <x:c r="BP669" s="60"/>
      <x:c r="BQ669" s="58"/>
      <x:c r="BR669" s="47"/>
      <x:c r="BS669" s="60"/>
      <x:c r="BT669" s="58"/>
      <x:c r="BU669" s="47"/>
      <x:c r="BV669" s="60"/>
      <x:c r="BW669" s="58"/>
      <x:c r="BX669" s="47"/>
      <x:c r="BY669" s="60"/>
      <x:c r="BZ669" s="58"/>
      <x:c r="CA669" s="47"/>
      <x:c r="CB669" s="60"/>
      <x:c r="CC669" s="58"/>
      <x:c r="CD669" s="47"/>
      <x:c r="CE669" s="60"/>
      <x:c r="CF669" s="58"/>
      <x:c r="CG669" s="47"/>
      <x:c r="CH669" s="60"/>
      <x:c r="CI669" s="58"/>
      <x:c r="CJ669" s="47"/>
      <x:c r="CK669" s="60"/>
      <x:c r="CL669" s="58"/>
      <x:c r="CM669" s="47"/>
      <x:c r="CN669" s="60"/>
      <x:c r="CO669" s="58"/>
      <x:c r="CP669" s="47"/>
      <x:c r="CQ669" s="60"/>
      <x:c r="CR669" s="58"/>
      <x:c r="CS669" s="47"/>
      <x:c r="CT669" s="60"/>
      <x:c r="CU669" s="58"/>
      <x:c r="CV669" s="47"/>
      <x:c r="CW669" s="60"/>
      <x:c r="CX669" s="58"/>
      <x:c r="CY669" s="47"/>
      <x:c r="CZ669" s="60"/>
      <x:c r="DA669" s="58"/>
      <x:c r="DB669" s="47"/>
      <x:c r="DC669" s="60"/>
      <x:c r="DD669" s="58"/>
      <x:c r="DE669" s="47"/>
      <x:c r="DF669" s="60"/>
      <x:c r="DG669" s="58"/>
      <x:c r="DH669" s="47"/>
      <x:c r="DI669" s="60"/>
      <x:c r="DJ669" s="58"/>
      <x:c r="DK669" s="47"/>
      <x:c r="DL669" s="60"/>
      <x:c r="DM669" s="58"/>
      <x:c r="DN669" s="11"/>
      <x:c r="DO669" s="61"/>
      <x:c r="DP669" s="62"/>
      <x:c r="DQ669" s="11"/>
      <x:c r="DR669" s="61"/>
      <x:c r="DS669" s="62"/>
      <x:c r="DT669" s="11"/>
      <x:c r="DU669" s="61"/>
      <x:c r="DV669" s="62"/>
    </x:row>
    <x:row r="670" spans="1:126" x14ac:dyDescent="0.3">
      <x:c r="A670" s="47"/>
      <x:c r="B670" s="70"/>
      <x:c r="C670" s="70"/>
      <x:c r="D670" s="70"/>
      <x:c r="E670" s="70"/>
      <x:c r="F670" s="70"/>
      <x:c r="G670" s="70"/>
      <x:c r="H670" s="70"/>
      <x:c r="I670" s="70"/>
      <x:c r="J670" s="70"/>
      <x:c r="K670" s="190"/>
      <x:c r="L670" s="195"/>
      <x:c r="M670" s="192"/>
      <x:c r="N670" s="192"/>
      <x:c r="O670" s="69"/>
      <x:c r="P670" s="47"/>
      <x:c r="Q670" s="60"/>
      <x:c r="R670" s="58"/>
      <x:c r="S670" s="47"/>
      <x:c r="T670" s="60"/>
      <x:c r="U670" s="58"/>
      <x:c r="V670" s="47"/>
      <x:c r="W670" s="60"/>
      <x:c r="X670" s="58"/>
      <x:c r="Y670" s="47"/>
      <x:c r="Z670" s="60"/>
      <x:c r="AA670" s="58"/>
      <x:c r="AB670" s="47"/>
      <x:c r="AC670" s="60"/>
      <x:c r="AD670" s="58"/>
      <x:c r="AE670" s="47"/>
      <x:c r="AF670" s="60"/>
      <x:c r="AG670" s="58"/>
      <x:c r="AH670" s="47"/>
      <x:c r="AI670" s="60"/>
      <x:c r="AJ670" s="58"/>
      <x:c r="AK670" s="47"/>
      <x:c r="AL670" s="60"/>
      <x:c r="AM670" s="58"/>
      <x:c r="AN670" s="47"/>
      <x:c r="AO670" s="60"/>
      <x:c r="AP670" s="58"/>
      <x:c r="AQ670" s="47"/>
      <x:c r="AR670" s="60"/>
      <x:c r="AS670" s="58"/>
      <x:c r="AT670" s="47"/>
      <x:c r="AU670" s="60"/>
      <x:c r="AV670" s="58"/>
      <x:c r="AW670" s="47"/>
      <x:c r="AX670" s="60"/>
      <x:c r="AY670" s="58"/>
      <x:c r="AZ670" s="47"/>
      <x:c r="BA670" s="60"/>
      <x:c r="BB670" s="58"/>
      <x:c r="BC670" s="47"/>
      <x:c r="BD670" s="60"/>
      <x:c r="BE670" s="58"/>
      <x:c r="BF670" s="47"/>
      <x:c r="BG670" s="60"/>
      <x:c r="BH670" s="58"/>
      <x:c r="BI670" s="47"/>
      <x:c r="BJ670" s="60"/>
      <x:c r="BK670" s="58"/>
      <x:c r="BL670" s="47"/>
      <x:c r="BM670" s="60"/>
      <x:c r="BN670" s="58"/>
      <x:c r="BO670" s="47"/>
      <x:c r="BP670" s="60"/>
      <x:c r="BQ670" s="58"/>
      <x:c r="BR670" s="47"/>
      <x:c r="BS670" s="60"/>
      <x:c r="BT670" s="58"/>
      <x:c r="BU670" s="47"/>
      <x:c r="BV670" s="60"/>
      <x:c r="BW670" s="58"/>
      <x:c r="BX670" s="47"/>
      <x:c r="BY670" s="60"/>
      <x:c r="BZ670" s="58"/>
      <x:c r="CA670" s="47"/>
      <x:c r="CB670" s="60"/>
      <x:c r="CC670" s="58"/>
      <x:c r="CD670" s="47"/>
      <x:c r="CE670" s="60"/>
      <x:c r="CF670" s="58"/>
      <x:c r="CG670" s="47"/>
      <x:c r="CH670" s="60"/>
      <x:c r="CI670" s="58"/>
      <x:c r="CJ670" s="47"/>
      <x:c r="CK670" s="60"/>
      <x:c r="CL670" s="58"/>
      <x:c r="CM670" s="47"/>
      <x:c r="CN670" s="60"/>
      <x:c r="CO670" s="58"/>
      <x:c r="CP670" s="47"/>
      <x:c r="CQ670" s="60"/>
      <x:c r="CR670" s="58"/>
      <x:c r="CS670" s="47"/>
      <x:c r="CT670" s="60"/>
      <x:c r="CU670" s="58"/>
      <x:c r="CV670" s="47"/>
      <x:c r="CW670" s="60"/>
      <x:c r="CX670" s="58"/>
      <x:c r="CY670" s="47"/>
      <x:c r="CZ670" s="60"/>
      <x:c r="DA670" s="58"/>
      <x:c r="DB670" s="47"/>
      <x:c r="DC670" s="60"/>
      <x:c r="DD670" s="58"/>
      <x:c r="DE670" s="47"/>
      <x:c r="DF670" s="60"/>
      <x:c r="DG670" s="58"/>
      <x:c r="DH670" s="47"/>
      <x:c r="DI670" s="60"/>
      <x:c r="DJ670" s="58"/>
      <x:c r="DK670" s="47"/>
      <x:c r="DL670" s="60"/>
      <x:c r="DM670" s="58"/>
      <x:c r="DN670" s="11"/>
      <x:c r="DO670" s="61"/>
      <x:c r="DP670" s="62"/>
      <x:c r="DQ670" s="11"/>
      <x:c r="DR670" s="61"/>
      <x:c r="DS670" s="62"/>
      <x:c r="DT670" s="11"/>
      <x:c r="DU670" s="61"/>
      <x:c r="DV670" s="62"/>
    </x:row>
    <x:row r="671" spans="1:126" x14ac:dyDescent="0.3">
      <x:c r="A671" s="47"/>
      <x:c r="B671" s="70"/>
      <x:c r="C671" s="70"/>
      <x:c r="D671" s="70"/>
      <x:c r="E671" s="70"/>
      <x:c r="F671" s="70"/>
      <x:c r="G671" s="70"/>
      <x:c r="H671" s="70"/>
      <x:c r="I671" s="70"/>
      <x:c r="J671" s="70"/>
      <x:c r="K671" s="190"/>
      <x:c r="L671" s="195"/>
      <x:c r="M671" s="192"/>
      <x:c r="N671" s="192"/>
      <x:c r="O671" s="69"/>
      <x:c r="P671" s="47"/>
      <x:c r="Q671" s="60"/>
      <x:c r="R671" s="58"/>
      <x:c r="S671" s="47"/>
      <x:c r="T671" s="60"/>
      <x:c r="U671" s="58"/>
      <x:c r="V671" s="47"/>
      <x:c r="W671" s="60"/>
      <x:c r="X671" s="58"/>
      <x:c r="Y671" s="47"/>
      <x:c r="Z671" s="60"/>
      <x:c r="AA671" s="58"/>
      <x:c r="AB671" s="47"/>
      <x:c r="AC671" s="60"/>
      <x:c r="AD671" s="58"/>
      <x:c r="AE671" s="47"/>
      <x:c r="AF671" s="60"/>
      <x:c r="AG671" s="58"/>
      <x:c r="AH671" s="47"/>
      <x:c r="AI671" s="60"/>
      <x:c r="AJ671" s="58"/>
      <x:c r="AK671" s="47"/>
      <x:c r="AL671" s="60"/>
      <x:c r="AM671" s="58"/>
      <x:c r="AN671" s="47"/>
      <x:c r="AO671" s="60"/>
      <x:c r="AP671" s="58"/>
      <x:c r="AQ671" s="47"/>
      <x:c r="AR671" s="60"/>
      <x:c r="AS671" s="58"/>
      <x:c r="AT671" s="47"/>
      <x:c r="AU671" s="60"/>
      <x:c r="AV671" s="58"/>
      <x:c r="AW671" s="47"/>
      <x:c r="AX671" s="60"/>
      <x:c r="AY671" s="58"/>
      <x:c r="AZ671" s="47"/>
      <x:c r="BA671" s="60"/>
      <x:c r="BB671" s="58"/>
      <x:c r="BC671" s="47"/>
      <x:c r="BD671" s="60"/>
      <x:c r="BE671" s="58"/>
      <x:c r="BF671" s="47"/>
      <x:c r="BG671" s="60"/>
      <x:c r="BH671" s="58"/>
      <x:c r="BI671" s="47"/>
      <x:c r="BJ671" s="60"/>
      <x:c r="BK671" s="58"/>
      <x:c r="BL671" s="47"/>
      <x:c r="BM671" s="60"/>
      <x:c r="BN671" s="58"/>
      <x:c r="BO671" s="47"/>
      <x:c r="BP671" s="60"/>
      <x:c r="BQ671" s="58"/>
      <x:c r="BR671" s="47"/>
      <x:c r="BS671" s="60"/>
      <x:c r="BT671" s="58"/>
      <x:c r="BU671" s="47"/>
      <x:c r="BV671" s="60"/>
      <x:c r="BW671" s="58"/>
      <x:c r="BX671" s="47"/>
      <x:c r="BY671" s="60"/>
      <x:c r="BZ671" s="58"/>
      <x:c r="CA671" s="47"/>
      <x:c r="CB671" s="60"/>
      <x:c r="CC671" s="58"/>
      <x:c r="CD671" s="47"/>
      <x:c r="CE671" s="60"/>
      <x:c r="CF671" s="58"/>
      <x:c r="CG671" s="47"/>
      <x:c r="CH671" s="60"/>
      <x:c r="CI671" s="58"/>
      <x:c r="CJ671" s="47"/>
      <x:c r="CK671" s="60"/>
      <x:c r="CL671" s="58"/>
      <x:c r="CM671" s="47"/>
      <x:c r="CN671" s="60"/>
      <x:c r="CO671" s="58"/>
      <x:c r="CP671" s="47"/>
      <x:c r="CQ671" s="60"/>
      <x:c r="CR671" s="58"/>
      <x:c r="CS671" s="47"/>
      <x:c r="CT671" s="60"/>
      <x:c r="CU671" s="58"/>
      <x:c r="CV671" s="47"/>
      <x:c r="CW671" s="60"/>
      <x:c r="CX671" s="58"/>
      <x:c r="CY671" s="47"/>
      <x:c r="CZ671" s="60"/>
      <x:c r="DA671" s="58"/>
      <x:c r="DB671" s="47"/>
      <x:c r="DC671" s="60"/>
      <x:c r="DD671" s="58"/>
      <x:c r="DE671" s="47"/>
      <x:c r="DF671" s="60"/>
      <x:c r="DG671" s="58"/>
      <x:c r="DH671" s="47"/>
      <x:c r="DI671" s="60"/>
      <x:c r="DJ671" s="58"/>
      <x:c r="DK671" s="47"/>
      <x:c r="DL671" s="60"/>
      <x:c r="DM671" s="58"/>
      <x:c r="DN671" s="11"/>
      <x:c r="DO671" s="61"/>
      <x:c r="DP671" s="62"/>
      <x:c r="DQ671" s="11"/>
      <x:c r="DR671" s="61"/>
      <x:c r="DS671" s="62"/>
      <x:c r="DT671" s="11"/>
      <x:c r="DU671" s="61"/>
      <x:c r="DV671" s="62"/>
    </x:row>
    <x:row r="672" spans="1:126" x14ac:dyDescent="0.3">
      <x:c r="A672" s="47"/>
      <x:c r="B672" s="70"/>
      <x:c r="C672" s="70"/>
      <x:c r="D672" s="70"/>
      <x:c r="E672" s="70"/>
      <x:c r="F672" s="70"/>
      <x:c r="G672" s="70"/>
      <x:c r="H672" s="70"/>
      <x:c r="I672" s="70"/>
      <x:c r="J672" s="70"/>
      <x:c r="K672" s="190"/>
      <x:c r="L672" s="195"/>
      <x:c r="M672" s="192"/>
      <x:c r="N672" s="192"/>
      <x:c r="O672" s="69"/>
      <x:c r="P672" s="47"/>
      <x:c r="Q672" s="60"/>
      <x:c r="R672" s="58"/>
      <x:c r="S672" s="47"/>
      <x:c r="T672" s="60"/>
      <x:c r="U672" s="58"/>
      <x:c r="V672" s="47"/>
      <x:c r="W672" s="60"/>
      <x:c r="X672" s="58"/>
      <x:c r="Y672" s="47"/>
      <x:c r="Z672" s="60"/>
      <x:c r="AA672" s="58"/>
      <x:c r="AB672" s="47"/>
      <x:c r="AC672" s="60"/>
      <x:c r="AD672" s="58"/>
      <x:c r="AE672" s="47"/>
      <x:c r="AF672" s="60"/>
      <x:c r="AG672" s="58"/>
      <x:c r="AH672" s="47"/>
      <x:c r="AI672" s="60"/>
      <x:c r="AJ672" s="58"/>
      <x:c r="AK672" s="47"/>
      <x:c r="AL672" s="60"/>
      <x:c r="AM672" s="58"/>
      <x:c r="AN672" s="47"/>
      <x:c r="AO672" s="60"/>
      <x:c r="AP672" s="58"/>
      <x:c r="AQ672" s="47"/>
      <x:c r="AR672" s="60"/>
      <x:c r="AS672" s="58"/>
      <x:c r="AT672" s="47"/>
      <x:c r="AU672" s="60"/>
      <x:c r="AV672" s="58"/>
      <x:c r="AW672" s="47"/>
      <x:c r="AX672" s="60"/>
      <x:c r="AY672" s="58"/>
      <x:c r="AZ672" s="47"/>
      <x:c r="BA672" s="60"/>
      <x:c r="BB672" s="58"/>
      <x:c r="BC672" s="47"/>
      <x:c r="BD672" s="60"/>
      <x:c r="BE672" s="58"/>
      <x:c r="BF672" s="47"/>
      <x:c r="BG672" s="60"/>
      <x:c r="BH672" s="58"/>
      <x:c r="BI672" s="47"/>
      <x:c r="BJ672" s="60"/>
      <x:c r="BK672" s="58"/>
      <x:c r="BL672" s="47"/>
      <x:c r="BM672" s="60"/>
      <x:c r="BN672" s="58"/>
      <x:c r="BO672" s="47"/>
      <x:c r="BP672" s="60"/>
      <x:c r="BQ672" s="58"/>
      <x:c r="BR672" s="47"/>
      <x:c r="BS672" s="60"/>
      <x:c r="BT672" s="58"/>
      <x:c r="BU672" s="47"/>
      <x:c r="BV672" s="60"/>
      <x:c r="BW672" s="58"/>
      <x:c r="BX672" s="47"/>
      <x:c r="BY672" s="60"/>
      <x:c r="BZ672" s="58"/>
      <x:c r="CA672" s="47"/>
      <x:c r="CB672" s="60"/>
      <x:c r="CC672" s="58"/>
      <x:c r="CD672" s="47"/>
      <x:c r="CE672" s="60"/>
      <x:c r="CF672" s="58"/>
      <x:c r="CG672" s="47"/>
      <x:c r="CH672" s="60"/>
      <x:c r="CI672" s="58"/>
      <x:c r="CJ672" s="47"/>
      <x:c r="CK672" s="60"/>
      <x:c r="CL672" s="58"/>
      <x:c r="CM672" s="47"/>
      <x:c r="CN672" s="60"/>
      <x:c r="CO672" s="58"/>
      <x:c r="CP672" s="47"/>
      <x:c r="CQ672" s="60"/>
      <x:c r="CR672" s="58"/>
      <x:c r="CS672" s="47"/>
      <x:c r="CT672" s="60"/>
      <x:c r="CU672" s="58"/>
      <x:c r="CV672" s="47"/>
      <x:c r="CW672" s="60"/>
      <x:c r="CX672" s="58"/>
      <x:c r="CY672" s="47"/>
      <x:c r="CZ672" s="60"/>
      <x:c r="DA672" s="58"/>
      <x:c r="DB672" s="47"/>
      <x:c r="DC672" s="60"/>
      <x:c r="DD672" s="58"/>
      <x:c r="DE672" s="47"/>
      <x:c r="DF672" s="60"/>
      <x:c r="DG672" s="58"/>
      <x:c r="DH672" s="47"/>
      <x:c r="DI672" s="60"/>
      <x:c r="DJ672" s="58"/>
      <x:c r="DK672" s="47"/>
      <x:c r="DL672" s="60"/>
      <x:c r="DM672" s="58"/>
      <x:c r="DN672" s="11"/>
      <x:c r="DO672" s="61"/>
      <x:c r="DP672" s="62"/>
      <x:c r="DQ672" s="11"/>
      <x:c r="DR672" s="61"/>
      <x:c r="DS672" s="62"/>
      <x:c r="DT672" s="11"/>
      <x:c r="DU672" s="61"/>
      <x:c r="DV672" s="62"/>
    </x:row>
    <x:row r="673" spans="1:126" x14ac:dyDescent="0.3">
      <x:c r="A673" s="47"/>
      <x:c r="B673" s="70"/>
      <x:c r="C673" s="70"/>
      <x:c r="D673" s="70"/>
      <x:c r="E673" s="70"/>
      <x:c r="F673" s="70"/>
      <x:c r="G673" s="70"/>
      <x:c r="H673" s="70"/>
      <x:c r="I673" s="70"/>
      <x:c r="J673" s="70"/>
      <x:c r="K673" s="190"/>
      <x:c r="L673" s="195"/>
      <x:c r="M673" s="192"/>
      <x:c r="N673" s="192"/>
      <x:c r="O673" s="69"/>
      <x:c r="P673" s="47"/>
      <x:c r="Q673" s="60"/>
      <x:c r="R673" s="58"/>
      <x:c r="S673" s="47"/>
      <x:c r="T673" s="60"/>
      <x:c r="U673" s="58"/>
      <x:c r="V673" s="47"/>
      <x:c r="W673" s="60"/>
      <x:c r="X673" s="58"/>
      <x:c r="Y673" s="47"/>
      <x:c r="Z673" s="60"/>
      <x:c r="AA673" s="58"/>
      <x:c r="AB673" s="47"/>
      <x:c r="AC673" s="60"/>
      <x:c r="AD673" s="58"/>
      <x:c r="AE673" s="47"/>
      <x:c r="AF673" s="60"/>
      <x:c r="AG673" s="58"/>
      <x:c r="AH673" s="47"/>
      <x:c r="AI673" s="60"/>
      <x:c r="AJ673" s="58"/>
      <x:c r="AK673" s="47"/>
      <x:c r="AL673" s="60"/>
      <x:c r="AM673" s="58"/>
      <x:c r="AN673" s="47"/>
      <x:c r="AO673" s="60"/>
      <x:c r="AP673" s="58"/>
      <x:c r="AQ673" s="47"/>
      <x:c r="AR673" s="60"/>
      <x:c r="AS673" s="58"/>
      <x:c r="AT673" s="47"/>
      <x:c r="AU673" s="60"/>
      <x:c r="AV673" s="58"/>
      <x:c r="AW673" s="47"/>
      <x:c r="AX673" s="60"/>
      <x:c r="AY673" s="58"/>
      <x:c r="AZ673" s="47"/>
      <x:c r="BA673" s="60"/>
      <x:c r="BB673" s="58"/>
      <x:c r="BC673" s="47"/>
      <x:c r="BD673" s="60"/>
      <x:c r="BE673" s="58"/>
      <x:c r="BF673" s="47"/>
      <x:c r="BG673" s="60"/>
      <x:c r="BH673" s="58"/>
      <x:c r="BI673" s="47"/>
      <x:c r="BJ673" s="60"/>
      <x:c r="BK673" s="58"/>
      <x:c r="BL673" s="47"/>
      <x:c r="BM673" s="60"/>
      <x:c r="BN673" s="58"/>
      <x:c r="BO673" s="47"/>
      <x:c r="BP673" s="60"/>
      <x:c r="BQ673" s="58"/>
      <x:c r="BR673" s="47"/>
      <x:c r="BS673" s="60"/>
      <x:c r="BT673" s="58"/>
      <x:c r="BU673" s="47"/>
      <x:c r="BV673" s="60"/>
      <x:c r="BW673" s="58"/>
      <x:c r="BX673" s="47"/>
      <x:c r="BY673" s="60"/>
      <x:c r="BZ673" s="58"/>
      <x:c r="CA673" s="47"/>
      <x:c r="CB673" s="60"/>
      <x:c r="CC673" s="58"/>
      <x:c r="CD673" s="47"/>
      <x:c r="CE673" s="60"/>
      <x:c r="CF673" s="58"/>
      <x:c r="CG673" s="47"/>
      <x:c r="CH673" s="60"/>
      <x:c r="CI673" s="58"/>
      <x:c r="CJ673" s="47"/>
      <x:c r="CK673" s="60"/>
      <x:c r="CL673" s="58"/>
      <x:c r="CM673" s="47"/>
      <x:c r="CN673" s="60"/>
      <x:c r="CO673" s="58"/>
      <x:c r="CP673" s="47"/>
      <x:c r="CQ673" s="60"/>
      <x:c r="CR673" s="58"/>
      <x:c r="CS673" s="47"/>
      <x:c r="CT673" s="60"/>
      <x:c r="CU673" s="58"/>
      <x:c r="CV673" s="47"/>
      <x:c r="CW673" s="60"/>
      <x:c r="CX673" s="58"/>
      <x:c r="CY673" s="47"/>
      <x:c r="CZ673" s="60"/>
      <x:c r="DA673" s="58"/>
      <x:c r="DB673" s="47"/>
      <x:c r="DC673" s="60"/>
      <x:c r="DD673" s="58"/>
      <x:c r="DE673" s="47"/>
      <x:c r="DF673" s="60"/>
      <x:c r="DG673" s="58"/>
      <x:c r="DH673" s="47"/>
      <x:c r="DI673" s="60"/>
      <x:c r="DJ673" s="58"/>
      <x:c r="DK673" s="47"/>
      <x:c r="DL673" s="60"/>
      <x:c r="DM673" s="58"/>
      <x:c r="DN673" s="11"/>
      <x:c r="DO673" s="61"/>
      <x:c r="DP673" s="62"/>
      <x:c r="DQ673" s="11"/>
      <x:c r="DR673" s="61"/>
      <x:c r="DS673" s="62"/>
      <x:c r="DT673" s="11"/>
      <x:c r="DU673" s="61"/>
      <x:c r="DV673" s="62"/>
    </x:row>
    <x:row r="674" spans="1:126" x14ac:dyDescent="0.3">
      <x:c r="A674" s="47"/>
      <x:c r="B674" s="70"/>
      <x:c r="C674" s="70"/>
      <x:c r="D674" s="70"/>
      <x:c r="E674" s="70"/>
      <x:c r="F674" s="70"/>
      <x:c r="G674" s="70"/>
      <x:c r="H674" s="70"/>
      <x:c r="I674" s="70"/>
      <x:c r="J674" s="70"/>
      <x:c r="K674" s="190"/>
      <x:c r="L674" s="195"/>
      <x:c r="M674" s="192"/>
      <x:c r="N674" s="192"/>
      <x:c r="O674" s="69"/>
      <x:c r="P674" s="47"/>
      <x:c r="Q674" s="60"/>
      <x:c r="R674" s="58"/>
      <x:c r="S674" s="47"/>
      <x:c r="T674" s="60"/>
      <x:c r="U674" s="58"/>
      <x:c r="V674" s="47"/>
      <x:c r="W674" s="60"/>
      <x:c r="X674" s="58"/>
      <x:c r="Y674" s="47"/>
      <x:c r="Z674" s="60"/>
      <x:c r="AA674" s="58"/>
      <x:c r="AB674" s="47"/>
      <x:c r="AC674" s="60"/>
      <x:c r="AD674" s="58"/>
      <x:c r="AE674" s="47"/>
      <x:c r="AF674" s="60"/>
      <x:c r="AG674" s="58"/>
      <x:c r="AH674" s="47"/>
      <x:c r="AI674" s="60"/>
      <x:c r="AJ674" s="58"/>
      <x:c r="AK674" s="47"/>
      <x:c r="AL674" s="60"/>
      <x:c r="AM674" s="58"/>
      <x:c r="AN674" s="47"/>
      <x:c r="AO674" s="60"/>
      <x:c r="AP674" s="58"/>
      <x:c r="AQ674" s="47"/>
      <x:c r="AR674" s="60"/>
      <x:c r="AS674" s="58"/>
      <x:c r="AT674" s="47"/>
      <x:c r="AU674" s="60"/>
      <x:c r="AV674" s="58"/>
      <x:c r="AW674" s="47"/>
      <x:c r="AX674" s="60"/>
      <x:c r="AY674" s="58"/>
      <x:c r="AZ674" s="47"/>
      <x:c r="BA674" s="60"/>
      <x:c r="BB674" s="58"/>
      <x:c r="BC674" s="47"/>
      <x:c r="BD674" s="60"/>
      <x:c r="BE674" s="58"/>
      <x:c r="BF674" s="47"/>
      <x:c r="BG674" s="60"/>
      <x:c r="BH674" s="58"/>
      <x:c r="BI674" s="47"/>
      <x:c r="BJ674" s="60"/>
      <x:c r="BK674" s="58"/>
      <x:c r="BL674" s="47"/>
      <x:c r="BM674" s="60"/>
      <x:c r="BN674" s="58"/>
      <x:c r="BO674" s="47"/>
      <x:c r="BP674" s="60"/>
      <x:c r="BQ674" s="58"/>
      <x:c r="BR674" s="47"/>
      <x:c r="BS674" s="60"/>
      <x:c r="BT674" s="58"/>
      <x:c r="BU674" s="47"/>
      <x:c r="BV674" s="60"/>
      <x:c r="BW674" s="58"/>
      <x:c r="BX674" s="47"/>
      <x:c r="BY674" s="60"/>
      <x:c r="BZ674" s="58"/>
      <x:c r="CA674" s="47"/>
      <x:c r="CB674" s="60"/>
      <x:c r="CC674" s="58"/>
      <x:c r="CD674" s="47"/>
      <x:c r="CE674" s="60"/>
      <x:c r="CF674" s="58"/>
      <x:c r="CG674" s="47"/>
      <x:c r="CH674" s="60"/>
      <x:c r="CI674" s="58"/>
      <x:c r="CJ674" s="47"/>
      <x:c r="CK674" s="60"/>
      <x:c r="CL674" s="58"/>
      <x:c r="CM674" s="47"/>
      <x:c r="CN674" s="60"/>
      <x:c r="CO674" s="58"/>
      <x:c r="CP674" s="47"/>
      <x:c r="CQ674" s="60"/>
      <x:c r="CR674" s="58"/>
      <x:c r="CS674" s="47"/>
      <x:c r="CT674" s="60"/>
      <x:c r="CU674" s="58"/>
      <x:c r="CV674" s="47"/>
      <x:c r="CW674" s="60"/>
      <x:c r="CX674" s="58"/>
      <x:c r="CY674" s="47"/>
      <x:c r="CZ674" s="60"/>
      <x:c r="DA674" s="58"/>
      <x:c r="DB674" s="47"/>
      <x:c r="DC674" s="60"/>
      <x:c r="DD674" s="58"/>
      <x:c r="DE674" s="47"/>
      <x:c r="DF674" s="60"/>
      <x:c r="DG674" s="58"/>
      <x:c r="DH674" s="47"/>
      <x:c r="DI674" s="60"/>
      <x:c r="DJ674" s="58"/>
      <x:c r="DK674" s="47"/>
      <x:c r="DL674" s="60"/>
      <x:c r="DM674" s="58"/>
      <x:c r="DN674" s="11"/>
      <x:c r="DO674" s="61"/>
      <x:c r="DP674" s="62"/>
      <x:c r="DQ674" s="11"/>
      <x:c r="DR674" s="61"/>
      <x:c r="DS674" s="62"/>
      <x:c r="DT674" s="11"/>
      <x:c r="DU674" s="61"/>
      <x:c r="DV674" s="62"/>
    </x:row>
    <x:row r="675" spans="1:126" x14ac:dyDescent="0.3">
      <x:c r="A675" s="47"/>
      <x:c r="B675" s="70"/>
      <x:c r="C675" s="70"/>
      <x:c r="D675" s="70"/>
      <x:c r="E675" s="70"/>
      <x:c r="F675" s="70"/>
      <x:c r="G675" s="70"/>
      <x:c r="H675" s="70"/>
      <x:c r="I675" s="70"/>
      <x:c r="J675" s="70"/>
      <x:c r="K675" s="190"/>
      <x:c r="L675" s="195"/>
      <x:c r="M675" s="192"/>
      <x:c r="N675" s="192"/>
      <x:c r="O675" s="69"/>
      <x:c r="P675" s="47"/>
      <x:c r="Q675" s="60"/>
      <x:c r="R675" s="58"/>
      <x:c r="S675" s="47"/>
      <x:c r="T675" s="60"/>
      <x:c r="U675" s="58"/>
      <x:c r="V675" s="47"/>
      <x:c r="W675" s="60"/>
      <x:c r="X675" s="58"/>
      <x:c r="Y675" s="47"/>
      <x:c r="Z675" s="60"/>
      <x:c r="AA675" s="58"/>
      <x:c r="AB675" s="47"/>
      <x:c r="AC675" s="60"/>
      <x:c r="AD675" s="58"/>
      <x:c r="AE675" s="47"/>
      <x:c r="AF675" s="60"/>
      <x:c r="AG675" s="58"/>
      <x:c r="AH675" s="47"/>
      <x:c r="AI675" s="60"/>
      <x:c r="AJ675" s="58"/>
      <x:c r="AK675" s="47"/>
      <x:c r="AL675" s="60"/>
      <x:c r="AM675" s="58"/>
      <x:c r="AN675" s="47"/>
      <x:c r="AO675" s="60"/>
      <x:c r="AP675" s="58"/>
      <x:c r="AQ675" s="47"/>
      <x:c r="AR675" s="60"/>
      <x:c r="AS675" s="58"/>
      <x:c r="AT675" s="47"/>
      <x:c r="AU675" s="60"/>
      <x:c r="AV675" s="58"/>
      <x:c r="AW675" s="47"/>
      <x:c r="AX675" s="60"/>
      <x:c r="AY675" s="58"/>
      <x:c r="AZ675" s="47"/>
      <x:c r="BA675" s="60"/>
      <x:c r="BB675" s="58"/>
      <x:c r="BC675" s="47"/>
      <x:c r="BD675" s="60"/>
      <x:c r="BE675" s="58"/>
      <x:c r="BF675" s="47"/>
      <x:c r="BG675" s="60"/>
      <x:c r="BH675" s="58"/>
      <x:c r="BI675" s="47"/>
      <x:c r="BJ675" s="60"/>
      <x:c r="BK675" s="58"/>
      <x:c r="BL675" s="47"/>
      <x:c r="BM675" s="60"/>
      <x:c r="BN675" s="58"/>
      <x:c r="BO675" s="47"/>
      <x:c r="BP675" s="60"/>
      <x:c r="BQ675" s="58"/>
      <x:c r="BR675" s="47"/>
      <x:c r="BS675" s="60"/>
      <x:c r="BT675" s="58"/>
      <x:c r="BU675" s="47"/>
      <x:c r="BV675" s="60"/>
      <x:c r="BW675" s="58"/>
      <x:c r="BX675" s="47"/>
      <x:c r="BY675" s="60"/>
      <x:c r="BZ675" s="58"/>
      <x:c r="CA675" s="47"/>
      <x:c r="CB675" s="60"/>
      <x:c r="CC675" s="58"/>
      <x:c r="CD675" s="47"/>
      <x:c r="CE675" s="60"/>
      <x:c r="CF675" s="58"/>
      <x:c r="CG675" s="47"/>
      <x:c r="CH675" s="60"/>
      <x:c r="CI675" s="58"/>
      <x:c r="CJ675" s="47"/>
      <x:c r="CK675" s="60"/>
      <x:c r="CL675" s="58"/>
      <x:c r="CM675" s="47"/>
      <x:c r="CN675" s="60"/>
      <x:c r="CO675" s="58"/>
      <x:c r="CP675" s="47"/>
      <x:c r="CQ675" s="60"/>
      <x:c r="CR675" s="58"/>
      <x:c r="CS675" s="47"/>
      <x:c r="CT675" s="60"/>
      <x:c r="CU675" s="58"/>
      <x:c r="CV675" s="47"/>
      <x:c r="CW675" s="60"/>
      <x:c r="CX675" s="58"/>
      <x:c r="CY675" s="47"/>
      <x:c r="CZ675" s="60"/>
      <x:c r="DA675" s="58"/>
      <x:c r="DB675" s="47"/>
      <x:c r="DC675" s="60"/>
      <x:c r="DD675" s="58"/>
      <x:c r="DE675" s="47"/>
      <x:c r="DF675" s="60"/>
      <x:c r="DG675" s="58"/>
      <x:c r="DH675" s="47"/>
      <x:c r="DI675" s="60"/>
      <x:c r="DJ675" s="58"/>
      <x:c r="DK675" s="47"/>
      <x:c r="DL675" s="60"/>
      <x:c r="DM675" s="58"/>
      <x:c r="DN675" s="11"/>
      <x:c r="DO675" s="61"/>
      <x:c r="DP675" s="62"/>
      <x:c r="DQ675" s="11"/>
      <x:c r="DR675" s="61"/>
      <x:c r="DS675" s="62"/>
      <x:c r="DT675" s="11"/>
      <x:c r="DU675" s="61"/>
      <x:c r="DV675" s="62"/>
    </x:row>
    <x:row r="676" spans="1:126" x14ac:dyDescent="0.3">
      <x:c r="A676" s="47"/>
      <x:c r="B676" s="70"/>
      <x:c r="C676" s="70"/>
      <x:c r="D676" s="70"/>
      <x:c r="E676" s="70"/>
      <x:c r="F676" s="70"/>
      <x:c r="G676" s="70"/>
      <x:c r="H676" s="70"/>
      <x:c r="I676" s="70"/>
      <x:c r="J676" s="70"/>
      <x:c r="K676" s="190"/>
      <x:c r="L676" s="195"/>
      <x:c r="M676" s="192"/>
      <x:c r="N676" s="192"/>
      <x:c r="O676" s="69"/>
      <x:c r="P676" s="47"/>
      <x:c r="Q676" s="60"/>
      <x:c r="R676" s="58"/>
      <x:c r="S676" s="47"/>
      <x:c r="T676" s="60"/>
      <x:c r="U676" s="58"/>
      <x:c r="V676" s="47"/>
      <x:c r="W676" s="60"/>
      <x:c r="X676" s="58"/>
      <x:c r="Y676" s="47"/>
      <x:c r="Z676" s="60"/>
      <x:c r="AA676" s="58"/>
      <x:c r="AB676" s="47"/>
      <x:c r="AC676" s="60"/>
      <x:c r="AD676" s="58"/>
      <x:c r="AE676" s="47"/>
      <x:c r="AF676" s="60"/>
      <x:c r="AG676" s="58"/>
      <x:c r="AH676" s="47"/>
      <x:c r="AI676" s="60"/>
      <x:c r="AJ676" s="58"/>
      <x:c r="AK676" s="47"/>
      <x:c r="AL676" s="60"/>
      <x:c r="AM676" s="58"/>
      <x:c r="AN676" s="47"/>
      <x:c r="AO676" s="60"/>
      <x:c r="AP676" s="58"/>
      <x:c r="AQ676" s="47"/>
      <x:c r="AR676" s="60"/>
      <x:c r="AS676" s="58"/>
      <x:c r="AT676" s="47"/>
      <x:c r="AU676" s="60"/>
      <x:c r="AV676" s="58"/>
      <x:c r="AW676" s="47"/>
      <x:c r="AX676" s="60"/>
      <x:c r="AY676" s="58"/>
      <x:c r="AZ676" s="47"/>
      <x:c r="BA676" s="60"/>
      <x:c r="BB676" s="58"/>
      <x:c r="BC676" s="47"/>
      <x:c r="BD676" s="60"/>
      <x:c r="BE676" s="58"/>
      <x:c r="BF676" s="47"/>
      <x:c r="BG676" s="60"/>
      <x:c r="BH676" s="58"/>
      <x:c r="BI676" s="47"/>
      <x:c r="BJ676" s="60"/>
      <x:c r="BK676" s="58"/>
      <x:c r="BL676" s="47"/>
      <x:c r="BM676" s="60"/>
      <x:c r="BN676" s="58"/>
      <x:c r="BO676" s="47"/>
      <x:c r="BP676" s="60"/>
      <x:c r="BQ676" s="58"/>
      <x:c r="BR676" s="47"/>
      <x:c r="BS676" s="60"/>
      <x:c r="BT676" s="58"/>
      <x:c r="BU676" s="47"/>
      <x:c r="BV676" s="60"/>
      <x:c r="BW676" s="58"/>
      <x:c r="BX676" s="47"/>
      <x:c r="BY676" s="60"/>
      <x:c r="BZ676" s="58"/>
      <x:c r="CA676" s="47"/>
      <x:c r="CB676" s="60"/>
      <x:c r="CC676" s="58"/>
      <x:c r="CD676" s="47"/>
      <x:c r="CE676" s="60"/>
      <x:c r="CF676" s="58"/>
      <x:c r="CG676" s="47"/>
      <x:c r="CH676" s="60"/>
      <x:c r="CI676" s="58"/>
      <x:c r="CJ676" s="47"/>
      <x:c r="CK676" s="60"/>
      <x:c r="CL676" s="58"/>
      <x:c r="CM676" s="47"/>
      <x:c r="CN676" s="60"/>
      <x:c r="CO676" s="58"/>
      <x:c r="CP676" s="47"/>
      <x:c r="CQ676" s="60"/>
      <x:c r="CR676" s="58"/>
      <x:c r="CS676" s="47"/>
      <x:c r="CT676" s="60"/>
      <x:c r="CU676" s="58"/>
      <x:c r="CV676" s="47"/>
      <x:c r="CW676" s="60"/>
      <x:c r="CX676" s="58"/>
      <x:c r="CY676" s="47"/>
      <x:c r="CZ676" s="60"/>
      <x:c r="DA676" s="58"/>
      <x:c r="DB676" s="47"/>
      <x:c r="DC676" s="60"/>
      <x:c r="DD676" s="58"/>
      <x:c r="DE676" s="47"/>
      <x:c r="DF676" s="60"/>
      <x:c r="DG676" s="58"/>
      <x:c r="DH676" s="47"/>
      <x:c r="DI676" s="60"/>
      <x:c r="DJ676" s="58"/>
      <x:c r="DK676" s="47"/>
      <x:c r="DL676" s="60"/>
      <x:c r="DM676" s="58"/>
      <x:c r="DN676" s="11"/>
      <x:c r="DO676" s="61"/>
      <x:c r="DP676" s="62"/>
      <x:c r="DQ676" s="11"/>
      <x:c r="DR676" s="61"/>
      <x:c r="DS676" s="62"/>
      <x:c r="DT676" s="11"/>
      <x:c r="DU676" s="61"/>
      <x:c r="DV676" s="62"/>
    </x:row>
    <x:row r="677" spans="1:126" x14ac:dyDescent="0.3">
      <x:c r="A677" s="47"/>
      <x:c r="B677" s="70"/>
      <x:c r="C677" s="70"/>
      <x:c r="D677" s="70"/>
      <x:c r="E677" s="70"/>
      <x:c r="F677" s="70"/>
      <x:c r="G677" s="70"/>
      <x:c r="H677" s="70"/>
      <x:c r="I677" s="70"/>
      <x:c r="J677" s="70"/>
      <x:c r="K677" s="190"/>
      <x:c r="L677" s="195"/>
      <x:c r="M677" s="192"/>
      <x:c r="N677" s="192"/>
      <x:c r="O677" s="69"/>
      <x:c r="P677" s="47"/>
      <x:c r="Q677" s="60"/>
      <x:c r="R677" s="58"/>
      <x:c r="S677" s="47"/>
      <x:c r="T677" s="60"/>
      <x:c r="U677" s="58"/>
      <x:c r="V677" s="47"/>
      <x:c r="W677" s="60"/>
      <x:c r="X677" s="58"/>
      <x:c r="Y677" s="47"/>
      <x:c r="Z677" s="60"/>
      <x:c r="AA677" s="58"/>
      <x:c r="AB677" s="47"/>
      <x:c r="AC677" s="60"/>
      <x:c r="AD677" s="58"/>
      <x:c r="AE677" s="47"/>
      <x:c r="AF677" s="60"/>
      <x:c r="AG677" s="58"/>
      <x:c r="AH677" s="47"/>
      <x:c r="AI677" s="60"/>
      <x:c r="AJ677" s="58"/>
      <x:c r="AK677" s="47"/>
      <x:c r="AL677" s="60"/>
      <x:c r="AM677" s="58"/>
      <x:c r="AN677" s="47"/>
      <x:c r="AO677" s="60"/>
      <x:c r="AP677" s="58"/>
      <x:c r="AQ677" s="47"/>
      <x:c r="AR677" s="60"/>
      <x:c r="AS677" s="58"/>
      <x:c r="AT677" s="47"/>
      <x:c r="AU677" s="60"/>
      <x:c r="AV677" s="58"/>
      <x:c r="AW677" s="47"/>
      <x:c r="AX677" s="60"/>
      <x:c r="AY677" s="58"/>
      <x:c r="AZ677" s="47"/>
      <x:c r="BA677" s="60"/>
      <x:c r="BB677" s="58"/>
      <x:c r="BC677" s="47"/>
      <x:c r="BD677" s="60"/>
      <x:c r="BE677" s="58"/>
      <x:c r="BF677" s="47"/>
      <x:c r="BG677" s="60"/>
      <x:c r="BH677" s="58"/>
      <x:c r="BI677" s="47"/>
      <x:c r="BJ677" s="60"/>
      <x:c r="BK677" s="58"/>
      <x:c r="BL677" s="47"/>
      <x:c r="BM677" s="60"/>
      <x:c r="BN677" s="58"/>
      <x:c r="BO677" s="47"/>
      <x:c r="BP677" s="60"/>
      <x:c r="BQ677" s="58"/>
      <x:c r="BR677" s="47"/>
      <x:c r="BS677" s="60"/>
      <x:c r="BT677" s="58"/>
      <x:c r="BU677" s="47"/>
      <x:c r="BV677" s="60"/>
      <x:c r="BW677" s="58"/>
      <x:c r="BX677" s="47"/>
      <x:c r="BY677" s="60"/>
      <x:c r="BZ677" s="58"/>
      <x:c r="CA677" s="47"/>
      <x:c r="CB677" s="60"/>
      <x:c r="CC677" s="58"/>
      <x:c r="CD677" s="47"/>
      <x:c r="CE677" s="60"/>
      <x:c r="CF677" s="58"/>
      <x:c r="CG677" s="47"/>
      <x:c r="CH677" s="60"/>
      <x:c r="CI677" s="58"/>
      <x:c r="CJ677" s="47"/>
      <x:c r="CK677" s="60"/>
      <x:c r="CL677" s="58"/>
      <x:c r="CM677" s="47"/>
      <x:c r="CN677" s="60"/>
      <x:c r="CO677" s="58"/>
      <x:c r="CP677" s="47"/>
      <x:c r="CQ677" s="60"/>
      <x:c r="CR677" s="58"/>
      <x:c r="CS677" s="47"/>
      <x:c r="CT677" s="60"/>
      <x:c r="CU677" s="58"/>
      <x:c r="CV677" s="47"/>
      <x:c r="CW677" s="60"/>
      <x:c r="CX677" s="58"/>
      <x:c r="CY677" s="47"/>
      <x:c r="CZ677" s="60"/>
      <x:c r="DA677" s="58"/>
      <x:c r="DB677" s="47"/>
      <x:c r="DC677" s="60"/>
      <x:c r="DD677" s="58"/>
      <x:c r="DE677" s="47"/>
      <x:c r="DF677" s="60"/>
      <x:c r="DG677" s="58"/>
      <x:c r="DH677" s="47"/>
      <x:c r="DI677" s="60"/>
      <x:c r="DJ677" s="58"/>
      <x:c r="DK677" s="47"/>
      <x:c r="DL677" s="60"/>
      <x:c r="DM677" s="58"/>
      <x:c r="DN677" s="11"/>
      <x:c r="DO677" s="61"/>
      <x:c r="DP677" s="62"/>
      <x:c r="DQ677" s="11"/>
      <x:c r="DR677" s="61"/>
      <x:c r="DS677" s="62"/>
      <x:c r="DT677" s="11"/>
      <x:c r="DU677" s="61"/>
      <x:c r="DV677" s="62"/>
    </x:row>
    <x:row r="678" spans="1:126" x14ac:dyDescent="0.3">
      <x:c r="A678" s="47"/>
      <x:c r="B678" s="70"/>
      <x:c r="C678" s="70"/>
      <x:c r="D678" s="70"/>
      <x:c r="E678" s="70"/>
      <x:c r="F678" s="70"/>
      <x:c r="G678" s="70"/>
      <x:c r="H678" s="70"/>
      <x:c r="I678" s="70"/>
      <x:c r="J678" s="70"/>
      <x:c r="K678" s="190"/>
      <x:c r="L678" s="195"/>
      <x:c r="M678" s="192"/>
      <x:c r="N678" s="192"/>
      <x:c r="O678" s="69"/>
      <x:c r="P678" s="47"/>
      <x:c r="Q678" s="60"/>
      <x:c r="R678" s="58"/>
      <x:c r="S678" s="47"/>
      <x:c r="T678" s="60"/>
      <x:c r="U678" s="58"/>
      <x:c r="V678" s="47"/>
      <x:c r="W678" s="60"/>
      <x:c r="X678" s="58"/>
      <x:c r="Y678" s="47"/>
      <x:c r="Z678" s="60"/>
      <x:c r="AA678" s="58"/>
      <x:c r="AB678" s="47"/>
      <x:c r="AC678" s="60"/>
      <x:c r="AD678" s="58"/>
      <x:c r="AE678" s="47"/>
      <x:c r="AF678" s="60"/>
      <x:c r="AG678" s="58"/>
      <x:c r="AH678" s="47"/>
      <x:c r="AI678" s="60"/>
      <x:c r="AJ678" s="58"/>
      <x:c r="AK678" s="47"/>
      <x:c r="AL678" s="60"/>
      <x:c r="AM678" s="58"/>
      <x:c r="AN678" s="47"/>
      <x:c r="AO678" s="60"/>
      <x:c r="AP678" s="58"/>
      <x:c r="AQ678" s="47"/>
      <x:c r="AR678" s="60"/>
      <x:c r="AS678" s="58"/>
      <x:c r="AT678" s="47"/>
      <x:c r="AU678" s="60"/>
      <x:c r="AV678" s="58"/>
      <x:c r="AW678" s="47"/>
      <x:c r="AX678" s="60"/>
      <x:c r="AY678" s="58"/>
      <x:c r="AZ678" s="47"/>
      <x:c r="BA678" s="60"/>
      <x:c r="BB678" s="58"/>
      <x:c r="BC678" s="47"/>
      <x:c r="BD678" s="60"/>
      <x:c r="BE678" s="58"/>
      <x:c r="BF678" s="47"/>
      <x:c r="BG678" s="60"/>
      <x:c r="BH678" s="58"/>
      <x:c r="BI678" s="47"/>
      <x:c r="BJ678" s="60"/>
      <x:c r="BK678" s="58"/>
      <x:c r="BL678" s="47"/>
      <x:c r="BM678" s="60"/>
      <x:c r="BN678" s="58"/>
      <x:c r="BO678" s="47"/>
      <x:c r="BP678" s="60"/>
      <x:c r="BQ678" s="58"/>
      <x:c r="BR678" s="47"/>
      <x:c r="BS678" s="60"/>
      <x:c r="BT678" s="58"/>
      <x:c r="BU678" s="47"/>
      <x:c r="BV678" s="60"/>
      <x:c r="BW678" s="58"/>
      <x:c r="BX678" s="47"/>
      <x:c r="BY678" s="60"/>
      <x:c r="BZ678" s="58"/>
      <x:c r="CA678" s="47"/>
      <x:c r="CB678" s="60"/>
      <x:c r="CC678" s="58"/>
      <x:c r="CD678" s="47"/>
      <x:c r="CE678" s="60"/>
      <x:c r="CF678" s="58"/>
      <x:c r="CG678" s="47"/>
      <x:c r="CH678" s="60"/>
      <x:c r="CI678" s="58"/>
      <x:c r="CJ678" s="47"/>
      <x:c r="CK678" s="60"/>
      <x:c r="CL678" s="58"/>
      <x:c r="CM678" s="47"/>
      <x:c r="CN678" s="60"/>
      <x:c r="CO678" s="58"/>
      <x:c r="CP678" s="47"/>
      <x:c r="CQ678" s="60"/>
      <x:c r="CR678" s="58"/>
      <x:c r="CS678" s="47"/>
      <x:c r="CT678" s="60"/>
      <x:c r="CU678" s="58"/>
      <x:c r="CV678" s="47"/>
      <x:c r="CW678" s="60"/>
      <x:c r="CX678" s="58"/>
      <x:c r="CY678" s="47"/>
      <x:c r="CZ678" s="60"/>
      <x:c r="DA678" s="58"/>
      <x:c r="DB678" s="47"/>
      <x:c r="DC678" s="60"/>
      <x:c r="DD678" s="58"/>
      <x:c r="DE678" s="47"/>
      <x:c r="DF678" s="60"/>
      <x:c r="DG678" s="58"/>
      <x:c r="DH678" s="47"/>
      <x:c r="DI678" s="60"/>
      <x:c r="DJ678" s="58"/>
      <x:c r="DK678" s="47"/>
      <x:c r="DL678" s="60"/>
      <x:c r="DM678" s="58"/>
      <x:c r="DN678" s="11"/>
      <x:c r="DO678" s="61"/>
      <x:c r="DP678" s="62"/>
      <x:c r="DQ678" s="11"/>
      <x:c r="DR678" s="61"/>
      <x:c r="DS678" s="62"/>
      <x:c r="DT678" s="11"/>
      <x:c r="DU678" s="61"/>
      <x:c r="DV678" s="62"/>
    </x:row>
    <x:row r="679" spans="1:126" x14ac:dyDescent="0.3">
      <x:c r="A679" s="47"/>
      <x:c r="B679" s="70"/>
      <x:c r="C679" s="70"/>
      <x:c r="D679" s="70"/>
      <x:c r="E679" s="70"/>
      <x:c r="F679" s="70"/>
      <x:c r="G679" s="70"/>
      <x:c r="H679" s="70"/>
      <x:c r="I679" s="70"/>
      <x:c r="J679" s="70"/>
      <x:c r="K679" s="190"/>
      <x:c r="L679" s="195"/>
      <x:c r="M679" s="192"/>
      <x:c r="N679" s="192"/>
      <x:c r="O679" s="69"/>
      <x:c r="P679" s="47"/>
      <x:c r="Q679" s="60"/>
      <x:c r="R679" s="58"/>
      <x:c r="S679" s="47"/>
      <x:c r="T679" s="60"/>
      <x:c r="U679" s="58"/>
      <x:c r="V679" s="47"/>
      <x:c r="W679" s="60"/>
      <x:c r="X679" s="58"/>
      <x:c r="Y679" s="47"/>
      <x:c r="Z679" s="60"/>
      <x:c r="AA679" s="58"/>
      <x:c r="AB679" s="47"/>
      <x:c r="AC679" s="60"/>
      <x:c r="AD679" s="58"/>
      <x:c r="AE679" s="47"/>
      <x:c r="AF679" s="60"/>
      <x:c r="AG679" s="58"/>
      <x:c r="AH679" s="47"/>
      <x:c r="AI679" s="60"/>
      <x:c r="AJ679" s="58"/>
      <x:c r="AK679" s="47"/>
      <x:c r="AL679" s="60"/>
      <x:c r="AM679" s="58"/>
      <x:c r="AN679" s="47"/>
      <x:c r="AO679" s="60"/>
      <x:c r="AP679" s="58"/>
      <x:c r="AQ679" s="47"/>
      <x:c r="AR679" s="60"/>
      <x:c r="AS679" s="58"/>
      <x:c r="AT679" s="47"/>
      <x:c r="AU679" s="60"/>
      <x:c r="AV679" s="58"/>
      <x:c r="AW679" s="47"/>
      <x:c r="AX679" s="60"/>
      <x:c r="AY679" s="58"/>
      <x:c r="AZ679" s="47"/>
      <x:c r="BA679" s="60"/>
      <x:c r="BB679" s="58"/>
      <x:c r="BC679" s="47"/>
      <x:c r="BD679" s="60"/>
      <x:c r="BE679" s="58"/>
      <x:c r="BF679" s="47"/>
      <x:c r="BG679" s="60"/>
      <x:c r="BH679" s="58"/>
      <x:c r="BI679" s="47"/>
      <x:c r="BJ679" s="60"/>
      <x:c r="BK679" s="58"/>
      <x:c r="BL679" s="47"/>
      <x:c r="BM679" s="60"/>
      <x:c r="BN679" s="58"/>
      <x:c r="BO679" s="47"/>
      <x:c r="BP679" s="60"/>
      <x:c r="BQ679" s="58"/>
      <x:c r="BR679" s="47"/>
      <x:c r="BS679" s="60"/>
      <x:c r="BT679" s="58"/>
      <x:c r="BU679" s="47"/>
      <x:c r="BV679" s="60"/>
      <x:c r="BW679" s="58"/>
      <x:c r="BX679" s="47"/>
      <x:c r="BY679" s="60"/>
      <x:c r="BZ679" s="58"/>
      <x:c r="CA679" s="47"/>
      <x:c r="CB679" s="60"/>
      <x:c r="CC679" s="58"/>
      <x:c r="CD679" s="47"/>
      <x:c r="CE679" s="60"/>
      <x:c r="CF679" s="58"/>
      <x:c r="CG679" s="47"/>
      <x:c r="CH679" s="60"/>
      <x:c r="CI679" s="58"/>
      <x:c r="CJ679" s="47"/>
      <x:c r="CK679" s="60"/>
      <x:c r="CL679" s="58"/>
      <x:c r="CM679" s="47"/>
      <x:c r="CN679" s="60"/>
      <x:c r="CO679" s="58"/>
      <x:c r="CP679" s="47"/>
      <x:c r="CQ679" s="60"/>
      <x:c r="CR679" s="58"/>
      <x:c r="CS679" s="47"/>
      <x:c r="CT679" s="60"/>
      <x:c r="CU679" s="58"/>
      <x:c r="CV679" s="47"/>
      <x:c r="CW679" s="60"/>
      <x:c r="CX679" s="58"/>
      <x:c r="CY679" s="47"/>
      <x:c r="CZ679" s="60"/>
      <x:c r="DA679" s="58"/>
      <x:c r="DB679" s="47"/>
      <x:c r="DC679" s="60"/>
      <x:c r="DD679" s="58"/>
      <x:c r="DE679" s="47"/>
      <x:c r="DF679" s="60"/>
      <x:c r="DG679" s="58"/>
      <x:c r="DH679" s="47"/>
      <x:c r="DI679" s="60"/>
      <x:c r="DJ679" s="58"/>
      <x:c r="DK679" s="47"/>
      <x:c r="DL679" s="60"/>
      <x:c r="DM679" s="58"/>
      <x:c r="DN679" s="11"/>
      <x:c r="DO679" s="61"/>
      <x:c r="DP679" s="62"/>
      <x:c r="DQ679" s="11"/>
      <x:c r="DR679" s="61"/>
      <x:c r="DS679" s="62"/>
      <x:c r="DT679" s="11"/>
      <x:c r="DU679" s="61"/>
      <x:c r="DV679" s="62"/>
    </x:row>
    <x:row r="680" spans="1:126" x14ac:dyDescent="0.3">
      <x:c r="A680" s="47"/>
      <x:c r="B680" s="70"/>
      <x:c r="C680" s="70"/>
      <x:c r="D680" s="70"/>
      <x:c r="E680" s="70"/>
      <x:c r="F680" s="70"/>
      <x:c r="G680" s="70"/>
      <x:c r="H680" s="70"/>
      <x:c r="I680" s="70"/>
      <x:c r="J680" s="70"/>
      <x:c r="K680" s="190"/>
      <x:c r="L680" s="195"/>
      <x:c r="M680" s="192"/>
      <x:c r="N680" s="192"/>
      <x:c r="O680" s="69"/>
      <x:c r="P680" s="47"/>
      <x:c r="Q680" s="60"/>
      <x:c r="R680" s="58"/>
      <x:c r="S680" s="47"/>
      <x:c r="T680" s="60"/>
      <x:c r="U680" s="58"/>
      <x:c r="V680" s="47"/>
      <x:c r="W680" s="60"/>
      <x:c r="X680" s="58"/>
      <x:c r="Y680" s="47"/>
      <x:c r="Z680" s="60"/>
      <x:c r="AA680" s="58"/>
      <x:c r="AB680" s="47"/>
      <x:c r="AC680" s="60"/>
      <x:c r="AD680" s="58"/>
      <x:c r="AE680" s="47"/>
      <x:c r="AF680" s="60"/>
      <x:c r="AG680" s="58"/>
      <x:c r="AH680" s="47"/>
      <x:c r="AI680" s="60"/>
      <x:c r="AJ680" s="58"/>
      <x:c r="AK680" s="47"/>
      <x:c r="AL680" s="60"/>
      <x:c r="AM680" s="58"/>
      <x:c r="AN680" s="47"/>
      <x:c r="AO680" s="60"/>
      <x:c r="AP680" s="58"/>
      <x:c r="AQ680" s="47"/>
      <x:c r="AR680" s="60"/>
      <x:c r="AS680" s="58"/>
      <x:c r="AT680" s="47"/>
      <x:c r="AU680" s="60"/>
      <x:c r="AV680" s="58"/>
      <x:c r="AW680" s="47"/>
      <x:c r="AX680" s="60"/>
      <x:c r="AY680" s="58"/>
      <x:c r="AZ680" s="47"/>
      <x:c r="BA680" s="60"/>
      <x:c r="BB680" s="58"/>
      <x:c r="BC680" s="47"/>
      <x:c r="BD680" s="60"/>
      <x:c r="BE680" s="58"/>
      <x:c r="BF680" s="47"/>
      <x:c r="BG680" s="60"/>
      <x:c r="BH680" s="58"/>
      <x:c r="BI680" s="47"/>
      <x:c r="BJ680" s="60"/>
      <x:c r="BK680" s="58"/>
      <x:c r="BL680" s="47"/>
      <x:c r="BM680" s="60"/>
      <x:c r="BN680" s="58"/>
      <x:c r="BO680" s="47"/>
      <x:c r="BP680" s="60"/>
      <x:c r="BQ680" s="58"/>
      <x:c r="BR680" s="47"/>
      <x:c r="BS680" s="60"/>
      <x:c r="BT680" s="58"/>
      <x:c r="BU680" s="47"/>
      <x:c r="BV680" s="60"/>
      <x:c r="BW680" s="58"/>
      <x:c r="BX680" s="47"/>
      <x:c r="BY680" s="60"/>
      <x:c r="BZ680" s="58"/>
      <x:c r="CA680" s="47"/>
      <x:c r="CB680" s="60"/>
      <x:c r="CC680" s="58"/>
      <x:c r="CD680" s="47"/>
      <x:c r="CE680" s="60"/>
      <x:c r="CF680" s="58"/>
      <x:c r="CG680" s="47"/>
      <x:c r="CH680" s="60"/>
      <x:c r="CI680" s="58"/>
      <x:c r="CJ680" s="47"/>
      <x:c r="CK680" s="60"/>
      <x:c r="CL680" s="58"/>
      <x:c r="CM680" s="47"/>
      <x:c r="CN680" s="60"/>
      <x:c r="CO680" s="58"/>
      <x:c r="CP680" s="47"/>
      <x:c r="CQ680" s="60"/>
      <x:c r="CR680" s="58"/>
      <x:c r="CS680" s="47"/>
      <x:c r="CT680" s="60"/>
      <x:c r="CU680" s="58"/>
      <x:c r="CV680" s="47"/>
      <x:c r="CW680" s="60"/>
      <x:c r="CX680" s="58"/>
      <x:c r="CY680" s="47"/>
      <x:c r="CZ680" s="60"/>
      <x:c r="DA680" s="58"/>
      <x:c r="DB680" s="47"/>
      <x:c r="DC680" s="60"/>
      <x:c r="DD680" s="58"/>
      <x:c r="DE680" s="47"/>
      <x:c r="DF680" s="60"/>
      <x:c r="DG680" s="58"/>
      <x:c r="DH680" s="47"/>
      <x:c r="DI680" s="60"/>
      <x:c r="DJ680" s="58"/>
      <x:c r="DK680" s="47"/>
      <x:c r="DL680" s="60"/>
      <x:c r="DM680" s="58"/>
      <x:c r="DN680" s="11"/>
      <x:c r="DO680" s="61"/>
      <x:c r="DP680" s="62"/>
      <x:c r="DQ680" s="11"/>
      <x:c r="DR680" s="61"/>
      <x:c r="DS680" s="62"/>
      <x:c r="DT680" s="11"/>
      <x:c r="DU680" s="61"/>
      <x:c r="DV680" s="62"/>
    </x:row>
    <x:row r="681" spans="1:126" x14ac:dyDescent="0.3">
      <x:c r="A681" s="47"/>
      <x:c r="B681" s="70"/>
      <x:c r="C681" s="70"/>
      <x:c r="D681" s="70"/>
      <x:c r="E681" s="70"/>
      <x:c r="F681" s="70"/>
      <x:c r="G681" s="70"/>
      <x:c r="H681" s="70"/>
      <x:c r="I681" s="70"/>
      <x:c r="J681" s="70"/>
      <x:c r="K681" s="190"/>
      <x:c r="L681" s="195"/>
      <x:c r="M681" s="192"/>
      <x:c r="N681" s="192"/>
      <x:c r="O681" s="69"/>
      <x:c r="P681" s="47"/>
      <x:c r="Q681" s="60"/>
      <x:c r="R681" s="58"/>
      <x:c r="S681" s="47"/>
      <x:c r="T681" s="60"/>
      <x:c r="U681" s="58"/>
      <x:c r="V681" s="47"/>
      <x:c r="W681" s="60"/>
      <x:c r="X681" s="58"/>
      <x:c r="Y681" s="47"/>
      <x:c r="Z681" s="60"/>
      <x:c r="AA681" s="58"/>
      <x:c r="AB681" s="47"/>
      <x:c r="AC681" s="60"/>
      <x:c r="AD681" s="58"/>
      <x:c r="AE681" s="47"/>
      <x:c r="AF681" s="60"/>
      <x:c r="AG681" s="58"/>
      <x:c r="AH681" s="47"/>
      <x:c r="AI681" s="60"/>
      <x:c r="AJ681" s="58"/>
      <x:c r="AK681" s="47"/>
      <x:c r="AL681" s="60"/>
      <x:c r="AM681" s="58"/>
      <x:c r="AN681" s="47"/>
      <x:c r="AO681" s="60"/>
      <x:c r="AP681" s="58"/>
      <x:c r="AQ681" s="47"/>
      <x:c r="AR681" s="60"/>
      <x:c r="AS681" s="58"/>
      <x:c r="AT681" s="47"/>
      <x:c r="AU681" s="60"/>
      <x:c r="AV681" s="58"/>
      <x:c r="AW681" s="47"/>
      <x:c r="AX681" s="60"/>
      <x:c r="AY681" s="58"/>
      <x:c r="AZ681" s="47"/>
      <x:c r="BA681" s="60"/>
      <x:c r="BB681" s="58"/>
      <x:c r="BC681" s="47"/>
      <x:c r="BD681" s="60"/>
      <x:c r="BE681" s="58"/>
      <x:c r="BF681" s="47"/>
      <x:c r="BG681" s="60"/>
      <x:c r="BH681" s="58"/>
      <x:c r="BI681" s="47"/>
      <x:c r="BJ681" s="60"/>
      <x:c r="BK681" s="58"/>
      <x:c r="BL681" s="47"/>
      <x:c r="BM681" s="60"/>
      <x:c r="BN681" s="58"/>
      <x:c r="BO681" s="47"/>
      <x:c r="BP681" s="60"/>
      <x:c r="BQ681" s="58"/>
      <x:c r="BR681" s="47"/>
      <x:c r="BS681" s="60"/>
      <x:c r="BT681" s="58"/>
      <x:c r="BU681" s="47"/>
      <x:c r="BV681" s="60"/>
      <x:c r="BW681" s="58"/>
      <x:c r="BX681" s="47"/>
      <x:c r="BY681" s="60"/>
      <x:c r="BZ681" s="58"/>
      <x:c r="CA681" s="47"/>
      <x:c r="CB681" s="60"/>
      <x:c r="CC681" s="58"/>
      <x:c r="CD681" s="47"/>
      <x:c r="CE681" s="60"/>
      <x:c r="CF681" s="58"/>
      <x:c r="CG681" s="47"/>
      <x:c r="CH681" s="60"/>
      <x:c r="CI681" s="58"/>
      <x:c r="CJ681" s="47"/>
      <x:c r="CK681" s="60"/>
      <x:c r="CL681" s="58"/>
      <x:c r="CM681" s="47"/>
      <x:c r="CN681" s="60"/>
      <x:c r="CO681" s="58"/>
      <x:c r="CP681" s="47"/>
      <x:c r="CQ681" s="60"/>
      <x:c r="CR681" s="58"/>
      <x:c r="CS681" s="47"/>
      <x:c r="CT681" s="60"/>
      <x:c r="CU681" s="58"/>
      <x:c r="CV681" s="47"/>
      <x:c r="CW681" s="60"/>
      <x:c r="CX681" s="58"/>
      <x:c r="CY681" s="47"/>
      <x:c r="CZ681" s="60"/>
      <x:c r="DA681" s="58"/>
      <x:c r="DB681" s="47"/>
      <x:c r="DC681" s="60"/>
      <x:c r="DD681" s="58"/>
      <x:c r="DE681" s="47"/>
      <x:c r="DF681" s="60"/>
      <x:c r="DG681" s="58"/>
      <x:c r="DH681" s="47"/>
      <x:c r="DI681" s="60"/>
      <x:c r="DJ681" s="58"/>
      <x:c r="DK681" s="47"/>
      <x:c r="DL681" s="60"/>
      <x:c r="DM681" s="58"/>
      <x:c r="DN681" s="11"/>
      <x:c r="DO681" s="61"/>
      <x:c r="DP681" s="62"/>
      <x:c r="DQ681" s="11"/>
      <x:c r="DR681" s="61"/>
      <x:c r="DS681" s="62"/>
      <x:c r="DT681" s="11"/>
      <x:c r="DU681" s="61"/>
      <x:c r="DV681" s="62"/>
    </x:row>
    <x:row r="682" spans="1:126" x14ac:dyDescent="0.3">
      <x:c r="A682" s="47"/>
      <x:c r="B682" s="70"/>
      <x:c r="C682" s="70"/>
      <x:c r="D682" s="70"/>
      <x:c r="E682" s="70"/>
      <x:c r="F682" s="70"/>
      <x:c r="G682" s="70"/>
      <x:c r="H682" s="70"/>
      <x:c r="I682" s="70"/>
      <x:c r="J682" s="70"/>
      <x:c r="K682" s="190"/>
      <x:c r="L682" s="195"/>
      <x:c r="M682" s="192"/>
      <x:c r="N682" s="192"/>
      <x:c r="O682" s="69"/>
      <x:c r="P682" s="47"/>
      <x:c r="Q682" s="60"/>
      <x:c r="R682" s="58"/>
      <x:c r="S682" s="47"/>
      <x:c r="T682" s="60"/>
      <x:c r="U682" s="58"/>
      <x:c r="V682" s="47"/>
      <x:c r="W682" s="60"/>
      <x:c r="X682" s="58"/>
      <x:c r="Y682" s="47"/>
      <x:c r="Z682" s="60"/>
      <x:c r="AA682" s="58"/>
      <x:c r="AB682" s="47"/>
      <x:c r="AC682" s="60"/>
      <x:c r="AD682" s="58"/>
      <x:c r="AE682" s="47"/>
      <x:c r="AF682" s="60"/>
      <x:c r="AG682" s="58"/>
      <x:c r="AH682" s="47"/>
      <x:c r="AI682" s="60"/>
      <x:c r="AJ682" s="58"/>
      <x:c r="AK682" s="47"/>
      <x:c r="AL682" s="60"/>
      <x:c r="AM682" s="58"/>
      <x:c r="AN682" s="47"/>
      <x:c r="AO682" s="60"/>
      <x:c r="AP682" s="58"/>
      <x:c r="AQ682" s="47"/>
      <x:c r="AR682" s="60"/>
      <x:c r="AS682" s="58"/>
      <x:c r="AT682" s="47"/>
      <x:c r="AU682" s="60"/>
      <x:c r="AV682" s="58"/>
      <x:c r="AW682" s="47"/>
      <x:c r="AX682" s="60"/>
      <x:c r="AY682" s="58"/>
      <x:c r="AZ682" s="47"/>
      <x:c r="BA682" s="60"/>
      <x:c r="BB682" s="58"/>
      <x:c r="BC682" s="47"/>
      <x:c r="BD682" s="60"/>
      <x:c r="BE682" s="58"/>
      <x:c r="BF682" s="47"/>
      <x:c r="BG682" s="60"/>
      <x:c r="BH682" s="58"/>
      <x:c r="BI682" s="47"/>
      <x:c r="BJ682" s="60"/>
      <x:c r="BK682" s="58"/>
      <x:c r="BL682" s="47"/>
      <x:c r="BM682" s="60"/>
      <x:c r="BN682" s="58"/>
      <x:c r="BO682" s="47"/>
      <x:c r="BP682" s="60"/>
      <x:c r="BQ682" s="58"/>
      <x:c r="BR682" s="47"/>
      <x:c r="BS682" s="60"/>
      <x:c r="BT682" s="58"/>
      <x:c r="BU682" s="47"/>
      <x:c r="BV682" s="60"/>
      <x:c r="BW682" s="58"/>
      <x:c r="BX682" s="47"/>
      <x:c r="BY682" s="60"/>
      <x:c r="BZ682" s="58"/>
      <x:c r="CA682" s="47"/>
      <x:c r="CB682" s="60"/>
      <x:c r="CC682" s="58"/>
      <x:c r="CD682" s="47"/>
      <x:c r="CE682" s="60"/>
      <x:c r="CF682" s="58"/>
      <x:c r="CG682" s="47"/>
      <x:c r="CH682" s="60"/>
      <x:c r="CI682" s="58"/>
      <x:c r="CJ682" s="47"/>
      <x:c r="CK682" s="60"/>
      <x:c r="CL682" s="58"/>
      <x:c r="CM682" s="47"/>
      <x:c r="CN682" s="60"/>
      <x:c r="CO682" s="58"/>
      <x:c r="CP682" s="47"/>
      <x:c r="CQ682" s="60"/>
      <x:c r="CR682" s="58"/>
      <x:c r="CS682" s="47"/>
      <x:c r="CT682" s="60"/>
      <x:c r="CU682" s="58"/>
      <x:c r="CV682" s="47"/>
      <x:c r="CW682" s="60"/>
      <x:c r="CX682" s="58"/>
      <x:c r="CY682" s="47"/>
      <x:c r="CZ682" s="60"/>
      <x:c r="DA682" s="58"/>
      <x:c r="DB682" s="47"/>
      <x:c r="DC682" s="60"/>
      <x:c r="DD682" s="58"/>
      <x:c r="DE682" s="47"/>
      <x:c r="DF682" s="60"/>
      <x:c r="DG682" s="58"/>
      <x:c r="DH682" s="47"/>
      <x:c r="DI682" s="60"/>
      <x:c r="DJ682" s="58"/>
      <x:c r="DK682" s="47"/>
      <x:c r="DL682" s="60"/>
      <x:c r="DM682" s="58"/>
      <x:c r="DN682" s="11"/>
      <x:c r="DO682" s="61"/>
      <x:c r="DP682" s="62"/>
      <x:c r="DQ682" s="11"/>
      <x:c r="DR682" s="61"/>
      <x:c r="DS682" s="62"/>
      <x:c r="DT682" s="11"/>
      <x:c r="DU682" s="61"/>
      <x:c r="DV682" s="62"/>
    </x:row>
    <x:row r="683" spans="1:126" x14ac:dyDescent="0.3">
      <x:c r="A683" s="47"/>
      <x:c r="B683" s="70"/>
      <x:c r="C683" s="70"/>
      <x:c r="D683" s="70"/>
      <x:c r="E683" s="70"/>
      <x:c r="F683" s="70"/>
      <x:c r="G683" s="70"/>
      <x:c r="H683" s="70"/>
      <x:c r="I683" s="70"/>
      <x:c r="J683" s="70"/>
      <x:c r="K683" s="190"/>
      <x:c r="L683" s="195"/>
      <x:c r="M683" s="192"/>
      <x:c r="N683" s="192"/>
      <x:c r="O683" s="69"/>
      <x:c r="P683" s="47"/>
      <x:c r="Q683" s="60"/>
      <x:c r="R683" s="58"/>
      <x:c r="S683" s="47"/>
      <x:c r="T683" s="60"/>
      <x:c r="U683" s="58"/>
      <x:c r="V683" s="47"/>
      <x:c r="W683" s="60"/>
      <x:c r="X683" s="58"/>
      <x:c r="Y683" s="47"/>
      <x:c r="Z683" s="60"/>
      <x:c r="AA683" s="58"/>
      <x:c r="AB683" s="47"/>
      <x:c r="AC683" s="60"/>
      <x:c r="AD683" s="58"/>
      <x:c r="AE683" s="47"/>
      <x:c r="AF683" s="60"/>
      <x:c r="AG683" s="58"/>
      <x:c r="AH683" s="47"/>
      <x:c r="AI683" s="60"/>
      <x:c r="AJ683" s="58"/>
      <x:c r="AK683" s="47"/>
      <x:c r="AL683" s="60"/>
      <x:c r="AM683" s="58"/>
      <x:c r="AN683" s="47"/>
      <x:c r="AO683" s="60"/>
      <x:c r="AP683" s="58"/>
      <x:c r="AQ683" s="47"/>
      <x:c r="AR683" s="60"/>
      <x:c r="AS683" s="58"/>
      <x:c r="AT683" s="47"/>
      <x:c r="AU683" s="60"/>
      <x:c r="AV683" s="58"/>
      <x:c r="AW683" s="47"/>
      <x:c r="AX683" s="60"/>
      <x:c r="AY683" s="58"/>
      <x:c r="AZ683" s="47"/>
      <x:c r="BA683" s="60"/>
      <x:c r="BB683" s="58"/>
      <x:c r="BC683" s="47"/>
      <x:c r="BD683" s="60"/>
      <x:c r="BE683" s="58"/>
      <x:c r="BF683" s="47"/>
      <x:c r="BG683" s="60"/>
      <x:c r="BH683" s="58"/>
      <x:c r="BI683" s="47"/>
      <x:c r="BJ683" s="60"/>
      <x:c r="BK683" s="58"/>
      <x:c r="BL683" s="47"/>
      <x:c r="BM683" s="60"/>
      <x:c r="BN683" s="58"/>
      <x:c r="BO683" s="47"/>
      <x:c r="BP683" s="60"/>
      <x:c r="BQ683" s="58"/>
      <x:c r="BR683" s="47"/>
      <x:c r="BS683" s="60"/>
      <x:c r="BT683" s="58"/>
      <x:c r="BU683" s="47"/>
      <x:c r="BV683" s="60"/>
      <x:c r="BW683" s="58"/>
      <x:c r="BX683" s="47"/>
      <x:c r="BY683" s="60"/>
      <x:c r="BZ683" s="58"/>
      <x:c r="CA683" s="47"/>
      <x:c r="CB683" s="60"/>
      <x:c r="CC683" s="58"/>
      <x:c r="CD683" s="47"/>
      <x:c r="CE683" s="60"/>
      <x:c r="CF683" s="58"/>
      <x:c r="CG683" s="47"/>
      <x:c r="CH683" s="60"/>
      <x:c r="CI683" s="58"/>
      <x:c r="CJ683" s="47"/>
      <x:c r="CK683" s="60"/>
      <x:c r="CL683" s="58"/>
      <x:c r="CM683" s="47"/>
      <x:c r="CN683" s="60"/>
      <x:c r="CO683" s="58"/>
      <x:c r="CP683" s="47"/>
      <x:c r="CQ683" s="60"/>
      <x:c r="CR683" s="58"/>
      <x:c r="CS683" s="47"/>
      <x:c r="CT683" s="60"/>
      <x:c r="CU683" s="58"/>
      <x:c r="CV683" s="47"/>
      <x:c r="CW683" s="60"/>
      <x:c r="CX683" s="58"/>
      <x:c r="CY683" s="47"/>
      <x:c r="CZ683" s="60"/>
      <x:c r="DA683" s="58"/>
      <x:c r="DB683" s="47"/>
      <x:c r="DC683" s="60"/>
      <x:c r="DD683" s="58"/>
      <x:c r="DE683" s="47"/>
      <x:c r="DF683" s="60"/>
      <x:c r="DG683" s="58"/>
      <x:c r="DH683" s="47"/>
      <x:c r="DI683" s="60"/>
      <x:c r="DJ683" s="58"/>
      <x:c r="DK683" s="47"/>
      <x:c r="DL683" s="60"/>
      <x:c r="DM683" s="58"/>
      <x:c r="DN683" s="11"/>
      <x:c r="DO683" s="61"/>
      <x:c r="DP683" s="62"/>
      <x:c r="DQ683" s="11"/>
      <x:c r="DR683" s="61"/>
      <x:c r="DS683" s="62"/>
      <x:c r="DT683" s="11"/>
      <x:c r="DU683" s="61"/>
      <x:c r="DV683" s="62"/>
    </x:row>
    <x:row r="684" spans="1:126" x14ac:dyDescent="0.3">
      <x:c r="A684" s="47"/>
      <x:c r="B684" s="70"/>
      <x:c r="C684" s="70"/>
      <x:c r="D684" s="70"/>
      <x:c r="E684" s="70"/>
      <x:c r="F684" s="70"/>
      <x:c r="G684" s="70"/>
      <x:c r="H684" s="70"/>
      <x:c r="I684" s="70"/>
      <x:c r="J684" s="70"/>
      <x:c r="K684" s="190"/>
      <x:c r="L684" s="195"/>
      <x:c r="M684" s="192"/>
      <x:c r="N684" s="192"/>
      <x:c r="O684" s="69"/>
      <x:c r="P684" s="47"/>
      <x:c r="Q684" s="60"/>
      <x:c r="R684" s="58"/>
      <x:c r="S684" s="47"/>
      <x:c r="T684" s="60"/>
      <x:c r="U684" s="58"/>
      <x:c r="V684" s="47"/>
      <x:c r="W684" s="60"/>
      <x:c r="X684" s="58"/>
      <x:c r="Y684" s="47"/>
      <x:c r="Z684" s="60"/>
      <x:c r="AA684" s="58"/>
      <x:c r="AB684" s="47"/>
      <x:c r="AC684" s="60"/>
      <x:c r="AD684" s="58"/>
      <x:c r="AE684" s="47"/>
      <x:c r="AF684" s="60"/>
      <x:c r="AG684" s="58"/>
      <x:c r="AH684" s="47"/>
      <x:c r="AI684" s="60"/>
      <x:c r="AJ684" s="58"/>
      <x:c r="AK684" s="47"/>
      <x:c r="AL684" s="60"/>
      <x:c r="AM684" s="58"/>
      <x:c r="AN684" s="47"/>
      <x:c r="AO684" s="60"/>
      <x:c r="AP684" s="58"/>
      <x:c r="AQ684" s="47"/>
      <x:c r="AR684" s="60"/>
      <x:c r="AS684" s="58"/>
      <x:c r="AT684" s="47"/>
      <x:c r="AU684" s="60"/>
      <x:c r="AV684" s="58"/>
      <x:c r="AW684" s="47"/>
      <x:c r="AX684" s="60"/>
      <x:c r="AY684" s="58"/>
      <x:c r="AZ684" s="47"/>
      <x:c r="BA684" s="60"/>
      <x:c r="BB684" s="58"/>
      <x:c r="BC684" s="47"/>
      <x:c r="BD684" s="60"/>
      <x:c r="BE684" s="58"/>
      <x:c r="BF684" s="47"/>
      <x:c r="BG684" s="60"/>
      <x:c r="BH684" s="58"/>
      <x:c r="BI684" s="47"/>
      <x:c r="BJ684" s="60"/>
      <x:c r="BK684" s="58"/>
      <x:c r="BL684" s="47"/>
      <x:c r="BM684" s="60"/>
      <x:c r="BN684" s="58"/>
      <x:c r="BO684" s="47"/>
      <x:c r="BP684" s="60"/>
      <x:c r="BQ684" s="58"/>
      <x:c r="BR684" s="47"/>
      <x:c r="BS684" s="60"/>
      <x:c r="BT684" s="58"/>
      <x:c r="BU684" s="47"/>
      <x:c r="BV684" s="60"/>
      <x:c r="BW684" s="58"/>
      <x:c r="BX684" s="47"/>
      <x:c r="BY684" s="60"/>
      <x:c r="BZ684" s="58"/>
      <x:c r="CA684" s="47"/>
      <x:c r="CB684" s="60"/>
      <x:c r="CC684" s="58"/>
      <x:c r="CD684" s="47"/>
      <x:c r="CE684" s="60"/>
      <x:c r="CF684" s="58"/>
      <x:c r="CG684" s="47"/>
      <x:c r="CH684" s="60"/>
      <x:c r="CI684" s="58"/>
      <x:c r="CJ684" s="47"/>
      <x:c r="CK684" s="60"/>
      <x:c r="CL684" s="58"/>
      <x:c r="CM684" s="47"/>
      <x:c r="CN684" s="60"/>
      <x:c r="CO684" s="58"/>
      <x:c r="CP684" s="47"/>
      <x:c r="CQ684" s="60"/>
      <x:c r="CR684" s="58"/>
      <x:c r="CS684" s="47"/>
      <x:c r="CT684" s="60"/>
      <x:c r="CU684" s="58"/>
      <x:c r="CV684" s="47"/>
      <x:c r="CW684" s="60"/>
      <x:c r="CX684" s="58"/>
      <x:c r="CY684" s="47"/>
      <x:c r="CZ684" s="60"/>
      <x:c r="DA684" s="58"/>
      <x:c r="DB684" s="47"/>
      <x:c r="DC684" s="60"/>
      <x:c r="DD684" s="58"/>
      <x:c r="DE684" s="47"/>
      <x:c r="DF684" s="60"/>
      <x:c r="DG684" s="58"/>
      <x:c r="DH684" s="47"/>
      <x:c r="DI684" s="60"/>
      <x:c r="DJ684" s="58"/>
      <x:c r="DK684" s="47"/>
      <x:c r="DL684" s="60"/>
      <x:c r="DM684" s="58"/>
      <x:c r="DN684" s="11"/>
      <x:c r="DO684" s="61"/>
      <x:c r="DP684" s="62"/>
      <x:c r="DQ684" s="11"/>
      <x:c r="DR684" s="61"/>
      <x:c r="DS684" s="62"/>
      <x:c r="DT684" s="11"/>
      <x:c r="DU684" s="61"/>
      <x:c r="DV684" s="62"/>
    </x:row>
    <x:row r="685" spans="1:126" x14ac:dyDescent="0.3">
      <x:c r="A685" s="47"/>
      <x:c r="B685" s="70"/>
      <x:c r="C685" s="70"/>
      <x:c r="D685" s="70"/>
      <x:c r="E685" s="70"/>
      <x:c r="F685" s="70"/>
      <x:c r="G685" s="70"/>
      <x:c r="H685" s="70"/>
      <x:c r="I685" s="70"/>
      <x:c r="J685" s="70"/>
      <x:c r="K685" s="190"/>
      <x:c r="L685" s="195"/>
      <x:c r="M685" s="192"/>
      <x:c r="N685" s="192"/>
      <x:c r="O685" s="69"/>
      <x:c r="P685" s="47"/>
      <x:c r="Q685" s="60"/>
      <x:c r="R685" s="58"/>
      <x:c r="S685" s="47"/>
      <x:c r="T685" s="60"/>
      <x:c r="U685" s="58"/>
      <x:c r="V685" s="47"/>
      <x:c r="W685" s="60"/>
      <x:c r="X685" s="58"/>
      <x:c r="Y685" s="47"/>
      <x:c r="Z685" s="60"/>
      <x:c r="AA685" s="58"/>
      <x:c r="AB685" s="47"/>
      <x:c r="AC685" s="60"/>
      <x:c r="AD685" s="58"/>
      <x:c r="AE685" s="47"/>
      <x:c r="AF685" s="60"/>
      <x:c r="AG685" s="58"/>
      <x:c r="AH685" s="47"/>
      <x:c r="AI685" s="60"/>
      <x:c r="AJ685" s="58"/>
      <x:c r="AK685" s="47"/>
      <x:c r="AL685" s="60"/>
      <x:c r="AM685" s="58"/>
      <x:c r="AN685" s="47"/>
      <x:c r="AO685" s="60"/>
      <x:c r="AP685" s="58"/>
      <x:c r="AQ685" s="47"/>
      <x:c r="AR685" s="60"/>
      <x:c r="AS685" s="58"/>
      <x:c r="AT685" s="47"/>
      <x:c r="AU685" s="60"/>
      <x:c r="AV685" s="58"/>
      <x:c r="AW685" s="47"/>
      <x:c r="AX685" s="60"/>
      <x:c r="AY685" s="58"/>
      <x:c r="AZ685" s="47"/>
      <x:c r="BA685" s="60"/>
      <x:c r="BB685" s="58"/>
      <x:c r="BC685" s="47"/>
      <x:c r="BD685" s="60"/>
      <x:c r="BE685" s="58"/>
      <x:c r="BF685" s="47"/>
      <x:c r="BG685" s="60"/>
      <x:c r="BH685" s="58"/>
      <x:c r="BI685" s="47"/>
      <x:c r="BJ685" s="60"/>
      <x:c r="BK685" s="58"/>
      <x:c r="BL685" s="47"/>
      <x:c r="BM685" s="60"/>
      <x:c r="BN685" s="58"/>
      <x:c r="BO685" s="47"/>
      <x:c r="BP685" s="60"/>
      <x:c r="BQ685" s="58"/>
      <x:c r="BR685" s="47"/>
      <x:c r="BS685" s="60"/>
      <x:c r="BT685" s="58"/>
      <x:c r="BU685" s="47"/>
      <x:c r="BV685" s="60"/>
      <x:c r="BW685" s="58"/>
      <x:c r="BX685" s="47"/>
      <x:c r="BY685" s="60"/>
      <x:c r="BZ685" s="58"/>
      <x:c r="CA685" s="47"/>
      <x:c r="CB685" s="60"/>
      <x:c r="CC685" s="58"/>
      <x:c r="CD685" s="47"/>
      <x:c r="CE685" s="60"/>
      <x:c r="CF685" s="58"/>
      <x:c r="CG685" s="47"/>
      <x:c r="CH685" s="60"/>
      <x:c r="CI685" s="58"/>
      <x:c r="CJ685" s="47"/>
      <x:c r="CK685" s="60"/>
      <x:c r="CL685" s="58"/>
      <x:c r="CM685" s="47"/>
      <x:c r="CN685" s="60"/>
      <x:c r="CO685" s="58"/>
      <x:c r="CP685" s="47"/>
      <x:c r="CQ685" s="60"/>
      <x:c r="CR685" s="58"/>
      <x:c r="CS685" s="47"/>
      <x:c r="CT685" s="60"/>
      <x:c r="CU685" s="58"/>
      <x:c r="CV685" s="47"/>
      <x:c r="CW685" s="60"/>
      <x:c r="CX685" s="58"/>
      <x:c r="CY685" s="47"/>
      <x:c r="CZ685" s="60"/>
      <x:c r="DA685" s="58"/>
      <x:c r="DB685" s="47"/>
      <x:c r="DC685" s="60"/>
      <x:c r="DD685" s="58"/>
      <x:c r="DE685" s="47"/>
      <x:c r="DF685" s="60"/>
      <x:c r="DG685" s="58"/>
      <x:c r="DH685" s="47"/>
      <x:c r="DI685" s="60"/>
      <x:c r="DJ685" s="58"/>
      <x:c r="DK685" s="47"/>
      <x:c r="DL685" s="60"/>
      <x:c r="DM685" s="58"/>
      <x:c r="DN685" s="11"/>
      <x:c r="DO685" s="61"/>
      <x:c r="DP685" s="62"/>
      <x:c r="DQ685" s="11"/>
      <x:c r="DR685" s="61"/>
      <x:c r="DS685" s="62"/>
      <x:c r="DT685" s="11"/>
      <x:c r="DU685" s="61"/>
      <x:c r="DV685" s="62"/>
    </x:row>
    <x:row r="686" spans="1:126" x14ac:dyDescent="0.3">
      <x:c r="A686" s="47"/>
      <x:c r="B686" s="70"/>
      <x:c r="C686" s="70"/>
      <x:c r="D686" s="70"/>
      <x:c r="E686" s="70"/>
      <x:c r="F686" s="70"/>
      <x:c r="G686" s="70"/>
      <x:c r="H686" s="70"/>
      <x:c r="I686" s="70"/>
      <x:c r="J686" s="70"/>
      <x:c r="K686" s="190"/>
      <x:c r="L686" s="195"/>
      <x:c r="M686" s="192"/>
      <x:c r="N686" s="192"/>
      <x:c r="O686" s="69"/>
      <x:c r="P686" s="47"/>
      <x:c r="Q686" s="60"/>
      <x:c r="R686" s="58"/>
      <x:c r="S686" s="47"/>
      <x:c r="T686" s="60"/>
      <x:c r="U686" s="58"/>
      <x:c r="V686" s="47"/>
      <x:c r="W686" s="60"/>
      <x:c r="X686" s="58"/>
      <x:c r="Y686" s="47"/>
      <x:c r="Z686" s="60"/>
      <x:c r="AA686" s="58"/>
      <x:c r="AB686" s="47"/>
      <x:c r="AC686" s="60"/>
      <x:c r="AD686" s="58"/>
      <x:c r="AE686" s="47"/>
      <x:c r="AF686" s="60"/>
      <x:c r="AG686" s="58"/>
      <x:c r="AH686" s="47"/>
      <x:c r="AI686" s="60"/>
      <x:c r="AJ686" s="58"/>
      <x:c r="AK686" s="47"/>
      <x:c r="AL686" s="60"/>
      <x:c r="AM686" s="58"/>
      <x:c r="AN686" s="47"/>
      <x:c r="AO686" s="60"/>
      <x:c r="AP686" s="58"/>
      <x:c r="AQ686" s="47"/>
      <x:c r="AR686" s="60"/>
      <x:c r="AS686" s="58"/>
      <x:c r="AT686" s="47"/>
      <x:c r="AU686" s="60"/>
      <x:c r="AV686" s="58"/>
      <x:c r="AW686" s="47"/>
      <x:c r="AX686" s="60"/>
      <x:c r="AY686" s="58"/>
      <x:c r="AZ686" s="47"/>
      <x:c r="BA686" s="60"/>
      <x:c r="BB686" s="58"/>
      <x:c r="BC686" s="47"/>
      <x:c r="BD686" s="60"/>
      <x:c r="BE686" s="58"/>
      <x:c r="BF686" s="47"/>
      <x:c r="BG686" s="60"/>
      <x:c r="BH686" s="58"/>
      <x:c r="BI686" s="47"/>
      <x:c r="BJ686" s="60"/>
      <x:c r="BK686" s="58"/>
      <x:c r="BL686" s="47"/>
      <x:c r="BM686" s="60"/>
      <x:c r="BN686" s="58"/>
      <x:c r="BO686" s="47"/>
      <x:c r="BP686" s="60"/>
      <x:c r="BQ686" s="58"/>
      <x:c r="BR686" s="47"/>
      <x:c r="BS686" s="60"/>
      <x:c r="BT686" s="58"/>
      <x:c r="BU686" s="47"/>
      <x:c r="BV686" s="60"/>
      <x:c r="BW686" s="58"/>
      <x:c r="BX686" s="47"/>
      <x:c r="BY686" s="60"/>
      <x:c r="BZ686" s="58"/>
      <x:c r="CA686" s="47"/>
      <x:c r="CB686" s="60"/>
      <x:c r="CC686" s="58"/>
      <x:c r="CD686" s="47"/>
      <x:c r="CE686" s="60"/>
      <x:c r="CF686" s="58"/>
      <x:c r="CG686" s="47"/>
      <x:c r="CH686" s="60"/>
      <x:c r="CI686" s="58"/>
      <x:c r="CJ686" s="47"/>
      <x:c r="CK686" s="60"/>
      <x:c r="CL686" s="58"/>
      <x:c r="CM686" s="47"/>
      <x:c r="CN686" s="60"/>
      <x:c r="CO686" s="58"/>
      <x:c r="CP686" s="47"/>
      <x:c r="CQ686" s="60"/>
      <x:c r="CR686" s="58"/>
      <x:c r="CS686" s="47"/>
      <x:c r="CT686" s="60"/>
      <x:c r="CU686" s="58"/>
      <x:c r="CV686" s="47"/>
      <x:c r="CW686" s="60"/>
      <x:c r="CX686" s="58"/>
      <x:c r="CY686" s="47"/>
      <x:c r="CZ686" s="60"/>
      <x:c r="DA686" s="58"/>
      <x:c r="DB686" s="47"/>
      <x:c r="DC686" s="60"/>
      <x:c r="DD686" s="58"/>
      <x:c r="DE686" s="47"/>
      <x:c r="DF686" s="60"/>
      <x:c r="DG686" s="58"/>
      <x:c r="DH686" s="47"/>
      <x:c r="DI686" s="60"/>
      <x:c r="DJ686" s="58"/>
      <x:c r="DK686" s="47"/>
      <x:c r="DL686" s="60"/>
      <x:c r="DM686" s="58"/>
      <x:c r="DN686" s="11"/>
      <x:c r="DO686" s="61"/>
      <x:c r="DP686" s="62"/>
      <x:c r="DQ686" s="11"/>
      <x:c r="DR686" s="61"/>
      <x:c r="DS686" s="62"/>
      <x:c r="DT686" s="11"/>
      <x:c r="DU686" s="61"/>
      <x:c r="DV686" s="62"/>
    </x:row>
    <x:row r="687" spans="1:126" x14ac:dyDescent="0.3">
      <x:c r="A687" s="47"/>
      <x:c r="B687" s="70"/>
      <x:c r="C687" s="70"/>
      <x:c r="D687" s="70"/>
      <x:c r="E687" s="70"/>
      <x:c r="F687" s="70"/>
      <x:c r="G687" s="70"/>
      <x:c r="H687" s="70"/>
      <x:c r="I687" s="70"/>
      <x:c r="J687" s="70"/>
      <x:c r="K687" s="190"/>
      <x:c r="L687" s="195"/>
      <x:c r="M687" s="192"/>
      <x:c r="N687" s="192"/>
      <x:c r="O687" s="69"/>
      <x:c r="P687" s="47"/>
      <x:c r="Q687" s="60"/>
      <x:c r="R687" s="58"/>
      <x:c r="S687" s="47"/>
      <x:c r="T687" s="60"/>
      <x:c r="U687" s="58"/>
      <x:c r="V687" s="47"/>
      <x:c r="W687" s="60"/>
      <x:c r="X687" s="58"/>
      <x:c r="Y687" s="47"/>
      <x:c r="Z687" s="60"/>
      <x:c r="AA687" s="58"/>
      <x:c r="AB687" s="47"/>
      <x:c r="AC687" s="60"/>
      <x:c r="AD687" s="58"/>
      <x:c r="AE687" s="47"/>
      <x:c r="AF687" s="60"/>
      <x:c r="AG687" s="58"/>
      <x:c r="AH687" s="47"/>
      <x:c r="AI687" s="60"/>
      <x:c r="AJ687" s="58"/>
      <x:c r="AK687" s="47"/>
      <x:c r="AL687" s="60"/>
      <x:c r="AM687" s="58"/>
      <x:c r="AN687" s="47"/>
      <x:c r="AO687" s="60"/>
      <x:c r="AP687" s="58"/>
      <x:c r="AQ687" s="47"/>
      <x:c r="AR687" s="60"/>
      <x:c r="AS687" s="58"/>
      <x:c r="AT687" s="47"/>
      <x:c r="AU687" s="60"/>
      <x:c r="AV687" s="58"/>
      <x:c r="AW687" s="47"/>
      <x:c r="AX687" s="60"/>
      <x:c r="AY687" s="58"/>
      <x:c r="AZ687" s="47"/>
      <x:c r="BA687" s="60"/>
      <x:c r="BB687" s="58"/>
      <x:c r="BC687" s="47"/>
      <x:c r="BD687" s="60"/>
      <x:c r="BE687" s="58"/>
      <x:c r="BF687" s="47"/>
      <x:c r="BG687" s="60"/>
      <x:c r="BH687" s="58"/>
      <x:c r="BI687" s="47"/>
      <x:c r="BJ687" s="60"/>
      <x:c r="BK687" s="58"/>
      <x:c r="BL687" s="47"/>
      <x:c r="BM687" s="60"/>
      <x:c r="BN687" s="58"/>
      <x:c r="BO687" s="47"/>
      <x:c r="BP687" s="60"/>
      <x:c r="BQ687" s="58"/>
      <x:c r="BR687" s="47"/>
      <x:c r="BS687" s="60"/>
      <x:c r="BT687" s="58"/>
      <x:c r="BU687" s="47"/>
      <x:c r="BV687" s="60"/>
      <x:c r="BW687" s="58"/>
      <x:c r="BX687" s="47"/>
      <x:c r="BY687" s="60"/>
      <x:c r="BZ687" s="58"/>
      <x:c r="CA687" s="47"/>
      <x:c r="CB687" s="60"/>
      <x:c r="CC687" s="58"/>
      <x:c r="CD687" s="47"/>
      <x:c r="CE687" s="60"/>
      <x:c r="CF687" s="58"/>
      <x:c r="CG687" s="47"/>
      <x:c r="CH687" s="60"/>
      <x:c r="CI687" s="58"/>
      <x:c r="CJ687" s="47"/>
      <x:c r="CK687" s="60"/>
      <x:c r="CL687" s="58"/>
      <x:c r="CM687" s="47"/>
      <x:c r="CN687" s="60"/>
      <x:c r="CO687" s="58"/>
      <x:c r="CP687" s="47"/>
      <x:c r="CQ687" s="60"/>
      <x:c r="CR687" s="58"/>
      <x:c r="CS687" s="47"/>
      <x:c r="CT687" s="60"/>
      <x:c r="CU687" s="58"/>
      <x:c r="CV687" s="47"/>
      <x:c r="CW687" s="60"/>
      <x:c r="CX687" s="58"/>
      <x:c r="CY687" s="47"/>
      <x:c r="CZ687" s="60"/>
      <x:c r="DA687" s="58"/>
      <x:c r="DB687" s="47"/>
      <x:c r="DC687" s="60"/>
      <x:c r="DD687" s="58"/>
      <x:c r="DE687" s="47"/>
      <x:c r="DF687" s="60"/>
      <x:c r="DG687" s="58"/>
      <x:c r="DH687" s="47"/>
      <x:c r="DI687" s="60"/>
      <x:c r="DJ687" s="58"/>
      <x:c r="DK687" s="47"/>
      <x:c r="DL687" s="60"/>
      <x:c r="DM687" s="58"/>
      <x:c r="DN687" s="11"/>
      <x:c r="DO687" s="61"/>
      <x:c r="DP687" s="62"/>
      <x:c r="DQ687" s="11"/>
      <x:c r="DR687" s="61"/>
      <x:c r="DS687" s="62"/>
      <x:c r="DT687" s="11"/>
      <x:c r="DU687" s="61"/>
      <x:c r="DV687" s="62"/>
    </x:row>
    <x:row r="688" spans="1:126" x14ac:dyDescent="0.3">
      <x:c r="A688" s="47"/>
      <x:c r="B688" s="70"/>
      <x:c r="C688" s="70"/>
      <x:c r="D688" s="70"/>
      <x:c r="E688" s="70"/>
      <x:c r="F688" s="70"/>
      <x:c r="G688" s="70"/>
      <x:c r="H688" s="70"/>
      <x:c r="I688" s="70"/>
      <x:c r="J688" s="70"/>
      <x:c r="K688" s="190"/>
      <x:c r="L688" s="195"/>
      <x:c r="M688" s="192"/>
      <x:c r="N688" s="192"/>
      <x:c r="O688" s="69"/>
      <x:c r="P688" s="47"/>
      <x:c r="Q688" s="60"/>
      <x:c r="R688" s="58"/>
      <x:c r="S688" s="47"/>
      <x:c r="T688" s="60"/>
      <x:c r="U688" s="58"/>
      <x:c r="V688" s="47"/>
      <x:c r="W688" s="60"/>
      <x:c r="X688" s="58"/>
      <x:c r="Y688" s="47"/>
      <x:c r="Z688" s="60"/>
      <x:c r="AA688" s="58"/>
      <x:c r="AB688" s="47"/>
      <x:c r="AC688" s="60"/>
      <x:c r="AD688" s="58"/>
      <x:c r="AE688" s="47"/>
      <x:c r="AF688" s="60"/>
      <x:c r="AG688" s="58"/>
      <x:c r="AH688" s="47"/>
      <x:c r="AI688" s="60"/>
      <x:c r="AJ688" s="58"/>
      <x:c r="AK688" s="47"/>
      <x:c r="AL688" s="60"/>
      <x:c r="AM688" s="58"/>
      <x:c r="AN688" s="47"/>
      <x:c r="AO688" s="60"/>
      <x:c r="AP688" s="58"/>
      <x:c r="AQ688" s="47"/>
      <x:c r="AR688" s="60"/>
      <x:c r="AS688" s="58"/>
      <x:c r="AT688" s="47"/>
      <x:c r="AU688" s="60"/>
      <x:c r="AV688" s="58"/>
      <x:c r="AW688" s="47"/>
      <x:c r="AX688" s="60"/>
      <x:c r="AY688" s="58"/>
      <x:c r="AZ688" s="47"/>
      <x:c r="BA688" s="60"/>
      <x:c r="BB688" s="58"/>
      <x:c r="BC688" s="47"/>
      <x:c r="BD688" s="60"/>
      <x:c r="BE688" s="58"/>
      <x:c r="BF688" s="47"/>
      <x:c r="BG688" s="60"/>
      <x:c r="BH688" s="58"/>
      <x:c r="BI688" s="47"/>
      <x:c r="BJ688" s="60"/>
      <x:c r="BK688" s="58"/>
      <x:c r="BL688" s="47"/>
      <x:c r="BM688" s="60"/>
      <x:c r="BN688" s="58"/>
      <x:c r="BO688" s="47"/>
      <x:c r="BP688" s="60"/>
      <x:c r="BQ688" s="58"/>
      <x:c r="BR688" s="47"/>
      <x:c r="BS688" s="60"/>
      <x:c r="BT688" s="58"/>
      <x:c r="BU688" s="47"/>
      <x:c r="BV688" s="60"/>
      <x:c r="BW688" s="58"/>
      <x:c r="BX688" s="47"/>
      <x:c r="BY688" s="60"/>
      <x:c r="BZ688" s="58"/>
      <x:c r="CA688" s="47"/>
      <x:c r="CB688" s="60"/>
      <x:c r="CC688" s="58"/>
      <x:c r="CD688" s="47"/>
      <x:c r="CE688" s="60"/>
      <x:c r="CF688" s="58"/>
      <x:c r="CG688" s="47"/>
      <x:c r="CH688" s="60"/>
      <x:c r="CI688" s="58"/>
      <x:c r="CJ688" s="47"/>
      <x:c r="CK688" s="60"/>
      <x:c r="CL688" s="58"/>
      <x:c r="CM688" s="47"/>
      <x:c r="CN688" s="60"/>
      <x:c r="CO688" s="58"/>
      <x:c r="CP688" s="47"/>
      <x:c r="CQ688" s="60"/>
      <x:c r="CR688" s="58"/>
      <x:c r="CS688" s="47"/>
      <x:c r="CT688" s="60"/>
      <x:c r="CU688" s="58"/>
      <x:c r="CV688" s="47"/>
      <x:c r="CW688" s="60"/>
      <x:c r="CX688" s="58"/>
      <x:c r="CY688" s="47"/>
      <x:c r="CZ688" s="60"/>
      <x:c r="DA688" s="58"/>
      <x:c r="DB688" s="47"/>
      <x:c r="DC688" s="60"/>
      <x:c r="DD688" s="58"/>
      <x:c r="DE688" s="47"/>
      <x:c r="DF688" s="60"/>
      <x:c r="DG688" s="58"/>
      <x:c r="DH688" s="47"/>
      <x:c r="DI688" s="60"/>
      <x:c r="DJ688" s="58"/>
      <x:c r="DK688" s="47"/>
      <x:c r="DL688" s="60"/>
      <x:c r="DM688" s="58"/>
      <x:c r="DN688" s="11"/>
      <x:c r="DO688" s="61"/>
      <x:c r="DP688" s="62"/>
      <x:c r="DQ688" s="11"/>
      <x:c r="DR688" s="61"/>
      <x:c r="DS688" s="62"/>
      <x:c r="DT688" s="11"/>
      <x:c r="DU688" s="61"/>
      <x:c r="DV688" s="62"/>
    </x:row>
    <x:row r="689" spans="1:126" x14ac:dyDescent="0.3">
      <x:c r="A689" s="47"/>
      <x:c r="B689" s="70"/>
      <x:c r="C689" s="70"/>
      <x:c r="D689" s="70"/>
      <x:c r="E689" s="70"/>
      <x:c r="F689" s="70"/>
      <x:c r="G689" s="70"/>
      <x:c r="H689" s="70"/>
      <x:c r="I689" s="70"/>
      <x:c r="J689" s="70"/>
      <x:c r="K689" s="190"/>
      <x:c r="L689" s="195"/>
      <x:c r="M689" s="192"/>
      <x:c r="N689" s="192"/>
      <x:c r="O689" s="69"/>
      <x:c r="P689" s="47"/>
      <x:c r="Q689" s="60"/>
      <x:c r="R689" s="58"/>
      <x:c r="S689" s="47"/>
      <x:c r="T689" s="60"/>
      <x:c r="U689" s="58"/>
      <x:c r="V689" s="47"/>
      <x:c r="W689" s="60"/>
      <x:c r="X689" s="58"/>
      <x:c r="Y689" s="47"/>
      <x:c r="Z689" s="60"/>
      <x:c r="AA689" s="58"/>
      <x:c r="AB689" s="47"/>
      <x:c r="AC689" s="60"/>
      <x:c r="AD689" s="58"/>
      <x:c r="AE689" s="47"/>
      <x:c r="AF689" s="60"/>
      <x:c r="AG689" s="58"/>
      <x:c r="AH689" s="47"/>
      <x:c r="AI689" s="60"/>
      <x:c r="AJ689" s="58"/>
      <x:c r="AK689" s="47"/>
      <x:c r="AL689" s="60"/>
      <x:c r="AM689" s="58"/>
      <x:c r="AN689" s="47"/>
      <x:c r="AO689" s="60"/>
      <x:c r="AP689" s="58"/>
      <x:c r="AQ689" s="47"/>
      <x:c r="AR689" s="60"/>
      <x:c r="AS689" s="58"/>
      <x:c r="AT689" s="47"/>
      <x:c r="AU689" s="60"/>
      <x:c r="AV689" s="58"/>
      <x:c r="AW689" s="47"/>
      <x:c r="AX689" s="60"/>
      <x:c r="AY689" s="58"/>
      <x:c r="AZ689" s="47"/>
      <x:c r="BA689" s="60"/>
      <x:c r="BB689" s="58"/>
      <x:c r="BC689" s="47"/>
      <x:c r="BD689" s="60"/>
      <x:c r="BE689" s="58"/>
      <x:c r="BF689" s="47"/>
      <x:c r="BG689" s="60"/>
      <x:c r="BH689" s="58"/>
      <x:c r="BI689" s="47"/>
      <x:c r="BJ689" s="60"/>
      <x:c r="BK689" s="58"/>
      <x:c r="BL689" s="47"/>
      <x:c r="BM689" s="60"/>
      <x:c r="BN689" s="58"/>
      <x:c r="BO689" s="47"/>
      <x:c r="BP689" s="60"/>
      <x:c r="BQ689" s="58"/>
      <x:c r="BR689" s="47"/>
      <x:c r="BS689" s="60"/>
      <x:c r="BT689" s="58"/>
      <x:c r="BU689" s="47"/>
      <x:c r="BV689" s="60"/>
      <x:c r="BW689" s="58"/>
      <x:c r="BX689" s="47"/>
      <x:c r="BY689" s="60"/>
      <x:c r="BZ689" s="58"/>
      <x:c r="CA689" s="47"/>
      <x:c r="CB689" s="60"/>
      <x:c r="CC689" s="58"/>
      <x:c r="CD689" s="47"/>
      <x:c r="CE689" s="60"/>
      <x:c r="CF689" s="58"/>
      <x:c r="CG689" s="47"/>
      <x:c r="CH689" s="60"/>
      <x:c r="CI689" s="58"/>
      <x:c r="CJ689" s="47"/>
      <x:c r="CK689" s="60"/>
      <x:c r="CL689" s="58"/>
      <x:c r="CM689" s="47"/>
      <x:c r="CN689" s="60"/>
      <x:c r="CO689" s="58"/>
      <x:c r="CP689" s="47"/>
      <x:c r="CQ689" s="60"/>
      <x:c r="CR689" s="58"/>
      <x:c r="CS689" s="47"/>
      <x:c r="CT689" s="60"/>
      <x:c r="CU689" s="58"/>
      <x:c r="CV689" s="47"/>
      <x:c r="CW689" s="60"/>
      <x:c r="CX689" s="58"/>
      <x:c r="CY689" s="47"/>
      <x:c r="CZ689" s="60"/>
      <x:c r="DA689" s="58"/>
      <x:c r="DB689" s="47"/>
      <x:c r="DC689" s="60"/>
      <x:c r="DD689" s="58"/>
      <x:c r="DE689" s="47"/>
      <x:c r="DF689" s="60"/>
      <x:c r="DG689" s="58"/>
      <x:c r="DH689" s="47"/>
      <x:c r="DI689" s="60"/>
      <x:c r="DJ689" s="58"/>
      <x:c r="DK689" s="47"/>
      <x:c r="DL689" s="60"/>
      <x:c r="DM689" s="58"/>
      <x:c r="DN689" s="11"/>
      <x:c r="DO689" s="61"/>
      <x:c r="DP689" s="62"/>
      <x:c r="DQ689" s="11"/>
      <x:c r="DR689" s="61"/>
      <x:c r="DS689" s="62"/>
      <x:c r="DT689" s="11"/>
      <x:c r="DU689" s="61"/>
      <x:c r="DV689" s="62"/>
    </x:row>
    <x:row r="690" spans="1:126" x14ac:dyDescent="0.3">
      <x:c r="A690" s="47"/>
      <x:c r="B690" s="70"/>
      <x:c r="C690" s="70"/>
      <x:c r="D690" s="70"/>
      <x:c r="E690" s="70"/>
      <x:c r="F690" s="70"/>
      <x:c r="G690" s="70"/>
      <x:c r="H690" s="70"/>
      <x:c r="I690" s="70"/>
      <x:c r="J690" s="70"/>
      <x:c r="K690" s="190"/>
      <x:c r="L690" s="195"/>
      <x:c r="M690" s="192"/>
      <x:c r="N690" s="192"/>
      <x:c r="O690" s="69"/>
      <x:c r="P690" s="47"/>
      <x:c r="Q690" s="60"/>
      <x:c r="R690" s="58"/>
      <x:c r="S690" s="47"/>
      <x:c r="T690" s="60"/>
      <x:c r="U690" s="58"/>
      <x:c r="V690" s="47"/>
      <x:c r="W690" s="60"/>
      <x:c r="X690" s="58"/>
      <x:c r="Y690" s="47"/>
      <x:c r="Z690" s="60"/>
      <x:c r="AA690" s="58"/>
      <x:c r="AB690" s="47"/>
      <x:c r="AC690" s="60"/>
      <x:c r="AD690" s="58"/>
      <x:c r="AE690" s="47"/>
      <x:c r="AF690" s="60"/>
      <x:c r="AG690" s="58"/>
      <x:c r="AH690" s="47"/>
      <x:c r="AI690" s="60"/>
      <x:c r="AJ690" s="58"/>
      <x:c r="AK690" s="47"/>
      <x:c r="AL690" s="60"/>
      <x:c r="AM690" s="58"/>
      <x:c r="AN690" s="47"/>
      <x:c r="AO690" s="60"/>
      <x:c r="AP690" s="58"/>
      <x:c r="AQ690" s="47"/>
      <x:c r="AR690" s="60"/>
      <x:c r="AS690" s="58"/>
      <x:c r="AT690" s="47"/>
      <x:c r="AU690" s="60"/>
      <x:c r="AV690" s="58"/>
      <x:c r="AW690" s="47"/>
      <x:c r="AX690" s="60"/>
      <x:c r="AY690" s="58"/>
      <x:c r="AZ690" s="47"/>
      <x:c r="BA690" s="60"/>
      <x:c r="BB690" s="58"/>
      <x:c r="BC690" s="47"/>
      <x:c r="BD690" s="60"/>
      <x:c r="BE690" s="58"/>
      <x:c r="BF690" s="47"/>
      <x:c r="BG690" s="60"/>
      <x:c r="BH690" s="58"/>
      <x:c r="BI690" s="47"/>
      <x:c r="BJ690" s="60"/>
      <x:c r="BK690" s="58"/>
      <x:c r="BL690" s="47"/>
      <x:c r="BM690" s="60"/>
      <x:c r="BN690" s="58"/>
      <x:c r="BO690" s="47"/>
      <x:c r="BP690" s="60"/>
      <x:c r="BQ690" s="58"/>
      <x:c r="BR690" s="47"/>
      <x:c r="BS690" s="60"/>
      <x:c r="BT690" s="58"/>
      <x:c r="BU690" s="47"/>
      <x:c r="BV690" s="60"/>
      <x:c r="BW690" s="58"/>
      <x:c r="BX690" s="47"/>
      <x:c r="BY690" s="60"/>
      <x:c r="BZ690" s="58"/>
      <x:c r="CA690" s="47"/>
      <x:c r="CB690" s="60"/>
      <x:c r="CC690" s="58"/>
      <x:c r="CD690" s="47"/>
      <x:c r="CE690" s="60"/>
      <x:c r="CF690" s="58"/>
      <x:c r="CG690" s="47"/>
      <x:c r="CH690" s="60"/>
      <x:c r="CI690" s="58"/>
      <x:c r="CJ690" s="47"/>
      <x:c r="CK690" s="60"/>
      <x:c r="CL690" s="58"/>
      <x:c r="CM690" s="47"/>
      <x:c r="CN690" s="60"/>
      <x:c r="CO690" s="58"/>
      <x:c r="CP690" s="47"/>
      <x:c r="CQ690" s="60"/>
      <x:c r="CR690" s="58"/>
      <x:c r="CS690" s="47"/>
      <x:c r="CT690" s="60"/>
      <x:c r="CU690" s="58"/>
      <x:c r="CV690" s="47"/>
      <x:c r="CW690" s="60"/>
      <x:c r="CX690" s="58"/>
      <x:c r="CY690" s="47"/>
      <x:c r="CZ690" s="60"/>
      <x:c r="DA690" s="58"/>
      <x:c r="DB690" s="47"/>
      <x:c r="DC690" s="60"/>
      <x:c r="DD690" s="58"/>
      <x:c r="DE690" s="47"/>
      <x:c r="DF690" s="60"/>
      <x:c r="DG690" s="58"/>
      <x:c r="DH690" s="47"/>
      <x:c r="DI690" s="60"/>
      <x:c r="DJ690" s="58"/>
      <x:c r="DK690" s="47"/>
      <x:c r="DL690" s="60"/>
      <x:c r="DM690" s="58"/>
      <x:c r="DN690" s="11"/>
      <x:c r="DO690" s="61"/>
      <x:c r="DP690" s="62"/>
      <x:c r="DQ690" s="11"/>
      <x:c r="DR690" s="61"/>
      <x:c r="DS690" s="62"/>
      <x:c r="DT690" s="11"/>
      <x:c r="DU690" s="61"/>
      <x:c r="DV690" s="62"/>
    </x:row>
    <x:row r="691" spans="1:126" x14ac:dyDescent="0.3">
      <x:c r="A691" s="47"/>
      <x:c r="B691" s="70"/>
      <x:c r="C691" s="70"/>
      <x:c r="D691" s="70"/>
      <x:c r="E691" s="70"/>
      <x:c r="F691" s="70"/>
      <x:c r="G691" s="70"/>
      <x:c r="H691" s="70"/>
      <x:c r="I691" s="70"/>
      <x:c r="J691" s="70"/>
      <x:c r="K691" s="190"/>
      <x:c r="L691" s="195"/>
      <x:c r="M691" s="192"/>
      <x:c r="N691" s="192"/>
      <x:c r="O691" s="69"/>
      <x:c r="P691" s="47"/>
      <x:c r="Q691" s="60"/>
      <x:c r="R691" s="58"/>
      <x:c r="S691" s="47"/>
      <x:c r="T691" s="60"/>
      <x:c r="U691" s="58"/>
      <x:c r="V691" s="47"/>
      <x:c r="W691" s="60"/>
      <x:c r="X691" s="58"/>
      <x:c r="Y691" s="47"/>
      <x:c r="Z691" s="60"/>
      <x:c r="AA691" s="58"/>
      <x:c r="AB691" s="47"/>
      <x:c r="AC691" s="60"/>
      <x:c r="AD691" s="58"/>
      <x:c r="AE691" s="47"/>
      <x:c r="AF691" s="60"/>
      <x:c r="AG691" s="58"/>
      <x:c r="AH691" s="47"/>
      <x:c r="AI691" s="60"/>
      <x:c r="AJ691" s="58"/>
      <x:c r="AK691" s="47"/>
      <x:c r="AL691" s="60"/>
      <x:c r="AM691" s="58"/>
      <x:c r="AN691" s="47"/>
      <x:c r="AO691" s="60"/>
      <x:c r="AP691" s="58"/>
      <x:c r="AQ691" s="47"/>
      <x:c r="AR691" s="60"/>
      <x:c r="AS691" s="58"/>
      <x:c r="AT691" s="47"/>
      <x:c r="AU691" s="60"/>
      <x:c r="AV691" s="58"/>
      <x:c r="AW691" s="47"/>
      <x:c r="AX691" s="60"/>
      <x:c r="AY691" s="58"/>
      <x:c r="AZ691" s="47"/>
      <x:c r="BA691" s="60"/>
      <x:c r="BB691" s="58"/>
      <x:c r="BC691" s="47"/>
      <x:c r="BD691" s="60"/>
      <x:c r="BE691" s="58"/>
      <x:c r="BF691" s="47"/>
      <x:c r="BG691" s="60"/>
      <x:c r="BH691" s="58"/>
      <x:c r="BI691" s="47"/>
      <x:c r="BJ691" s="60"/>
      <x:c r="BK691" s="58"/>
      <x:c r="BL691" s="47"/>
      <x:c r="BM691" s="60"/>
      <x:c r="BN691" s="58"/>
      <x:c r="BO691" s="47"/>
      <x:c r="BP691" s="60"/>
      <x:c r="BQ691" s="58"/>
      <x:c r="BR691" s="47"/>
      <x:c r="BS691" s="60"/>
      <x:c r="BT691" s="58"/>
      <x:c r="BU691" s="47"/>
      <x:c r="BV691" s="60"/>
      <x:c r="BW691" s="58"/>
      <x:c r="BX691" s="47"/>
      <x:c r="BY691" s="60"/>
      <x:c r="BZ691" s="58"/>
      <x:c r="CA691" s="47"/>
      <x:c r="CB691" s="60"/>
      <x:c r="CC691" s="58"/>
      <x:c r="CD691" s="47"/>
      <x:c r="CE691" s="60"/>
      <x:c r="CF691" s="58"/>
      <x:c r="CG691" s="47"/>
      <x:c r="CH691" s="60"/>
      <x:c r="CI691" s="58"/>
      <x:c r="CJ691" s="47"/>
      <x:c r="CK691" s="60"/>
      <x:c r="CL691" s="58"/>
      <x:c r="CM691" s="47"/>
      <x:c r="CN691" s="60"/>
      <x:c r="CO691" s="58"/>
      <x:c r="CP691" s="47"/>
      <x:c r="CQ691" s="60"/>
      <x:c r="CR691" s="58"/>
      <x:c r="CS691" s="47"/>
      <x:c r="CT691" s="60"/>
      <x:c r="CU691" s="58"/>
      <x:c r="CV691" s="47"/>
      <x:c r="CW691" s="60"/>
      <x:c r="CX691" s="58"/>
      <x:c r="CY691" s="47"/>
      <x:c r="CZ691" s="60"/>
      <x:c r="DA691" s="58"/>
      <x:c r="DB691" s="47"/>
      <x:c r="DC691" s="60"/>
      <x:c r="DD691" s="58"/>
      <x:c r="DE691" s="47"/>
      <x:c r="DF691" s="60"/>
      <x:c r="DG691" s="58"/>
      <x:c r="DH691" s="47"/>
      <x:c r="DI691" s="60"/>
      <x:c r="DJ691" s="58"/>
      <x:c r="DK691" s="47"/>
      <x:c r="DL691" s="60"/>
      <x:c r="DM691" s="58"/>
      <x:c r="DN691" s="11"/>
      <x:c r="DO691" s="61"/>
      <x:c r="DP691" s="62"/>
      <x:c r="DQ691" s="11"/>
      <x:c r="DR691" s="61"/>
      <x:c r="DS691" s="62"/>
      <x:c r="DT691" s="11"/>
      <x:c r="DU691" s="61"/>
      <x:c r="DV691" s="62"/>
    </x:row>
    <x:row r="692" spans="1:126" x14ac:dyDescent="0.3">
      <x:c r="A692" s="47"/>
      <x:c r="B692" s="70"/>
      <x:c r="C692" s="70"/>
      <x:c r="D692" s="70"/>
      <x:c r="E692" s="70"/>
      <x:c r="F692" s="70"/>
      <x:c r="G692" s="70"/>
      <x:c r="H692" s="70"/>
      <x:c r="I692" s="70"/>
      <x:c r="J692" s="70"/>
      <x:c r="K692" s="190"/>
      <x:c r="L692" s="195"/>
      <x:c r="M692" s="192"/>
      <x:c r="N692" s="192"/>
      <x:c r="O692" s="69"/>
      <x:c r="P692" s="47"/>
      <x:c r="Q692" s="60"/>
      <x:c r="R692" s="58"/>
      <x:c r="S692" s="47"/>
      <x:c r="T692" s="60"/>
      <x:c r="U692" s="58"/>
      <x:c r="V692" s="47"/>
      <x:c r="W692" s="60"/>
      <x:c r="X692" s="58"/>
      <x:c r="Y692" s="47"/>
      <x:c r="Z692" s="60"/>
      <x:c r="AA692" s="58"/>
      <x:c r="AB692" s="47"/>
      <x:c r="AC692" s="60"/>
      <x:c r="AD692" s="58"/>
      <x:c r="AE692" s="47"/>
      <x:c r="AF692" s="60"/>
      <x:c r="AG692" s="58"/>
      <x:c r="AH692" s="47"/>
      <x:c r="AI692" s="60"/>
      <x:c r="AJ692" s="58"/>
      <x:c r="AK692" s="47"/>
      <x:c r="AL692" s="60"/>
      <x:c r="AM692" s="58"/>
      <x:c r="AN692" s="47"/>
      <x:c r="AO692" s="60"/>
      <x:c r="AP692" s="58"/>
      <x:c r="AQ692" s="47"/>
      <x:c r="AR692" s="60"/>
      <x:c r="AS692" s="58"/>
      <x:c r="AT692" s="47"/>
      <x:c r="AU692" s="60"/>
      <x:c r="AV692" s="58"/>
      <x:c r="AW692" s="47"/>
      <x:c r="AX692" s="60"/>
      <x:c r="AY692" s="58"/>
      <x:c r="AZ692" s="47"/>
      <x:c r="BA692" s="60"/>
      <x:c r="BB692" s="58"/>
      <x:c r="BC692" s="47"/>
      <x:c r="BD692" s="60"/>
      <x:c r="BE692" s="58"/>
      <x:c r="BF692" s="47"/>
      <x:c r="BG692" s="60"/>
      <x:c r="BH692" s="58"/>
      <x:c r="BI692" s="47"/>
      <x:c r="BJ692" s="60"/>
      <x:c r="BK692" s="58"/>
      <x:c r="BL692" s="47"/>
      <x:c r="BM692" s="60"/>
      <x:c r="BN692" s="58"/>
      <x:c r="BO692" s="47"/>
      <x:c r="BP692" s="60"/>
      <x:c r="BQ692" s="58"/>
      <x:c r="BR692" s="47"/>
      <x:c r="BS692" s="60"/>
      <x:c r="BT692" s="58"/>
      <x:c r="BU692" s="47"/>
      <x:c r="BV692" s="60"/>
      <x:c r="BW692" s="58"/>
      <x:c r="BX692" s="47"/>
      <x:c r="BY692" s="60"/>
      <x:c r="BZ692" s="58"/>
      <x:c r="CA692" s="47"/>
      <x:c r="CB692" s="60"/>
      <x:c r="CC692" s="58"/>
      <x:c r="CD692" s="47"/>
      <x:c r="CE692" s="60"/>
      <x:c r="CF692" s="58"/>
      <x:c r="CG692" s="47"/>
      <x:c r="CH692" s="60"/>
      <x:c r="CI692" s="58"/>
      <x:c r="CJ692" s="47"/>
      <x:c r="CK692" s="60"/>
      <x:c r="CL692" s="58"/>
      <x:c r="CM692" s="47"/>
      <x:c r="CN692" s="60"/>
      <x:c r="CO692" s="58"/>
      <x:c r="CP692" s="47"/>
      <x:c r="CQ692" s="60"/>
      <x:c r="CR692" s="58"/>
      <x:c r="CS692" s="47"/>
      <x:c r="CT692" s="60"/>
      <x:c r="CU692" s="58"/>
      <x:c r="CV692" s="47"/>
      <x:c r="CW692" s="60"/>
      <x:c r="CX692" s="58"/>
      <x:c r="CY692" s="47"/>
      <x:c r="CZ692" s="60"/>
      <x:c r="DA692" s="58"/>
      <x:c r="DB692" s="47"/>
      <x:c r="DC692" s="60"/>
      <x:c r="DD692" s="58"/>
      <x:c r="DE692" s="47"/>
      <x:c r="DF692" s="60"/>
      <x:c r="DG692" s="58"/>
      <x:c r="DH692" s="47"/>
      <x:c r="DI692" s="60"/>
      <x:c r="DJ692" s="58"/>
      <x:c r="DK692" s="47"/>
      <x:c r="DL692" s="60"/>
      <x:c r="DM692" s="58"/>
      <x:c r="DN692" s="11"/>
      <x:c r="DO692" s="61"/>
      <x:c r="DP692" s="62"/>
      <x:c r="DQ692" s="11"/>
      <x:c r="DR692" s="61"/>
      <x:c r="DS692" s="62"/>
      <x:c r="DT692" s="11"/>
      <x:c r="DU692" s="61"/>
      <x:c r="DV692" s="62"/>
    </x:row>
    <x:row r="693" spans="1:126" x14ac:dyDescent="0.3">
      <x:c r="A693" s="47"/>
      <x:c r="B693" s="70"/>
      <x:c r="C693" s="70"/>
      <x:c r="D693" s="70"/>
      <x:c r="E693" s="70"/>
      <x:c r="F693" s="70"/>
      <x:c r="G693" s="70"/>
      <x:c r="H693" s="70"/>
      <x:c r="I693" s="70"/>
      <x:c r="J693" s="70"/>
      <x:c r="K693" s="190"/>
      <x:c r="L693" s="195"/>
      <x:c r="M693" s="192"/>
      <x:c r="N693" s="192"/>
      <x:c r="O693" s="69"/>
      <x:c r="P693" s="47"/>
      <x:c r="Q693" s="60"/>
      <x:c r="R693" s="58"/>
      <x:c r="S693" s="47"/>
      <x:c r="T693" s="60"/>
      <x:c r="U693" s="58"/>
      <x:c r="V693" s="47"/>
      <x:c r="W693" s="60"/>
      <x:c r="X693" s="58"/>
      <x:c r="Y693" s="47"/>
      <x:c r="Z693" s="60"/>
      <x:c r="AA693" s="58"/>
      <x:c r="AB693" s="47"/>
      <x:c r="AC693" s="60"/>
      <x:c r="AD693" s="58"/>
      <x:c r="AE693" s="47"/>
      <x:c r="AF693" s="60"/>
      <x:c r="AG693" s="58"/>
      <x:c r="AH693" s="47"/>
      <x:c r="AI693" s="60"/>
      <x:c r="AJ693" s="58"/>
      <x:c r="AK693" s="47"/>
      <x:c r="AL693" s="60"/>
      <x:c r="AM693" s="58"/>
      <x:c r="AN693" s="47"/>
      <x:c r="AO693" s="60"/>
      <x:c r="AP693" s="58"/>
      <x:c r="AQ693" s="47"/>
      <x:c r="AR693" s="60"/>
      <x:c r="AS693" s="58"/>
      <x:c r="AT693" s="47"/>
      <x:c r="AU693" s="60"/>
      <x:c r="AV693" s="58"/>
      <x:c r="AW693" s="47"/>
      <x:c r="AX693" s="60"/>
      <x:c r="AY693" s="58"/>
      <x:c r="AZ693" s="47"/>
      <x:c r="BA693" s="60"/>
      <x:c r="BB693" s="58"/>
      <x:c r="BC693" s="47"/>
      <x:c r="BD693" s="60"/>
      <x:c r="BE693" s="58"/>
      <x:c r="BF693" s="47"/>
      <x:c r="BG693" s="60"/>
      <x:c r="BH693" s="58"/>
      <x:c r="BI693" s="47"/>
      <x:c r="BJ693" s="60"/>
      <x:c r="BK693" s="58"/>
      <x:c r="BL693" s="47"/>
      <x:c r="BM693" s="60"/>
      <x:c r="BN693" s="58"/>
      <x:c r="BO693" s="47"/>
      <x:c r="BP693" s="60"/>
      <x:c r="BQ693" s="58"/>
      <x:c r="BR693" s="47"/>
      <x:c r="BS693" s="60"/>
      <x:c r="BT693" s="58"/>
      <x:c r="BU693" s="47"/>
      <x:c r="BV693" s="60"/>
      <x:c r="BW693" s="58"/>
      <x:c r="BX693" s="47"/>
      <x:c r="BY693" s="60"/>
      <x:c r="BZ693" s="58"/>
      <x:c r="CA693" s="47"/>
      <x:c r="CB693" s="60"/>
      <x:c r="CC693" s="58"/>
      <x:c r="CD693" s="47"/>
      <x:c r="CE693" s="60"/>
      <x:c r="CF693" s="58"/>
      <x:c r="CG693" s="47"/>
      <x:c r="CH693" s="60"/>
      <x:c r="CI693" s="58"/>
      <x:c r="CJ693" s="47"/>
      <x:c r="CK693" s="60"/>
      <x:c r="CL693" s="58"/>
      <x:c r="CM693" s="47"/>
      <x:c r="CN693" s="60"/>
      <x:c r="CO693" s="58"/>
      <x:c r="CP693" s="47"/>
      <x:c r="CQ693" s="60"/>
      <x:c r="CR693" s="58"/>
      <x:c r="CS693" s="47"/>
      <x:c r="CT693" s="60"/>
      <x:c r="CU693" s="58"/>
      <x:c r="CV693" s="47"/>
      <x:c r="CW693" s="60"/>
      <x:c r="CX693" s="58"/>
      <x:c r="CY693" s="47"/>
      <x:c r="CZ693" s="60"/>
      <x:c r="DA693" s="58"/>
      <x:c r="DB693" s="47"/>
      <x:c r="DC693" s="60"/>
      <x:c r="DD693" s="58"/>
      <x:c r="DE693" s="47"/>
      <x:c r="DF693" s="60"/>
      <x:c r="DG693" s="58"/>
      <x:c r="DH693" s="47"/>
      <x:c r="DI693" s="60"/>
      <x:c r="DJ693" s="58"/>
      <x:c r="DK693" s="47"/>
      <x:c r="DL693" s="60"/>
      <x:c r="DM693" s="58"/>
      <x:c r="DN693" s="11"/>
      <x:c r="DO693" s="61"/>
      <x:c r="DP693" s="62"/>
      <x:c r="DQ693" s="11"/>
      <x:c r="DR693" s="61"/>
      <x:c r="DS693" s="62"/>
      <x:c r="DT693" s="11"/>
      <x:c r="DU693" s="61"/>
      <x:c r="DV693" s="62"/>
    </x:row>
    <x:row r="694" spans="1:126" x14ac:dyDescent="0.3">
      <x:c r="A694" s="47"/>
      <x:c r="B694" s="70"/>
      <x:c r="C694" s="70"/>
      <x:c r="D694" s="70"/>
      <x:c r="E694" s="70"/>
      <x:c r="F694" s="70"/>
      <x:c r="G694" s="70"/>
      <x:c r="H694" s="70"/>
      <x:c r="I694" s="70"/>
      <x:c r="J694" s="70"/>
      <x:c r="K694" s="190"/>
      <x:c r="L694" s="195"/>
      <x:c r="M694" s="192"/>
      <x:c r="N694" s="192"/>
      <x:c r="O694" s="69"/>
      <x:c r="P694" s="47"/>
      <x:c r="Q694" s="60"/>
      <x:c r="R694" s="58"/>
      <x:c r="S694" s="47"/>
      <x:c r="T694" s="60"/>
      <x:c r="U694" s="58"/>
      <x:c r="V694" s="47"/>
      <x:c r="W694" s="60"/>
      <x:c r="X694" s="58"/>
      <x:c r="Y694" s="47"/>
      <x:c r="Z694" s="60"/>
      <x:c r="AA694" s="58"/>
      <x:c r="AB694" s="47"/>
      <x:c r="AC694" s="60"/>
      <x:c r="AD694" s="58"/>
      <x:c r="AE694" s="47"/>
      <x:c r="AF694" s="60"/>
      <x:c r="AG694" s="58"/>
      <x:c r="AH694" s="47"/>
      <x:c r="AI694" s="60"/>
      <x:c r="AJ694" s="58"/>
      <x:c r="AK694" s="47"/>
      <x:c r="AL694" s="60"/>
      <x:c r="AM694" s="58"/>
      <x:c r="AN694" s="47"/>
      <x:c r="AO694" s="60"/>
      <x:c r="AP694" s="58"/>
      <x:c r="AQ694" s="47"/>
      <x:c r="AR694" s="60"/>
      <x:c r="AS694" s="58"/>
      <x:c r="AT694" s="47"/>
      <x:c r="AU694" s="60"/>
      <x:c r="AV694" s="58"/>
      <x:c r="AW694" s="47"/>
      <x:c r="AX694" s="60"/>
      <x:c r="AY694" s="58"/>
      <x:c r="AZ694" s="47"/>
      <x:c r="BA694" s="60"/>
      <x:c r="BB694" s="58"/>
      <x:c r="BC694" s="47"/>
      <x:c r="BD694" s="60"/>
      <x:c r="BE694" s="58"/>
      <x:c r="BF694" s="47"/>
      <x:c r="BG694" s="60"/>
      <x:c r="BH694" s="58"/>
      <x:c r="BI694" s="47"/>
      <x:c r="BJ694" s="60"/>
      <x:c r="BK694" s="58"/>
      <x:c r="BL694" s="47"/>
      <x:c r="BM694" s="60"/>
      <x:c r="BN694" s="58"/>
      <x:c r="BO694" s="47"/>
      <x:c r="BP694" s="60"/>
      <x:c r="BQ694" s="58"/>
      <x:c r="BR694" s="47"/>
      <x:c r="BS694" s="60"/>
      <x:c r="BT694" s="58"/>
      <x:c r="BU694" s="47"/>
      <x:c r="BV694" s="60"/>
      <x:c r="BW694" s="58"/>
      <x:c r="BX694" s="47"/>
      <x:c r="BY694" s="60"/>
      <x:c r="BZ694" s="58"/>
      <x:c r="CA694" s="47"/>
      <x:c r="CB694" s="60"/>
      <x:c r="CC694" s="58"/>
      <x:c r="CD694" s="47"/>
      <x:c r="CE694" s="60"/>
      <x:c r="CF694" s="58"/>
      <x:c r="CG694" s="47"/>
      <x:c r="CH694" s="60"/>
      <x:c r="CI694" s="58"/>
      <x:c r="CJ694" s="47"/>
      <x:c r="CK694" s="60"/>
      <x:c r="CL694" s="58"/>
      <x:c r="CM694" s="47"/>
      <x:c r="CN694" s="60"/>
      <x:c r="CO694" s="58"/>
      <x:c r="CP694" s="47"/>
      <x:c r="CQ694" s="60"/>
      <x:c r="CR694" s="58"/>
      <x:c r="CS694" s="47"/>
      <x:c r="CT694" s="60"/>
      <x:c r="CU694" s="58"/>
      <x:c r="CV694" s="47"/>
      <x:c r="CW694" s="60"/>
      <x:c r="CX694" s="58"/>
      <x:c r="CY694" s="47"/>
      <x:c r="CZ694" s="60"/>
      <x:c r="DA694" s="58"/>
      <x:c r="DB694" s="47"/>
      <x:c r="DC694" s="60"/>
      <x:c r="DD694" s="58"/>
      <x:c r="DE694" s="47"/>
      <x:c r="DF694" s="60"/>
      <x:c r="DG694" s="58"/>
      <x:c r="DH694" s="47"/>
      <x:c r="DI694" s="60"/>
      <x:c r="DJ694" s="58"/>
      <x:c r="DK694" s="47"/>
      <x:c r="DL694" s="60"/>
      <x:c r="DM694" s="58"/>
      <x:c r="DN694" s="11"/>
      <x:c r="DO694" s="61"/>
      <x:c r="DP694" s="62"/>
      <x:c r="DQ694" s="11"/>
      <x:c r="DR694" s="61"/>
      <x:c r="DS694" s="62"/>
      <x:c r="DT694" s="11"/>
      <x:c r="DU694" s="61"/>
      <x:c r="DV694" s="62"/>
    </x:row>
    <x:row r="695" spans="1:126" x14ac:dyDescent="0.3">
      <x:c r="A695" s="47"/>
      <x:c r="B695" s="70"/>
      <x:c r="C695" s="70"/>
      <x:c r="D695" s="70"/>
      <x:c r="E695" s="70"/>
      <x:c r="F695" s="70"/>
      <x:c r="G695" s="70"/>
      <x:c r="H695" s="70"/>
      <x:c r="I695" s="70"/>
      <x:c r="J695" s="70"/>
      <x:c r="K695" s="190"/>
      <x:c r="L695" s="195"/>
      <x:c r="M695" s="192"/>
      <x:c r="N695" s="192"/>
      <x:c r="O695" s="69"/>
      <x:c r="P695" s="47"/>
      <x:c r="Q695" s="60"/>
      <x:c r="R695" s="58"/>
      <x:c r="S695" s="47"/>
      <x:c r="T695" s="60"/>
      <x:c r="U695" s="58"/>
      <x:c r="V695" s="47"/>
      <x:c r="W695" s="60"/>
      <x:c r="X695" s="58"/>
      <x:c r="Y695" s="47"/>
      <x:c r="Z695" s="60"/>
      <x:c r="AA695" s="58"/>
      <x:c r="AB695" s="47"/>
      <x:c r="AC695" s="60"/>
      <x:c r="AD695" s="58"/>
      <x:c r="AE695" s="47"/>
      <x:c r="AF695" s="60"/>
      <x:c r="AG695" s="58"/>
      <x:c r="AH695" s="47"/>
      <x:c r="AI695" s="60"/>
      <x:c r="AJ695" s="58"/>
      <x:c r="AK695" s="47"/>
      <x:c r="AL695" s="60"/>
      <x:c r="AM695" s="58"/>
      <x:c r="AN695" s="47"/>
      <x:c r="AO695" s="60"/>
      <x:c r="AP695" s="58"/>
      <x:c r="AQ695" s="47"/>
      <x:c r="AR695" s="60"/>
      <x:c r="AS695" s="58"/>
      <x:c r="AT695" s="47"/>
      <x:c r="AU695" s="60"/>
      <x:c r="AV695" s="58"/>
      <x:c r="AW695" s="47"/>
      <x:c r="AX695" s="60"/>
      <x:c r="AY695" s="58"/>
      <x:c r="AZ695" s="47"/>
      <x:c r="BA695" s="60"/>
      <x:c r="BB695" s="58"/>
      <x:c r="BC695" s="47"/>
      <x:c r="BD695" s="60"/>
      <x:c r="BE695" s="58"/>
      <x:c r="BF695" s="47"/>
      <x:c r="BG695" s="60"/>
      <x:c r="BH695" s="58"/>
      <x:c r="BI695" s="47"/>
      <x:c r="BJ695" s="60"/>
      <x:c r="BK695" s="58"/>
      <x:c r="BL695" s="47"/>
      <x:c r="BM695" s="60"/>
      <x:c r="BN695" s="58"/>
      <x:c r="BO695" s="47"/>
      <x:c r="BP695" s="60"/>
      <x:c r="BQ695" s="58"/>
      <x:c r="BR695" s="47"/>
      <x:c r="BS695" s="60"/>
      <x:c r="BT695" s="58"/>
      <x:c r="BU695" s="47"/>
      <x:c r="BV695" s="60"/>
      <x:c r="BW695" s="58"/>
      <x:c r="BX695" s="47"/>
      <x:c r="BY695" s="60"/>
      <x:c r="BZ695" s="58"/>
      <x:c r="CA695" s="47"/>
      <x:c r="CB695" s="60"/>
      <x:c r="CC695" s="58"/>
      <x:c r="CD695" s="47"/>
      <x:c r="CE695" s="60"/>
      <x:c r="CF695" s="58"/>
      <x:c r="CG695" s="47"/>
      <x:c r="CH695" s="60"/>
      <x:c r="CI695" s="58"/>
      <x:c r="CJ695" s="47"/>
      <x:c r="CK695" s="60"/>
      <x:c r="CL695" s="58"/>
      <x:c r="CM695" s="47"/>
      <x:c r="CN695" s="60"/>
      <x:c r="CO695" s="58"/>
      <x:c r="CP695" s="47"/>
      <x:c r="CQ695" s="60"/>
      <x:c r="CR695" s="58"/>
      <x:c r="CS695" s="47"/>
      <x:c r="CT695" s="60"/>
      <x:c r="CU695" s="58"/>
      <x:c r="CV695" s="47"/>
      <x:c r="CW695" s="60"/>
      <x:c r="CX695" s="58"/>
      <x:c r="CY695" s="47"/>
      <x:c r="CZ695" s="60"/>
      <x:c r="DA695" s="58"/>
      <x:c r="DB695" s="47"/>
      <x:c r="DC695" s="60"/>
      <x:c r="DD695" s="58"/>
      <x:c r="DE695" s="47"/>
      <x:c r="DF695" s="60"/>
      <x:c r="DG695" s="58"/>
      <x:c r="DH695" s="47"/>
      <x:c r="DI695" s="60"/>
      <x:c r="DJ695" s="58"/>
      <x:c r="DK695" s="47"/>
      <x:c r="DL695" s="60"/>
      <x:c r="DM695" s="58"/>
      <x:c r="DN695" s="11"/>
      <x:c r="DO695" s="61"/>
      <x:c r="DP695" s="62"/>
      <x:c r="DQ695" s="11"/>
      <x:c r="DR695" s="61"/>
      <x:c r="DS695" s="62"/>
      <x:c r="DT695" s="11"/>
      <x:c r="DU695" s="61"/>
      <x:c r="DV695" s="62"/>
    </x:row>
    <x:row r="696" spans="1:126" x14ac:dyDescent="0.3">
      <x:c r="A696" s="47"/>
      <x:c r="B696" s="70"/>
      <x:c r="C696" s="70"/>
      <x:c r="D696" s="70"/>
      <x:c r="E696" s="70"/>
      <x:c r="F696" s="70"/>
      <x:c r="G696" s="70"/>
      <x:c r="H696" s="70"/>
      <x:c r="I696" s="70"/>
      <x:c r="J696" s="70"/>
      <x:c r="K696" s="190"/>
      <x:c r="L696" s="195"/>
      <x:c r="M696" s="192"/>
      <x:c r="N696" s="192"/>
      <x:c r="O696" s="69"/>
      <x:c r="P696" s="47"/>
      <x:c r="Q696" s="60"/>
      <x:c r="R696" s="58"/>
      <x:c r="S696" s="47"/>
      <x:c r="T696" s="60"/>
      <x:c r="U696" s="58"/>
      <x:c r="V696" s="47"/>
      <x:c r="W696" s="60"/>
      <x:c r="X696" s="58"/>
      <x:c r="Y696" s="47"/>
      <x:c r="Z696" s="60"/>
      <x:c r="AA696" s="58"/>
      <x:c r="AB696" s="47"/>
      <x:c r="AC696" s="60"/>
      <x:c r="AD696" s="58"/>
      <x:c r="AE696" s="47"/>
      <x:c r="AF696" s="60"/>
      <x:c r="AG696" s="58"/>
      <x:c r="AH696" s="47"/>
      <x:c r="AI696" s="60"/>
      <x:c r="AJ696" s="58"/>
      <x:c r="AK696" s="47"/>
      <x:c r="AL696" s="60"/>
      <x:c r="AM696" s="58"/>
      <x:c r="AN696" s="47"/>
      <x:c r="AO696" s="60"/>
      <x:c r="AP696" s="58"/>
      <x:c r="AQ696" s="47"/>
      <x:c r="AR696" s="60"/>
      <x:c r="AS696" s="58"/>
      <x:c r="AT696" s="47"/>
      <x:c r="AU696" s="60"/>
      <x:c r="AV696" s="58"/>
      <x:c r="AW696" s="47"/>
      <x:c r="AX696" s="60"/>
      <x:c r="AY696" s="58"/>
      <x:c r="AZ696" s="47"/>
      <x:c r="BA696" s="60"/>
      <x:c r="BB696" s="58"/>
      <x:c r="BC696" s="47"/>
      <x:c r="BD696" s="60"/>
      <x:c r="BE696" s="58"/>
      <x:c r="BF696" s="47"/>
      <x:c r="BG696" s="60"/>
      <x:c r="BH696" s="58"/>
      <x:c r="BI696" s="47"/>
      <x:c r="BJ696" s="60"/>
      <x:c r="BK696" s="58"/>
      <x:c r="BL696" s="47"/>
      <x:c r="BM696" s="60"/>
      <x:c r="BN696" s="58"/>
      <x:c r="BO696" s="47"/>
      <x:c r="BP696" s="60"/>
      <x:c r="BQ696" s="58"/>
      <x:c r="BR696" s="47"/>
      <x:c r="BS696" s="60"/>
      <x:c r="BT696" s="58"/>
      <x:c r="BU696" s="47"/>
      <x:c r="BV696" s="60"/>
      <x:c r="BW696" s="58"/>
      <x:c r="BX696" s="47"/>
      <x:c r="BY696" s="60"/>
      <x:c r="BZ696" s="58"/>
      <x:c r="CA696" s="47"/>
      <x:c r="CB696" s="60"/>
      <x:c r="CC696" s="58"/>
      <x:c r="CD696" s="47"/>
      <x:c r="CE696" s="60"/>
      <x:c r="CF696" s="58"/>
      <x:c r="CG696" s="47"/>
      <x:c r="CH696" s="60"/>
      <x:c r="CI696" s="58"/>
      <x:c r="CJ696" s="47"/>
      <x:c r="CK696" s="60"/>
      <x:c r="CL696" s="58"/>
      <x:c r="CM696" s="47"/>
      <x:c r="CN696" s="60"/>
      <x:c r="CO696" s="58"/>
      <x:c r="CP696" s="47"/>
      <x:c r="CQ696" s="60"/>
      <x:c r="CR696" s="58"/>
      <x:c r="CS696" s="47"/>
      <x:c r="CT696" s="60"/>
      <x:c r="CU696" s="58"/>
      <x:c r="CV696" s="47"/>
      <x:c r="CW696" s="60"/>
      <x:c r="CX696" s="58"/>
      <x:c r="CY696" s="47"/>
      <x:c r="CZ696" s="60"/>
      <x:c r="DA696" s="58"/>
      <x:c r="DB696" s="47"/>
      <x:c r="DC696" s="60"/>
      <x:c r="DD696" s="58"/>
      <x:c r="DE696" s="47"/>
      <x:c r="DF696" s="60"/>
      <x:c r="DG696" s="58"/>
      <x:c r="DH696" s="47"/>
      <x:c r="DI696" s="60"/>
      <x:c r="DJ696" s="58"/>
      <x:c r="DK696" s="47"/>
      <x:c r="DL696" s="60"/>
      <x:c r="DM696" s="58"/>
      <x:c r="DN696" s="11"/>
      <x:c r="DO696" s="61"/>
      <x:c r="DP696" s="62"/>
      <x:c r="DQ696" s="11"/>
      <x:c r="DR696" s="61"/>
      <x:c r="DS696" s="62"/>
      <x:c r="DT696" s="11"/>
      <x:c r="DU696" s="61"/>
      <x:c r="DV696" s="62"/>
    </x:row>
    <x:row r="697" spans="1:126" x14ac:dyDescent="0.3">
      <x:c r="A697" s="47"/>
      <x:c r="B697" s="70"/>
      <x:c r="C697" s="70"/>
      <x:c r="D697" s="70"/>
      <x:c r="E697" s="70"/>
      <x:c r="F697" s="70"/>
      <x:c r="G697" s="70"/>
      <x:c r="H697" s="70"/>
      <x:c r="I697" s="70"/>
      <x:c r="J697" s="70"/>
      <x:c r="K697" s="190"/>
      <x:c r="L697" s="195"/>
      <x:c r="M697" s="192"/>
      <x:c r="N697" s="192"/>
      <x:c r="O697" s="69"/>
      <x:c r="P697" s="47"/>
      <x:c r="Q697" s="60"/>
      <x:c r="R697" s="58"/>
      <x:c r="S697" s="47"/>
      <x:c r="T697" s="60"/>
      <x:c r="U697" s="58"/>
      <x:c r="V697" s="47"/>
      <x:c r="W697" s="60"/>
      <x:c r="X697" s="58"/>
      <x:c r="Y697" s="47"/>
      <x:c r="Z697" s="60"/>
      <x:c r="AA697" s="58"/>
      <x:c r="AB697" s="47"/>
      <x:c r="AC697" s="60"/>
      <x:c r="AD697" s="58"/>
      <x:c r="AE697" s="47"/>
      <x:c r="AF697" s="60"/>
      <x:c r="AG697" s="58"/>
      <x:c r="AH697" s="47"/>
      <x:c r="AI697" s="60"/>
      <x:c r="AJ697" s="58"/>
      <x:c r="AK697" s="47"/>
      <x:c r="AL697" s="60"/>
      <x:c r="AM697" s="58"/>
      <x:c r="AN697" s="47"/>
      <x:c r="AO697" s="60"/>
      <x:c r="AP697" s="58"/>
      <x:c r="AQ697" s="47"/>
      <x:c r="AR697" s="60"/>
      <x:c r="AS697" s="58"/>
      <x:c r="AT697" s="47"/>
      <x:c r="AU697" s="60"/>
      <x:c r="AV697" s="58"/>
      <x:c r="AW697" s="47"/>
      <x:c r="AX697" s="60"/>
      <x:c r="AY697" s="58"/>
      <x:c r="AZ697" s="47"/>
      <x:c r="BA697" s="60"/>
      <x:c r="BB697" s="58"/>
      <x:c r="BC697" s="47"/>
      <x:c r="BD697" s="60"/>
      <x:c r="BE697" s="58"/>
      <x:c r="BF697" s="47"/>
      <x:c r="BG697" s="60"/>
      <x:c r="BH697" s="58"/>
      <x:c r="BI697" s="47"/>
      <x:c r="BJ697" s="60"/>
      <x:c r="BK697" s="58"/>
      <x:c r="BL697" s="47"/>
      <x:c r="BM697" s="60"/>
      <x:c r="BN697" s="58"/>
      <x:c r="BO697" s="47"/>
      <x:c r="BP697" s="60"/>
      <x:c r="BQ697" s="58"/>
      <x:c r="BR697" s="47"/>
      <x:c r="BS697" s="60"/>
      <x:c r="BT697" s="58"/>
      <x:c r="BU697" s="47"/>
      <x:c r="BV697" s="60"/>
      <x:c r="BW697" s="58"/>
      <x:c r="BX697" s="47"/>
      <x:c r="BY697" s="60"/>
      <x:c r="BZ697" s="58"/>
      <x:c r="CA697" s="47"/>
      <x:c r="CB697" s="60"/>
      <x:c r="CC697" s="58"/>
      <x:c r="CD697" s="47"/>
      <x:c r="CE697" s="60"/>
      <x:c r="CF697" s="58"/>
      <x:c r="CG697" s="47"/>
      <x:c r="CH697" s="60"/>
      <x:c r="CI697" s="58"/>
      <x:c r="CJ697" s="47"/>
      <x:c r="CK697" s="60"/>
      <x:c r="CL697" s="58"/>
      <x:c r="CM697" s="47"/>
      <x:c r="CN697" s="60"/>
      <x:c r="CO697" s="58"/>
      <x:c r="CP697" s="47"/>
      <x:c r="CQ697" s="60"/>
      <x:c r="CR697" s="58"/>
      <x:c r="CS697" s="47"/>
      <x:c r="CT697" s="60"/>
      <x:c r="CU697" s="58"/>
      <x:c r="CV697" s="47"/>
      <x:c r="CW697" s="60"/>
      <x:c r="CX697" s="58"/>
      <x:c r="CY697" s="47"/>
      <x:c r="CZ697" s="60"/>
      <x:c r="DA697" s="58"/>
      <x:c r="DB697" s="47"/>
      <x:c r="DC697" s="60"/>
      <x:c r="DD697" s="58"/>
      <x:c r="DE697" s="47"/>
      <x:c r="DF697" s="60"/>
      <x:c r="DG697" s="58"/>
      <x:c r="DH697" s="47"/>
      <x:c r="DI697" s="60"/>
      <x:c r="DJ697" s="58"/>
      <x:c r="DK697" s="47"/>
      <x:c r="DL697" s="60"/>
      <x:c r="DM697" s="58"/>
      <x:c r="DN697" s="11"/>
      <x:c r="DO697" s="61"/>
      <x:c r="DP697" s="62"/>
      <x:c r="DQ697" s="11"/>
      <x:c r="DR697" s="61"/>
      <x:c r="DS697" s="62"/>
      <x:c r="DT697" s="11"/>
      <x:c r="DU697" s="61"/>
      <x:c r="DV697" s="62"/>
    </x:row>
    <x:row r="698" spans="1:126" x14ac:dyDescent="0.3">
      <x:c r="A698" s="47"/>
      <x:c r="B698" s="70"/>
      <x:c r="C698" s="70"/>
      <x:c r="D698" s="70"/>
      <x:c r="E698" s="70"/>
      <x:c r="F698" s="70"/>
      <x:c r="G698" s="70"/>
      <x:c r="H698" s="70"/>
      <x:c r="I698" s="70"/>
      <x:c r="J698" s="70"/>
      <x:c r="K698" s="190"/>
      <x:c r="L698" s="195"/>
      <x:c r="M698" s="192"/>
      <x:c r="N698" s="192"/>
      <x:c r="O698" s="69"/>
      <x:c r="P698" s="47"/>
      <x:c r="Q698" s="60"/>
      <x:c r="R698" s="58"/>
      <x:c r="S698" s="47"/>
      <x:c r="T698" s="60"/>
      <x:c r="U698" s="58"/>
      <x:c r="V698" s="47"/>
      <x:c r="W698" s="60"/>
      <x:c r="X698" s="58"/>
      <x:c r="Y698" s="47"/>
      <x:c r="Z698" s="60"/>
      <x:c r="AA698" s="58"/>
      <x:c r="AB698" s="47"/>
      <x:c r="AC698" s="60"/>
      <x:c r="AD698" s="58"/>
      <x:c r="AE698" s="47"/>
      <x:c r="AF698" s="60"/>
      <x:c r="AG698" s="58"/>
      <x:c r="AH698" s="47"/>
      <x:c r="AI698" s="60"/>
      <x:c r="AJ698" s="58"/>
      <x:c r="AK698" s="47"/>
      <x:c r="AL698" s="60"/>
      <x:c r="AM698" s="58"/>
      <x:c r="AN698" s="47"/>
      <x:c r="AO698" s="60"/>
      <x:c r="AP698" s="58"/>
      <x:c r="AQ698" s="47"/>
      <x:c r="AR698" s="60"/>
      <x:c r="AS698" s="58"/>
      <x:c r="AT698" s="47"/>
      <x:c r="AU698" s="60"/>
      <x:c r="AV698" s="58"/>
      <x:c r="AW698" s="47"/>
      <x:c r="AX698" s="60"/>
      <x:c r="AY698" s="58"/>
      <x:c r="AZ698" s="47"/>
      <x:c r="BA698" s="60"/>
      <x:c r="BB698" s="58"/>
      <x:c r="BC698" s="47"/>
      <x:c r="BD698" s="60"/>
      <x:c r="BE698" s="58"/>
      <x:c r="BF698" s="47"/>
      <x:c r="BG698" s="60"/>
      <x:c r="BH698" s="58"/>
      <x:c r="BI698" s="47"/>
      <x:c r="BJ698" s="60"/>
      <x:c r="BK698" s="58"/>
      <x:c r="BL698" s="47"/>
      <x:c r="BM698" s="60"/>
      <x:c r="BN698" s="58"/>
      <x:c r="BO698" s="47"/>
      <x:c r="BP698" s="60"/>
      <x:c r="BQ698" s="58"/>
      <x:c r="BR698" s="47"/>
      <x:c r="BS698" s="60"/>
      <x:c r="BT698" s="58"/>
      <x:c r="BU698" s="47"/>
      <x:c r="BV698" s="60"/>
      <x:c r="BW698" s="58"/>
      <x:c r="BX698" s="47"/>
      <x:c r="BY698" s="60"/>
      <x:c r="BZ698" s="58"/>
      <x:c r="CA698" s="47"/>
      <x:c r="CB698" s="60"/>
      <x:c r="CC698" s="58"/>
      <x:c r="CD698" s="47"/>
      <x:c r="CE698" s="60"/>
      <x:c r="CF698" s="58"/>
      <x:c r="CG698" s="47"/>
      <x:c r="CH698" s="60"/>
      <x:c r="CI698" s="58"/>
      <x:c r="CJ698" s="47"/>
      <x:c r="CK698" s="60"/>
      <x:c r="CL698" s="58"/>
      <x:c r="CM698" s="47"/>
      <x:c r="CN698" s="60"/>
      <x:c r="CO698" s="58"/>
      <x:c r="CP698" s="47"/>
      <x:c r="CQ698" s="60"/>
      <x:c r="CR698" s="58"/>
      <x:c r="CS698" s="47"/>
      <x:c r="CT698" s="60"/>
      <x:c r="CU698" s="58"/>
      <x:c r="CV698" s="47"/>
      <x:c r="CW698" s="60"/>
      <x:c r="CX698" s="58"/>
      <x:c r="CY698" s="47"/>
      <x:c r="CZ698" s="60"/>
      <x:c r="DA698" s="58"/>
      <x:c r="DB698" s="47"/>
      <x:c r="DC698" s="60"/>
      <x:c r="DD698" s="58"/>
      <x:c r="DE698" s="47"/>
      <x:c r="DF698" s="60"/>
      <x:c r="DG698" s="58"/>
      <x:c r="DH698" s="47"/>
      <x:c r="DI698" s="60"/>
      <x:c r="DJ698" s="58"/>
      <x:c r="DK698" s="47"/>
      <x:c r="DL698" s="60"/>
      <x:c r="DM698" s="58"/>
      <x:c r="DN698" s="11"/>
      <x:c r="DO698" s="61"/>
      <x:c r="DP698" s="62"/>
      <x:c r="DQ698" s="11"/>
      <x:c r="DR698" s="61"/>
      <x:c r="DS698" s="62"/>
      <x:c r="DT698" s="11"/>
      <x:c r="DU698" s="61"/>
      <x:c r="DV698" s="62"/>
    </x:row>
    <x:row r="699" spans="1:126" x14ac:dyDescent="0.3">
      <x:c r="A699" s="47"/>
      <x:c r="B699" s="70"/>
      <x:c r="C699" s="70"/>
      <x:c r="D699" s="70"/>
      <x:c r="E699" s="70"/>
      <x:c r="F699" s="70"/>
      <x:c r="G699" s="70"/>
      <x:c r="H699" s="70"/>
      <x:c r="I699" s="70"/>
      <x:c r="J699" s="70"/>
      <x:c r="K699" s="190"/>
      <x:c r="L699" s="195"/>
      <x:c r="M699" s="192"/>
      <x:c r="N699" s="192"/>
      <x:c r="O699" s="69"/>
      <x:c r="P699" s="47"/>
      <x:c r="Q699" s="60"/>
      <x:c r="R699" s="58"/>
      <x:c r="S699" s="47"/>
      <x:c r="T699" s="60"/>
      <x:c r="U699" s="58"/>
      <x:c r="V699" s="47"/>
      <x:c r="W699" s="60"/>
      <x:c r="X699" s="58"/>
      <x:c r="Y699" s="47"/>
      <x:c r="Z699" s="60"/>
      <x:c r="AA699" s="58"/>
      <x:c r="AB699" s="47"/>
      <x:c r="AC699" s="60"/>
      <x:c r="AD699" s="58"/>
      <x:c r="AE699" s="47"/>
      <x:c r="AF699" s="60"/>
      <x:c r="AG699" s="58"/>
      <x:c r="AH699" s="47"/>
      <x:c r="AI699" s="60"/>
      <x:c r="AJ699" s="58"/>
      <x:c r="AK699" s="47"/>
      <x:c r="AL699" s="60"/>
      <x:c r="AM699" s="58"/>
      <x:c r="AN699" s="47"/>
      <x:c r="AO699" s="60"/>
      <x:c r="AP699" s="58"/>
      <x:c r="AQ699" s="47"/>
      <x:c r="AR699" s="60"/>
      <x:c r="AS699" s="58"/>
      <x:c r="AT699" s="47"/>
      <x:c r="AU699" s="60"/>
      <x:c r="AV699" s="58"/>
      <x:c r="AW699" s="47"/>
      <x:c r="AX699" s="60"/>
      <x:c r="AY699" s="58"/>
      <x:c r="AZ699" s="47"/>
      <x:c r="BA699" s="60"/>
      <x:c r="BB699" s="58"/>
      <x:c r="BC699" s="47"/>
      <x:c r="BD699" s="60"/>
      <x:c r="BE699" s="58"/>
      <x:c r="BF699" s="47"/>
      <x:c r="BG699" s="60"/>
      <x:c r="BH699" s="58"/>
      <x:c r="BI699" s="47"/>
      <x:c r="BJ699" s="60"/>
      <x:c r="BK699" s="58"/>
      <x:c r="BL699" s="47"/>
      <x:c r="BM699" s="60"/>
      <x:c r="BN699" s="58"/>
      <x:c r="BO699" s="47"/>
      <x:c r="BP699" s="60"/>
      <x:c r="BQ699" s="58"/>
      <x:c r="BR699" s="47"/>
      <x:c r="BS699" s="60"/>
      <x:c r="BT699" s="58"/>
      <x:c r="BU699" s="47"/>
      <x:c r="BV699" s="60"/>
      <x:c r="BW699" s="58"/>
      <x:c r="BX699" s="47"/>
      <x:c r="BY699" s="60"/>
      <x:c r="BZ699" s="58"/>
      <x:c r="CA699" s="47"/>
      <x:c r="CB699" s="60"/>
      <x:c r="CC699" s="58"/>
      <x:c r="CD699" s="47"/>
      <x:c r="CE699" s="60"/>
      <x:c r="CF699" s="58"/>
      <x:c r="CG699" s="47"/>
      <x:c r="CH699" s="60"/>
      <x:c r="CI699" s="58"/>
      <x:c r="CJ699" s="47"/>
      <x:c r="CK699" s="60"/>
      <x:c r="CL699" s="58"/>
      <x:c r="CM699" s="47"/>
      <x:c r="CN699" s="60"/>
      <x:c r="CO699" s="58"/>
      <x:c r="CP699" s="47"/>
      <x:c r="CQ699" s="60"/>
      <x:c r="CR699" s="58"/>
      <x:c r="CS699" s="47"/>
      <x:c r="CT699" s="60"/>
      <x:c r="CU699" s="58"/>
      <x:c r="CV699" s="47"/>
      <x:c r="CW699" s="60"/>
      <x:c r="CX699" s="58"/>
      <x:c r="CY699" s="47"/>
      <x:c r="CZ699" s="60"/>
      <x:c r="DA699" s="58"/>
      <x:c r="DB699" s="47"/>
      <x:c r="DC699" s="60"/>
      <x:c r="DD699" s="58"/>
      <x:c r="DE699" s="47"/>
      <x:c r="DF699" s="60"/>
      <x:c r="DG699" s="58"/>
      <x:c r="DH699" s="47"/>
      <x:c r="DI699" s="60"/>
      <x:c r="DJ699" s="58"/>
      <x:c r="DK699" s="47"/>
      <x:c r="DL699" s="60"/>
      <x:c r="DM699" s="58"/>
      <x:c r="DN699" s="11"/>
      <x:c r="DO699" s="61"/>
      <x:c r="DP699" s="62"/>
      <x:c r="DQ699" s="11"/>
      <x:c r="DR699" s="61"/>
      <x:c r="DS699" s="62"/>
      <x:c r="DT699" s="11"/>
      <x:c r="DU699" s="61"/>
      <x:c r="DV699" s="62"/>
    </x:row>
    <x:row r="700" spans="1:126" x14ac:dyDescent="0.3">
      <x:c r="A700" s="47"/>
      <x:c r="B700" s="70"/>
      <x:c r="C700" s="70"/>
      <x:c r="D700" s="70"/>
      <x:c r="E700" s="70"/>
      <x:c r="F700" s="70"/>
      <x:c r="G700" s="70"/>
      <x:c r="H700" s="70"/>
      <x:c r="I700" s="70"/>
      <x:c r="J700" s="70"/>
      <x:c r="K700" s="190"/>
      <x:c r="L700" s="195"/>
      <x:c r="M700" s="192"/>
      <x:c r="N700" s="192"/>
      <x:c r="O700" s="69"/>
      <x:c r="P700" s="47"/>
      <x:c r="Q700" s="60"/>
      <x:c r="R700" s="58"/>
      <x:c r="S700" s="47"/>
      <x:c r="T700" s="60"/>
      <x:c r="U700" s="58"/>
      <x:c r="V700" s="47"/>
      <x:c r="W700" s="60"/>
      <x:c r="X700" s="58"/>
      <x:c r="Y700" s="47"/>
      <x:c r="Z700" s="60"/>
      <x:c r="AA700" s="58"/>
      <x:c r="AB700" s="47"/>
      <x:c r="AC700" s="60"/>
      <x:c r="AD700" s="58"/>
      <x:c r="AE700" s="47"/>
      <x:c r="AF700" s="60"/>
      <x:c r="AG700" s="58"/>
      <x:c r="AH700" s="47"/>
      <x:c r="AI700" s="60"/>
      <x:c r="AJ700" s="58"/>
      <x:c r="AK700" s="47"/>
      <x:c r="AL700" s="60"/>
      <x:c r="AM700" s="58"/>
      <x:c r="AN700" s="47"/>
      <x:c r="AO700" s="60"/>
      <x:c r="AP700" s="58"/>
      <x:c r="AQ700" s="47"/>
      <x:c r="AR700" s="60"/>
      <x:c r="AS700" s="58"/>
      <x:c r="AT700" s="47"/>
      <x:c r="AU700" s="60"/>
      <x:c r="AV700" s="58"/>
      <x:c r="AW700" s="47"/>
      <x:c r="AX700" s="60"/>
      <x:c r="AY700" s="58"/>
      <x:c r="AZ700" s="47"/>
      <x:c r="BA700" s="60"/>
      <x:c r="BB700" s="58"/>
      <x:c r="BC700" s="47"/>
      <x:c r="BD700" s="60"/>
      <x:c r="BE700" s="58"/>
      <x:c r="BF700" s="47"/>
      <x:c r="BG700" s="60"/>
      <x:c r="BH700" s="58"/>
      <x:c r="BI700" s="47"/>
      <x:c r="BJ700" s="60"/>
      <x:c r="BK700" s="58"/>
      <x:c r="BL700" s="47"/>
      <x:c r="BM700" s="60"/>
      <x:c r="BN700" s="58"/>
      <x:c r="BO700" s="47"/>
      <x:c r="BP700" s="60"/>
      <x:c r="BQ700" s="58"/>
      <x:c r="BR700" s="47"/>
      <x:c r="BS700" s="60"/>
      <x:c r="BT700" s="58"/>
      <x:c r="BU700" s="47"/>
      <x:c r="BV700" s="60"/>
      <x:c r="BW700" s="58"/>
      <x:c r="BX700" s="47"/>
      <x:c r="BY700" s="60"/>
      <x:c r="BZ700" s="58"/>
      <x:c r="CA700" s="47"/>
      <x:c r="CB700" s="60"/>
      <x:c r="CC700" s="58"/>
      <x:c r="CD700" s="47"/>
      <x:c r="CE700" s="60"/>
      <x:c r="CF700" s="58"/>
      <x:c r="CG700" s="47"/>
      <x:c r="CH700" s="60"/>
      <x:c r="CI700" s="58"/>
      <x:c r="CJ700" s="47"/>
      <x:c r="CK700" s="60"/>
      <x:c r="CL700" s="58"/>
      <x:c r="CM700" s="47"/>
      <x:c r="CN700" s="60"/>
      <x:c r="CO700" s="58"/>
      <x:c r="CP700" s="47"/>
      <x:c r="CQ700" s="60"/>
      <x:c r="CR700" s="58"/>
      <x:c r="CS700" s="47"/>
      <x:c r="CT700" s="60"/>
      <x:c r="CU700" s="58"/>
      <x:c r="CV700" s="47"/>
      <x:c r="CW700" s="60"/>
      <x:c r="CX700" s="58"/>
      <x:c r="CY700" s="47"/>
      <x:c r="CZ700" s="60"/>
      <x:c r="DA700" s="58"/>
      <x:c r="DB700" s="47"/>
      <x:c r="DC700" s="60"/>
      <x:c r="DD700" s="58"/>
      <x:c r="DE700" s="47"/>
      <x:c r="DF700" s="60"/>
      <x:c r="DG700" s="58"/>
      <x:c r="DH700" s="47"/>
      <x:c r="DI700" s="60"/>
      <x:c r="DJ700" s="58"/>
      <x:c r="DK700" s="47"/>
      <x:c r="DL700" s="60"/>
      <x:c r="DM700" s="58"/>
      <x:c r="DN700" s="11"/>
      <x:c r="DO700" s="61"/>
      <x:c r="DP700" s="62"/>
      <x:c r="DQ700" s="11"/>
      <x:c r="DR700" s="61"/>
      <x:c r="DS700" s="62"/>
      <x:c r="DT700" s="11"/>
      <x:c r="DU700" s="61"/>
      <x:c r="DV700" s="62"/>
    </x:row>
    <x:row r="701" spans="1:126" x14ac:dyDescent="0.3">
      <x:c r="A701" s="47"/>
      <x:c r="B701" s="70"/>
      <x:c r="C701" s="70"/>
      <x:c r="D701" s="70"/>
      <x:c r="E701" s="70"/>
      <x:c r="F701" s="70"/>
      <x:c r="G701" s="70"/>
      <x:c r="H701" s="70"/>
      <x:c r="I701" s="70"/>
      <x:c r="J701" s="70"/>
      <x:c r="K701" s="190"/>
      <x:c r="L701" s="195"/>
      <x:c r="M701" s="192"/>
      <x:c r="N701" s="192"/>
      <x:c r="O701" s="69"/>
      <x:c r="P701" s="47"/>
      <x:c r="Q701" s="60"/>
      <x:c r="R701" s="58"/>
      <x:c r="S701" s="47"/>
      <x:c r="T701" s="60"/>
      <x:c r="U701" s="58"/>
      <x:c r="V701" s="47"/>
      <x:c r="W701" s="60"/>
      <x:c r="X701" s="58"/>
      <x:c r="Y701" s="47"/>
      <x:c r="Z701" s="60"/>
      <x:c r="AA701" s="58"/>
      <x:c r="AB701" s="47"/>
      <x:c r="AC701" s="60"/>
      <x:c r="AD701" s="58"/>
      <x:c r="AE701" s="47"/>
      <x:c r="AF701" s="60"/>
      <x:c r="AG701" s="58"/>
      <x:c r="AH701" s="47"/>
      <x:c r="AI701" s="60"/>
      <x:c r="AJ701" s="58"/>
      <x:c r="AK701" s="47"/>
      <x:c r="AL701" s="60"/>
      <x:c r="AM701" s="58"/>
      <x:c r="AN701" s="47"/>
      <x:c r="AO701" s="60"/>
      <x:c r="AP701" s="58"/>
      <x:c r="AQ701" s="47"/>
      <x:c r="AR701" s="60"/>
      <x:c r="AS701" s="58"/>
      <x:c r="AT701" s="47"/>
      <x:c r="AU701" s="60"/>
      <x:c r="AV701" s="58"/>
      <x:c r="AW701" s="47"/>
      <x:c r="AX701" s="60"/>
      <x:c r="AY701" s="58"/>
      <x:c r="AZ701" s="47"/>
      <x:c r="BA701" s="60"/>
      <x:c r="BB701" s="58"/>
      <x:c r="BC701" s="47"/>
      <x:c r="BD701" s="60"/>
      <x:c r="BE701" s="58"/>
      <x:c r="BF701" s="47"/>
      <x:c r="BG701" s="60"/>
      <x:c r="BH701" s="58"/>
      <x:c r="BI701" s="47"/>
      <x:c r="BJ701" s="60"/>
      <x:c r="BK701" s="58"/>
      <x:c r="BL701" s="47"/>
      <x:c r="BM701" s="60"/>
      <x:c r="BN701" s="58"/>
      <x:c r="BO701" s="47"/>
      <x:c r="BP701" s="60"/>
      <x:c r="BQ701" s="58"/>
      <x:c r="BR701" s="47"/>
      <x:c r="BS701" s="60"/>
      <x:c r="BT701" s="58"/>
      <x:c r="BU701" s="47"/>
      <x:c r="BV701" s="60"/>
      <x:c r="BW701" s="58"/>
      <x:c r="BX701" s="47"/>
      <x:c r="BY701" s="60"/>
      <x:c r="BZ701" s="58"/>
      <x:c r="CA701" s="47"/>
      <x:c r="CB701" s="60"/>
      <x:c r="CC701" s="58"/>
      <x:c r="CD701" s="47"/>
      <x:c r="CE701" s="60"/>
      <x:c r="CF701" s="58"/>
      <x:c r="CG701" s="47"/>
      <x:c r="CH701" s="60"/>
      <x:c r="CI701" s="58"/>
      <x:c r="CJ701" s="47"/>
      <x:c r="CK701" s="60"/>
      <x:c r="CL701" s="58"/>
      <x:c r="CM701" s="47"/>
      <x:c r="CN701" s="60"/>
      <x:c r="CO701" s="58"/>
      <x:c r="CP701" s="47"/>
      <x:c r="CQ701" s="60"/>
      <x:c r="CR701" s="58"/>
      <x:c r="CS701" s="47"/>
      <x:c r="CT701" s="60"/>
      <x:c r="CU701" s="58"/>
      <x:c r="CV701" s="47"/>
      <x:c r="CW701" s="60"/>
      <x:c r="CX701" s="58"/>
      <x:c r="CY701" s="47"/>
      <x:c r="CZ701" s="60"/>
      <x:c r="DA701" s="58"/>
      <x:c r="DB701" s="47"/>
      <x:c r="DC701" s="60"/>
      <x:c r="DD701" s="58"/>
      <x:c r="DE701" s="47"/>
      <x:c r="DF701" s="60"/>
      <x:c r="DG701" s="58"/>
      <x:c r="DH701" s="47"/>
      <x:c r="DI701" s="60"/>
      <x:c r="DJ701" s="58"/>
      <x:c r="DK701" s="47"/>
      <x:c r="DL701" s="60"/>
      <x:c r="DM701" s="58"/>
      <x:c r="DN701" s="11"/>
      <x:c r="DO701" s="61"/>
      <x:c r="DP701" s="62"/>
      <x:c r="DQ701" s="11"/>
      <x:c r="DR701" s="61"/>
      <x:c r="DS701" s="62"/>
      <x:c r="DT701" s="11"/>
      <x:c r="DU701" s="61"/>
      <x:c r="DV701" s="62"/>
    </x:row>
    <x:row r="702" spans="1:126" x14ac:dyDescent="0.3">
      <x:c r="A702" s="47"/>
      <x:c r="B702" s="70"/>
      <x:c r="C702" s="70"/>
      <x:c r="D702" s="70"/>
      <x:c r="E702" s="70"/>
      <x:c r="F702" s="70"/>
      <x:c r="G702" s="70"/>
      <x:c r="H702" s="70"/>
      <x:c r="I702" s="70"/>
      <x:c r="J702" s="70"/>
      <x:c r="K702" s="190"/>
      <x:c r="L702" s="195"/>
      <x:c r="M702" s="192"/>
      <x:c r="N702" s="192"/>
      <x:c r="O702" s="69"/>
      <x:c r="P702" s="47"/>
      <x:c r="Q702" s="60"/>
      <x:c r="R702" s="58"/>
      <x:c r="S702" s="47"/>
      <x:c r="T702" s="60"/>
      <x:c r="U702" s="58"/>
      <x:c r="V702" s="47"/>
      <x:c r="W702" s="60"/>
      <x:c r="X702" s="58"/>
      <x:c r="Y702" s="47"/>
      <x:c r="Z702" s="60"/>
      <x:c r="AA702" s="58"/>
      <x:c r="AB702" s="47"/>
      <x:c r="AC702" s="60"/>
      <x:c r="AD702" s="58"/>
      <x:c r="AE702" s="47"/>
      <x:c r="AF702" s="60"/>
      <x:c r="AG702" s="58"/>
      <x:c r="AH702" s="47"/>
      <x:c r="AI702" s="60"/>
      <x:c r="AJ702" s="58"/>
      <x:c r="AK702" s="47"/>
      <x:c r="AL702" s="60"/>
      <x:c r="AM702" s="58"/>
      <x:c r="AN702" s="47"/>
      <x:c r="AO702" s="60"/>
      <x:c r="AP702" s="58"/>
      <x:c r="AQ702" s="47"/>
      <x:c r="AR702" s="60"/>
      <x:c r="AS702" s="58"/>
      <x:c r="AT702" s="47"/>
      <x:c r="AU702" s="60"/>
      <x:c r="AV702" s="58"/>
      <x:c r="AW702" s="47"/>
      <x:c r="AX702" s="60"/>
      <x:c r="AY702" s="58"/>
      <x:c r="AZ702" s="47"/>
      <x:c r="BA702" s="60"/>
      <x:c r="BB702" s="58"/>
      <x:c r="BC702" s="47"/>
      <x:c r="BD702" s="60"/>
      <x:c r="BE702" s="58"/>
      <x:c r="BF702" s="47"/>
      <x:c r="BG702" s="60"/>
      <x:c r="BH702" s="58"/>
      <x:c r="BI702" s="47"/>
      <x:c r="BJ702" s="60"/>
      <x:c r="BK702" s="58"/>
      <x:c r="BL702" s="47"/>
      <x:c r="BM702" s="60"/>
      <x:c r="BN702" s="58"/>
      <x:c r="BO702" s="47"/>
      <x:c r="BP702" s="60"/>
      <x:c r="BQ702" s="58"/>
      <x:c r="BR702" s="47"/>
      <x:c r="BS702" s="60"/>
      <x:c r="BT702" s="58"/>
      <x:c r="BU702" s="47"/>
      <x:c r="BV702" s="60"/>
      <x:c r="BW702" s="58"/>
      <x:c r="BX702" s="47"/>
      <x:c r="BY702" s="60"/>
      <x:c r="BZ702" s="58"/>
      <x:c r="CA702" s="47"/>
      <x:c r="CB702" s="60"/>
      <x:c r="CC702" s="58"/>
      <x:c r="CD702" s="47"/>
      <x:c r="CE702" s="60"/>
      <x:c r="CF702" s="58"/>
      <x:c r="CG702" s="47"/>
      <x:c r="CH702" s="60"/>
      <x:c r="CI702" s="58"/>
      <x:c r="CJ702" s="47"/>
      <x:c r="CK702" s="60"/>
      <x:c r="CL702" s="58"/>
      <x:c r="CM702" s="47"/>
      <x:c r="CN702" s="60"/>
      <x:c r="CO702" s="58"/>
      <x:c r="CP702" s="47"/>
      <x:c r="CQ702" s="60"/>
      <x:c r="CR702" s="58"/>
      <x:c r="CS702" s="47"/>
      <x:c r="CT702" s="60"/>
      <x:c r="CU702" s="58"/>
      <x:c r="CV702" s="47"/>
      <x:c r="CW702" s="60"/>
      <x:c r="CX702" s="58"/>
      <x:c r="CY702" s="47"/>
      <x:c r="CZ702" s="60"/>
      <x:c r="DA702" s="58"/>
      <x:c r="DB702" s="47"/>
      <x:c r="DC702" s="60"/>
      <x:c r="DD702" s="58"/>
      <x:c r="DE702" s="47"/>
      <x:c r="DF702" s="60"/>
      <x:c r="DG702" s="58"/>
      <x:c r="DH702" s="47"/>
      <x:c r="DI702" s="60"/>
      <x:c r="DJ702" s="58"/>
      <x:c r="DK702" s="47"/>
      <x:c r="DL702" s="60"/>
      <x:c r="DM702" s="58"/>
      <x:c r="DN702" s="11"/>
      <x:c r="DO702" s="61"/>
      <x:c r="DP702" s="62"/>
      <x:c r="DQ702" s="11"/>
      <x:c r="DR702" s="61"/>
      <x:c r="DS702" s="62"/>
      <x:c r="DT702" s="11"/>
      <x:c r="DU702" s="61"/>
      <x:c r="DV702" s="62"/>
    </x:row>
    <x:row r="703" spans="1:126" x14ac:dyDescent="0.3">
      <x:c r="A703" s="47"/>
      <x:c r="B703" s="70"/>
      <x:c r="C703" s="70"/>
      <x:c r="D703" s="70"/>
      <x:c r="E703" s="70"/>
      <x:c r="F703" s="70"/>
      <x:c r="G703" s="70"/>
      <x:c r="H703" s="70"/>
      <x:c r="I703" s="70"/>
      <x:c r="J703" s="70"/>
      <x:c r="K703" s="190"/>
      <x:c r="L703" s="195"/>
      <x:c r="M703" s="192"/>
      <x:c r="N703" s="192"/>
      <x:c r="O703" s="69"/>
      <x:c r="P703" s="47"/>
      <x:c r="Q703" s="60"/>
      <x:c r="R703" s="58"/>
      <x:c r="S703" s="47"/>
      <x:c r="T703" s="60"/>
      <x:c r="U703" s="58"/>
      <x:c r="V703" s="47"/>
      <x:c r="W703" s="60"/>
      <x:c r="X703" s="58"/>
      <x:c r="Y703" s="47"/>
      <x:c r="Z703" s="60"/>
      <x:c r="AA703" s="58"/>
      <x:c r="AB703" s="47"/>
      <x:c r="AC703" s="60"/>
      <x:c r="AD703" s="58"/>
      <x:c r="AE703" s="47"/>
      <x:c r="AF703" s="60"/>
      <x:c r="AG703" s="58"/>
      <x:c r="AH703" s="47"/>
      <x:c r="AI703" s="60"/>
      <x:c r="AJ703" s="58"/>
      <x:c r="AK703" s="47"/>
      <x:c r="AL703" s="60"/>
      <x:c r="AM703" s="58"/>
      <x:c r="AN703" s="47"/>
      <x:c r="AO703" s="60"/>
      <x:c r="AP703" s="58"/>
      <x:c r="AQ703" s="47"/>
      <x:c r="AR703" s="60"/>
      <x:c r="AS703" s="58"/>
      <x:c r="AT703" s="47"/>
      <x:c r="AU703" s="60"/>
      <x:c r="AV703" s="58"/>
      <x:c r="AW703" s="47"/>
      <x:c r="AX703" s="60"/>
      <x:c r="AY703" s="58"/>
      <x:c r="AZ703" s="47"/>
      <x:c r="BA703" s="60"/>
      <x:c r="BB703" s="58"/>
      <x:c r="BC703" s="47"/>
      <x:c r="BD703" s="60"/>
      <x:c r="BE703" s="58"/>
      <x:c r="BF703" s="47"/>
      <x:c r="BG703" s="60"/>
      <x:c r="BH703" s="58"/>
      <x:c r="BI703" s="47"/>
      <x:c r="BJ703" s="60"/>
      <x:c r="BK703" s="58"/>
      <x:c r="BL703" s="47"/>
      <x:c r="BM703" s="60"/>
      <x:c r="BN703" s="58"/>
      <x:c r="BO703" s="47"/>
      <x:c r="BP703" s="60"/>
      <x:c r="BQ703" s="58"/>
      <x:c r="BR703" s="47"/>
      <x:c r="BS703" s="60"/>
      <x:c r="BT703" s="58"/>
      <x:c r="BU703" s="47"/>
      <x:c r="BV703" s="60"/>
      <x:c r="BW703" s="58"/>
      <x:c r="BX703" s="47"/>
      <x:c r="BY703" s="60"/>
      <x:c r="BZ703" s="58"/>
      <x:c r="CA703" s="47"/>
      <x:c r="CB703" s="60"/>
      <x:c r="CC703" s="58"/>
      <x:c r="CD703" s="47"/>
      <x:c r="CE703" s="60"/>
      <x:c r="CF703" s="58"/>
      <x:c r="CG703" s="47"/>
      <x:c r="CH703" s="60"/>
      <x:c r="CI703" s="58"/>
      <x:c r="CJ703" s="47"/>
      <x:c r="CK703" s="60"/>
      <x:c r="CL703" s="58"/>
      <x:c r="CM703" s="47"/>
      <x:c r="CN703" s="60"/>
      <x:c r="CO703" s="58"/>
      <x:c r="CP703" s="47"/>
      <x:c r="CQ703" s="60"/>
      <x:c r="CR703" s="58"/>
      <x:c r="CS703" s="47"/>
      <x:c r="CT703" s="60"/>
      <x:c r="CU703" s="58"/>
      <x:c r="CV703" s="47"/>
      <x:c r="CW703" s="60"/>
      <x:c r="CX703" s="58"/>
      <x:c r="CY703" s="47"/>
      <x:c r="CZ703" s="60"/>
      <x:c r="DA703" s="58"/>
      <x:c r="DB703" s="47"/>
      <x:c r="DC703" s="60"/>
      <x:c r="DD703" s="58"/>
      <x:c r="DE703" s="47"/>
      <x:c r="DF703" s="60"/>
      <x:c r="DG703" s="58"/>
      <x:c r="DH703" s="47"/>
      <x:c r="DI703" s="60"/>
      <x:c r="DJ703" s="58"/>
      <x:c r="DK703" s="47"/>
      <x:c r="DL703" s="60"/>
      <x:c r="DM703" s="58"/>
      <x:c r="DN703" s="11"/>
      <x:c r="DO703" s="61"/>
      <x:c r="DP703" s="62"/>
      <x:c r="DQ703" s="11"/>
      <x:c r="DR703" s="61"/>
      <x:c r="DS703" s="62"/>
      <x:c r="DT703" s="11"/>
      <x:c r="DU703" s="61"/>
      <x:c r="DV703" s="62"/>
    </x:row>
    <x:row r="704" spans="1:126" x14ac:dyDescent="0.3">
      <x:c r="A704" s="47"/>
      <x:c r="B704" s="70"/>
      <x:c r="C704" s="70"/>
      <x:c r="D704" s="70"/>
      <x:c r="E704" s="70"/>
      <x:c r="F704" s="70"/>
      <x:c r="G704" s="70"/>
      <x:c r="H704" s="70"/>
      <x:c r="I704" s="70"/>
      <x:c r="J704" s="70"/>
      <x:c r="K704" s="190"/>
      <x:c r="L704" s="195"/>
      <x:c r="M704" s="192"/>
      <x:c r="N704" s="192"/>
      <x:c r="O704" s="69"/>
      <x:c r="P704" s="47"/>
      <x:c r="Q704" s="60"/>
      <x:c r="R704" s="58"/>
      <x:c r="S704" s="47"/>
      <x:c r="T704" s="60"/>
      <x:c r="U704" s="58"/>
      <x:c r="V704" s="47"/>
      <x:c r="W704" s="60"/>
      <x:c r="X704" s="58"/>
      <x:c r="Y704" s="47"/>
      <x:c r="Z704" s="60"/>
      <x:c r="AA704" s="58"/>
      <x:c r="AB704" s="47"/>
      <x:c r="AC704" s="60"/>
      <x:c r="AD704" s="58"/>
      <x:c r="AE704" s="47"/>
      <x:c r="AF704" s="60"/>
      <x:c r="AG704" s="58"/>
      <x:c r="AH704" s="47"/>
      <x:c r="AI704" s="60"/>
      <x:c r="AJ704" s="58"/>
      <x:c r="AK704" s="47"/>
      <x:c r="AL704" s="60"/>
      <x:c r="AM704" s="58"/>
      <x:c r="AN704" s="47"/>
      <x:c r="AO704" s="60"/>
      <x:c r="AP704" s="58"/>
      <x:c r="AQ704" s="47"/>
      <x:c r="AR704" s="60"/>
      <x:c r="AS704" s="58"/>
      <x:c r="AT704" s="47"/>
      <x:c r="AU704" s="60"/>
      <x:c r="AV704" s="58"/>
      <x:c r="AW704" s="47"/>
      <x:c r="AX704" s="60"/>
      <x:c r="AY704" s="58"/>
      <x:c r="AZ704" s="47"/>
      <x:c r="BA704" s="60"/>
      <x:c r="BB704" s="58"/>
      <x:c r="BC704" s="47"/>
      <x:c r="BD704" s="60"/>
      <x:c r="BE704" s="58"/>
      <x:c r="BF704" s="47"/>
      <x:c r="BG704" s="60"/>
      <x:c r="BH704" s="58"/>
      <x:c r="BI704" s="47"/>
      <x:c r="BJ704" s="60"/>
      <x:c r="BK704" s="58"/>
      <x:c r="BL704" s="47"/>
      <x:c r="BM704" s="60"/>
      <x:c r="BN704" s="58"/>
      <x:c r="BO704" s="47"/>
      <x:c r="BP704" s="60"/>
      <x:c r="BQ704" s="58"/>
      <x:c r="BR704" s="47"/>
      <x:c r="BS704" s="60"/>
      <x:c r="BT704" s="58"/>
      <x:c r="BU704" s="47"/>
      <x:c r="BV704" s="60"/>
      <x:c r="BW704" s="58"/>
      <x:c r="BX704" s="47"/>
      <x:c r="BY704" s="60"/>
      <x:c r="BZ704" s="58"/>
      <x:c r="CA704" s="47"/>
      <x:c r="CB704" s="60"/>
      <x:c r="CC704" s="58"/>
      <x:c r="CD704" s="47"/>
      <x:c r="CE704" s="60"/>
      <x:c r="CF704" s="58"/>
      <x:c r="CG704" s="47"/>
      <x:c r="CH704" s="60"/>
      <x:c r="CI704" s="58"/>
      <x:c r="CJ704" s="47"/>
      <x:c r="CK704" s="60"/>
      <x:c r="CL704" s="58"/>
      <x:c r="CM704" s="47"/>
      <x:c r="CN704" s="60"/>
      <x:c r="CO704" s="58"/>
      <x:c r="CP704" s="47"/>
      <x:c r="CQ704" s="60"/>
      <x:c r="CR704" s="58"/>
      <x:c r="CS704" s="47"/>
      <x:c r="CT704" s="60"/>
      <x:c r="CU704" s="58"/>
      <x:c r="CV704" s="47"/>
      <x:c r="CW704" s="60"/>
      <x:c r="CX704" s="58"/>
      <x:c r="CY704" s="47"/>
      <x:c r="CZ704" s="60"/>
      <x:c r="DA704" s="58"/>
      <x:c r="DB704" s="47"/>
      <x:c r="DC704" s="60"/>
      <x:c r="DD704" s="58"/>
      <x:c r="DE704" s="47"/>
      <x:c r="DF704" s="60"/>
      <x:c r="DG704" s="58"/>
      <x:c r="DH704" s="47"/>
      <x:c r="DI704" s="60"/>
      <x:c r="DJ704" s="58"/>
      <x:c r="DK704" s="47"/>
      <x:c r="DL704" s="60"/>
      <x:c r="DM704" s="58"/>
      <x:c r="DN704" s="11"/>
      <x:c r="DO704" s="61"/>
      <x:c r="DP704" s="62"/>
      <x:c r="DQ704" s="11"/>
      <x:c r="DR704" s="61"/>
      <x:c r="DS704" s="62"/>
      <x:c r="DT704" s="11"/>
      <x:c r="DU704" s="61"/>
      <x:c r="DV704" s="62"/>
    </x:row>
    <x:row r="705" spans="1:126" x14ac:dyDescent="0.3">
      <x:c r="A705" s="47"/>
      <x:c r="B705" s="70"/>
      <x:c r="C705" s="70"/>
      <x:c r="D705" s="70"/>
      <x:c r="E705" s="70"/>
      <x:c r="F705" s="70"/>
      <x:c r="G705" s="70"/>
      <x:c r="H705" s="70"/>
      <x:c r="I705" s="70"/>
      <x:c r="J705" s="70"/>
      <x:c r="K705" s="190"/>
      <x:c r="L705" s="195"/>
      <x:c r="M705" s="192"/>
      <x:c r="N705" s="192"/>
      <x:c r="O705" s="69"/>
      <x:c r="P705" s="47"/>
      <x:c r="Q705" s="60"/>
      <x:c r="R705" s="58"/>
      <x:c r="S705" s="47"/>
      <x:c r="T705" s="60"/>
      <x:c r="U705" s="58"/>
      <x:c r="V705" s="47"/>
      <x:c r="W705" s="60"/>
      <x:c r="X705" s="58"/>
      <x:c r="Y705" s="47"/>
      <x:c r="Z705" s="60"/>
      <x:c r="AA705" s="58"/>
      <x:c r="AB705" s="47"/>
      <x:c r="AC705" s="60"/>
      <x:c r="AD705" s="58"/>
      <x:c r="AE705" s="47"/>
      <x:c r="AF705" s="60"/>
      <x:c r="AG705" s="58"/>
      <x:c r="AH705" s="47"/>
      <x:c r="AI705" s="60"/>
      <x:c r="AJ705" s="58"/>
      <x:c r="AK705" s="47"/>
      <x:c r="AL705" s="60"/>
      <x:c r="AM705" s="58"/>
      <x:c r="AN705" s="47"/>
      <x:c r="AO705" s="60"/>
      <x:c r="AP705" s="58"/>
      <x:c r="AQ705" s="47"/>
      <x:c r="AR705" s="60"/>
      <x:c r="AS705" s="58"/>
      <x:c r="AT705" s="47"/>
      <x:c r="AU705" s="60"/>
      <x:c r="AV705" s="58"/>
      <x:c r="AW705" s="47"/>
      <x:c r="AX705" s="60"/>
      <x:c r="AY705" s="58"/>
      <x:c r="AZ705" s="47"/>
      <x:c r="BA705" s="60"/>
      <x:c r="BB705" s="58"/>
      <x:c r="BC705" s="47"/>
      <x:c r="BD705" s="60"/>
      <x:c r="BE705" s="58"/>
      <x:c r="BF705" s="47"/>
      <x:c r="BG705" s="60"/>
      <x:c r="BH705" s="58"/>
      <x:c r="BI705" s="47"/>
      <x:c r="BJ705" s="60"/>
      <x:c r="BK705" s="58"/>
      <x:c r="BL705" s="47"/>
      <x:c r="BM705" s="60"/>
      <x:c r="BN705" s="58"/>
      <x:c r="BO705" s="47"/>
      <x:c r="BP705" s="60"/>
      <x:c r="BQ705" s="58"/>
      <x:c r="BR705" s="47"/>
      <x:c r="BS705" s="60"/>
      <x:c r="BT705" s="58"/>
      <x:c r="BU705" s="47"/>
      <x:c r="BV705" s="60"/>
      <x:c r="BW705" s="58"/>
      <x:c r="BX705" s="47"/>
      <x:c r="BY705" s="60"/>
      <x:c r="BZ705" s="58"/>
      <x:c r="CA705" s="47"/>
      <x:c r="CB705" s="60"/>
      <x:c r="CC705" s="58"/>
      <x:c r="CD705" s="47"/>
      <x:c r="CE705" s="60"/>
      <x:c r="CF705" s="58"/>
      <x:c r="CG705" s="47"/>
      <x:c r="CH705" s="60"/>
      <x:c r="CI705" s="58"/>
      <x:c r="CJ705" s="47"/>
      <x:c r="CK705" s="60"/>
      <x:c r="CL705" s="58"/>
      <x:c r="CM705" s="47"/>
      <x:c r="CN705" s="60"/>
      <x:c r="CO705" s="58"/>
      <x:c r="CP705" s="47"/>
      <x:c r="CQ705" s="60"/>
      <x:c r="CR705" s="58"/>
      <x:c r="CS705" s="47"/>
      <x:c r="CT705" s="60"/>
      <x:c r="CU705" s="58"/>
      <x:c r="CV705" s="47"/>
      <x:c r="CW705" s="60"/>
      <x:c r="CX705" s="58"/>
      <x:c r="CY705" s="47"/>
      <x:c r="CZ705" s="60"/>
      <x:c r="DA705" s="58"/>
      <x:c r="DB705" s="47"/>
      <x:c r="DC705" s="60"/>
      <x:c r="DD705" s="58"/>
      <x:c r="DE705" s="47"/>
      <x:c r="DF705" s="60"/>
      <x:c r="DG705" s="58"/>
      <x:c r="DH705" s="47"/>
      <x:c r="DI705" s="60"/>
      <x:c r="DJ705" s="58"/>
      <x:c r="DK705" s="47"/>
      <x:c r="DL705" s="60"/>
      <x:c r="DM705" s="58"/>
      <x:c r="DN705" s="11"/>
      <x:c r="DO705" s="61"/>
      <x:c r="DP705" s="62"/>
      <x:c r="DQ705" s="11"/>
      <x:c r="DR705" s="61"/>
      <x:c r="DS705" s="62"/>
      <x:c r="DT705" s="11"/>
      <x:c r="DU705" s="61"/>
      <x:c r="DV705" s="62"/>
    </x:row>
    <x:row r="706" spans="1:126" x14ac:dyDescent="0.3">
      <x:c r="A706" s="47"/>
      <x:c r="B706" s="70"/>
      <x:c r="C706" s="70"/>
      <x:c r="D706" s="70"/>
      <x:c r="E706" s="70"/>
      <x:c r="F706" s="70"/>
      <x:c r="G706" s="70"/>
      <x:c r="H706" s="70"/>
      <x:c r="I706" s="70"/>
      <x:c r="J706" s="70"/>
      <x:c r="K706" s="190"/>
      <x:c r="L706" s="195"/>
      <x:c r="M706" s="192"/>
      <x:c r="N706" s="192"/>
      <x:c r="O706" s="69"/>
      <x:c r="P706" s="47"/>
      <x:c r="Q706" s="60"/>
      <x:c r="R706" s="58"/>
      <x:c r="S706" s="47"/>
      <x:c r="T706" s="60"/>
      <x:c r="U706" s="58"/>
      <x:c r="V706" s="47"/>
      <x:c r="W706" s="60"/>
      <x:c r="X706" s="58"/>
      <x:c r="Y706" s="47"/>
      <x:c r="Z706" s="60"/>
      <x:c r="AA706" s="58"/>
      <x:c r="AB706" s="47"/>
      <x:c r="AC706" s="60"/>
      <x:c r="AD706" s="58"/>
      <x:c r="AE706" s="47"/>
      <x:c r="AF706" s="60"/>
      <x:c r="AG706" s="58"/>
      <x:c r="AH706" s="47"/>
      <x:c r="AI706" s="60"/>
      <x:c r="AJ706" s="58"/>
      <x:c r="AK706" s="47"/>
      <x:c r="AL706" s="60"/>
      <x:c r="AM706" s="58"/>
      <x:c r="AN706" s="47"/>
      <x:c r="AO706" s="60"/>
      <x:c r="AP706" s="58"/>
      <x:c r="AQ706" s="47"/>
      <x:c r="AR706" s="60"/>
      <x:c r="AS706" s="58"/>
      <x:c r="AT706" s="47"/>
      <x:c r="AU706" s="60"/>
      <x:c r="AV706" s="58"/>
      <x:c r="AW706" s="47"/>
      <x:c r="AX706" s="60"/>
      <x:c r="AY706" s="58"/>
      <x:c r="AZ706" s="47"/>
      <x:c r="BA706" s="60"/>
      <x:c r="BB706" s="58"/>
      <x:c r="BC706" s="47"/>
      <x:c r="BD706" s="60"/>
      <x:c r="BE706" s="58"/>
      <x:c r="BF706" s="47"/>
      <x:c r="BG706" s="60"/>
      <x:c r="BH706" s="58"/>
      <x:c r="BI706" s="47"/>
      <x:c r="BJ706" s="60"/>
      <x:c r="BK706" s="58"/>
      <x:c r="BL706" s="47"/>
      <x:c r="BM706" s="60"/>
      <x:c r="BN706" s="58"/>
      <x:c r="BO706" s="47"/>
      <x:c r="BP706" s="60"/>
      <x:c r="BQ706" s="58"/>
      <x:c r="BR706" s="47"/>
      <x:c r="BS706" s="60"/>
      <x:c r="BT706" s="58"/>
      <x:c r="BU706" s="47"/>
      <x:c r="BV706" s="60"/>
      <x:c r="BW706" s="58"/>
      <x:c r="BX706" s="47"/>
      <x:c r="BY706" s="60"/>
      <x:c r="BZ706" s="58"/>
      <x:c r="CA706" s="47"/>
      <x:c r="CB706" s="60"/>
      <x:c r="CC706" s="58"/>
      <x:c r="CD706" s="47"/>
      <x:c r="CE706" s="60"/>
      <x:c r="CF706" s="58"/>
      <x:c r="CG706" s="47"/>
      <x:c r="CH706" s="60"/>
      <x:c r="CI706" s="58"/>
      <x:c r="CJ706" s="47"/>
      <x:c r="CK706" s="60"/>
      <x:c r="CL706" s="58"/>
      <x:c r="CM706" s="47"/>
      <x:c r="CN706" s="60"/>
      <x:c r="CO706" s="58"/>
      <x:c r="CP706" s="47"/>
      <x:c r="CQ706" s="60"/>
      <x:c r="CR706" s="58"/>
      <x:c r="CS706" s="47"/>
      <x:c r="CT706" s="60"/>
      <x:c r="CU706" s="58"/>
      <x:c r="CV706" s="47"/>
      <x:c r="CW706" s="60"/>
      <x:c r="CX706" s="58"/>
      <x:c r="CY706" s="47"/>
      <x:c r="CZ706" s="60"/>
      <x:c r="DA706" s="58"/>
      <x:c r="DB706" s="47"/>
      <x:c r="DC706" s="60"/>
      <x:c r="DD706" s="58"/>
      <x:c r="DE706" s="47"/>
      <x:c r="DF706" s="60"/>
      <x:c r="DG706" s="58"/>
      <x:c r="DH706" s="47"/>
      <x:c r="DI706" s="60"/>
      <x:c r="DJ706" s="58"/>
      <x:c r="DK706" s="47"/>
      <x:c r="DL706" s="60"/>
      <x:c r="DM706" s="58"/>
      <x:c r="DN706" s="11"/>
      <x:c r="DO706" s="61"/>
      <x:c r="DP706" s="62"/>
      <x:c r="DQ706" s="11"/>
      <x:c r="DR706" s="61"/>
      <x:c r="DS706" s="62"/>
      <x:c r="DT706" s="11"/>
      <x:c r="DU706" s="61"/>
      <x:c r="DV706" s="62"/>
    </x:row>
    <x:row r="707" spans="1:126" x14ac:dyDescent="0.3">
      <x:c r="A707" s="47"/>
      <x:c r="B707" s="70"/>
      <x:c r="C707" s="70"/>
      <x:c r="D707" s="70"/>
      <x:c r="E707" s="70"/>
      <x:c r="F707" s="70"/>
      <x:c r="G707" s="70"/>
      <x:c r="H707" s="70"/>
      <x:c r="I707" s="70"/>
      <x:c r="J707" s="70"/>
      <x:c r="K707" s="190"/>
      <x:c r="L707" s="195"/>
      <x:c r="M707" s="192"/>
      <x:c r="N707" s="192"/>
      <x:c r="O707" s="69"/>
      <x:c r="P707" s="47"/>
      <x:c r="Q707" s="60"/>
      <x:c r="R707" s="58"/>
      <x:c r="S707" s="47"/>
      <x:c r="T707" s="60"/>
      <x:c r="U707" s="58"/>
      <x:c r="V707" s="47"/>
      <x:c r="W707" s="60"/>
      <x:c r="X707" s="58"/>
      <x:c r="Y707" s="47"/>
      <x:c r="Z707" s="60"/>
      <x:c r="AA707" s="58"/>
      <x:c r="AB707" s="47"/>
      <x:c r="AC707" s="60"/>
      <x:c r="AD707" s="58"/>
      <x:c r="AE707" s="47"/>
      <x:c r="AF707" s="60"/>
      <x:c r="AG707" s="58"/>
      <x:c r="AH707" s="47"/>
      <x:c r="AI707" s="60"/>
      <x:c r="AJ707" s="58"/>
      <x:c r="AK707" s="47"/>
      <x:c r="AL707" s="60"/>
      <x:c r="AM707" s="58"/>
      <x:c r="AN707" s="47"/>
      <x:c r="AO707" s="60"/>
      <x:c r="AP707" s="58"/>
      <x:c r="AQ707" s="47"/>
      <x:c r="AR707" s="60"/>
      <x:c r="AS707" s="58"/>
      <x:c r="AT707" s="47"/>
      <x:c r="AU707" s="60"/>
      <x:c r="AV707" s="58"/>
      <x:c r="AW707" s="47"/>
      <x:c r="AX707" s="60"/>
      <x:c r="AY707" s="58"/>
      <x:c r="AZ707" s="47"/>
      <x:c r="BA707" s="60"/>
      <x:c r="BB707" s="58"/>
      <x:c r="BC707" s="47"/>
      <x:c r="BD707" s="60"/>
      <x:c r="BE707" s="58"/>
      <x:c r="BF707" s="47"/>
      <x:c r="BG707" s="60"/>
      <x:c r="BH707" s="58"/>
      <x:c r="BI707" s="47"/>
      <x:c r="BJ707" s="60"/>
      <x:c r="BK707" s="58"/>
      <x:c r="BL707" s="47"/>
      <x:c r="BM707" s="60"/>
      <x:c r="BN707" s="58"/>
      <x:c r="BO707" s="47"/>
      <x:c r="BP707" s="60"/>
      <x:c r="BQ707" s="58"/>
      <x:c r="BR707" s="47"/>
      <x:c r="BS707" s="60"/>
      <x:c r="BT707" s="58"/>
      <x:c r="BU707" s="47"/>
      <x:c r="BV707" s="60"/>
      <x:c r="BW707" s="58"/>
      <x:c r="BX707" s="47"/>
      <x:c r="BY707" s="60"/>
      <x:c r="BZ707" s="58"/>
      <x:c r="CA707" s="47"/>
      <x:c r="CB707" s="60"/>
      <x:c r="CC707" s="58"/>
      <x:c r="CD707" s="47"/>
      <x:c r="CE707" s="60"/>
      <x:c r="CF707" s="58"/>
      <x:c r="CG707" s="47"/>
      <x:c r="CH707" s="60"/>
      <x:c r="CI707" s="58"/>
      <x:c r="CJ707" s="47"/>
      <x:c r="CK707" s="60"/>
      <x:c r="CL707" s="58"/>
      <x:c r="CM707" s="47"/>
      <x:c r="CN707" s="60"/>
      <x:c r="CO707" s="58"/>
      <x:c r="CP707" s="47"/>
      <x:c r="CQ707" s="60"/>
      <x:c r="CR707" s="58"/>
      <x:c r="CS707" s="47"/>
      <x:c r="CT707" s="60"/>
      <x:c r="CU707" s="58"/>
      <x:c r="CV707" s="47"/>
      <x:c r="CW707" s="60"/>
      <x:c r="CX707" s="58"/>
      <x:c r="CY707" s="47"/>
      <x:c r="CZ707" s="60"/>
      <x:c r="DA707" s="58"/>
      <x:c r="DB707" s="47"/>
      <x:c r="DC707" s="60"/>
      <x:c r="DD707" s="58"/>
      <x:c r="DE707" s="47"/>
      <x:c r="DF707" s="60"/>
      <x:c r="DG707" s="58"/>
      <x:c r="DH707" s="47"/>
      <x:c r="DI707" s="60"/>
      <x:c r="DJ707" s="58"/>
      <x:c r="DK707" s="47"/>
      <x:c r="DL707" s="60"/>
      <x:c r="DM707" s="58"/>
      <x:c r="DN707" s="11"/>
      <x:c r="DO707" s="61"/>
      <x:c r="DP707" s="62"/>
      <x:c r="DQ707" s="11"/>
      <x:c r="DR707" s="61"/>
      <x:c r="DS707" s="62"/>
      <x:c r="DT707" s="11"/>
      <x:c r="DU707" s="61"/>
      <x:c r="DV707" s="62"/>
    </x:row>
    <x:row r="708" spans="1:126" x14ac:dyDescent="0.3">
      <x:c r="A708" s="47"/>
      <x:c r="B708" s="70"/>
      <x:c r="C708" s="70"/>
      <x:c r="D708" s="70"/>
      <x:c r="E708" s="70"/>
      <x:c r="F708" s="70"/>
      <x:c r="G708" s="70"/>
      <x:c r="H708" s="70"/>
      <x:c r="I708" s="70"/>
      <x:c r="J708" s="70"/>
      <x:c r="K708" s="190"/>
      <x:c r="L708" s="195"/>
      <x:c r="M708" s="192"/>
      <x:c r="N708" s="192"/>
      <x:c r="O708" s="69"/>
      <x:c r="P708" s="47"/>
      <x:c r="Q708" s="60"/>
      <x:c r="R708" s="58"/>
      <x:c r="S708" s="47"/>
      <x:c r="T708" s="60"/>
      <x:c r="U708" s="58"/>
      <x:c r="V708" s="47"/>
      <x:c r="W708" s="60"/>
      <x:c r="X708" s="58"/>
      <x:c r="Y708" s="47"/>
      <x:c r="Z708" s="60"/>
      <x:c r="AA708" s="58"/>
      <x:c r="AB708" s="47"/>
      <x:c r="AC708" s="60"/>
      <x:c r="AD708" s="58"/>
      <x:c r="AE708" s="47"/>
      <x:c r="AF708" s="60"/>
      <x:c r="AG708" s="58"/>
      <x:c r="AH708" s="47"/>
      <x:c r="AI708" s="60"/>
      <x:c r="AJ708" s="58"/>
      <x:c r="AK708" s="47"/>
      <x:c r="AL708" s="60"/>
      <x:c r="AM708" s="58"/>
      <x:c r="AN708" s="47"/>
      <x:c r="AO708" s="60"/>
      <x:c r="AP708" s="58"/>
      <x:c r="AQ708" s="47"/>
      <x:c r="AR708" s="60"/>
      <x:c r="AS708" s="58"/>
      <x:c r="AT708" s="47"/>
      <x:c r="AU708" s="60"/>
      <x:c r="AV708" s="58"/>
      <x:c r="AW708" s="47"/>
      <x:c r="AX708" s="60"/>
      <x:c r="AY708" s="58"/>
      <x:c r="AZ708" s="47"/>
      <x:c r="BA708" s="60"/>
      <x:c r="BB708" s="58"/>
      <x:c r="BC708" s="47"/>
      <x:c r="BD708" s="60"/>
      <x:c r="BE708" s="58"/>
      <x:c r="BF708" s="47"/>
      <x:c r="BG708" s="60"/>
      <x:c r="BH708" s="58"/>
      <x:c r="BI708" s="47"/>
      <x:c r="BJ708" s="60"/>
      <x:c r="BK708" s="58"/>
      <x:c r="BL708" s="47"/>
      <x:c r="BM708" s="60"/>
      <x:c r="BN708" s="58"/>
      <x:c r="BO708" s="47"/>
      <x:c r="BP708" s="60"/>
      <x:c r="BQ708" s="58"/>
      <x:c r="BR708" s="47"/>
      <x:c r="BS708" s="60"/>
      <x:c r="BT708" s="58"/>
      <x:c r="BU708" s="47"/>
      <x:c r="BV708" s="60"/>
      <x:c r="BW708" s="58"/>
      <x:c r="BX708" s="47"/>
      <x:c r="BY708" s="60"/>
      <x:c r="BZ708" s="58"/>
      <x:c r="CA708" s="47"/>
      <x:c r="CB708" s="60"/>
      <x:c r="CC708" s="58"/>
      <x:c r="CD708" s="47"/>
      <x:c r="CE708" s="60"/>
      <x:c r="CF708" s="58"/>
      <x:c r="CG708" s="47"/>
      <x:c r="CH708" s="60"/>
      <x:c r="CI708" s="58"/>
      <x:c r="CJ708" s="47"/>
      <x:c r="CK708" s="60"/>
      <x:c r="CL708" s="58"/>
      <x:c r="CM708" s="47"/>
      <x:c r="CN708" s="60"/>
      <x:c r="CO708" s="58"/>
      <x:c r="CP708" s="47"/>
      <x:c r="CQ708" s="60"/>
      <x:c r="CR708" s="58"/>
      <x:c r="CS708" s="47"/>
      <x:c r="CT708" s="60"/>
      <x:c r="CU708" s="58"/>
      <x:c r="CV708" s="47"/>
      <x:c r="CW708" s="60"/>
      <x:c r="CX708" s="58"/>
      <x:c r="CY708" s="47"/>
      <x:c r="CZ708" s="60"/>
      <x:c r="DA708" s="58"/>
      <x:c r="DB708" s="47"/>
      <x:c r="DC708" s="60"/>
      <x:c r="DD708" s="58"/>
      <x:c r="DE708" s="47"/>
      <x:c r="DF708" s="60"/>
      <x:c r="DG708" s="58"/>
      <x:c r="DH708" s="47"/>
      <x:c r="DI708" s="60"/>
      <x:c r="DJ708" s="58"/>
      <x:c r="DK708" s="47"/>
      <x:c r="DL708" s="60"/>
      <x:c r="DM708" s="58"/>
      <x:c r="DN708" s="11"/>
      <x:c r="DO708" s="61"/>
      <x:c r="DP708" s="62"/>
      <x:c r="DQ708" s="11"/>
      <x:c r="DR708" s="61"/>
      <x:c r="DS708" s="62"/>
      <x:c r="DT708" s="11"/>
      <x:c r="DU708" s="61"/>
      <x:c r="DV708" s="62"/>
    </x:row>
    <x:row r="709" spans="1:126" x14ac:dyDescent="0.3">
      <x:c r="A709" s="47"/>
      <x:c r="B709" s="70"/>
      <x:c r="C709" s="70"/>
      <x:c r="D709" s="70"/>
      <x:c r="E709" s="70"/>
      <x:c r="F709" s="70"/>
      <x:c r="G709" s="70"/>
      <x:c r="H709" s="70"/>
      <x:c r="I709" s="70"/>
      <x:c r="J709" s="70"/>
      <x:c r="K709" s="190"/>
      <x:c r="L709" s="195"/>
      <x:c r="M709" s="192"/>
      <x:c r="N709" s="192"/>
      <x:c r="O709" s="69"/>
      <x:c r="P709" s="47"/>
      <x:c r="Q709" s="60"/>
      <x:c r="R709" s="58"/>
      <x:c r="S709" s="47"/>
      <x:c r="T709" s="60"/>
      <x:c r="U709" s="58"/>
      <x:c r="V709" s="47"/>
      <x:c r="W709" s="60"/>
      <x:c r="X709" s="58"/>
      <x:c r="Y709" s="47"/>
      <x:c r="Z709" s="60"/>
      <x:c r="AA709" s="58"/>
      <x:c r="AB709" s="47"/>
      <x:c r="AC709" s="60"/>
      <x:c r="AD709" s="58"/>
      <x:c r="AE709" s="47"/>
      <x:c r="AF709" s="60"/>
      <x:c r="AG709" s="58"/>
      <x:c r="AH709" s="47"/>
      <x:c r="AI709" s="60"/>
      <x:c r="AJ709" s="58"/>
      <x:c r="AK709" s="47"/>
      <x:c r="AL709" s="60"/>
      <x:c r="AM709" s="58"/>
      <x:c r="AN709" s="47"/>
      <x:c r="AO709" s="60"/>
      <x:c r="AP709" s="58"/>
      <x:c r="AQ709" s="47"/>
      <x:c r="AR709" s="60"/>
      <x:c r="AS709" s="58"/>
      <x:c r="AT709" s="47"/>
      <x:c r="AU709" s="60"/>
      <x:c r="AV709" s="58"/>
      <x:c r="AW709" s="47"/>
      <x:c r="AX709" s="60"/>
      <x:c r="AY709" s="58"/>
      <x:c r="AZ709" s="47"/>
      <x:c r="BA709" s="60"/>
      <x:c r="BB709" s="58"/>
      <x:c r="BC709" s="47"/>
      <x:c r="BD709" s="60"/>
      <x:c r="BE709" s="58"/>
      <x:c r="BF709" s="47"/>
      <x:c r="BG709" s="60"/>
      <x:c r="BH709" s="58"/>
      <x:c r="BI709" s="47"/>
      <x:c r="BJ709" s="60"/>
      <x:c r="BK709" s="58"/>
      <x:c r="BL709" s="47"/>
      <x:c r="BM709" s="60"/>
      <x:c r="BN709" s="58"/>
      <x:c r="BO709" s="47"/>
      <x:c r="BP709" s="60"/>
      <x:c r="BQ709" s="58"/>
      <x:c r="BR709" s="47"/>
      <x:c r="BS709" s="60"/>
      <x:c r="BT709" s="58"/>
      <x:c r="BU709" s="47"/>
      <x:c r="BV709" s="60"/>
      <x:c r="BW709" s="58"/>
      <x:c r="BX709" s="47"/>
      <x:c r="BY709" s="60"/>
      <x:c r="BZ709" s="58"/>
      <x:c r="CA709" s="47"/>
      <x:c r="CB709" s="60"/>
      <x:c r="CC709" s="58"/>
      <x:c r="CD709" s="47"/>
      <x:c r="CE709" s="60"/>
      <x:c r="CF709" s="58"/>
      <x:c r="CG709" s="47"/>
      <x:c r="CH709" s="60"/>
      <x:c r="CI709" s="58"/>
      <x:c r="CJ709" s="47"/>
      <x:c r="CK709" s="60"/>
      <x:c r="CL709" s="58"/>
      <x:c r="CM709" s="47"/>
      <x:c r="CN709" s="60"/>
      <x:c r="CO709" s="58"/>
      <x:c r="CP709" s="47"/>
      <x:c r="CQ709" s="60"/>
      <x:c r="CR709" s="58"/>
      <x:c r="CS709" s="47"/>
      <x:c r="CT709" s="60"/>
      <x:c r="CU709" s="58"/>
      <x:c r="CV709" s="47"/>
      <x:c r="CW709" s="60"/>
      <x:c r="CX709" s="58"/>
      <x:c r="CY709" s="47"/>
      <x:c r="CZ709" s="60"/>
      <x:c r="DA709" s="58"/>
      <x:c r="DB709" s="47"/>
      <x:c r="DC709" s="60"/>
      <x:c r="DD709" s="58"/>
      <x:c r="DE709" s="47"/>
      <x:c r="DF709" s="60"/>
      <x:c r="DG709" s="58"/>
      <x:c r="DH709" s="47"/>
      <x:c r="DI709" s="60"/>
      <x:c r="DJ709" s="58"/>
      <x:c r="DK709" s="47"/>
      <x:c r="DL709" s="60"/>
      <x:c r="DM709" s="58"/>
      <x:c r="DN709" s="11"/>
      <x:c r="DO709" s="61"/>
      <x:c r="DP709" s="62"/>
      <x:c r="DQ709" s="11"/>
      <x:c r="DR709" s="61"/>
      <x:c r="DS709" s="62"/>
      <x:c r="DT709" s="11"/>
      <x:c r="DU709" s="61"/>
      <x:c r="DV709" s="62"/>
    </x:row>
    <x:row r="710" spans="1:126" x14ac:dyDescent="0.3">
      <x:c r="A710" s="47"/>
      <x:c r="B710" s="70"/>
      <x:c r="C710" s="70"/>
      <x:c r="D710" s="70"/>
      <x:c r="E710" s="70"/>
      <x:c r="F710" s="70"/>
      <x:c r="G710" s="70"/>
      <x:c r="H710" s="70"/>
      <x:c r="I710" s="70"/>
      <x:c r="J710" s="70"/>
      <x:c r="K710" s="190"/>
      <x:c r="L710" s="195"/>
      <x:c r="M710" s="192"/>
      <x:c r="N710" s="192"/>
      <x:c r="O710" s="69"/>
      <x:c r="P710" s="47"/>
      <x:c r="Q710" s="60"/>
      <x:c r="R710" s="58"/>
      <x:c r="S710" s="47"/>
      <x:c r="T710" s="60"/>
      <x:c r="U710" s="58"/>
      <x:c r="V710" s="47"/>
      <x:c r="W710" s="60"/>
      <x:c r="X710" s="58"/>
      <x:c r="Y710" s="47"/>
      <x:c r="Z710" s="60"/>
      <x:c r="AA710" s="58"/>
      <x:c r="AB710" s="47"/>
      <x:c r="AC710" s="60"/>
      <x:c r="AD710" s="58"/>
      <x:c r="AE710" s="47"/>
      <x:c r="AF710" s="60"/>
      <x:c r="AG710" s="58"/>
      <x:c r="AH710" s="47"/>
      <x:c r="AI710" s="60"/>
      <x:c r="AJ710" s="58"/>
      <x:c r="AK710" s="47"/>
      <x:c r="AL710" s="60"/>
      <x:c r="AM710" s="58"/>
      <x:c r="AN710" s="47"/>
      <x:c r="AO710" s="60"/>
      <x:c r="AP710" s="58"/>
      <x:c r="AQ710" s="47"/>
      <x:c r="AR710" s="60"/>
      <x:c r="AS710" s="58"/>
      <x:c r="AT710" s="47"/>
      <x:c r="AU710" s="60"/>
      <x:c r="AV710" s="58"/>
      <x:c r="AW710" s="47"/>
      <x:c r="AX710" s="60"/>
      <x:c r="AY710" s="58"/>
      <x:c r="AZ710" s="47"/>
      <x:c r="BA710" s="60"/>
      <x:c r="BB710" s="58"/>
      <x:c r="BC710" s="47"/>
      <x:c r="BD710" s="60"/>
      <x:c r="BE710" s="58"/>
      <x:c r="BF710" s="47"/>
      <x:c r="BG710" s="60"/>
      <x:c r="BH710" s="58"/>
      <x:c r="BI710" s="47"/>
      <x:c r="BJ710" s="60"/>
      <x:c r="BK710" s="58"/>
      <x:c r="BL710" s="47"/>
      <x:c r="BM710" s="60"/>
      <x:c r="BN710" s="58"/>
      <x:c r="BO710" s="47"/>
      <x:c r="BP710" s="60"/>
      <x:c r="BQ710" s="58"/>
      <x:c r="BR710" s="47"/>
      <x:c r="BS710" s="60"/>
      <x:c r="BT710" s="58"/>
      <x:c r="BU710" s="47"/>
      <x:c r="BV710" s="60"/>
      <x:c r="BW710" s="58"/>
      <x:c r="BX710" s="47"/>
      <x:c r="BY710" s="60"/>
      <x:c r="BZ710" s="58"/>
      <x:c r="CA710" s="47"/>
      <x:c r="CB710" s="60"/>
      <x:c r="CC710" s="58"/>
      <x:c r="CD710" s="47"/>
      <x:c r="CE710" s="60"/>
      <x:c r="CF710" s="58"/>
      <x:c r="CG710" s="47"/>
      <x:c r="CH710" s="60"/>
      <x:c r="CI710" s="58"/>
      <x:c r="CJ710" s="47"/>
      <x:c r="CK710" s="60"/>
      <x:c r="CL710" s="58"/>
      <x:c r="CM710" s="47"/>
      <x:c r="CN710" s="60"/>
      <x:c r="CO710" s="58"/>
      <x:c r="CP710" s="47"/>
      <x:c r="CQ710" s="60"/>
      <x:c r="CR710" s="58"/>
      <x:c r="CS710" s="47"/>
      <x:c r="CT710" s="60"/>
      <x:c r="CU710" s="58"/>
      <x:c r="CV710" s="47"/>
      <x:c r="CW710" s="60"/>
      <x:c r="CX710" s="58"/>
      <x:c r="CY710" s="47"/>
      <x:c r="CZ710" s="60"/>
      <x:c r="DA710" s="58"/>
      <x:c r="DB710" s="47"/>
      <x:c r="DC710" s="60"/>
      <x:c r="DD710" s="58"/>
      <x:c r="DE710" s="47"/>
      <x:c r="DF710" s="60"/>
      <x:c r="DG710" s="58"/>
      <x:c r="DH710" s="47"/>
      <x:c r="DI710" s="60"/>
      <x:c r="DJ710" s="58"/>
      <x:c r="DK710" s="47"/>
      <x:c r="DL710" s="60"/>
      <x:c r="DM710" s="58"/>
      <x:c r="DN710" s="11"/>
      <x:c r="DO710" s="61"/>
      <x:c r="DP710" s="62"/>
      <x:c r="DQ710" s="11"/>
      <x:c r="DR710" s="61"/>
      <x:c r="DS710" s="62"/>
      <x:c r="DT710" s="11"/>
      <x:c r="DU710" s="61"/>
      <x:c r="DV710" s="62"/>
    </x:row>
    <x:row r="711" spans="1:126" x14ac:dyDescent="0.3">
      <x:c r="A711" s="47"/>
      <x:c r="B711" s="70"/>
      <x:c r="C711" s="70"/>
      <x:c r="D711" s="70"/>
      <x:c r="E711" s="70"/>
      <x:c r="F711" s="70"/>
      <x:c r="G711" s="70"/>
      <x:c r="H711" s="70"/>
      <x:c r="I711" s="70"/>
      <x:c r="J711" s="70"/>
      <x:c r="K711" s="190"/>
      <x:c r="L711" s="195"/>
      <x:c r="M711" s="192"/>
      <x:c r="N711" s="192"/>
      <x:c r="O711" s="69"/>
      <x:c r="P711" s="47"/>
      <x:c r="Q711" s="60"/>
      <x:c r="R711" s="58"/>
      <x:c r="S711" s="47"/>
      <x:c r="T711" s="60"/>
      <x:c r="U711" s="58"/>
      <x:c r="V711" s="47"/>
      <x:c r="W711" s="60"/>
      <x:c r="X711" s="58"/>
      <x:c r="Y711" s="47"/>
      <x:c r="Z711" s="60"/>
      <x:c r="AA711" s="58"/>
      <x:c r="AB711" s="47"/>
      <x:c r="AC711" s="60"/>
      <x:c r="AD711" s="58"/>
      <x:c r="AE711" s="47"/>
      <x:c r="AF711" s="60"/>
      <x:c r="AG711" s="58"/>
      <x:c r="AH711" s="47"/>
      <x:c r="AI711" s="60"/>
      <x:c r="AJ711" s="58"/>
      <x:c r="AK711" s="47"/>
      <x:c r="AL711" s="60"/>
      <x:c r="AM711" s="58"/>
      <x:c r="AN711" s="47"/>
      <x:c r="AO711" s="60"/>
      <x:c r="AP711" s="58"/>
      <x:c r="AQ711" s="47"/>
      <x:c r="AR711" s="60"/>
      <x:c r="AS711" s="58"/>
      <x:c r="AT711" s="47"/>
      <x:c r="AU711" s="60"/>
      <x:c r="AV711" s="58"/>
      <x:c r="AW711" s="47"/>
      <x:c r="AX711" s="60"/>
      <x:c r="AY711" s="58"/>
      <x:c r="AZ711" s="47"/>
      <x:c r="BA711" s="60"/>
      <x:c r="BB711" s="58"/>
      <x:c r="BC711" s="47"/>
      <x:c r="BD711" s="60"/>
      <x:c r="BE711" s="58"/>
      <x:c r="BF711" s="47"/>
      <x:c r="BG711" s="60"/>
      <x:c r="BH711" s="58"/>
      <x:c r="BI711" s="47"/>
      <x:c r="BJ711" s="60"/>
      <x:c r="BK711" s="58"/>
      <x:c r="BL711" s="47"/>
      <x:c r="BM711" s="60"/>
      <x:c r="BN711" s="58"/>
      <x:c r="BO711" s="47"/>
      <x:c r="BP711" s="60"/>
      <x:c r="BQ711" s="58"/>
      <x:c r="BR711" s="47"/>
      <x:c r="BS711" s="60"/>
      <x:c r="BT711" s="58"/>
      <x:c r="BU711" s="47"/>
      <x:c r="BV711" s="60"/>
      <x:c r="BW711" s="58"/>
      <x:c r="BX711" s="47"/>
      <x:c r="BY711" s="60"/>
      <x:c r="BZ711" s="58"/>
      <x:c r="CA711" s="47"/>
      <x:c r="CB711" s="60"/>
      <x:c r="CC711" s="58"/>
      <x:c r="CD711" s="47"/>
      <x:c r="CE711" s="60"/>
      <x:c r="CF711" s="58"/>
      <x:c r="CG711" s="47"/>
      <x:c r="CH711" s="60"/>
      <x:c r="CI711" s="58"/>
      <x:c r="CJ711" s="47"/>
      <x:c r="CK711" s="60"/>
      <x:c r="CL711" s="58"/>
      <x:c r="CM711" s="47"/>
      <x:c r="CN711" s="60"/>
      <x:c r="CO711" s="58"/>
      <x:c r="CP711" s="47"/>
      <x:c r="CQ711" s="60"/>
      <x:c r="CR711" s="58"/>
      <x:c r="CS711" s="47"/>
      <x:c r="CT711" s="60"/>
      <x:c r="CU711" s="58"/>
      <x:c r="CV711" s="47"/>
      <x:c r="CW711" s="60"/>
      <x:c r="CX711" s="58"/>
      <x:c r="CY711" s="47"/>
      <x:c r="CZ711" s="60"/>
      <x:c r="DA711" s="58"/>
      <x:c r="DB711" s="47"/>
      <x:c r="DC711" s="60"/>
      <x:c r="DD711" s="58"/>
      <x:c r="DE711" s="47"/>
      <x:c r="DF711" s="60"/>
      <x:c r="DG711" s="58"/>
      <x:c r="DH711" s="47"/>
      <x:c r="DI711" s="60"/>
      <x:c r="DJ711" s="58"/>
      <x:c r="DK711" s="47"/>
      <x:c r="DL711" s="60"/>
      <x:c r="DM711" s="58"/>
      <x:c r="DN711" s="11"/>
      <x:c r="DO711" s="61"/>
      <x:c r="DP711" s="62"/>
      <x:c r="DQ711" s="11"/>
      <x:c r="DR711" s="61"/>
      <x:c r="DS711" s="62"/>
      <x:c r="DT711" s="11"/>
      <x:c r="DU711" s="61"/>
      <x:c r="DV711" s="62"/>
    </x:row>
    <x:row r="712" spans="1:126" x14ac:dyDescent="0.3">
      <x:c r="A712" s="47"/>
      <x:c r="B712" s="70"/>
      <x:c r="C712" s="70"/>
      <x:c r="D712" s="70"/>
      <x:c r="E712" s="70"/>
      <x:c r="F712" s="70"/>
      <x:c r="G712" s="70"/>
      <x:c r="H712" s="70"/>
      <x:c r="I712" s="70"/>
      <x:c r="J712" s="70"/>
      <x:c r="K712" s="190"/>
      <x:c r="L712" s="195"/>
      <x:c r="M712" s="192"/>
      <x:c r="N712" s="192"/>
      <x:c r="O712" s="69"/>
      <x:c r="P712" s="47"/>
      <x:c r="Q712" s="60"/>
      <x:c r="R712" s="58"/>
      <x:c r="S712" s="47"/>
      <x:c r="T712" s="60"/>
      <x:c r="U712" s="58"/>
      <x:c r="V712" s="47"/>
      <x:c r="W712" s="60"/>
      <x:c r="X712" s="58"/>
      <x:c r="Y712" s="47"/>
      <x:c r="Z712" s="60"/>
      <x:c r="AA712" s="58"/>
      <x:c r="AB712" s="47"/>
      <x:c r="AC712" s="60"/>
      <x:c r="AD712" s="58"/>
      <x:c r="AE712" s="47"/>
      <x:c r="AF712" s="60"/>
      <x:c r="AG712" s="58"/>
      <x:c r="AH712" s="47"/>
      <x:c r="AI712" s="60"/>
      <x:c r="AJ712" s="58"/>
      <x:c r="AK712" s="47"/>
      <x:c r="AL712" s="60"/>
      <x:c r="AM712" s="58"/>
      <x:c r="AN712" s="47"/>
      <x:c r="AO712" s="60"/>
      <x:c r="AP712" s="58"/>
      <x:c r="AQ712" s="47"/>
      <x:c r="AR712" s="60"/>
      <x:c r="AS712" s="58"/>
      <x:c r="AT712" s="47"/>
      <x:c r="AU712" s="60"/>
      <x:c r="AV712" s="58"/>
      <x:c r="AW712" s="47"/>
      <x:c r="AX712" s="60"/>
      <x:c r="AY712" s="58"/>
      <x:c r="AZ712" s="47"/>
      <x:c r="BA712" s="60"/>
      <x:c r="BB712" s="58"/>
      <x:c r="BC712" s="47"/>
      <x:c r="BD712" s="60"/>
      <x:c r="BE712" s="58"/>
      <x:c r="BF712" s="47"/>
      <x:c r="BG712" s="60"/>
      <x:c r="BH712" s="58"/>
      <x:c r="BI712" s="47"/>
      <x:c r="BJ712" s="60"/>
      <x:c r="BK712" s="58"/>
      <x:c r="BL712" s="47"/>
      <x:c r="BM712" s="60"/>
      <x:c r="BN712" s="58"/>
      <x:c r="BO712" s="47"/>
      <x:c r="BP712" s="60"/>
      <x:c r="BQ712" s="58"/>
      <x:c r="BR712" s="47"/>
      <x:c r="BS712" s="60"/>
      <x:c r="BT712" s="58"/>
      <x:c r="BU712" s="47"/>
      <x:c r="BV712" s="60"/>
      <x:c r="BW712" s="58"/>
      <x:c r="BX712" s="47"/>
      <x:c r="BY712" s="60"/>
      <x:c r="BZ712" s="58"/>
      <x:c r="CA712" s="47"/>
      <x:c r="CB712" s="60"/>
      <x:c r="CC712" s="58"/>
      <x:c r="CD712" s="47"/>
      <x:c r="CE712" s="60"/>
      <x:c r="CF712" s="58"/>
      <x:c r="CG712" s="47"/>
      <x:c r="CH712" s="60"/>
      <x:c r="CI712" s="58"/>
      <x:c r="CJ712" s="47"/>
      <x:c r="CK712" s="60"/>
      <x:c r="CL712" s="58"/>
      <x:c r="CM712" s="47"/>
      <x:c r="CN712" s="60"/>
      <x:c r="CO712" s="58"/>
      <x:c r="CP712" s="47"/>
      <x:c r="CQ712" s="60"/>
      <x:c r="CR712" s="58"/>
      <x:c r="CS712" s="47"/>
      <x:c r="CT712" s="60"/>
      <x:c r="CU712" s="58"/>
      <x:c r="CV712" s="47"/>
      <x:c r="CW712" s="60"/>
      <x:c r="CX712" s="58"/>
      <x:c r="CY712" s="47"/>
      <x:c r="CZ712" s="60"/>
      <x:c r="DA712" s="58"/>
      <x:c r="DB712" s="47"/>
      <x:c r="DC712" s="60"/>
      <x:c r="DD712" s="58"/>
      <x:c r="DE712" s="47"/>
      <x:c r="DF712" s="60"/>
      <x:c r="DG712" s="58"/>
      <x:c r="DH712" s="47"/>
      <x:c r="DI712" s="60"/>
      <x:c r="DJ712" s="58"/>
      <x:c r="DK712" s="47"/>
      <x:c r="DL712" s="60"/>
      <x:c r="DM712" s="58"/>
      <x:c r="DN712" s="11"/>
      <x:c r="DO712" s="61"/>
      <x:c r="DP712" s="62"/>
      <x:c r="DQ712" s="11"/>
      <x:c r="DR712" s="61"/>
      <x:c r="DS712" s="62"/>
      <x:c r="DT712" s="11"/>
      <x:c r="DU712" s="61"/>
      <x:c r="DV712" s="62"/>
    </x:row>
    <x:row r="713" spans="1:126" x14ac:dyDescent="0.3">
      <x:c r="A713" s="47"/>
      <x:c r="B713" s="70"/>
      <x:c r="C713" s="70"/>
      <x:c r="D713" s="70"/>
      <x:c r="E713" s="70"/>
      <x:c r="F713" s="70"/>
      <x:c r="G713" s="70"/>
      <x:c r="H713" s="70"/>
      <x:c r="I713" s="70"/>
      <x:c r="J713" s="70"/>
      <x:c r="K713" s="190"/>
      <x:c r="L713" s="195"/>
      <x:c r="M713" s="192"/>
      <x:c r="N713" s="192"/>
      <x:c r="O713" s="69"/>
      <x:c r="P713" s="47"/>
      <x:c r="Q713" s="60"/>
      <x:c r="R713" s="58"/>
      <x:c r="S713" s="47"/>
      <x:c r="T713" s="60"/>
      <x:c r="U713" s="58"/>
      <x:c r="V713" s="47"/>
      <x:c r="W713" s="60"/>
      <x:c r="X713" s="58"/>
      <x:c r="Y713" s="47"/>
      <x:c r="Z713" s="60"/>
      <x:c r="AA713" s="58"/>
      <x:c r="AB713" s="47"/>
      <x:c r="AC713" s="60"/>
      <x:c r="AD713" s="58"/>
      <x:c r="AE713" s="47"/>
      <x:c r="AF713" s="60"/>
      <x:c r="AG713" s="58"/>
      <x:c r="AH713" s="47"/>
      <x:c r="AI713" s="60"/>
      <x:c r="AJ713" s="58"/>
      <x:c r="AK713" s="47"/>
      <x:c r="AL713" s="60"/>
      <x:c r="AM713" s="58"/>
      <x:c r="AN713" s="47"/>
      <x:c r="AO713" s="60"/>
      <x:c r="AP713" s="58"/>
      <x:c r="AQ713" s="47"/>
      <x:c r="AR713" s="60"/>
      <x:c r="AS713" s="58"/>
      <x:c r="AT713" s="47"/>
      <x:c r="AU713" s="60"/>
      <x:c r="AV713" s="58"/>
      <x:c r="AW713" s="47"/>
      <x:c r="AX713" s="60"/>
      <x:c r="AY713" s="58"/>
      <x:c r="AZ713" s="47"/>
      <x:c r="BA713" s="60"/>
      <x:c r="BB713" s="58"/>
      <x:c r="BC713" s="47"/>
      <x:c r="BD713" s="60"/>
      <x:c r="BE713" s="58"/>
      <x:c r="BF713" s="47"/>
      <x:c r="BG713" s="60"/>
      <x:c r="BH713" s="58"/>
      <x:c r="BI713" s="47"/>
      <x:c r="BJ713" s="60"/>
      <x:c r="BK713" s="58"/>
      <x:c r="BL713" s="47"/>
      <x:c r="BM713" s="60"/>
      <x:c r="BN713" s="58"/>
      <x:c r="BO713" s="47"/>
      <x:c r="BP713" s="60"/>
      <x:c r="BQ713" s="58"/>
      <x:c r="BR713" s="47"/>
      <x:c r="BS713" s="60"/>
      <x:c r="BT713" s="58"/>
      <x:c r="BU713" s="47"/>
      <x:c r="BV713" s="60"/>
      <x:c r="BW713" s="58"/>
      <x:c r="BX713" s="47"/>
      <x:c r="BY713" s="60"/>
      <x:c r="BZ713" s="58"/>
      <x:c r="CA713" s="47"/>
      <x:c r="CB713" s="60"/>
      <x:c r="CC713" s="58"/>
      <x:c r="CD713" s="47"/>
      <x:c r="CE713" s="60"/>
      <x:c r="CF713" s="58"/>
      <x:c r="CG713" s="47"/>
      <x:c r="CH713" s="60"/>
      <x:c r="CI713" s="58"/>
      <x:c r="CJ713" s="47"/>
      <x:c r="CK713" s="60"/>
      <x:c r="CL713" s="58"/>
      <x:c r="CM713" s="47"/>
      <x:c r="CN713" s="60"/>
      <x:c r="CO713" s="58"/>
      <x:c r="CP713" s="47"/>
      <x:c r="CQ713" s="60"/>
      <x:c r="CR713" s="58"/>
      <x:c r="CS713" s="47"/>
      <x:c r="CT713" s="60"/>
      <x:c r="CU713" s="58"/>
      <x:c r="CV713" s="47"/>
      <x:c r="CW713" s="60"/>
      <x:c r="CX713" s="58"/>
      <x:c r="CY713" s="47"/>
      <x:c r="CZ713" s="60"/>
      <x:c r="DA713" s="58"/>
      <x:c r="DB713" s="47"/>
      <x:c r="DC713" s="60"/>
      <x:c r="DD713" s="58"/>
      <x:c r="DE713" s="47"/>
      <x:c r="DF713" s="60"/>
      <x:c r="DG713" s="58"/>
      <x:c r="DH713" s="47"/>
      <x:c r="DI713" s="60"/>
      <x:c r="DJ713" s="58"/>
      <x:c r="DK713" s="47"/>
      <x:c r="DL713" s="60"/>
      <x:c r="DM713" s="58"/>
      <x:c r="DN713" s="11"/>
      <x:c r="DO713" s="61"/>
      <x:c r="DP713" s="62"/>
      <x:c r="DQ713" s="11"/>
      <x:c r="DR713" s="61"/>
      <x:c r="DS713" s="62"/>
      <x:c r="DT713" s="11"/>
      <x:c r="DU713" s="61"/>
      <x:c r="DV713" s="62"/>
    </x:row>
    <x:row r="714" spans="1:126" x14ac:dyDescent="0.3">
      <x:c r="A714" s="47"/>
      <x:c r="B714" s="70"/>
      <x:c r="C714" s="70"/>
      <x:c r="D714" s="70"/>
      <x:c r="E714" s="70"/>
      <x:c r="F714" s="70"/>
      <x:c r="G714" s="70"/>
      <x:c r="H714" s="70"/>
      <x:c r="I714" s="70"/>
      <x:c r="J714" s="70"/>
      <x:c r="K714" s="190"/>
      <x:c r="L714" s="195"/>
      <x:c r="M714" s="192"/>
      <x:c r="N714" s="192"/>
      <x:c r="O714" s="69"/>
      <x:c r="P714" s="47"/>
      <x:c r="Q714" s="60"/>
      <x:c r="R714" s="58"/>
      <x:c r="S714" s="47"/>
      <x:c r="T714" s="60"/>
      <x:c r="U714" s="58"/>
      <x:c r="V714" s="47"/>
      <x:c r="W714" s="60"/>
      <x:c r="X714" s="58"/>
      <x:c r="Y714" s="47"/>
      <x:c r="Z714" s="60"/>
      <x:c r="AA714" s="58"/>
      <x:c r="AB714" s="47"/>
      <x:c r="AC714" s="60"/>
      <x:c r="AD714" s="58"/>
      <x:c r="AE714" s="47"/>
      <x:c r="AF714" s="60"/>
      <x:c r="AG714" s="58"/>
      <x:c r="AH714" s="47"/>
      <x:c r="AI714" s="60"/>
      <x:c r="AJ714" s="58"/>
      <x:c r="AK714" s="47"/>
      <x:c r="AL714" s="60"/>
      <x:c r="AM714" s="58"/>
      <x:c r="AN714" s="47"/>
      <x:c r="AO714" s="60"/>
      <x:c r="AP714" s="58"/>
      <x:c r="AQ714" s="47"/>
      <x:c r="AR714" s="60"/>
      <x:c r="AS714" s="58"/>
      <x:c r="AT714" s="47"/>
      <x:c r="AU714" s="60"/>
      <x:c r="AV714" s="58"/>
      <x:c r="AW714" s="47"/>
      <x:c r="AX714" s="60"/>
      <x:c r="AY714" s="58"/>
      <x:c r="AZ714" s="47"/>
      <x:c r="BA714" s="60"/>
      <x:c r="BB714" s="58"/>
      <x:c r="BC714" s="47"/>
      <x:c r="BD714" s="60"/>
      <x:c r="BE714" s="58"/>
      <x:c r="BF714" s="47"/>
      <x:c r="BG714" s="60"/>
      <x:c r="BH714" s="58"/>
      <x:c r="BI714" s="47"/>
      <x:c r="BJ714" s="60"/>
      <x:c r="BK714" s="58"/>
      <x:c r="BL714" s="47"/>
      <x:c r="BM714" s="60"/>
      <x:c r="BN714" s="58"/>
      <x:c r="BO714" s="47"/>
      <x:c r="BP714" s="60"/>
      <x:c r="BQ714" s="58"/>
      <x:c r="BR714" s="47"/>
      <x:c r="BS714" s="60"/>
      <x:c r="BT714" s="58"/>
      <x:c r="BU714" s="47"/>
      <x:c r="BV714" s="60"/>
      <x:c r="BW714" s="58"/>
      <x:c r="BX714" s="47"/>
      <x:c r="BY714" s="60"/>
      <x:c r="BZ714" s="58"/>
      <x:c r="CA714" s="47"/>
      <x:c r="CB714" s="60"/>
      <x:c r="CC714" s="58"/>
      <x:c r="CD714" s="47"/>
      <x:c r="CE714" s="60"/>
      <x:c r="CF714" s="58"/>
      <x:c r="CG714" s="47"/>
      <x:c r="CH714" s="60"/>
      <x:c r="CI714" s="58"/>
      <x:c r="CJ714" s="47"/>
      <x:c r="CK714" s="60"/>
      <x:c r="CL714" s="58"/>
      <x:c r="CM714" s="47"/>
      <x:c r="CN714" s="60"/>
      <x:c r="CO714" s="58"/>
      <x:c r="CP714" s="47"/>
      <x:c r="CQ714" s="60"/>
      <x:c r="CR714" s="58"/>
      <x:c r="CS714" s="47"/>
      <x:c r="CT714" s="60"/>
      <x:c r="CU714" s="58"/>
      <x:c r="CV714" s="47"/>
      <x:c r="CW714" s="60"/>
      <x:c r="CX714" s="58"/>
      <x:c r="CY714" s="47"/>
      <x:c r="CZ714" s="60"/>
      <x:c r="DA714" s="58"/>
      <x:c r="DB714" s="47"/>
      <x:c r="DC714" s="60"/>
      <x:c r="DD714" s="58"/>
      <x:c r="DE714" s="47"/>
      <x:c r="DF714" s="60"/>
      <x:c r="DG714" s="58"/>
      <x:c r="DH714" s="47"/>
      <x:c r="DI714" s="60"/>
      <x:c r="DJ714" s="58"/>
      <x:c r="DK714" s="47"/>
      <x:c r="DL714" s="60"/>
      <x:c r="DM714" s="58"/>
      <x:c r="DN714" s="11"/>
      <x:c r="DO714" s="61"/>
      <x:c r="DP714" s="62"/>
      <x:c r="DQ714" s="11"/>
      <x:c r="DR714" s="61"/>
      <x:c r="DS714" s="62"/>
      <x:c r="DT714" s="11"/>
      <x:c r="DU714" s="61"/>
      <x:c r="DV714" s="62"/>
    </x:row>
    <x:row r="715" spans="1:126" x14ac:dyDescent="0.3">
      <x:c r="A715" s="47"/>
      <x:c r="B715" s="70"/>
      <x:c r="C715" s="70"/>
      <x:c r="D715" s="70"/>
      <x:c r="E715" s="70"/>
      <x:c r="F715" s="70"/>
      <x:c r="G715" s="70"/>
      <x:c r="H715" s="70"/>
      <x:c r="I715" s="70"/>
      <x:c r="J715" s="70"/>
      <x:c r="K715" s="190"/>
      <x:c r="L715" s="195"/>
      <x:c r="M715" s="192"/>
      <x:c r="N715" s="192"/>
      <x:c r="O715" s="69"/>
      <x:c r="P715" s="47"/>
      <x:c r="Q715" s="60"/>
      <x:c r="R715" s="58"/>
      <x:c r="S715" s="47"/>
      <x:c r="T715" s="60"/>
      <x:c r="U715" s="58"/>
      <x:c r="V715" s="47"/>
      <x:c r="W715" s="60"/>
      <x:c r="X715" s="58"/>
      <x:c r="Y715" s="47"/>
      <x:c r="Z715" s="60"/>
      <x:c r="AA715" s="58"/>
      <x:c r="AB715" s="47"/>
      <x:c r="AC715" s="60"/>
      <x:c r="AD715" s="58"/>
      <x:c r="AE715" s="47"/>
      <x:c r="AF715" s="60"/>
      <x:c r="AG715" s="58"/>
      <x:c r="AH715" s="47"/>
      <x:c r="AI715" s="60"/>
      <x:c r="AJ715" s="58"/>
      <x:c r="AK715" s="47"/>
      <x:c r="AL715" s="60"/>
      <x:c r="AM715" s="58"/>
      <x:c r="AN715" s="47"/>
      <x:c r="AO715" s="60"/>
      <x:c r="AP715" s="58"/>
      <x:c r="AQ715" s="47"/>
      <x:c r="AR715" s="60"/>
      <x:c r="AS715" s="58"/>
      <x:c r="AT715" s="47"/>
      <x:c r="AU715" s="60"/>
      <x:c r="AV715" s="58"/>
      <x:c r="AW715" s="47"/>
      <x:c r="AX715" s="60"/>
      <x:c r="AY715" s="58"/>
      <x:c r="AZ715" s="47"/>
      <x:c r="BA715" s="60"/>
      <x:c r="BB715" s="58"/>
      <x:c r="BC715" s="47"/>
      <x:c r="BD715" s="60"/>
      <x:c r="BE715" s="58"/>
      <x:c r="BF715" s="47"/>
      <x:c r="BG715" s="60"/>
      <x:c r="BH715" s="58"/>
      <x:c r="BI715" s="47"/>
      <x:c r="BJ715" s="60"/>
      <x:c r="BK715" s="58"/>
      <x:c r="BL715" s="47"/>
      <x:c r="BM715" s="60"/>
      <x:c r="BN715" s="58"/>
      <x:c r="BO715" s="47"/>
      <x:c r="BP715" s="60"/>
      <x:c r="BQ715" s="58"/>
      <x:c r="BR715" s="47"/>
      <x:c r="BS715" s="60"/>
      <x:c r="BT715" s="58"/>
      <x:c r="BU715" s="47"/>
      <x:c r="BV715" s="60"/>
      <x:c r="BW715" s="58"/>
      <x:c r="BX715" s="47"/>
      <x:c r="BY715" s="60"/>
      <x:c r="BZ715" s="58"/>
      <x:c r="CA715" s="47"/>
      <x:c r="CB715" s="60"/>
      <x:c r="CC715" s="58"/>
      <x:c r="CD715" s="47"/>
      <x:c r="CE715" s="60"/>
      <x:c r="CF715" s="58"/>
      <x:c r="CG715" s="47"/>
      <x:c r="CH715" s="60"/>
      <x:c r="CI715" s="58"/>
      <x:c r="CJ715" s="47"/>
      <x:c r="CK715" s="60"/>
      <x:c r="CL715" s="58"/>
      <x:c r="CM715" s="47"/>
      <x:c r="CN715" s="60"/>
      <x:c r="CO715" s="58"/>
      <x:c r="CP715" s="47"/>
      <x:c r="CQ715" s="60"/>
      <x:c r="CR715" s="58"/>
      <x:c r="CS715" s="47"/>
      <x:c r="CT715" s="60"/>
      <x:c r="CU715" s="58"/>
      <x:c r="CV715" s="47"/>
      <x:c r="CW715" s="60"/>
      <x:c r="CX715" s="58"/>
      <x:c r="CY715" s="47"/>
      <x:c r="CZ715" s="60"/>
      <x:c r="DA715" s="58"/>
      <x:c r="DB715" s="47"/>
      <x:c r="DC715" s="60"/>
      <x:c r="DD715" s="58"/>
      <x:c r="DE715" s="47"/>
      <x:c r="DF715" s="60"/>
      <x:c r="DG715" s="58"/>
      <x:c r="DH715" s="47"/>
      <x:c r="DI715" s="60"/>
      <x:c r="DJ715" s="58"/>
      <x:c r="DK715" s="47"/>
      <x:c r="DL715" s="60"/>
      <x:c r="DM715" s="58"/>
      <x:c r="DN715" s="11"/>
      <x:c r="DO715" s="61"/>
      <x:c r="DP715" s="62"/>
      <x:c r="DQ715" s="11"/>
      <x:c r="DR715" s="61"/>
      <x:c r="DS715" s="62"/>
      <x:c r="DT715" s="11"/>
      <x:c r="DU715" s="61"/>
      <x:c r="DV715" s="62"/>
    </x:row>
    <x:row r="716" spans="1:126" x14ac:dyDescent="0.3">
      <x:c r="A716" s="47"/>
      <x:c r="B716" s="70"/>
      <x:c r="C716" s="70"/>
      <x:c r="D716" s="70"/>
      <x:c r="E716" s="70"/>
      <x:c r="F716" s="70"/>
      <x:c r="G716" s="70"/>
      <x:c r="H716" s="70"/>
      <x:c r="I716" s="70"/>
      <x:c r="J716" s="70"/>
      <x:c r="K716" s="190"/>
      <x:c r="L716" s="195"/>
      <x:c r="M716" s="192"/>
      <x:c r="N716" s="192"/>
      <x:c r="O716" s="69"/>
      <x:c r="P716" s="47"/>
      <x:c r="Q716" s="60"/>
      <x:c r="R716" s="58"/>
      <x:c r="S716" s="47"/>
      <x:c r="T716" s="60"/>
      <x:c r="U716" s="58"/>
      <x:c r="V716" s="47"/>
      <x:c r="W716" s="60"/>
      <x:c r="X716" s="58"/>
      <x:c r="Y716" s="47"/>
      <x:c r="Z716" s="60"/>
      <x:c r="AA716" s="58"/>
      <x:c r="AB716" s="47"/>
      <x:c r="AC716" s="60"/>
      <x:c r="AD716" s="58"/>
      <x:c r="AE716" s="47"/>
      <x:c r="AF716" s="60"/>
      <x:c r="AG716" s="58"/>
      <x:c r="AH716" s="47"/>
      <x:c r="AI716" s="60"/>
      <x:c r="AJ716" s="58"/>
      <x:c r="AK716" s="47"/>
      <x:c r="AL716" s="60"/>
      <x:c r="AM716" s="58"/>
      <x:c r="AN716" s="47"/>
      <x:c r="AO716" s="60"/>
      <x:c r="AP716" s="58"/>
      <x:c r="AQ716" s="47"/>
      <x:c r="AR716" s="60"/>
      <x:c r="AS716" s="58"/>
      <x:c r="AT716" s="47"/>
      <x:c r="AU716" s="60"/>
      <x:c r="AV716" s="58"/>
      <x:c r="AW716" s="47"/>
      <x:c r="AX716" s="60"/>
      <x:c r="AY716" s="58"/>
      <x:c r="AZ716" s="47"/>
      <x:c r="BA716" s="60"/>
      <x:c r="BB716" s="58"/>
      <x:c r="BC716" s="47"/>
      <x:c r="BD716" s="60"/>
      <x:c r="BE716" s="58"/>
      <x:c r="BF716" s="47"/>
      <x:c r="BG716" s="60"/>
      <x:c r="BH716" s="58"/>
      <x:c r="BI716" s="47"/>
      <x:c r="BJ716" s="60"/>
      <x:c r="BK716" s="58"/>
      <x:c r="BL716" s="47"/>
      <x:c r="BM716" s="60"/>
      <x:c r="BN716" s="58"/>
      <x:c r="BO716" s="47"/>
      <x:c r="BP716" s="60"/>
      <x:c r="BQ716" s="58"/>
      <x:c r="BR716" s="47"/>
      <x:c r="BS716" s="60"/>
      <x:c r="BT716" s="58"/>
      <x:c r="BU716" s="47"/>
      <x:c r="BV716" s="60"/>
      <x:c r="BW716" s="58"/>
      <x:c r="BX716" s="47"/>
      <x:c r="BY716" s="60"/>
      <x:c r="BZ716" s="58"/>
      <x:c r="CA716" s="47"/>
      <x:c r="CB716" s="60"/>
      <x:c r="CC716" s="58"/>
      <x:c r="CD716" s="47"/>
      <x:c r="CE716" s="60"/>
      <x:c r="CF716" s="58"/>
      <x:c r="CG716" s="47"/>
      <x:c r="CH716" s="60"/>
      <x:c r="CI716" s="58"/>
      <x:c r="CJ716" s="47"/>
      <x:c r="CK716" s="60"/>
      <x:c r="CL716" s="58"/>
      <x:c r="CM716" s="47"/>
      <x:c r="CN716" s="60"/>
      <x:c r="CO716" s="58"/>
      <x:c r="CP716" s="47"/>
      <x:c r="CQ716" s="60"/>
      <x:c r="CR716" s="58"/>
      <x:c r="CS716" s="47"/>
      <x:c r="CT716" s="60"/>
      <x:c r="CU716" s="58"/>
      <x:c r="CV716" s="47"/>
      <x:c r="CW716" s="60"/>
      <x:c r="CX716" s="58"/>
      <x:c r="CY716" s="47"/>
      <x:c r="CZ716" s="60"/>
      <x:c r="DA716" s="58"/>
      <x:c r="DB716" s="47"/>
      <x:c r="DC716" s="60"/>
      <x:c r="DD716" s="58"/>
      <x:c r="DE716" s="47"/>
      <x:c r="DF716" s="60"/>
      <x:c r="DG716" s="58"/>
      <x:c r="DH716" s="47"/>
      <x:c r="DI716" s="60"/>
      <x:c r="DJ716" s="58"/>
      <x:c r="DK716" s="47"/>
      <x:c r="DL716" s="60"/>
      <x:c r="DM716" s="58"/>
      <x:c r="DN716" s="11"/>
      <x:c r="DO716" s="61"/>
      <x:c r="DP716" s="62"/>
      <x:c r="DQ716" s="11"/>
      <x:c r="DR716" s="61"/>
      <x:c r="DS716" s="62"/>
      <x:c r="DT716" s="11"/>
      <x:c r="DU716" s="61"/>
      <x:c r="DV716" s="62"/>
    </x:row>
    <x:row r="717" spans="1:126" x14ac:dyDescent="0.3">
      <x:c r="A717" s="47"/>
      <x:c r="B717" s="70"/>
      <x:c r="C717" s="70"/>
      <x:c r="D717" s="70"/>
      <x:c r="E717" s="70"/>
      <x:c r="F717" s="70"/>
      <x:c r="G717" s="70"/>
      <x:c r="H717" s="70"/>
      <x:c r="I717" s="70"/>
      <x:c r="J717" s="70"/>
      <x:c r="K717" s="190"/>
      <x:c r="L717" s="195"/>
      <x:c r="M717" s="192"/>
      <x:c r="N717" s="192"/>
      <x:c r="O717" s="69"/>
      <x:c r="P717" s="47"/>
      <x:c r="Q717" s="60"/>
      <x:c r="R717" s="58"/>
      <x:c r="S717" s="47"/>
      <x:c r="T717" s="60"/>
      <x:c r="U717" s="58"/>
      <x:c r="V717" s="47"/>
      <x:c r="W717" s="60"/>
      <x:c r="X717" s="58"/>
      <x:c r="Y717" s="47"/>
      <x:c r="Z717" s="60"/>
      <x:c r="AA717" s="58"/>
      <x:c r="AB717" s="47"/>
      <x:c r="AC717" s="60"/>
      <x:c r="AD717" s="58"/>
      <x:c r="AE717" s="47"/>
      <x:c r="AF717" s="60"/>
      <x:c r="AG717" s="58"/>
      <x:c r="AH717" s="47"/>
      <x:c r="AI717" s="60"/>
      <x:c r="AJ717" s="58"/>
      <x:c r="AK717" s="47"/>
      <x:c r="AL717" s="60"/>
      <x:c r="AM717" s="58"/>
      <x:c r="AN717" s="47"/>
      <x:c r="AO717" s="60"/>
      <x:c r="AP717" s="58"/>
      <x:c r="AQ717" s="47"/>
      <x:c r="AR717" s="60"/>
      <x:c r="AS717" s="58"/>
      <x:c r="AT717" s="47"/>
      <x:c r="AU717" s="60"/>
      <x:c r="AV717" s="58"/>
      <x:c r="AW717" s="47"/>
      <x:c r="AX717" s="60"/>
      <x:c r="AY717" s="58"/>
      <x:c r="AZ717" s="47"/>
      <x:c r="BA717" s="60"/>
      <x:c r="BB717" s="58"/>
      <x:c r="BC717" s="47"/>
      <x:c r="BD717" s="60"/>
      <x:c r="BE717" s="58"/>
      <x:c r="BF717" s="47"/>
      <x:c r="BG717" s="60"/>
      <x:c r="BH717" s="58"/>
      <x:c r="BI717" s="47"/>
      <x:c r="BJ717" s="60"/>
      <x:c r="BK717" s="58"/>
      <x:c r="BL717" s="47"/>
      <x:c r="BM717" s="60"/>
      <x:c r="BN717" s="58"/>
      <x:c r="BO717" s="47"/>
      <x:c r="BP717" s="60"/>
      <x:c r="BQ717" s="58"/>
      <x:c r="BR717" s="47"/>
      <x:c r="BS717" s="60"/>
      <x:c r="BT717" s="58"/>
      <x:c r="BU717" s="47"/>
      <x:c r="BV717" s="60"/>
      <x:c r="BW717" s="58"/>
      <x:c r="BX717" s="47"/>
      <x:c r="BY717" s="60"/>
      <x:c r="BZ717" s="58"/>
      <x:c r="CA717" s="47"/>
      <x:c r="CB717" s="60"/>
      <x:c r="CC717" s="58"/>
      <x:c r="CD717" s="47"/>
      <x:c r="CE717" s="60"/>
      <x:c r="CF717" s="58"/>
      <x:c r="CG717" s="47"/>
      <x:c r="CH717" s="60"/>
      <x:c r="CI717" s="58"/>
      <x:c r="CJ717" s="47"/>
      <x:c r="CK717" s="60"/>
      <x:c r="CL717" s="58"/>
      <x:c r="CM717" s="47"/>
      <x:c r="CN717" s="60"/>
      <x:c r="CO717" s="58"/>
      <x:c r="CP717" s="47"/>
      <x:c r="CQ717" s="60"/>
      <x:c r="CR717" s="58"/>
      <x:c r="CS717" s="47"/>
      <x:c r="CT717" s="60"/>
      <x:c r="CU717" s="58"/>
      <x:c r="CV717" s="47"/>
      <x:c r="CW717" s="60"/>
      <x:c r="CX717" s="58"/>
      <x:c r="CY717" s="47"/>
      <x:c r="CZ717" s="60"/>
      <x:c r="DA717" s="58"/>
      <x:c r="DB717" s="47"/>
      <x:c r="DC717" s="60"/>
      <x:c r="DD717" s="58"/>
      <x:c r="DE717" s="47"/>
      <x:c r="DF717" s="60"/>
      <x:c r="DG717" s="58"/>
      <x:c r="DH717" s="47"/>
      <x:c r="DI717" s="60"/>
      <x:c r="DJ717" s="58"/>
      <x:c r="DK717" s="47"/>
      <x:c r="DL717" s="60"/>
      <x:c r="DM717" s="58"/>
      <x:c r="DN717" s="11"/>
      <x:c r="DO717" s="61"/>
      <x:c r="DP717" s="62"/>
      <x:c r="DQ717" s="11"/>
      <x:c r="DR717" s="61"/>
      <x:c r="DS717" s="62"/>
      <x:c r="DT717" s="11"/>
      <x:c r="DU717" s="61"/>
      <x:c r="DV717" s="62"/>
    </x:row>
    <x:row r="718" spans="1:126" x14ac:dyDescent="0.3">
      <x:c r="A718" s="47"/>
      <x:c r="B718" s="70"/>
      <x:c r="C718" s="70"/>
      <x:c r="D718" s="70"/>
      <x:c r="E718" s="70"/>
      <x:c r="F718" s="70"/>
      <x:c r="G718" s="70"/>
      <x:c r="H718" s="70"/>
      <x:c r="I718" s="70"/>
      <x:c r="J718" s="70"/>
      <x:c r="K718" s="190"/>
      <x:c r="L718" s="195"/>
      <x:c r="M718" s="192"/>
      <x:c r="N718" s="192"/>
      <x:c r="O718" s="69"/>
      <x:c r="P718" s="47"/>
      <x:c r="Q718" s="60"/>
      <x:c r="R718" s="58"/>
      <x:c r="S718" s="47"/>
      <x:c r="T718" s="60"/>
      <x:c r="U718" s="58"/>
      <x:c r="V718" s="47"/>
      <x:c r="W718" s="60"/>
      <x:c r="X718" s="58"/>
      <x:c r="Y718" s="47"/>
      <x:c r="Z718" s="60"/>
      <x:c r="AA718" s="58"/>
      <x:c r="AB718" s="47"/>
      <x:c r="AC718" s="60"/>
      <x:c r="AD718" s="58"/>
      <x:c r="AE718" s="47"/>
      <x:c r="AF718" s="60"/>
      <x:c r="AG718" s="58"/>
      <x:c r="AH718" s="47"/>
      <x:c r="AI718" s="60"/>
      <x:c r="AJ718" s="58"/>
      <x:c r="AK718" s="47"/>
      <x:c r="AL718" s="60"/>
      <x:c r="AM718" s="58"/>
      <x:c r="AN718" s="47"/>
      <x:c r="AO718" s="60"/>
      <x:c r="AP718" s="58"/>
      <x:c r="AQ718" s="47"/>
      <x:c r="AR718" s="60"/>
      <x:c r="AS718" s="58"/>
      <x:c r="AT718" s="47"/>
      <x:c r="AU718" s="60"/>
      <x:c r="AV718" s="58"/>
      <x:c r="AW718" s="47"/>
      <x:c r="AX718" s="60"/>
      <x:c r="AY718" s="58"/>
      <x:c r="AZ718" s="47"/>
      <x:c r="BA718" s="60"/>
      <x:c r="BB718" s="58"/>
      <x:c r="BC718" s="47"/>
      <x:c r="BD718" s="60"/>
      <x:c r="BE718" s="58"/>
      <x:c r="BF718" s="47"/>
      <x:c r="BG718" s="60"/>
      <x:c r="BH718" s="58"/>
      <x:c r="BI718" s="47"/>
      <x:c r="BJ718" s="60"/>
      <x:c r="BK718" s="58"/>
      <x:c r="BL718" s="47"/>
      <x:c r="BM718" s="60"/>
      <x:c r="BN718" s="58"/>
      <x:c r="BO718" s="47"/>
      <x:c r="BP718" s="60"/>
      <x:c r="BQ718" s="58"/>
      <x:c r="BR718" s="47"/>
      <x:c r="BS718" s="60"/>
      <x:c r="BT718" s="58"/>
      <x:c r="BU718" s="47"/>
      <x:c r="BV718" s="60"/>
      <x:c r="BW718" s="58"/>
      <x:c r="BX718" s="47"/>
      <x:c r="BY718" s="60"/>
      <x:c r="BZ718" s="58"/>
      <x:c r="CA718" s="47"/>
      <x:c r="CB718" s="60"/>
      <x:c r="CC718" s="58"/>
      <x:c r="CD718" s="47"/>
      <x:c r="CE718" s="60"/>
      <x:c r="CF718" s="58"/>
      <x:c r="CG718" s="47"/>
      <x:c r="CH718" s="60"/>
      <x:c r="CI718" s="58"/>
      <x:c r="CJ718" s="47"/>
      <x:c r="CK718" s="60"/>
      <x:c r="CL718" s="58"/>
      <x:c r="CM718" s="47"/>
      <x:c r="CN718" s="60"/>
      <x:c r="CO718" s="58"/>
      <x:c r="CP718" s="47"/>
      <x:c r="CQ718" s="60"/>
      <x:c r="CR718" s="58"/>
      <x:c r="CS718" s="47"/>
      <x:c r="CT718" s="60"/>
      <x:c r="CU718" s="58"/>
      <x:c r="CV718" s="47"/>
      <x:c r="CW718" s="60"/>
      <x:c r="CX718" s="58"/>
      <x:c r="CY718" s="47"/>
      <x:c r="CZ718" s="60"/>
      <x:c r="DA718" s="58"/>
      <x:c r="DB718" s="47"/>
      <x:c r="DC718" s="60"/>
      <x:c r="DD718" s="58"/>
      <x:c r="DE718" s="47"/>
      <x:c r="DF718" s="60"/>
      <x:c r="DG718" s="58"/>
      <x:c r="DH718" s="47"/>
      <x:c r="DI718" s="60"/>
      <x:c r="DJ718" s="58"/>
      <x:c r="DK718" s="47"/>
      <x:c r="DL718" s="60"/>
      <x:c r="DM718" s="58"/>
      <x:c r="DN718" s="11"/>
      <x:c r="DO718" s="61"/>
      <x:c r="DP718" s="62"/>
      <x:c r="DQ718" s="11"/>
      <x:c r="DR718" s="61"/>
      <x:c r="DS718" s="62"/>
      <x:c r="DT718" s="11"/>
      <x:c r="DU718" s="61"/>
      <x:c r="DV718" s="62"/>
    </x:row>
    <x:row r="719" spans="1:126" x14ac:dyDescent="0.3">
      <x:c r="A719" s="47"/>
      <x:c r="B719" s="70"/>
      <x:c r="C719" s="70"/>
      <x:c r="D719" s="70"/>
      <x:c r="E719" s="70"/>
      <x:c r="F719" s="70"/>
      <x:c r="G719" s="70"/>
      <x:c r="H719" s="70"/>
      <x:c r="I719" s="70"/>
      <x:c r="J719" s="70"/>
      <x:c r="K719" s="190"/>
      <x:c r="L719" s="195"/>
      <x:c r="M719" s="192"/>
      <x:c r="N719" s="192"/>
      <x:c r="O719" s="69"/>
      <x:c r="P719" s="47"/>
      <x:c r="Q719" s="60"/>
      <x:c r="R719" s="58"/>
      <x:c r="S719" s="47"/>
      <x:c r="T719" s="60"/>
      <x:c r="U719" s="58"/>
      <x:c r="V719" s="47"/>
      <x:c r="W719" s="60"/>
      <x:c r="X719" s="58"/>
      <x:c r="Y719" s="47"/>
      <x:c r="Z719" s="60"/>
      <x:c r="AA719" s="58"/>
      <x:c r="AB719" s="47"/>
      <x:c r="AC719" s="60"/>
      <x:c r="AD719" s="58"/>
      <x:c r="AE719" s="47"/>
      <x:c r="AF719" s="60"/>
      <x:c r="AG719" s="58"/>
      <x:c r="AH719" s="47"/>
      <x:c r="AI719" s="60"/>
      <x:c r="AJ719" s="58"/>
      <x:c r="AK719" s="47"/>
      <x:c r="AL719" s="60"/>
      <x:c r="AM719" s="58"/>
      <x:c r="AN719" s="47"/>
      <x:c r="AO719" s="60"/>
      <x:c r="AP719" s="58"/>
      <x:c r="AQ719" s="47"/>
      <x:c r="AR719" s="60"/>
      <x:c r="AS719" s="58"/>
      <x:c r="AT719" s="47"/>
      <x:c r="AU719" s="60"/>
      <x:c r="AV719" s="58"/>
      <x:c r="AW719" s="47"/>
      <x:c r="AX719" s="60"/>
      <x:c r="AY719" s="58"/>
      <x:c r="AZ719" s="47"/>
      <x:c r="BA719" s="60"/>
      <x:c r="BB719" s="58"/>
      <x:c r="BC719" s="47"/>
      <x:c r="BD719" s="60"/>
      <x:c r="BE719" s="58"/>
      <x:c r="BF719" s="47"/>
      <x:c r="BG719" s="60"/>
      <x:c r="BH719" s="58"/>
      <x:c r="BI719" s="47"/>
      <x:c r="BJ719" s="60"/>
      <x:c r="BK719" s="58"/>
      <x:c r="BL719" s="47"/>
      <x:c r="BM719" s="60"/>
      <x:c r="BN719" s="58"/>
      <x:c r="BO719" s="47"/>
      <x:c r="BP719" s="60"/>
      <x:c r="BQ719" s="58"/>
      <x:c r="BR719" s="47"/>
      <x:c r="BS719" s="60"/>
      <x:c r="BT719" s="58"/>
      <x:c r="BU719" s="47"/>
      <x:c r="BV719" s="60"/>
      <x:c r="BW719" s="58"/>
      <x:c r="BX719" s="47"/>
      <x:c r="BY719" s="60"/>
      <x:c r="BZ719" s="58"/>
      <x:c r="CA719" s="47"/>
      <x:c r="CB719" s="60"/>
      <x:c r="CC719" s="58"/>
      <x:c r="CD719" s="47"/>
      <x:c r="CE719" s="60"/>
      <x:c r="CF719" s="58"/>
      <x:c r="CG719" s="47"/>
      <x:c r="CH719" s="60"/>
      <x:c r="CI719" s="58"/>
      <x:c r="CJ719" s="47"/>
      <x:c r="CK719" s="60"/>
      <x:c r="CL719" s="58"/>
      <x:c r="CM719" s="47"/>
      <x:c r="CN719" s="60"/>
      <x:c r="CO719" s="58"/>
      <x:c r="CP719" s="47"/>
      <x:c r="CQ719" s="60"/>
      <x:c r="CR719" s="58"/>
      <x:c r="CS719" s="47"/>
      <x:c r="CT719" s="60"/>
      <x:c r="CU719" s="58"/>
      <x:c r="CV719" s="47"/>
      <x:c r="CW719" s="60"/>
      <x:c r="CX719" s="58"/>
      <x:c r="CY719" s="47"/>
      <x:c r="CZ719" s="60"/>
      <x:c r="DA719" s="58"/>
      <x:c r="DB719" s="47"/>
      <x:c r="DC719" s="60"/>
      <x:c r="DD719" s="58"/>
      <x:c r="DE719" s="47"/>
      <x:c r="DF719" s="60"/>
      <x:c r="DG719" s="58"/>
      <x:c r="DH719" s="47"/>
      <x:c r="DI719" s="60"/>
      <x:c r="DJ719" s="58"/>
      <x:c r="DK719" s="47"/>
      <x:c r="DL719" s="60"/>
      <x:c r="DM719" s="58"/>
      <x:c r="DN719" s="11"/>
      <x:c r="DO719" s="61"/>
      <x:c r="DP719" s="62"/>
      <x:c r="DQ719" s="11"/>
      <x:c r="DR719" s="61"/>
      <x:c r="DS719" s="62"/>
      <x:c r="DT719" s="11"/>
      <x:c r="DU719" s="61"/>
      <x:c r="DV719" s="62"/>
    </x:row>
    <x:row r="720" spans="1:126" x14ac:dyDescent="0.3">
      <x:c r="A720" s="47"/>
      <x:c r="B720" s="70"/>
      <x:c r="C720" s="70"/>
      <x:c r="D720" s="70"/>
      <x:c r="E720" s="70"/>
      <x:c r="F720" s="70"/>
      <x:c r="G720" s="70"/>
      <x:c r="H720" s="70"/>
      <x:c r="I720" s="70"/>
      <x:c r="J720" s="70"/>
      <x:c r="K720" s="190"/>
      <x:c r="L720" s="195"/>
      <x:c r="M720" s="192"/>
      <x:c r="N720" s="192"/>
      <x:c r="O720" s="69"/>
      <x:c r="P720" s="47"/>
      <x:c r="Q720" s="60"/>
      <x:c r="R720" s="58"/>
      <x:c r="S720" s="47"/>
      <x:c r="T720" s="60"/>
      <x:c r="U720" s="58"/>
      <x:c r="V720" s="47"/>
      <x:c r="W720" s="60"/>
      <x:c r="X720" s="58"/>
      <x:c r="Y720" s="47"/>
      <x:c r="Z720" s="60"/>
      <x:c r="AA720" s="58"/>
      <x:c r="AB720" s="47"/>
      <x:c r="AC720" s="60"/>
      <x:c r="AD720" s="58"/>
      <x:c r="AE720" s="47"/>
      <x:c r="AF720" s="60"/>
      <x:c r="AG720" s="58"/>
      <x:c r="AH720" s="47"/>
      <x:c r="AI720" s="60"/>
      <x:c r="AJ720" s="58"/>
      <x:c r="AK720" s="47"/>
      <x:c r="AL720" s="60"/>
      <x:c r="AM720" s="58"/>
      <x:c r="AN720" s="47"/>
      <x:c r="AO720" s="60"/>
      <x:c r="AP720" s="58"/>
      <x:c r="AQ720" s="47"/>
      <x:c r="AR720" s="60"/>
      <x:c r="AS720" s="58"/>
      <x:c r="AT720" s="47"/>
      <x:c r="AU720" s="60"/>
      <x:c r="AV720" s="58"/>
      <x:c r="AW720" s="47"/>
      <x:c r="AX720" s="60"/>
      <x:c r="AY720" s="58"/>
      <x:c r="AZ720" s="47"/>
      <x:c r="BA720" s="60"/>
      <x:c r="BB720" s="58"/>
      <x:c r="BC720" s="47"/>
      <x:c r="BD720" s="60"/>
      <x:c r="BE720" s="58"/>
      <x:c r="BF720" s="47"/>
      <x:c r="BG720" s="60"/>
      <x:c r="BH720" s="58"/>
      <x:c r="BI720" s="47"/>
      <x:c r="BJ720" s="60"/>
      <x:c r="BK720" s="58"/>
      <x:c r="BL720" s="47"/>
      <x:c r="BM720" s="60"/>
      <x:c r="BN720" s="58"/>
      <x:c r="BO720" s="47"/>
      <x:c r="BP720" s="60"/>
      <x:c r="BQ720" s="58"/>
      <x:c r="BR720" s="47"/>
      <x:c r="BS720" s="60"/>
      <x:c r="BT720" s="58"/>
      <x:c r="BU720" s="47"/>
      <x:c r="BV720" s="60"/>
      <x:c r="BW720" s="58"/>
      <x:c r="BX720" s="47"/>
      <x:c r="BY720" s="60"/>
      <x:c r="BZ720" s="58"/>
      <x:c r="CA720" s="47"/>
      <x:c r="CB720" s="60"/>
      <x:c r="CC720" s="58"/>
      <x:c r="CD720" s="47"/>
      <x:c r="CE720" s="60"/>
      <x:c r="CF720" s="58"/>
      <x:c r="CG720" s="47"/>
      <x:c r="CH720" s="60"/>
      <x:c r="CI720" s="58"/>
      <x:c r="CJ720" s="47"/>
      <x:c r="CK720" s="60"/>
      <x:c r="CL720" s="58"/>
      <x:c r="CM720" s="47"/>
      <x:c r="CN720" s="60"/>
      <x:c r="CO720" s="58"/>
      <x:c r="CP720" s="47"/>
      <x:c r="CQ720" s="60"/>
      <x:c r="CR720" s="58"/>
      <x:c r="CS720" s="47"/>
      <x:c r="CT720" s="60"/>
      <x:c r="CU720" s="58"/>
      <x:c r="CV720" s="47"/>
      <x:c r="CW720" s="60"/>
      <x:c r="CX720" s="58"/>
      <x:c r="CY720" s="47"/>
      <x:c r="CZ720" s="60"/>
      <x:c r="DA720" s="58"/>
      <x:c r="DB720" s="47"/>
      <x:c r="DC720" s="60"/>
      <x:c r="DD720" s="58"/>
      <x:c r="DE720" s="47"/>
      <x:c r="DF720" s="60"/>
      <x:c r="DG720" s="58"/>
      <x:c r="DH720" s="47"/>
      <x:c r="DI720" s="60"/>
      <x:c r="DJ720" s="58"/>
      <x:c r="DK720" s="47"/>
      <x:c r="DL720" s="60"/>
      <x:c r="DM720" s="58"/>
      <x:c r="DN720" s="11"/>
      <x:c r="DO720" s="61"/>
      <x:c r="DP720" s="62"/>
      <x:c r="DQ720" s="11"/>
      <x:c r="DR720" s="61"/>
      <x:c r="DS720" s="62"/>
      <x:c r="DT720" s="11"/>
      <x:c r="DU720" s="61"/>
      <x:c r="DV720" s="62"/>
    </x:row>
    <x:row r="721" spans="1:126" x14ac:dyDescent="0.3">
      <x:c r="A721" s="47"/>
      <x:c r="B721" s="70"/>
      <x:c r="C721" s="70"/>
      <x:c r="D721" s="70"/>
      <x:c r="E721" s="70"/>
      <x:c r="F721" s="70"/>
      <x:c r="G721" s="70"/>
      <x:c r="H721" s="70"/>
      <x:c r="I721" s="70"/>
      <x:c r="J721" s="70"/>
      <x:c r="K721" s="190"/>
      <x:c r="L721" s="195"/>
      <x:c r="M721" s="192"/>
      <x:c r="N721" s="192"/>
      <x:c r="O721" s="69"/>
      <x:c r="P721" s="47"/>
      <x:c r="Q721" s="60"/>
      <x:c r="R721" s="58"/>
      <x:c r="S721" s="47"/>
      <x:c r="T721" s="60"/>
      <x:c r="U721" s="58"/>
      <x:c r="V721" s="47"/>
      <x:c r="W721" s="60"/>
      <x:c r="X721" s="58"/>
      <x:c r="Y721" s="47"/>
      <x:c r="Z721" s="60"/>
      <x:c r="AA721" s="58"/>
      <x:c r="AB721" s="47"/>
      <x:c r="AC721" s="60"/>
      <x:c r="AD721" s="58"/>
      <x:c r="AE721" s="47"/>
      <x:c r="AF721" s="60"/>
      <x:c r="AG721" s="58"/>
      <x:c r="AH721" s="47"/>
      <x:c r="AI721" s="60"/>
      <x:c r="AJ721" s="58"/>
      <x:c r="AK721" s="47"/>
      <x:c r="AL721" s="60"/>
      <x:c r="AM721" s="58"/>
      <x:c r="AN721" s="47"/>
      <x:c r="AO721" s="60"/>
      <x:c r="AP721" s="58"/>
      <x:c r="AQ721" s="47"/>
      <x:c r="AR721" s="60"/>
      <x:c r="AS721" s="58"/>
      <x:c r="AT721" s="47"/>
      <x:c r="AU721" s="60"/>
      <x:c r="AV721" s="58"/>
      <x:c r="AW721" s="47"/>
      <x:c r="AX721" s="60"/>
      <x:c r="AY721" s="58"/>
      <x:c r="AZ721" s="47"/>
      <x:c r="BA721" s="60"/>
      <x:c r="BB721" s="58"/>
      <x:c r="BC721" s="47"/>
      <x:c r="BD721" s="60"/>
      <x:c r="BE721" s="58"/>
      <x:c r="BF721" s="47"/>
      <x:c r="BG721" s="60"/>
      <x:c r="BH721" s="58"/>
      <x:c r="BI721" s="47"/>
      <x:c r="BJ721" s="60"/>
      <x:c r="BK721" s="58"/>
      <x:c r="BL721" s="47"/>
      <x:c r="BM721" s="60"/>
      <x:c r="BN721" s="58"/>
      <x:c r="BO721" s="47"/>
      <x:c r="BP721" s="60"/>
      <x:c r="BQ721" s="58"/>
      <x:c r="BR721" s="47"/>
      <x:c r="BS721" s="60"/>
      <x:c r="BT721" s="58"/>
      <x:c r="BU721" s="47"/>
      <x:c r="BV721" s="60"/>
      <x:c r="BW721" s="58"/>
      <x:c r="BX721" s="47"/>
      <x:c r="BY721" s="60"/>
      <x:c r="BZ721" s="58"/>
      <x:c r="CA721" s="47"/>
      <x:c r="CB721" s="60"/>
      <x:c r="CC721" s="58"/>
      <x:c r="CD721" s="47"/>
      <x:c r="CE721" s="60"/>
      <x:c r="CF721" s="58"/>
      <x:c r="CG721" s="47"/>
      <x:c r="CH721" s="60"/>
      <x:c r="CI721" s="58"/>
      <x:c r="CJ721" s="47"/>
      <x:c r="CK721" s="60"/>
      <x:c r="CL721" s="58"/>
      <x:c r="CM721" s="47"/>
      <x:c r="CN721" s="60"/>
      <x:c r="CO721" s="58"/>
      <x:c r="CP721" s="47"/>
      <x:c r="CQ721" s="60"/>
      <x:c r="CR721" s="58"/>
      <x:c r="CS721" s="47"/>
      <x:c r="CT721" s="60"/>
      <x:c r="CU721" s="58"/>
      <x:c r="CV721" s="47"/>
      <x:c r="CW721" s="60"/>
      <x:c r="CX721" s="58"/>
      <x:c r="CY721" s="47"/>
      <x:c r="CZ721" s="60"/>
      <x:c r="DA721" s="58"/>
      <x:c r="DB721" s="47"/>
      <x:c r="DC721" s="60"/>
      <x:c r="DD721" s="58"/>
      <x:c r="DE721" s="47"/>
      <x:c r="DF721" s="60"/>
      <x:c r="DG721" s="58"/>
      <x:c r="DH721" s="47"/>
      <x:c r="DI721" s="60"/>
      <x:c r="DJ721" s="58"/>
      <x:c r="DK721" s="47"/>
      <x:c r="DL721" s="60"/>
      <x:c r="DM721" s="58"/>
      <x:c r="DN721" s="11"/>
      <x:c r="DO721" s="61"/>
      <x:c r="DP721" s="62"/>
      <x:c r="DQ721" s="11"/>
      <x:c r="DR721" s="61"/>
      <x:c r="DS721" s="62"/>
      <x:c r="DT721" s="11"/>
      <x:c r="DU721" s="61"/>
      <x:c r="DV721" s="62"/>
    </x:row>
    <x:row r="722" spans="1:126" x14ac:dyDescent="0.3">
      <x:c r="A722" s="47"/>
      <x:c r="B722" s="70"/>
      <x:c r="C722" s="70"/>
      <x:c r="D722" s="70"/>
      <x:c r="E722" s="70"/>
      <x:c r="F722" s="70"/>
      <x:c r="G722" s="70"/>
      <x:c r="H722" s="70"/>
      <x:c r="I722" s="70"/>
      <x:c r="J722" s="70"/>
      <x:c r="K722" s="190"/>
      <x:c r="L722" s="195"/>
      <x:c r="M722" s="192"/>
      <x:c r="N722" s="192"/>
      <x:c r="O722" s="69"/>
      <x:c r="P722" s="47"/>
      <x:c r="Q722" s="60"/>
      <x:c r="R722" s="58"/>
      <x:c r="S722" s="47"/>
      <x:c r="T722" s="60"/>
      <x:c r="U722" s="58"/>
      <x:c r="V722" s="47"/>
      <x:c r="W722" s="60"/>
      <x:c r="X722" s="58"/>
      <x:c r="Y722" s="47"/>
      <x:c r="Z722" s="60"/>
      <x:c r="AA722" s="58"/>
      <x:c r="AB722" s="47"/>
      <x:c r="AC722" s="60"/>
      <x:c r="AD722" s="58"/>
      <x:c r="AE722" s="47"/>
      <x:c r="AF722" s="60"/>
      <x:c r="AG722" s="58"/>
      <x:c r="AH722" s="47"/>
      <x:c r="AI722" s="60"/>
      <x:c r="AJ722" s="58"/>
      <x:c r="AK722" s="47"/>
      <x:c r="AL722" s="60"/>
      <x:c r="AM722" s="58"/>
      <x:c r="AN722" s="47"/>
      <x:c r="AO722" s="60"/>
      <x:c r="AP722" s="58"/>
      <x:c r="AQ722" s="47"/>
      <x:c r="AR722" s="60"/>
      <x:c r="AS722" s="58"/>
      <x:c r="AT722" s="47"/>
      <x:c r="AU722" s="60"/>
      <x:c r="AV722" s="58"/>
      <x:c r="AW722" s="47"/>
      <x:c r="AX722" s="60"/>
      <x:c r="AY722" s="58"/>
      <x:c r="AZ722" s="47"/>
      <x:c r="BA722" s="60"/>
      <x:c r="BB722" s="58"/>
      <x:c r="BC722" s="47"/>
      <x:c r="BD722" s="60"/>
      <x:c r="BE722" s="58"/>
      <x:c r="BF722" s="47"/>
      <x:c r="BG722" s="60"/>
      <x:c r="BH722" s="58"/>
      <x:c r="BI722" s="47"/>
      <x:c r="BJ722" s="60"/>
      <x:c r="BK722" s="58"/>
      <x:c r="BL722" s="47"/>
      <x:c r="BM722" s="60"/>
      <x:c r="BN722" s="58"/>
      <x:c r="BO722" s="47"/>
      <x:c r="BP722" s="60"/>
      <x:c r="BQ722" s="58"/>
      <x:c r="BR722" s="47"/>
      <x:c r="BS722" s="60"/>
      <x:c r="BT722" s="58"/>
      <x:c r="BU722" s="47"/>
      <x:c r="BV722" s="60"/>
      <x:c r="BW722" s="58"/>
      <x:c r="BX722" s="47"/>
      <x:c r="BY722" s="60"/>
      <x:c r="BZ722" s="58"/>
      <x:c r="CA722" s="47"/>
      <x:c r="CB722" s="60"/>
      <x:c r="CC722" s="58"/>
      <x:c r="CD722" s="47"/>
      <x:c r="CE722" s="60"/>
      <x:c r="CF722" s="58"/>
      <x:c r="CG722" s="47"/>
      <x:c r="CH722" s="60"/>
      <x:c r="CI722" s="58"/>
      <x:c r="CJ722" s="47"/>
      <x:c r="CK722" s="60"/>
      <x:c r="CL722" s="58"/>
      <x:c r="CM722" s="47"/>
      <x:c r="CN722" s="60"/>
      <x:c r="CO722" s="58"/>
      <x:c r="CP722" s="47"/>
      <x:c r="CQ722" s="60"/>
      <x:c r="CR722" s="58"/>
      <x:c r="CS722" s="47"/>
      <x:c r="CT722" s="60"/>
      <x:c r="CU722" s="58"/>
      <x:c r="CV722" s="47"/>
      <x:c r="CW722" s="60"/>
      <x:c r="CX722" s="58"/>
      <x:c r="CY722" s="47"/>
      <x:c r="CZ722" s="60"/>
      <x:c r="DA722" s="58"/>
      <x:c r="DB722" s="47"/>
      <x:c r="DC722" s="60"/>
      <x:c r="DD722" s="58"/>
      <x:c r="DE722" s="47"/>
      <x:c r="DF722" s="60"/>
      <x:c r="DG722" s="58"/>
      <x:c r="DH722" s="47"/>
      <x:c r="DI722" s="60"/>
      <x:c r="DJ722" s="58"/>
      <x:c r="DK722" s="47"/>
      <x:c r="DL722" s="60"/>
      <x:c r="DM722" s="58"/>
      <x:c r="DN722" s="11"/>
      <x:c r="DO722" s="61"/>
      <x:c r="DP722" s="62"/>
      <x:c r="DQ722" s="11"/>
      <x:c r="DR722" s="61"/>
      <x:c r="DS722" s="62"/>
      <x:c r="DT722" s="11"/>
      <x:c r="DU722" s="61"/>
      <x:c r="DV722" s="62"/>
    </x:row>
    <x:row r="723" spans="1:126" x14ac:dyDescent="0.3">
      <x:c r="A723" s="47"/>
      <x:c r="B723" s="70"/>
      <x:c r="C723" s="70"/>
      <x:c r="D723" s="70"/>
      <x:c r="E723" s="70"/>
      <x:c r="F723" s="70"/>
      <x:c r="G723" s="70"/>
      <x:c r="H723" s="70"/>
      <x:c r="I723" s="70"/>
      <x:c r="J723" s="70"/>
      <x:c r="K723" s="190"/>
      <x:c r="L723" s="195"/>
      <x:c r="M723" s="192"/>
      <x:c r="N723" s="192"/>
      <x:c r="O723" s="69"/>
      <x:c r="P723" s="47"/>
      <x:c r="Q723" s="60"/>
      <x:c r="R723" s="58"/>
      <x:c r="S723" s="47"/>
      <x:c r="T723" s="60"/>
      <x:c r="U723" s="58"/>
      <x:c r="V723" s="47"/>
      <x:c r="W723" s="60"/>
      <x:c r="X723" s="58"/>
      <x:c r="Y723" s="47"/>
      <x:c r="Z723" s="60"/>
      <x:c r="AA723" s="58"/>
      <x:c r="AB723" s="47"/>
      <x:c r="AC723" s="60"/>
      <x:c r="AD723" s="58"/>
      <x:c r="AE723" s="47"/>
      <x:c r="AF723" s="60"/>
      <x:c r="AG723" s="58"/>
      <x:c r="AH723" s="47"/>
      <x:c r="AI723" s="60"/>
      <x:c r="AJ723" s="58"/>
      <x:c r="AK723" s="47"/>
      <x:c r="AL723" s="60"/>
      <x:c r="AM723" s="58"/>
      <x:c r="AN723" s="47"/>
      <x:c r="AO723" s="60"/>
      <x:c r="AP723" s="58"/>
      <x:c r="AQ723" s="47"/>
      <x:c r="AR723" s="60"/>
      <x:c r="AS723" s="58"/>
      <x:c r="AT723" s="47"/>
      <x:c r="AU723" s="60"/>
      <x:c r="AV723" s="58"/>
      <x:c r="AW723" s="47"/>
      <x:c r="AX723" s="60"/>
      <x:c r="AY723" s="58"/>
      <x:c r="AZ723" s="47"/>
      <x:c r="BA723" s="60"/>
      <x:c r="BB723" s="58"/>
      <x:c r="BC723" s="47"/>
      <x:c r="BD723" s="60"/>
      <x:c r="BE723" s="58"/>
      <x:c r="BF723" s="47"/>
      <x:c r="BG723" s="60"/>
      <x:c r="BH723" s="58"/>
      <x:c r="BI723" s="47"/>
      <x:c r="BJ723" s="60"/>
      <x:c r="BK723" s="58"/>
      <x:c r="BL723" s="47"/>
      <x:c r="BM723" s="60"/>
      <x:c r="BN723" s="58"/>
      <x:c r="BO723" s="47"/>
      <x:c r="BP723" s="60"/>
      <x:c r="BQ723" s="58"/>
      <x:c r="BR723" s="47"/>
      <x:c r="BS723" s="60"/>
      <x:c r="BT723" s="58"/>
      <x:c r="BU723" s="47"/>
      <x:c r="BV723" s="60"/>
      <x:c r="BW723" s="58"/>
      <x:c r="BX723" s="47"/>
      <x:c r="BY723" s="60"/>
      <x:c r="BZ723" s="58"/>
      <x:c r="CA723" s="47"/>
      <x:c r="CB723" s="60"/>
      <x:c r="CC723" s="58"/>
      <x:c r="CD723" s="47"/>
      <x:c r="CE723" s="60"/>
      <x:c r="CF723" s="58"/>
      <x:c r="CG723" s="47"/>
      <x:c r="CH723" s="60"/>
      <x:c r="CI723" s="58"/>
      <x:c r="CJ723" s="47"/>
      <x:c r="CK723" s="60"/>
      <x:c r="CL723" s="58"/>
      <x:c r="CM723" s="47"/>
      <x:c r="CN723" s="60"/>
      <x:c r="CO723" s="58"/>
      <x:c r="CP723" s="47"/>
      <x:c r="CQ723" s="60"/>
      <x:c r="CR723" s="58"/>
      <x:c r="CS723" s="47"/>
      <x:c r="CT723" s="60"/>
      <x:c r="CU723" s="58"/>
      <x:c r="CV723" s="47"/>
      <x:c r="CW723" s="60"/>
      <x:c r="CX723" s="58"/>
      <x:c r="CY723" s="47"/>
      <x:c r="CZ723" s="60"/>
      <x:c r="DA723" s="58"/>
      <x:c r="DB723" s="47"/>
      <x:c r="DC723" s="60"/>
      <x:c r="DD723" s="58"/>
      <x:c r="DE723" s="47"/>
      <x:c r="DF723" s="60"/>
      <x:c r="DG723" s="58"/>
      <x:c r="DH723" s="47"/>
      <x:c r="DI723" s="60"/>
      <x:c r="DJ723" s="58"/>
      <x:c r="DK723" s="47"/>
      <x:c r="DL723" s="60"/>
      <x:c r="DM723" s="58"/>
      <x:c r="DN723" s="11"/>
      <x:c r="DO723" s="61"/>
      <x:c r="DP723" s="62"/>
      <x:c r="DQ723" s="11"/>
      <x:c r="DR723" s="61"/>
      <x:c r="DS723" s="62"/>
      <x:c r="DT723" s="11"/>
      <x:c r="DU723" s="61"/>
      <x:c r="DV723" s="62"/>
    </x:row>
    <x:row r="724" spans="1:126" x14ac:dyDescent="0.3">
      <x:c r="A724" s="47"/>
      <x:c r="B724" s="70"/>
      <x:c r="C724" s="70"/>
      <x:c r="D724" s="70"/>
      <x:c r="E724" s="70"/>
      <x:c r="F724" s="70"/>
      <x:c r="G724" s="70"/>
      <x:c r="H724" s="70"/>
      <x:c r="I724" s="70"/>
      <x:c r="J724" s="70"/>
      <x:c r="K724" s="190"/>
      <x:c r="L724" s="195"/>
      <x:c r="M724" s="192"/>
      <x:c r="N724" s="192"/>
      <x:c r="O724" s="69"/>
      <x:c r="P724" s="47"/>
      <x:c r="Q724" s="60"/>
      <x:c r="R724" s="58"/>
      <x:c r="S724" s="47"/>
      <x:c r="T724" s="60"/>
      <x:c r="U724" s="58"/>
      <x:c r="V724" s="47"/>
      <x:c r="W724" s="60"/>
      <x:c r="X724" s="58"/>
      <x:c r="Y724" s="47"/>
      <x:c r="Z724" s="60"/>
      <x:c r="AA724" s="58"/>
      <x:c r="AB724" s="47"/>
      <x:c r="AC724" s="60"/>
      <x:c r="AD724" s="58"/>
      <x:c r="AE724" s="47"/>
      <x:c r="AF724" s="60"/>
      <x:c r="AG724" s="58"/>
      <x:c r="AH724" s="47"/>
      <x:c r="AI724" s="60"/>
      <x:c r="AJ724" s="58"/>
      <x:c r="AK724" s="47"/>
      <x:c r="AL724" s="60"/>
      <x:c r="AM724" s="58"/>
      <x:c r="AN724" s="47"/>
      <x:c r="AO724" s="60"/>
      <x:c r="AP724" s="58"/>
      <x:c r="AQ724" s="47"/>
      <x:c r="AR724" s="60"/>
      <x:c r="AS724" s="58"/>
      <x:c r="AT724" s="47"/>
      <x:c r="AU724" s="60"/>
      <x:c r="AV724" s="58"/>
      <x:c r="AW724" s="47"/>
      <x:c r="AX724" s="60"/>
      <x:c r="AY724" s="58"/>
      <x:c r="AZ724" s="47"/>
      <x:c r="BA724" s="60"/>
      <x:c r="BB724" s="58"/>
      <x:c r="BC724" s="47"/>
      <x:c r="BD724" s="60"/>
      <x:c r="BE724" s="58"/>
      <x:c r="BF724" s="47"/>
      <x:c r="BG724" s="60"/>
      <x:c r="BH724" s="58"/>
      <x:c r="BI724" s="47"/>
      <x:c r="BJ724" s="60"/>
      <x:c r="BK724" s="58"/>
      <x:c r="BL724" s="47"/>
      <x:c r="BM724" s="60"/>
      <x:c r="BN724" s="58"/>
      <x:c r="BO724" s="47"/>
      <x:c r="BP724" s="60"/>
      <x:c r="BQ724" s="58"/>
      <x:c r="BR724" s="47"/>
      <x:c r="BS724" s="60"/>
      <x:c r="BT724" s="58"/>
      <x:c r="BU724" s="47"/>
      <x:c r="BV724" s="60"/>
      <x:c r="BW724" s="58"/>
      <x:c r="BX724" s="47"/>
      <x:c r="BY724" s="60"/>
      <x:c r="BZ724" s="58"/>
      <x:c r="CA724" s="47"/>
      <x:c r="CB724" s="60"/>
      <x:c r="CC724" s="58"/>
      <x:c r="CD724" s="47"/>
      <x:c r="CE724" s="60"/>
      <x:c r="CF724" s="58"/>
      <x:c r="CG724" s="47"/>
      <x:c r="CH724" s="60"/>
      <x:c r="CI724" s="58"/>
      <x:c r="CJ724" s="47"/>
      <x:c r="CK724" s="60"/>
      <x:c r="CL724" s="58"/>
      <x:c r="CM724" s="47"/>
      <x:c r="CN724" s="60"/>
      <x:c r="CO724" s="58"/>
      <x:c r="CP724" s="47"/>
      <x:c r="CQ724" s="60"/>
      <x:c r="CR724" s="58"/>
      <x:c r="CS724" s="47"/>
      <x:c r="CT724" s="60"/>
      <x:c r="CU724" s="58"/>
      <x:c r="CV724" s="47"/>
      <x:c r="CW724" s="60"/>
      <x:c r="CX724" s="58"/>
      <x:c r="CY724" s="47"/>
      <x:c r="CZ724" s="60"/>
      <x:c r="DA724" s="58"/>
      <x:c r="DB724" s="47"/>
      <x:c r="DC724" s="60"/>
      <x:c r="DD724" s="58"/>
      <x:c r="DE724" s="47"/>
      <x:c r="DF724" s="60"/>
      <x:c r="DG724" s="58"/>
      <x:c r="DH724" s="47"/>
      <x:c r="DI724" s="60"/>
      <x:c r="DJ724" s="58"/>
      <x:c r="DK724" s="47"/>
      <x:c r="DL724" s="60"/>
      <x:c r="DM724" s="58"/>
      <x:c r="DN724" s="11"/>
      <x:c r="DO724" s="61"/>
      <x:c r="DP724" s="62"/>
      <x:c r="DQ724" s="11"/>
      <x:c r="DR724" s="61"/>
      <x:c r="DS724" s="62"/>
      <x:c r="DT724" s="11"/>
      <x:c r="DU724" s="61"/>
      <x:c r="DV724" s="62"/>
    </x:row>
    <x:row r="725" spans="1:126" x14ac:dyDescent="0.3">
      <x:c r="A725" s="47"/>
      <x:c r="B725" s="70"/>
      <x:c r="C725" s="70"/>
      <x:c r="D725" s="70"/>
      <x:c r="E725" s="70"/>
      <x:c r="F725" s="70"/>
      <x:c r="G725" s="70"/>
      <x:c r="H725" s="70"/>
      <x:c r="I725" s="70"/>
      <x:c r="J725" s="70"/>
      <x:c r="K725" s="190"/>
      <x:c r="L725" s="195"/>
      <x:c r="M725" s="192"/>
      <x:c r="N725" s="192"/>
      <x:c r="O725" s="69"/>
      <x:c r="P725" s="47"/>
      <x:c r="Q725" s="60"/>
      <x:c r="R725" s="58"/>
      <x:c r="S725" s="47"/>
      <x:c r="T725" s="60"/>
      <x:c r="U725" s="58"/>
      <x:c r="V725" s="47"/>
      <x:c r="W725" s="60"/>
      <x:c r="X725" s="58"/>
      <x:c r="Y725" s="47"/>
      <x:c r="Z725" s="60"/>
      <x:c r="AA725" s="58"/>
      <x:c r="AB725" s="47"/>
      <x:c r="AC725" s="60"/>
      <x:c r="AD725" s="58"/>
      <x:c r="AE725" s="47"/>
      <x:c r="AF725" s="60"/>
      <x:c r="AG725" s="58"/>
      <x:c r="AH725" s="47"/>
      <x:c r="AI725" s="60"/>
      <x:c r="AJ725" s="58"/>
      <x:c r="AK725" s="47"/>
      <x:c r="AL725" s="60"/>
      <x:c r="AM725" s="58"/>
      <x:c r="AN725" s="47"/>
      <x:c r="AO725" s="60"/>
      <x:c r="AP725" s="58"/>
      <x:c r="AQ725" s="47"/>
      <x:c r="AR725" s="60"/>
      <x:c r="AS725" s="58"/>
      <x:c r="AT725" s="47"/>
      <x:c r="AU725" s="60"/>
      <x:c r="AV725" s="58"/>
      <x:c r="AW725" s="47"/>
      <x:c r="AX725" s="60"/>
      <x:c r="AY725" s="58"/>
      <x:c r="AZ725" s="47"/>
      <x:c r="BA725" s="60"/>
      <x:c r="BB725" s="58"/>
      <x:c r="BC725" s="47"/>
      <x:c r="BD725" s="60"/>
      <x:c r="BE725" s="58"/>
      <x:c r="BF725" s="47"/>
      <x:c r="BG725" s="60"/>
      <x:c r="BH725" s="58"/>
      <x:c r="BI725" s="47"/>
      <x:c r="BJ725" s="60"/>
      <x:c r="BK725" s="58"/>
      <x:c r="BL725" s="47"/>
      <x:c r="BM725" s="60"/>
      <x:c r="BN725" s="58"/>
      <x:c r="BO725" s="47"/>
      <x:c r="BP725" s="60"/>
      <x:c r="BQ725" s="58"/>
      <x:c r="BR725" s="47"/>
      <x:c r="BS725" s="60"/>
      <x:c r="BT725" s="58"/>
      <x:c r="BU725" s="47"/>
      <x:c r="BV725" s="60"/>
      <x:c r="BW725" s="58"/>
      <x:c r="BX725" s="47"/>
      <x:c r="BY725" s="60"/>
      <x:c r="BZ725" s="58"/>
      <x:c r="CA725" s="47"/>
      <x:c r="CB725" s="60"/>
      <x:c r="CC725" s="58"/>
      <x:c r="CD725" s="47"/>
      <x:c r="CE725" s="60"/>
      <x:c r="CF725" s="58"/>
      <x:c r="CG725" s="47"/>
      <x:c r="CH725" s="60"/>
      <x:c r="CI725" s="58"/>
      <x:c r="CJ725" s="47"/>
      <x:c r="CK725" s="60"/>
      <x:c r="CL725" s="58"/>
      <x:c r="CM725" s="47"/>
      <x:c r="CN725" s="60"/>
      <x:c r="CO725" s="58"/>
      <x:c r="CP725" s="47"/>
      <x:c r="CQ725" s="60"/>
      <x:c r="CR725" s="58"/>
      <x:c r="CS725" s="47"/>
      <x:c r="CT725" s="60"/>
      <x:c r="CU725" s="58"/>
      <x:c r="CV725" s="47"/>
      <x:c r="CW725" s="60"/>
      <x:c r="CX725" s="58"/>
      <x:c r="CY725" s="47"/>
      <x:c r="CZ725" s="60"/>
      <x:c r="DA725" s="58"/>
      <x:c r="DB725" s="47"/>
      <x:c r="DC725" s="60"/>
      <x:c r="DD725" s="58"/>
      <x:c r="DE725" s="47"/>
      <x:c r="DF725" s="60"/>
      <x:c r="DG725" s="58"/>
      <x:c r="DH725" s="47"/>
      <x:c r="DI725" s="60"/>
      <x:c r="DJ725" s="58"/>
      <x:c r="DK725" s="47"/>
      <x:c r="DL725" s="60"/>
      <x:c r="DM725" s="58"/>
      <x:c r="DN725" s="11"/>
      <x:c r="DO725" s="61"/>
      <x:c r="DP725" s="62"/>
      <x:c r="DQ725" s="11"/>
      <x:c r="DR725" s="61"/>
      <x:c r="DS725" s="62"/>
      <x:c r="DT725" s="11"/>
      <x:c r="DU725" s="61"/>
      <x:c r="DV725" s="62"/>
    </x:row>
    <x:row r="726" spans="1:126" x14ac:dyDescent="0.3">
      <x:c r="A726" s="47"/>
      <x:c r="B726" s="70"/>
      <x:c r="C726" s="70"/>
      <x:c r="D726" s="70"/>
      <x:c r="E726" s="70"/>
      <x:c r="F726" s="70"/>
      <x:c r="G726" s="70"/>
      <x:c r="H726" s="70"/>
      <x:c r="I726" s="70"/>
      <x:c r="J726" s="70"/>
      <x:c r="K726" s="190"/>
      <x:c r="L726" s="195"/>
      <x:c r="M726" s="192"/>
      <x:c r="N726" s="192"/>
      <x:c r="O726" s="69"/>
      <x:c r="P726" s="47"/>
      <x:c r="Q726" s="60"/>
      <x:c r="R726" s="58"/>
      <x:c r="S726" s="47"/>
      <x:c r="T726" s="60"/>
      <x:c r="U726" s="58"/>
      <x:c r="V726" s="47"/>
      <x:c r="W726" s="60"/>
      <x:c r="X726" s="58"/>
      <x:c r="Y726" s="47"/>
      <x:c r="Z726" s="60"/>
      <x:c r="AA726" s="58"/>
      <x:c r="AB726" s="47"/>
      <x:c r="AC726" s="60"/>
      <x:c r="AD726" s="58"/>
      <x:c r="AE726" s="47"/>
      <x:c r="AF726" s="60"/>
      <x:c r="AG726" s="58"/>
      <x:c r="AH726" s="47"/>
      <x:c r="AI726" s="60"/>
      <x:c r="AJ726" s="58"/>
      <x:c r="AK726" s="47"/>
      <x:c r="AL726" s="60"/>
      <x:c r="AM726" s="58"/>
      <x:c r="AN726" s="47"/>
      <x:c r="AO726" s="60"/>
      <x:c r="AP726" s="58"/>
      <x:c r="AQ726" s="47"/>
      <x:c r="AR726" s="60"/>
      <x:c r="AS726" s="58"/>
      <x:c r="AT726" s="47"/>
      <x:c r="AU726" s="60"/>
      <x:c r="AV726" s="58"/>
      <x:c r="AW726" s="47"/>
      <x:c r="AX726" s="60"/>
      <x:c r="AY726" s="58"/>
      <x:c r="AZ726" s="47"/>
      <x:c r="BA726" s="60"/>
      <x:c r="BB726" s="58"/>
      <x:c r="BC726" s="47"/>
      <x:c r="BD726" s="60"/>
      <x:c r="BE726" s="58"/>
      <x:c r="BF726" s="47"/>
      <x:c r="BG726" s="60"/>
      <x:c r="BH726" s="58"/>
      <x:c r="BI726" s="47"/>
      <x:c r="BJ726" s="60"/>
      <x:c r="BK726" s="58"/>
      <x:c r="BL726" s="47"/>
      <x:c r="BM726" s="60"/>
      <x:c r="BN726" s="58"/>
      <x:c r="BO726" s="47"/>
      <x:c r="BP726" s="60"/>
      <x:c r="BQ726" s="58"/>
      <x:c r="BR726" s="47"/>
      <x:c r="BS726" s="60"/>
      <x:c r="BT726" s="58"/>
      <x:c r="BU726" s="47"/>
      <x:c r="BV726" s="60"/>
      <x:c r="BW726" s="58"/>
      <x:c r="BX726" s="47"/>
      <x:c r="BY726" s="60"/>
      <x:c r="BZ726" s="58"/>
      <x:c r="CA726" s="47"/>
      <x:c r="CB726" s="60"/>
      <x:c r="CC726" s="58"/>
      <x:c r="CD726" s="47"/>
      <x:c r="CE726" s="60"/>
      <x:c r="CF726" s="58"/>
      <x:c r="CG726" s="47"/>
      <x:c r="CH726" s="60"/>
      <x:c r="CI726" s="58"/>
      <x:c r="CJ726" s="47"/>
      <x:c r="CK726" s="60"/>
      <x:c r="CL726" s="58"/>
      <x:c r="CM726" s="47"/>
      <x:c r="CN726" s="60"/>
      <x:c r="CO726" s="58"/>
      <x:c r="CP726" s="47"/>
      <x:c r="CQ726" s="60"/>
      <x:c r="CR726" s="58"/>
      <x:c r="CS726" s="47"/>
      <x:c r="CT726" s="60"/>
      <x:c r="CU726" s="58"/>
      <x:c r="CV726" s="47"/>
      <x:c r="CW726" s="60"/>
      <x:c r="CX726" s="58"/>
      <x:c r="CY726" s="47"/>
      <x:c r="CZ726" s="60"/>
      <x:c r="DA726" s="58"/>
      <x:c r="DB726" s="47"/>
      <x:c r="DC726" s="60"/>
      <x:c r="DD726" s="58"/>
      <x:c r="DE726" s="47"/>
      <x:c r="DF726" s="60"/>
      <x:c r="DG726" s="58"/>
      <x:c r="DH726" s="47"/>
      <x:c r="DI726" s="60"/>
      <x:c r="DJ726" s="58"/>
      <x:c r="DK726" s="47"/>
      <x:c r="DL726" s="60"/>
      <x:c r="DM726" s="58"/>
      <x:c r="DN726" s="11"/>
      <x:c r="DO726" s="61"/>
      <x:c r="DP726" s="62"/>
      <x:c r="DQ726" s="11"/>
      <x:c r="DR726" s="61"/>
      <x:c r="DS726" s="62"/>
      <x:c r="DT726" s="11"/>
      <x:c r="DU726" s="61"/>
      <x:c r="DV726" s="62"/>
    </x:row>
    <x:row r="727" spans="1:126" x14ac:dyDescent="0.3">
      <x:c r="A727" s="47"/>
      <x:c r="B727" s="70"/>
      <x:c r="C727" s="70"/>
      <x:c r="D727" s="70"/>
      <x:c r="E727" s="70"/>
      <x:c r="F727" s="70"/>
      <x:c r="G727" s="70"/>
      <x:c r="H727" s="70"/>
      <x:c r="I727" s="70"/>
      <x:c r="J727" s="70"/>
      <x:c r="K727" s="190"/>
      <x:c r="L727" s="195"/>
      <x:c r="M727" s="192"/>
      <x:c r="N727" s="192"/>
      <x:c r="O727" s="69"/>
      <x:c r="P727" s="47"/>
      <x:c r="Q727" s="60"/>
      <x:c r="R727" s="58"/>
      <x:c r="S727" s="47"/>
      <x:c r="T727" s="60"/>
      <x:c r="U727" s="58"/>
      <x:c r="V727" s="47"/>
      <x:c r="W727" s="60"/>
      <x:c r="X727" s="58"/>
      <x:c r="Y727" s="47"/>
      <x:c r="Z727" s="60"/>
      <x:c r="AA727" s="58"/>
      <x:c r="AB727" s="47"/>
      <x:c r="AC727" s="60"/>
      <x:c r="AD727" s="58"/>
      <x:c r="AE727" s="47"/>
      <x:c r="AF727" s="60"/>
      <x:c r="AG727" s="58"/>
      <x:c r="AH727" s="47"/>
      <x:c r="AI727" s="60"/>
      <x:c r="AJ727" s="58"/>
      <x:c r="AK727" s="47"/>
      <x:c r="AL727" s="60"/>
      <x:c r="AM727" s="58"/>
      <x:c r="AN727" s="47"/>
      <x:c r="AO727" s="60"/>
      <x:c r="AP727" s="58"/>
      <x:c r="AQ727" s="47"/>
      <x:c r="AR727" s="60"/>
      <x:c r="AS727" s="58"/>
      <x:c r="AT727" s="47"/>
      <x:c r="AU727" s="60"/>
      <x:c r="AV727" s="58"/>
      <x:c r="AW727" s="47"/>
      <x:c r="AX727" s="60"/>
      <x:c r="AY727" s="58"/>
      <x:c r="AZ727" s="47"/>
      <x:c r="BA727" s="60"/>
      <x:c r="BB727" s="58"/>
      <x:c r="BC727" s="47"/>
      <x:c r="BD727" s="60"/>
      <x:c r="BE727" s="58"/>
      <x:c r="BF727" s="47"/>
      <x:c r="BG727" s="60"/>
      <x:c r="BH727" s="58"/>
      <x:c r="BI727" s="47"/>
      <x:c r="BJ727" s="60"/>
      <x:c r="BK727" s="58"/>
      <x:c r="BL727" s="47"/>
      <x:c r="BM727" s="60"/>
      <x:c r="BN727" s="58"/>
      <x:c r="BO727" s="47"/>
      <x:c r="BP727" s="60"/>
      <x:c r="BQ727" s="58"/>
      <x:c r="BR727" s="47"/>
      <x:c r="BS727" s="60"/>
      <x:c r="BT727" s="58"/>
      <x:c r="BU727" s="47"/>
      <x:c r="BV727" s="60"/>
      <x:c r="BW727" s="58"/>
      <x:c r="BX727" s="47"/>
      <x:c r="BY727" s="60"/>
      <x:c r="BZ727" s="58"/>
      <x:c r="CA727" s="47"/>
      <x:c r="CB727" s="60"/>
      <x:c r="CC727" s="58"/>
      <x:c r="CD727" s="47"/>
      <x:c r="CE727" s="60"/>
      <x:c r="CF727" s="58"/>
      <x:c r="CG727" s="47"/>
      <x:c r="CH727" s="60"/>
      <x:c r="CI727" s="58"/>
      <x:c r="CJ727" s="47"/>
      <x:c r="CK727" s="60"/>
      <x:c r="CL727" s="58"/>
      <x:c r="CM727" s="47"/>
      <x:c r="CN727" s="60"/>
      <x:c r="CO727" s="58"/>
      <x:c r="CP727" s="47"/>
      <x:c r="CQ727" s="60"/>
      <x:c r="CR727" s="58"/>
      <x:c r="CS727" s="47"/>
      <x:c r="CT727" s="60"/>
      <x:c r="CU727" s="58"/>
      <x:c r="CV727" s="47"/>
      <x:c r="CW727" s="60"/>
      <x:c r="CX727" s="58"/>
      <x:c r="CY727" s="47"/>
      <x:c r="CZ727" s="60"/>
      <x:c r="DA727" s="58"/>
      <x:c r="DB727" s="47"/>
      <x:c r="DC727" s="60"/>
      <x:c r="DD727" s="58"/>
      <x:c r="DE727" s="47"/>
      <x:c r="DF727" s="60"/>
      <x:c r="DG727" s="58"/>
      <x:c r="DH727" s="47"/>
      <x:c r="DI727" s="60"/>
      <x:c r="DJ727" s="58"/>
      <x:c r="DK727" s="47"/>
      <x:c r="DL727" s="60"/>
      <x:c r="DM727" s="58"/>
      <x:c r="DN727" s="11"/>
      <x:c r="DO727" s="61"/>
      <x:c r="DP727" s="62"/>
      <x:c r="DQ727" s="11"/>
      <x:c r="DR727" s="61"/>
      <x:c r="DS727" s="62"/>
      <x:c r="DT727" s="11"/>
      <x:c r="DU727" s="61"/>
      <x:c r="DV727" s="62"/>
    </x:row>
    <x:row r="728" spans="1:126" x14ac:dyDescent="0.3">
      <x:c r="A728" s="47"/>
      <x:c r="B728" s="70"/>
      <x:c r="C728" s="70"/>
      <x:c r="D728" s="70"/>
      <x:c r="E728" s="70"/>
      <x:c r="F728" s="70"/>
      <x:c r="G728" s="70"/>
      <x:c r="H728" s="70"/>
      <x:c r="I728" s="70"/>
      <x:c r="J728" s="70"/>
      <x:c r="K728" s="190"/>
      <x:c r="L728" s="195"/>
      <x:c r="M728" s="192"/>
      <x:c r="N728" s="192"/>
      <x:c r="O728" s="69"/>
      <x:c r="P728" s="47"/>
      <x:c r="Q728" s="60"/>
      <x:c r="R728" s="58"/>
      <x:c r="S728" s="47"/>
      <x:c r="T728" s="60"/>
      <x:c r="U728" s="58"/>
      <x:c r="V728" s="47"/>
      <x:c r="W728" s="60"/>
      <x:c r="X728" s="58"/>
      <x:c r="Y728" s="47"/>
      <x:c r="Z728" s="60"/>
      <x:c r="AA728" s="58"/>
      <x:c r="AB728" s="47"/>
      <x:c r="AC728" s="60"/>
      <x:c r="AD728" s="58"/>
      <x:c r="AE728" s="47"/>
      <x:c r="AF728" s="60"/>
      <x:c r="AG728" s="58"/>
      <x:c r="AH728" s="47"/>
      <x:c r="AI728" s="60"/>
      <x:c r="AJ728" s="58"/>
      <x:c r="AK728" s="47"/>
      <x:c r="AL728" s="60"/>
      <x:c r="AM728" s="58"/>
      <x:c r="AN728" s="47"/>
      <x:c r="AO728" s="60"/>
      <x:c r="AP728" s="58"/>
      <x:c r="AQ728" s="47"/>
      <x:c r="AR728" s="60"/>
      <x:c r="AS728" s="58"/>
      <x:c r="AT728" s="47"/>
      <x:c r="AU728" s="60"/>
      <x:c r="AV728" s="58"/>
      <x:c r="AW728" s="47"/>
      <x:c r="AX728" s="60"/>
      <x:c r="AY728" s="58"/>
      <x:c r="AZ728" s="47"/>
      <x:c r="BA728" s="60"/>
      <x:c r="BB728" s="58"/>
      <x:c r="BC728" s="47"/>
      <x:c r="BD728" s="60"/>
      <x:c r="BE728" s="58"/>
      <x:c r="BF728" s="47"/>
      <x:c r="BG728" s="60"/>
      <x:c r="BH728" s="58"/>
      <x:c r="BI728" s="47"/>
      <x:c r="BJ728" s="60"/>
      <x:c r="BK728" s="58"/>
      <x:c r="BL728" s="47"/>
      <x:c r="BM728" s="60"/>
      <x:c r="BN728" s="58"/>
      <x:c r="BO728" s="47"/>
      <x:c r="BP728" s="60"/>
      <x:c r="BQ728" s="58"/>
      <x:c r="BR728" s="47"/>
      <x:c r="BS728" s="60"/>
      <x:c r="BT728" s="58"/>
      <x:c r="BU728" s="47"/>
      <x:c r="BV728" s="60"/>
      <x:c r="BW728" s="58"/>
      <x:c r="BX728" s="47"/>
      <x:c r="BY728" s="60"/>
      <x:c r="BZ728" s="58"/>
      <x:c r="CA728" s="47"/>
      <x:c r="CB728" s="60"/>
      <x:c r="CC728" s="58"/>
      <x:c r="CD728" s="47"/>
      <x:c r="CE728" s="60"/>
      <x:c r="CF728" s="58"/>
      <x:c r="CG728" s="47"/>
      <x:c r="CH728" s="60"/>
      <x:c r="CI728" s="58"/>
      <x:c r="CJ728" s="47"/>
      <x:c r="CK728" s="60"/>
      <x:c r="CL728" s="58"/>
      <x:c r="CM728" s="47"/>
      <x:c r="CN728" s="60"/>
      <x:c r="CO728" s="58"/>
      <x:c r="CP728" s="47"/>
      <x:c r="CQ728" s="60"/>
      <x:c r="CR728" s="58"/>
      <x:c r="CS728" s="47"/>
      <x:c r="CT728" s="60"/>
      <x:c r="CU728" s="58"/>
      <x:c r="CV728" s="47"/>
      <x:c r="CW728" s="60"/>
      <x:c r="CX728" s="58"/>
      <x:c r="CY728" s="47"/>
      <x:c r="CZ728" s="60"/>
      <x:c r="DA728" s="58"/>
      <x:c r="DB728" s="47"/>
      <x:c r="DC728" s="60"/>
      <x:c r="DD728" s="58"/>
      <x:c r="DE728" s="47"/>
      <x:c r="DF728" s="60"/>
      <x:c r="DG728" s="58"/>
      <x:c r="DH728" s="47"/>
      <x:c r="DI728" s="60"/>
      <x:c r="DJ728" s="58"/>
      <x:c r="DK728" s="47"/>
      <x:c r="DL728" s="60"/>
      <x:c r="DM728" s="58"/>
      <x:c r="DN728" s="11"/>
      <x:c r="DO728" s="61"/>
      <x:c r="DP728" s="62"/>
      <x:c r="DQ728" s="11"/>
      <x:c r="DR728" s="61"/>
      <x:c r="DS728" s="62"/>
      <x:c r="DT728" s="11"/>
      <x:c r="DU728" s="61"/>
      <x:c r="DV728" s="62"/>
    </x:row>
    <x:row r="729" spans="1:126" x14ac:dyDescent="0.3">
      <x:c r="A729" s="47"/>
      <x:c r="B729" s="70"/>
      <x:c r="C729" s="70"/>
      <x:c r="D729" s="70"/>
      <x:c r="E729" s="70"/>
      <x:c r="F729" s="70"/>
      <x:c r="G729" s="70"/>
      <x:c r="H729" s="70"/>
      <x:c r="I729" s="70"/>
      <x:c r="J729" s="70"/>
      <x:c r="K729" s="190"/>
      <x:c r="L729" s="195"/>
      <x:c r="M729" s="192"/>
      <x:c r="N729" s="192"/>
      <x:c r="O729" s="69"/>
      <x:c r="P729" s="47"/>
      <x:c r="Q729" s="60"/>
      <x:c r="R729" s="58"/>
      <x:c r="S729" s="47"/>
      <x:c r="T729" s="60"/>
      <x:c r="U729" s="58"/>
      <x:c r="V729" s="47"/>
      <x:c r="W729" s="60"/>
      <x:c r="X729" s="58"/>
      <x:c r="Y729" s="47"/>
      <x:c r="Z729" s="60"/>
      <x:c r="AA729" s="58"/>
      <x:c r="AB729" s="47"/>
      <x:c r="AC729" s="60"/>
      <x:c r="AD729" s="58"/>
      <x:c r="AE729" s="47"/>
      <x:c r="AF729" s="60"/>
      <x:c r="AG729" s="58"/>
      <x:c r="AH729" s="47"/>
      <x:c r="AI729" s="60"/>
      <x:c r="AJ729" s="58"/>
      <x:c r="AK729" s="47"/>
      <x:c r="AL729" s="60"/>
      <x:c r="AM729" s="58"/>
      <x:c r="AN729" s="47"/>
      <x:c r="AO729" s="60"/>
      <x:c r="AP729" s="58"/>
      <x:c r="AQ729" s="47"/>
      <x:c r="AR729" s="60"/>
      <x:c r="AS729" s="58"/>
      <x:c r="AT729" s="47"/>
      <x:c r="AU729" s="60"/>
      <x:c r="AV729" s="58"/>
      <x:c r="AW729" s="47"/>
      <x:c r="AX729" s="60"/>
      <x:c r="AY729" s="58"/>
      <x:c r="AZ729" s="47"/>
      <x:c r="BA729" s="60"/>
      <x:c r="BB729" s="58"/>
      <x:c r="BC729" s="47"/>
      <x:c r="BD729" s="60"/>
      <x:c r="BE729" s="58"/>
      <x:c r="BF729" s="47"/>
      <x:c r="BG729" s="60"/>
      <x:c r="BH729" s="58"/>
      <x:c r="BI729" s="47"/>
      <x:c r="BJ729" s="60"/>
      <x:c r="BK729" s="58"/>
      <x:c r="BL729" s="47"/>
      <x:c r="BM729" s="60"/>
      <x:c r="BN729" s="58"/>
      <x:c r="BO729" s="47"/>
      <x:c r="BP729" s="60"/>
      <x:c r="BQ729" s="58"/>
      <x:c r="BR729" s="47"/>
      <x:c r="BS729" s="60"/>
      <x:c r="BT729" s="58"/>
      <x:c r="BU729" s="47"/>
      <x:c r="BV729" s="60"/>
      <x:c r="BW729" s="58"/>
      <x:c r="BX729" s="47"/>
      <x:c r="BY729" s="60"/>
      <x:c r="BZ729" s="58"/>
      <x:c r="CA729" s="47"/>
      <x:c r="CB729" s="60"/>
      <x:c r="CC729" s="58"/>
      <x:c r="CD729" s="47"/>
      <x:c r="CE729" s="60"/>
      <x:c r="CF729" s="58"/>
      <x:c r="CG729" s="47"/>
      <x:c r="CH729" s="60"/>
      <x:c r="CI729" s="58"/>
      <x:c r="CJ729" s="47"/>
      <x:c r="CK729" s="60"/>
      <x:c r="CL729" s="58"/>
      <x:c r="CM729" s="47"/>
      <x:c r="CN729" s="60"/>
      <x:c r="CO729" s="58"/>
      <x:c r="CP729" s="47"/>
      <x:c r="CQ729" s="60"/>
      <x:c r="CR729" s="58"/>
      <x:c r="CS729" s="47"/>
      <x:c r="CT729" s="60"/>
      <x:c r="CU729" s="58"/>
      <x:c r="CV729" s="47"/>
      <x:c r="CW729" s="60"/>
      <x:c r="CX729" s="58"/>
      <x:c r="CY729" s="47"/>
      <x:c r="CZ729" s="60"/>
      <x:c r="DA729" s="58"/>
      <x:c r="DB729" s="47"/>
      <x:c r="DC729" s="60"/>
      <x:c r="DD729" s="58"/>
      <x:c r="DE729" s="47"/>
      <x:c r="DF729" s="60"/>
      <x:c r="DG729" s="58"/>
      <x:c r="DH729" s="47"/>
      <x:c r="DI729" s="60"/>
      <x:c r="DJ729" s="58"/>
      <x:c r="DK729" s="47"/>
      <x:c r="DL729" s="60"/>
      <x:c r="DM729" s="58"/>
      <x:c r="DN729" s="11"/>
      <x:c r="DO729" s="61"/>
      <x:c r="DP729" s="62"/>
      <x:c r="DQ729" s="11"/>
      <x:c r="DR729" s="61"/>
      <x:c r="DS729" s="62"/>
      <x:c r="DT729" s="11"/>
      <x:c r="DU729" s="61"/>
      <x:c r="DV729" s="62"/>
    </x:row>
    <x:row r="730" spans="1:126" x14ac:dyDescent="0.3">
      <x:c r="A730" s="47"/>
      <x:c r="B730" s="70"/>
      <x:c r="C730" s="70"/>
      <x:c r="D730" s="70"/>
      <x:c r="E730" s="70"/>
      <x:c r="F730" s="70"/>
      <x:c r="G730" s="70"/>
      <x:c r="H730" s="70"/>
      <x:c r="I730" s="70"/>
      <x:c r="J730" s="70"/>
      <x:c r="K730" s="190"/>
      <x:c r="L730" s="195"/>
      <x:c r="M730" s="192"/>
      <x:c r="N730" s="192"/>
      <x:c r="O730" s="69"/>
      <x:c r="P730" s="47"/>
      <x:c r="Q730" s="60"/>
      <x:c r="R730" s="58"/>
      <x:c r="S730" s="47"/>
      <x:c r="T730" s="60"/>
      <x:c r="U730" s="58"/>
      <x:c r="V730" s="47"/>
      <x:c r="W730" s="60"/>
      <x:c r="X730" s="58"/>
      <x:c r="Y730" s="47"/>
      <x:c r="Z730" s="60"/>
      <x:c r="AA730" s="58"/>
      <x:c r="AB730" s="47"/>
      <x:c r="AC730" s="60"/>
      <x:c r="AD730" s="58"/>
      <x:c r="AE730" s="47"/>
      <x:c r="AF730" s="60"/>
      <x:c r="AG730" s="58"/>
      <x:c r="AH730" s="47"/>
      <x:c r="AI730" s="60"/>
      <x:c r="AJ730" s="58"/>
      <x:c r="AK730" s="47"/>
      <x:c r="AL730" s="60"/>
      <x:c r="AM730" s="58"/>
      <x:c r="AN730" s="47"/>
      <x:c r="AO730" s="60"/>
      <x:c r="AP730" s="58"/>
      <x:c r="AQ730" s="47"/>
      <x:c r="AR730" s="60"/>
      <x:c r="AS730" s="58"/>
      <x:c r="AT730" s="47"/>
      <x:c r="AU730" s="60"/>
      <x:c r="AV730" s="58"/>
      <x:c r="AW730" s="47"/>
      <x:c r="AX730" s="60"/>
      <x:c r="AY730" s="58"/>
      <x:c r="AZ730" s="47"/>
      <x:c r="BA730" s="60"/>
      <x:c r="BB730" s="58"/>
      <x:c r="BC730" s="47"/>
      <x:c r="BD730" s="60"/>
      <x:c r="BE730" s="58"/>
      <x:c r="BF730" s="47"/>
      <x:c r="BG730" s="60"/>
      <x:c r="BH730" s="58"/>
      <x:c r="BI730" s="47"/>
      <x:c r="BJ730" s="60"/>
      <x:c r="BK730" s="58"/>
      <x:c r="BL730" s="47"/>
      <x:c r="BM730" s="60"/>
      <x:c r="BN730" s="58"/>
      <x:c r="BO730" s="47"/>
      <x:c r="BP730" s="60"/>
      <x:c r="BQ730" s="58"/>
      <x:c r="BR730" s="47"/>
      <x:c r="BS730" s="60"/>
      <x:c r="BT730" s="58"/>
      <x:c r="BU730" s="47"/>
      <x:c r="BV730" s="60"/>
      <x:c r="BW730" s="58"/>
      <x:c r="BX730" s="47"/>
      <x:c r="BY730" s="60"/>
      <x:c r="BZ730" s="58"/>
      <x:c r="CA730" s="47"/>
      <x:c r="CB730" s="60"/>
      <x:c r="CC730" s="58"/>
      <x:c r="CD730" s="47"/>
      <x:c r="CE730" s="60"/>
      <x:c r="CF730" s="58"/>
      <x:c r="CG730" s="47"/>
      <x:c r="CH730" s="60"/>
      <x:c r="CI730" s="58"/>
      <x:c r="CJ730" s="47"/>
      <x:c r="CK730" s="60"/>
      <x:c r="CL730" s="58"/>
      <x:c r="CM730" s="47"/>
      <x:c r="CN730" s="60"/>
      <x:c r="CO730" s="58"/>
      <x:c r="CP730" s="47"/>
      <x:c r="CQ730" s="60"/>
      <x:c r="CR730" s="58"/>
      <x:c r="CS730" s="47"/>
      <x:c r="CT730" s="60"/>
      <x:c r="CU730" s="58"/>
      <x:c r="CV730" s="47"/>
      <x:c r="CW730" s="60"/>
      <x:c r="CX730" s="58"/>
      <x:c r="CY730" s="47"/>
      <x:c r="CZ730" s="60"/>
      <x:c r="DA730" s="58"/>
      <x:c r="DB730" s="47"/>
      <x:c r="DC730" s="60"/>
      <x:c r="DD730" s="58"/>
      <x:c r="DE730" s="47"/>
      <x:c r="DF730" s="60"/>
      <x:c r="DG730" s="58"/>
      <x:c r="DH730" s="47"/>
      <x:c r="DI730" s="60"/>
      <x:c r="DJ730" s="58"/>
      <x:c r="DK730" s="47"/>
      <x:c r="DL730" s="60"/>
      <x:c r="DM730" s="58"/>
      <x:c r="DN730" s="11"/>
      <x:c r="DO730" s="61"/>
      <x:c r="DP730" s="62"/>
      <x:c r="DQ730" s="11"/>
      <x:c r="DR730" s="61"/>
      <x:c r="DS730" s="62"/>
      <x:c r="DT730" s="11"/>
      <x:c r="DU730" s="61"/>
      <x:c r="DV730" s="62"/>
    </x:row>
    <x:row r="731" spans="1:126" x14ac:dyDescent="0.3">
      <x:c r="A731" s="47"/>
      <x:c r="B731" s="70"/>
      <x:c r="C731" s="70"/>
      <x:c r="D731" s="70"/>
      <x:c r="E731" s="70"/>
      <x:c r="F731" s="70"/>
      <x:c r="G731" s="70"/>
      <x:c r="H731" s="70"/>
      <x:c r="I731" s="70"/>
      <x:c r="J731" s="70"/>
      <x:c r="K731" s="190"/>
      <x:c r="L731" s="195"/>
      <x:c r="M731" s="192"/>
      <x:c r="N731" s="192"/>
      <x:c r="O731" s="69"/>
      <x:c r="P731" s="47"/>
      <x:c r="Q731" s="60"/>
      <x:c r="R731" s="58"/>
      <x:c r="S731" s="47"/>
      <x:c r="T731" s="60"/>
      <x:c r="U731" s="58"/>
      <x:c r="V731" s="47"/>
      <x:c r="W731" s="60"/>
      <x:c r="X731" s="58"/>
      <x:c r="Y731" s="47"/>
      <x:c r="Z731" s="60"/>
      <x:c r="AA731" s="58"/>
      <x:c r="AB731" s="47"/>
      <x:c r="AC731" s="60"/>
      <x:c r="AD731" s="58"/>
      <x:c r="AE731" s="47"/>
      <x:c r="AF731" s="60"/>
      <x:c r="AG731" s="58"/>
      <x:c r="AH731" s="47"/>
      <x:c r="AI731" s="60"/>
      <x:c r="AJ731" s="58"/>
      <x:c r="AK731" s="47"/>
      <x:c r="AL731" s="60"/>
      <x:c r="AM731" s="58"/>
      <x:c r="AN731" s="47"/>
      <x:c r="AO731" s="60"/>
      <x:c r="AP731" s="58"/>
      <x:c r="AQ731" s="47"/>
      <x:c r="AR731" s="60"/>
      <x:c r="AS731" s="58"/>
      <x:c r="AT731" s="47"/>
      <x:c r="AU731" s="60"/>
      <x:c r="AV731" s="58"/>
      <x:c r="AW731" s="47"/>
      <x:c r="AX731" s="60"/>
      <x:c r="AY731" s="58"/>
      <x:c r="AZ731" s="47"/>
      <x:c r="BA731" s="60"/>
      <x:c r="BB731" s="58"/>
      <x:c r="BC731" s="47"/>
      <x:c r="BD731" s="60"/>
      <x:c r="BE731" s="58"/>
      <x:c r="BF731" s="47"/>
      <x:c r="BG731" s="60"/>
      <x:c r="BH731" s="58"/>
      <x:c r="BI731" s="47"/>
      <x:c r="BJ731" s="60"/>
      <x:c r="BK731" s="58"/>
      <x:c r="BL731" s="47"/>
      <x:c r="BM731" s="60"/>
      <x:c r="BN731" s="58"/>
      <x:c r="BO731" s="47"/>
      <x:c r="BP731" s="60"/>
      <x:c r="BQ731" s="58"/>
      <x:c r="BR731" s="47"/>
      <x:c r="BS731" s="60"/>
      <x:c r="BT731" s="58"/>
      <x:c r="BU731" s="47"/>
      <x:c r="BV731" s="60"/>
      <x:c r="BW731" s="58"/>
      <x:c r="BX731" s="47"/>
      <x:c r="BY731" s="60"/>
      <x:c r="BZ731" s="58"/>
      <x:c r="CA731" s="47"/>
      <x:c r="CB731" s="60"/>
      <x:c r="CC731" s="58"/>
      <x:c r="CD731" s="47"/>
      <x:c r="CE731" s="60"/>
      <x:c r="CF731" s="58"/>
      <x:c r="CG731" s="47"/>
      <x:c r="CH731" s="60"/>
      <x:c r="CI731" s="58"/>
      <x:c r="CJ731" s="47"/>
      <x:c r="CK731" s="60"/>
      <x:c r="CL731" s="58"/>
      <x:c r="CM731" s="47"/>
      <x:c r="CN731" s="60"/>
      <x:c r="CO731" s="58"/>
      <x:c r="CP731" s="47"/>
      <x:c r="CQ731" s="60"/>
      <x:c r="CR731" s="58"/>
      <x:c r="CS731" s="47"/>
      <x:c r="CT731" s="60"/>
      <x:c r="CU731" s="58"/>
      <x:c r="CV731" s="47"/>
      <x:c r="CW731" s="60"/>
      <x:c r="CX731" s="58"/>
      <x:c r="CY731" s="47"/>
      <x:c r="CZ731" s="60"/>
      <x:c r="DA731" s="58"/>
      <x:c r="DB731" s="47"/>
      <x:c r="DC731" s="60"/>
      <x:c r="DD731" s="58"/>
      <x:c r="DE731" s="47"/>
      <x:c r="DF731" s="60"/>
      <x:c r="DG731" s="58"/>
      <x:c r="DH731" s="47"/>
      <x:c r="DI731" s="60"/>
      <x:c r="DJ731" s="58"/>
      <x:c r="DK731" s="47"/>
      <x:c r="DL731" s="60"/>
      <x:c r="DM731" s="58"/>
      <x:c r="DN731" s="11"/>
      <x:c r="DO731" s="61"/>
      <x:c r="DP731" s="62"/>
      <x:c r="DQ731" s="11"/>
      <x:c r="DR731" s="61"/>
      <x:c r="DS731" s="62"/>
      <x:c r="DT731" s="11"/>
      <x:c r="DU731" s="61"/>
      <x:c r="DV731" s="62"/>
    </x:row>
    <x:row r="732" spans="1:126" x14ac:dyDescent="0.3">
      <x:c r="A732" s="47"/>
      <x:c r="B732" s="70"/>
      <x:c r="C732" s="70"/>
      <x:c r="D732" s="70"/>
      <x:c r="E732" s="70"/>
      <x:c r="F732" s="70"/>
      <x:c r="G732" s="70"/>
      <x:c r="H732" s="70"/>
      <x:c r="I732" s="70"/>
      <x:c r="J732" s="70"/>
      <x:c r="K732" s="190"/>
      <x:c r="L732" s="195"/>
      <x:c r="M732" s="192"/>
      <x:c r="N732" s="192"/>
      <x:c r="O732" s="69"/>
      <x:c r="P732" s="47"/>
      <x:c r="Q732" s="60"/>
      <x:c r="R732" s="58"/>
      <x:c r="S732" s="47"/>
      <x:c r="T732" s="60"/>
      <x:c r="U732" s="58"/>
      <x:c r="V732" s="47"/>
      <x:c r="W732" s="60"/>
      <x:c r="X732" s="58"/>
      <x:c r="Y732" s="47"/>
      <x:c r="Z732" s="60"/>
      <x:c r="AA732" s="58"/>
      <x:c r="AB732" s="47"/>
      <x:c r="AC732" s="60"/>
      <x:c r="AD732" s="58"/>
      <x:c r="AE732" s="47"/>
      <x:c r="AF732" s="60"/>
      <x:c r="AG732" s="58"/>
      <x:c r="AH732" s="47"/>
      <x:c r="AI732" s="60"/>
      <x:c r="AJ732" s="58"/>
      <x:c r="AK732" s="47"/>
      <x:c r="AL732" s="60"/>
      <x:c r="AM732" s="58"/>
      <x:c r="AN732" s="47"/>
      <x:c r="AO732" s="60"/>
      <x:c r="AP732" s="58"/>
      <x:c r="AQ732" s="47"/>
      <x:c r="AR732" s="60"/>
      <x:c r="AS732" s="58"/>
      <x:c r="AT732" s="47"/>
      <x:c r="AU732" s="60"/>
      <x:c r="AV732" s="58"/>
      <x:c r="AW732" s="47"/>
      <x:c r="AX732" s="60"/>
      <x:c r="AY732" s="58"/>
      <x:c r="AZ732" s="47"/>
      <x:c r="BA732" s="60"/>
      <x:c r="BB732" s="58"/>
      <x:c r="BC732" s="47"/>
      <x:c r="BD732" s="60"/>
      <x:c r="BE732" s="58"/>
      <x:c r="BF732" s="47"/>
      <x:c r="BG732" s="60"/>
      <x:c r="BH732" s="58"/>
      <x:c r="BI732" s="47"/>
      <x:c r="BJ732" s="60"/>
      <x:c r="BK732" s="58"/>
      <x:c r="BL732" s="47"/>
      <x:c r="BM732" s="60"/>
      <x:c r="BN732" s="58"/>
      <x:c r="BO732" s="47"/>
      <x:c r="BP732" s="60"/>
      <x:c r="BQ732" s="58"/>
      <x:c r="BR732" s="47"/>
      <x:c r="BS732" s="60"/>
      <x:c r="BT732" s="58"/>
      <x:c r="BU732" s="47"/>
      <x:c r="BV732" s="60"/>
      <x:c r="BW732" s="58"/>
      <x:c r="BX732" s="47"/>
      <x:c r="BY732" s="60"/>
      <x:c r="BZ732" s="58"/>
      <x:c r="CA732" s="47"/>
      <x:c r="CB732" s="60"/>
      <x:c r="CC732" s="58"/>
      <x:c r="CD732" s="47"/>
      <x:c r="CE732" s="60"/>
      <x:c r="CF732" s="58"/>
      <x:c r="CG732" s="47"/>
      <x:c r="CH732" s="60"/>
      <x:c r="CI732" s="58"/>
      <x:c r="CJ732" s="47"/>
      <x:c r="CK732" s="60"/>
      <x:c r="CL732" s="58"/>
      <x:c r="CM732" s="47"/>
      <x:c r="CN732" s="60"/>
      <x:c r="CO732" s="58"/>
      <x:c r="CP732" s="47"/>
      <x:c r="CQ732" s="60"/>
      <x:c r="CR732" s="58"/>
      <x:c r="CS732" s="47"/>
      <x:c r="CT732" s="60"/>
      <x:c r="CU732" s="58"/>
      <x:c r="CV732" s="47"/>
      <x:c r="CW732" s="60"/>
      <x:c r="CX732" s="58"/>
      <x:c r="CY732" s="47"/>
      <x:c r="CZ732" s="60"/>
      <x:c r="DA732" s="58"/>
      <x:c r="DB732" s="47"/>
      <x:c r="DC732" s="60"/>
      <x:c r="DD732" s="58"/>
      <x:c r="DE732" s="47"/>
      <x:c r="DF732" s="60"/>
      <x:c r="DG732" s="58"/>
      <x:c r="DH732" s="47"/>
      <x:c r="DI732" s="60"/>
      <x:c r="DJ732" s="58"/>
      <x:c r="DK732" s="47"/>
      <x:c r="DL732" s="60"/>
      <x:c r="DM732" s="58"/>
      <x:c r="DN732" s="11"/>
      <x:c r="DO732" s="61"/>
      <x:c r="DP732" s="62"/>
      <x:c r="DQ732" s="11"/>
      <x:c r="DR732" s="61"/>
      <x:c r="DS732" s="62"/>
      <x:c r="DT732" s="11"/>
      <x:c r="DU732" s="61"/>
      <x:c r="DV732" s="62"/>
    </x:row>
    <x:row r="733" spans="1:126" x14ac:dyDescent="0.3">
      <x:c r="A733" s="47"/>
      <x:c r="B733" s="70"/>
      <x:c r="C733" s="70"/>
      <x:c r="D733" s="70"/>
      <x:c r="E733" s="70"/>
      <x:c r="F733" s="70"/>
      <x:c r="G733" s="70"/>
      <x:c r="H733" s="70"/>
      <x:c r="I733" s="70"/>
      <x:c r="J733" s="70"/>
      <x:c r="K733" s="190"/>
      <x:c r="L733" s="195"/>
      <x:c r="M733" s="192"/>
      <x:c r="N733" s="192"/>
      <x:c r="O733" s="69"/>
      <x:c r="P733" s="47"/>
      <x:c r="Q733" s="60"/>
      <x:c r="R733" s="58"/>
      <x:c r="S733" s="47"/>
      <x:c r="T733" s="60"/>
      <x:c r="U733" s="58"/>
      <x:c r="V733" s="47"/>
      <x:c r="W733" s="60"/>
      <x:c r="X733" s="58"/>
      <x:c r="Y733" s="47"/>
      <x:c r="Z733" s="60"/>
      <x:c r="AA733" s="58"/>
      <x:c r="AB733" s="47"/>
      <x:c r="AC733" s="60"/>
      <x:c r="AD733" s="58"/>
      <x:c r="AE733" s="47"/>
      <x:c r="AF733" s="60"/>
      <x:c r="AG733" s="58"/>
      <x:c r="AH733" s="47"/>
      <x:c r="AI733" s="60"/>
      <x:c r="AJ733" s="58"/>
      <x:c r="AK733" s="47"/>
      <x:c r="AL733" s="60"/>
      <x:c r="AM733" s="58"/>
      <x:c r="AN733" s="47"/>
      <x:c r="AO733" s="60"/>
      <x:c r="AP733" s="58"/>
      <x:c r="AQ733" s="47"/>
      <x:c r="AR733" s="60"/>
      <x:c r="AS733" s="58"/>
      <x:c r="AT733" s="47"/>
      <x:c r="AU733" s="60"/>
      <x:c r="AV733" s="58"/>
      <x:c r="AW733" s="47"/>
      <x:c r="AX733" s="60"/>
      <x:c r="AY733" s="58"/>
      <x:c r="AZ733" s="47"/>
      <x:c r="BA733" s="60"/>
      <x:c r="BB733" s="58"/>
      <x:c r="BC733" s="47"/>
      <x:c r="BD733" s="60"/>
      <x:c r="BE733" s="58"/>
      <x:c r="BF733" s="47"/>
      <x:c r="BG733" s="60"/>
      <x:c r="BH733" s="58"/>
      <x:c r="BI733" s="47"/>
      <x:c r="BJ733" s="60"/>
      <x:c r="BK733" s="58"/>
      <x:c r="BL733" s="47"/>
      <x:c r="BM733" s="60"/>
      <x:c r="BN733" s="58"/>
      <x:c r="BO733" s="47"/>
      <x:c r="BP733" s="60"/>
      <x:c r="BQ733" s="58"/>
      <x:c r="BR733" s="47"/>
      <x:c r="BS733" s="60"/>
      <x:c r="BT733" s="58"/>
      <x:c r="BU733" s="47"/>
      <x:c r="BV733" s="60"/>
      <x:c r="BW733" s="58"/>
      <x:c r="BX733" s="47"/>
      <x:c r="BY733" s="60"/>
      <x:c r="BZ733" s="58"/>
      <x:c r="CA733" s="47"/>
      <x:c r="CB733" s="60"/>
      <x:c r="CC733" s="58"/>
      <x:c r="CD733" s="47"/>
      <x:c r="CE733" s="60"/>
      <x:c r="CF733" s="58"/>
      <x:c r="CG733" s="47"/>
      <x:c r="CH733" s="60"/>
      <x:c r="CI733" s="58"/>
      <x:c r="CJ733" s="47"/>
      <x:c r="CK733" s="60"/>
      <x:c r="CL733" s="58"/>
      <x:c r="CM733" s="47"/>
      <x:c r="CN733" s="60"/>
      <x:c r="CO733" s="58"/>
      <x:c r="CP733" s="47"/>
      <x:c r="CQ733" s="60"/>
      <x:c r="CR733" s="58"/>
      <x:c r="CS733" s="47"/>
      <x:c r="CT733" s="60"/>
      <x:c r="CU733" s="58"/>
      <x:c r="CV733" s="47"/>
      <x:c r="CW733" s="60"/>
      <x:c r="CX733" s="58"/>
      <x:c r="CY733" s="47"/>
      <x:c r="CZ733" s="60"/>
      <x:c r="DA733" s="58"/>
      <x:c r="DB733" s="47"/>
      <x:c r="DC733" s="60"/>
      <x:c r="DD733" s="58"/>
      <x:c r="DE733" s="47"/>
      <x:c r="DF733" s="60"/>
      <x:c r="DG733" s="58"/>
      <x:c r="DH733" s="47"/>
      <x:c r="DI733" s="60"/>
      <x:c r="DJ733" s="58"/>
      <x:c r="DK733" s="47"/>
      <x:c r="DL733" s="60"/>
      <x:c r="DM733" s="58"/>
      <x:c r="DN733" s="11"/>
      <x:c r="DO733" s="61"/>
      <x:c r="DP733" s="62"/>
      <x:c r="DQ733" s="11"/>
      <x:c r="DR733" s="61"/>
      <x:c r="DS733" s="62"/>
      <x:c r="DT733" s="11"/>
      <x:c r="DU733" s="61"/>
      <x:c r="DV733" s="62"/>
    </x:row>
    <x:row r="734" spans="1:126" x14ac:dyDescent="0.3">
      <x:c r="A734" s="47"/>
      <x:c r="B734" s="70"/>
      <x:c r="C734" s="70"/>
      <x:c r="D734" s="70"/>
      <x:c r="E734" s="70"/>
      <x:c r="F734" s="70"/>
      <x:c r="G734" s="70"/>
      <x:c r="H734" s="70"/>
      <x:c r="I734" s="70"/>
      <x:c r="J734" s="70"/>
      <x:c r="K734" s="190"/>
      <x:c r="L734" s="195"/>
      <x:c r="M734" s="192"/>
      <x:c r="N734" s="192"/>
      <x:c r="O734" s="69"/>
      <x:c r="P734" s="47"/>
      <x:c r="Q734" s="60"/>
      <x:c r="R734" s="58"/>
      <x:c r="S734" s="47"/>
      <x:c r="T734" s="60"/>
      <x:c r="U734" s="58"/>
      <x:c r="V734" s="47"/>
      <x:c r="W734" s="60"/>
      <x:c r="X734" s="58"/>
      <x:c r="Y734" s="47"/>
      <x:c r="Z734" s="60"/>
      <x:c r="AA734" s="58"/>
      <x:c r="AB734" s="47"/>
      <x:c r="AC734" s="60"/>
      <x:c r="AD734" s="58"/>
      <x:c r="AE734" s="47"/>
      <x:c r="AF734" s="60"/>
      <x:c r="AG734" s="58"/>
      <x:c r="AH734" s="47"/>
      <x:c r="AI734" s="60"/>
      <x:c r="AJ734" s="58"/>
      <x:c r="AK734" s="47"/>
      <x:c r="AL734" s="60"/>
      <x:c r="AM734" s="58"/>
      <x:c r="AN734" s="47"/>
      <x:c r="AO734" s="60"/>
      <x:c r="AP734" s="58"/>
      <x:c r="AQ734" s="47"/>
      <x:c r="AR734" s="60"/>
      <x:c r="AS734" s="58"/>
      <x:c r="AT734" s="47"/>
      <x:c r="AU734" s="60"/>
      <x:c r="AV734" s="58"/>
      <x:c r="AW734" s="47"/>
      <x:c r="AX734" s="60"/>
      <x:c r="AY734" s="58"/>
      <x:c r="AZ734" s="47"/>
      <x:c r="BA734" s="60"/>
      <x:c r="BB734" s="58"/>
      <x:c r="BC734" s="47"/>
      <x:c r="BD734" s="60"/>
      <x:c r="BE734" s="58"/>
      <x:c r="BF734" s="47"/>
      <x:c r="BG734" s="60"/>
      <x:c r="BH734" s="58"/>
      <x:c r="BI734" s="47"/>
      <x:c r="BJ734" s="60"/>
      <x:c r="BK734" s="58"/>
      <x:c r="BL734" s="47"/>
      <x:c r="BM734" s="60"/>
      <x:c r="BN734" s="58"/>
      <x:c r="BO734" s="47"/>
      <x:c r="BP734" s="60"/>
      <x:c r="BQ734" s="58"/>
      <x:c r="BR734" s="47"/>
      <x:c r="BS734" s="60"/>
      <x:c r="BT734" s="58"/>
      <x:c r="BU734" s="47"/>
      <x:c r="BV734" s="60"/>
      <x:c r="BW734" s="58"/>
      <x:c r="BX734" s="47"/>
      <x:c r="BY734" s="60"/>
      <x:c r="BZ734" s="58"/>
      <x:c r="CA734" s="47"/>
      <x:c r="CB734" s="60"/>
      <x:c r="CC734" s="58"/>
      <x:c r="CD734" s="47"/>
      <x:c r="CE734" s="60"/>
      <x:c r="CF734" s="58"/>
      <x:c r="CG734" s="47"/>
      <x:c r="CH734" s="60"/>
      <x:c r="CI734" s="58"/>
      <x:c r="CJ734" s="47"/>
      <x:c r="CK734" s="60"/>
      <x:c r="CL734" s="58"/>
      <x:c r="CM734" s="47"/>
      <x:c r="CN734" s="60"/>
      <x:c r="CO734" s="58"/>
      <x:c r="CP734" s="47"/>
      <x:c r="CQ734" s="60"/>
      <x:c r="CR734" s="58"/>
      <x:c r="CS734" s="47"/>
      <x:c r="CT734" s="60"/>
      <x:c r="CU734" s="58"/>
      <x:c r="CV734" s="47"/>
      <x:c r="CW734" s="60"/>
      <x:c r="CX734" s="58"/>
      <x:c r="CY734" s="47"/>
      <x:c r="CZ734" s="60"/>
      <x:c r="DA734" s="58"/>
      <x:c r="DB734" s="47"/>
      <x:c r="DC734" s="60"/>
      <x:c r="DD734" s="58"/>
      <x:c r="DE734" s="47"/>
      <x:c r="DF734" s="60"/>
      <x:c r="DG734" s="58"/>
      <x:c r="DH734" s="47"/>
      <x:c r="DI734" s="60"/>
      <x:c r="DJ734" s="58"/>
      <x:c r="DK734" s="47"/>
      <x:c r="DL734" s="60"/>
      <x:c r="DM734" s="58"/>
      <x:c r="DN734" s="11"/>
      <x:c r="DO734" s="61"/>
      <x:c r="DP734" s="62"/>
      <x:c r="DQ734" s="11"/>
      <x:c r="DR734" s="61"/>
      <x:c r="DS734" s="62"/>
      <x:c r="DT734" s="11"/>
      <x:c r="DU734" s="61"/>
      <x:c r="DV734" s="62"/>
    </x:row>
    <x:row r="735" spans="1:126" x14ac:dyDescent="0.3">
      <x:c r="A735" s="47"/>
      <x:c r="B735" s="70"/>
      <x:c r="C735" s="70"/>
      <x:c r="D735" s="70"/>
      <x:c r="E735" s="70"/>
      <x:c r="F735" s="70"/>
      <x:c r="G735" s="70"/>
      <x:c r="H735" s="70"/>
      <x:c r="I735" s="70"/>
      <x:c r="J735" s="70"/>
      <x:c r="K735" s="190"/>
      <x:c r="L735" s="195"/>
      <x:c r="M735" s="192"/>
      <x:c r="N735" s="192"/>
      <x:c r="O735" s="69"/>
      <x:c r="P735" s="47"/>
      <x:c r="Q735" s="60"/>
      <x:c r="R735" s="58"/>
      <x:c r="S735" s="47"/>
      <x:c r="T735" s="60"/>
      <x:c r="U735" s="58"/>
      <x:c r="V735" s="47"/>
      <x:c r="W735" s="60"/>
      <x:c r="X735" s="58"/>
      <x:c r="Y735" s="47"/>
      <x:c r="Z735" s="60"/>
      <x:c r="AA735" s="58"/>
      <x:c r="AB735" s="47"/>
      <x:c r="AC735" s="60"/>
      <x:c r="AD735" s="58"/>
      <x:c r="AE735" s="47"/>
      <x:c r="AF735" s="60"/>
      <x:c r="AG735" s="58"/>
      <x:c r="AH735" s="47"/>
      <x:c r="AI735" s="60"/>
      <x:c r="AJ735" s="58"/>
      <x:c r="AK735" s="47"/>
      <x:c r="AL735" s="60"/>
      <x:c r="AM735" s="58"/>
      <x:c r="AN735" s="47"/>
      <x:c r="AO735" s="60"/>
      <x:c r="AP735" s="58"/>
      <x:c r="AQ735" s="47"/>
      <x:c r="AR735" s="60"/>
      <x:c r="AS735" s="58"/>
      <x:c r="AT735" s="47"/>
      <x:c r="AU735" s="60"/>
      <x:c r="AV735" s="58"/>
      <x:c r="AW735" s="47"/>
      <x:c r="AX735" s="60"/>
      <x:c r="AY735" s="58"/>
      <x:c r="AZ735" s="47"/>
      <x:c r="BA735" s="60"/>
      <x:c r="BB735" s="58"/>
      <x:c r="BC735" s="47"/>
      <x:c r="BD735" s="60"/>
      <x:c r="BE735" s="58"/>
      <x:c r="BF735" s="47"/>
      <x:c r="BG735" s="60"/>
      <x:c r="BH735" s="58"/>
      <x:c r="BI735" s="47"/>
      <x:c r="BJ735" s="60"/>
      <x:c r="BK735" s="58"/>
      <x:c r="BL735" s="47"/>
      <x:c r="BM735" s="60"/>
      <x:c r="BN735" s="58"/>
      <x:c r="BO735" s="47"/>
      <x:c r="BP735" s="60"/>
      <x:c r="BQ735" s="58"/>
      <x:c r="BR735" s="47"/>
      <x:c r="BS735" s="60"/>
      <x:c r="BT735" s="58"/>
      <x:c r="BU735" s="47"/>
      <x:c r="BV735" s="60"/>
      <x:c r="BW735" s="58"/>
      <x:c r="BX735" s="47"/>
      <x:c r="BY735" s="60"/>
      <x:c r="BZ735" s="58"/>
      <x:c r="CA735" s="47"/>
      <x:c r="CB735" s="60"/>
      <x:c r="CC735" s="58"/>
      <x:c r="CD735" s="47"/>
      <x:c r="CE735" s="60"/>
      <x:c r="CF735" s="58"/>
      <x:c r="CG735" s="47"/>
      <x:c r="CH735" s="60"/>
      <x:c r="CI735" s="58"/>
      <x:c r="CJ735" s="47"/>
      <x:c r="CK735" s="60"/>
      <x:c r="CL735" s="58"/>
      <x:c r="CM735" s="47"/>
      <x:c r="CN735" s="60"/>
      <x:c r="CO735" s="58"/>
      <x:c r="CP735" s="47"/>
      <x:c r="CQ735" s="60"/>
      <x:c r="CR735" s="58"/>
      <x:c r="CS735" s="47"/>
      <x:c r="CT735" s="60"/>
      <x:c r="CU735" s="58"/>
      <x:c r="CV735" s="47"/>
      <x:c r="CW735" s="60"/>
      <x:c r="CX735" s="58"/>
      <x:c r="CY735" s="47"/>
      <x:c r="CZ735" s="60"/>
      <x:c r="DA735" s="58"/>
      <x:c r="DB735" s="47"/>
      <x:c r="DC735" s="60"/>
      <x:c r="DD735" s="58"/>
      <x:c r="DE735" s="47"/>
      <x:c r="DF735" s="60"/>
      <x:c r="DG735" s="58"/>
      <x:c r="DH735" s="47"/>
      <x:c r="DI735" s="60"/>
      <x:c r="DJ735" s="58"/>
      <x:c r="DK735" s="47"/>
      <x:c r="DL735" s="60"/>
      <x:c r="DM735" s="58"/>
      <x:c r="DN735" s="11"/>
      <x:c r="DO735" s="61"/>
      <x:c r="DP735" s="62"/>
      <x:c r="DQ735" s="11"/>
      <x:c r="DR735" s="61"/>
      <x:c r="DS735" s="62"/>
      <x:c r="DT735" s="11"/>
      <x:c r="DU735" s="61"/>
      <x:c r="DV735" s="62"/>
    </x:row>
    <x:row r="736" spans="1:126" x14ac:dyDescent="0.3">
      <x:c r="A736" s="47"/>
      <x:c r="B736" s="70"/>
      <x:c r="C736" s="70"/>
      <x:c r="D736" s="70"/>
      <x:c r="E736" s="70"/>
      <x:c r="F736" s="70"/>
      <x:c r="G736" s="70"/>
      <x:c r="H736" s="70"/>
      <x:c r="I736" s="70"/>
      <x:c r="J736" s="70"/>
      <x:c r="K736" s="190"/>
      <x:c r="L736" s="195"/>
      <x:c r="M736" s="192"/>
      <x:c r="N736" s="192"/>
      <x:c r="O736" s="69"/>
      <x:c r="P736" s="47"/>
      <x:c r="Q736" s="60"/>
      <x:c r="R736" s="58"/>
      <x:c r="S736" s="47"/>
      <x:c r="T736" s="60"/>
      <x:c r="U736" s="58"/>
      <x:c r="V736" s="47"/>
      <x:c r="W736" s="60"/>
      <x:c r="X736" s="58"/>
      <x:c r="Y736" s="47"/>
      <x:c r="Z736" s="60"/>
      <x:c r="AA736" s="58"/>
      <x:c r="AB736" s="47"/>
      <x:c r="AC736" s="60"/>
      <x:c r="AD736" s="58"/>
      <x:c r="AE736" s="47"/>
      <x:c r="AF736" s="60"/>
      <x:c r="AG736" s="58"/>
      <x:c r="AH736" s="47"/>
      <x:c r="AI736" s="60"/>
      <x:c r="AJ736" s="58"/>
      <x:c r="AK736" s="47"/>
      <x:c r="AL736" s="60"/>
      <x:c r="AM736" s="58"/>
      <x:c r="AN736" s="47"/>
      <x:c r="AO736" s="60"/>
      <x:c r="AP736" s="58"/>
      <x:c r="AQ736" s="47"/>
      <x:c r="AR736" s="60"/>
      <x:c r="AS736" s="58"/>
      <x:c r="AT736" s="47"/>
      <x:c r="AU736" s="60"/>
      <x:c r="AV736" s="58"/>
      <x:c r="AW736" s="47"/>
      <x:c r="AX736" s="60"/>
      <x:c r="AY736" s="58"/>
      <x:c r="AZ736" s="47"/>
      <x:c r="BA736" s="60"/>
      <x:c r="BB736" s="58"/>
      <x:c r="BC736" s="47"/>
      <x:c r="BD736" s="60"/>
      <x:c r="BE736" s="58"/>
      <x:c r="BF736" s="47"/>
      <x:c r="BG736" s="60"/>
      <x:c r="BH736" s="58"/>
      <x:c r="BI736" s="47"/>
      <x:c r="BJ736" s="60"/>
      <x:c r="BK736" s="58"/>
      <x:c r="BL736" s="47"/>
      <x:c r="BM736" s="60"/>
      <x:c r="BN736" s="58"/>
      <x:c r="BO736" s="47"/>
      <x:c r="BP736" s="60"/>
      <x:c r="BQ736" s="58"/>
      <x:c r="BR736" s="47"/>
      <x:c r="BS736" s="60"/>
      <x:c r="BT736" s="58"/>
      <x:c r="BU736" s="47"/>
      <x:c r="BV736" s="60"/>
      <x:c r="BW736" s="58"/>
      <x:c r="BX736" s="47"/>
      <x:c r="BY736" s="60"/>
      <x:c r="BZ736" s="58"/>
      <x:c r="CA736" s="47"/>
      <x:c r="CB736" s="60"/>
      <x:c r="CC736" s="58"/>
      <x:c r="CD736" s="47"/>
      <x:c r="CE736" s="60"/>
      <x:c r="CF736" s="58"/>
      <x:c r="CG736" s="47"/>
      <x:c r="CH736" s="60"/>
      <x:c r="CI736" s="58"/>
      <x:c r="CJ736" s="47"/>
      <x:c r="CK736" s="60"/>
      <x:c r="CL736" s="58"/>
      <x:c r="CM736" s="47"/>
      <x:c r="CN736" s="60"/>
      <x:c r="CO736" s="58"/>
      <x:c r="CP736" s="47"/>
      <x:c r="CQ736" s="60"/>
      <x:c r="CR736" s="58"/>
      <x:c r="CS736" s="47"/>
      <x:c r="CT736" s="60"/>
      <x:c r="CU736" s="58"/>
      <x:c r="CV736" s="47"/>
      <x:c r="CW736" s="60"/>
      <x:c r="CX736" s="58"/>
      <x:c r="CY736" s="47"/>
      <x:c r="CZ736" s="60"/>
      <x:c r="DA736" s="58"/>
      <x:c r="DB736" s="47"/>
      <x:c r="DC736" s="60"/>
      <x:c r="DD736" s="58"/>
      <x:c r="DE736" s="47"/>
      <x:c r="DF736" s="60"/>
      <x:c r="DG736" s="58"/>
      <x:c r="DH736" s="47"/>
      <x:c r="DI736" s="60"/>
      <x:c r="DJ736" s="58"/>
      <x:c r="DK736" s="47"/>
      <x:c r="DL736" s="60"/>
      <x:c r="DM736" s="58"/>
      <x:c r="DN736" s="11"/>
      <x:c r="DO736" s="61"/>
      <x:c r="DP736" s="62"/>
      <x:c r="DQ736" s="11"/>
      <x:c r="DR736" s="61"/>
      <x:c r="DS736" s="62"/>
      <x:c r="DT736" s="11"/>
      <x:c r="DU736" s="61"/>
      <x:c r="DV736" s="62"/>
    </x:row>
    <x:row r="737" spans="1:126" x14ac:dyDescent="0.3">
      <x:c r="A737" s="47"/>
      <x:c r="B737" s="70"/>
      <x:c r="C737" s="70"/>
      <x:c r="D737" s="70"/>
      <x:c r="E737" s="70"/>
      <x:c r="F737" s="70"/>
      <x:c r="G737" s="70"/>
      <x:c r="H737" s="70"/>
      <x:c r="I737" s="70"/>
      <x:c r="J737" s="70"/>
      <x:c r="K737" s="190"/>
      <x:c r="L737" s="195"/>
      <x:c r="M737" s="192"/>
      <x:c r="N737" s="192"/>
      <x:c r="O737" s="69"/>
      <x:c r="P737" s="47"/>
      <x:c r="Q737" s="60"/>
      <x:c r="R737" s="58"/>
      <x:c r="S737" s="47"/>
      <x:c r="T737" s="60"/>
      <x:c r="U737" s="58"/>
      <x:c r="V737" s="47"/>
      <x:c r="W737" s="60"/>
      <x:c r="X737" s="58"/>
      <x:c r="Y737" s="47"/>
      <x:c r="Z737" s="60"/>
      <x:c r="AA737" s="58"/>
      <x:c r="AB737" s="47"/>
      <x:c r="AC737" s="60"/>
      <x:c r="AD737" s="58"/>
      <x:c r="AE737" s="47"/>
      <x:c r="AF737" s="60"/>
      <x:c r="AG737" s="58"/>
      <x:c r="AH737" s="47"/>
      <x:c r="AI737" s="60"/>
      <x:c r="AJ737" s="58"/>
      <x:c r="AK737" s="47"/>
      <x:c r="AL737" s="60"/>
      <x:c r="AM737" s="58"/>
      <x:c r="AN737" s="47"/>
      <x:c r="AO737" s="60"/>
      <x:c r="AP737" s="58"/>
      <x:c r="AQ737" s="47"/>
      <x:c r="AR737" s="60"/>
      <x:c r="AS737" s="58"/>
      <x:c r="AT737" s="47"/>
      <x:c r="AU737" s="60"/>
      <x:c r="AV737" s="58"/>
      <x:c r="AW737" s="47"/>
      <x:c r="AX737" s="60"/>
      <x:c r="AY737" s="58"/>
      <x:c r="AZ737" s="47"/>
      <x:c r="BA737" s="60"/>
      <x:c r="BB737" s="58"/>
      <x:c r="BC737" s="47"/>
      <x:c r="BD737" s="60"/>
      <x:c r="BE737" s="58"/>
      <x:c r="BF737" s="47"/>
      <x:c r="BG737" s="60"/>
      <x:c r="BH737" s="58"/>
      <x:c r="BI737" s="47"/>
      <x:c r="BJ737" s="60"/>
      <x:c r="BK737" s="58"/>
      <x:c r="BL737" s="47"/>
      <x:c r="BM737" s="60"/>
      <x:c r="BN737" s="58"/>
      <x:c r="BO737" s="47"/>
      <x:c r="BP737" s="60"/>
      <x:c r="BQ737" s="58"/>
      <x:c r="BR737" s="47"/>
      <x:c r="BS737" s="60"/>
      <x:c r="BT737" s="58"/>
      <x:c r="BU737" s="47"/>
      <x:c r="BV737" s="60"/>
      <x:c r="BW737" s="58"/>
      <x:c r="BX737" s="47"/>
      <x:c r="BY737" s="60"/>
      <x:c r="BZ737" s="58"/>
      <x:c r="CA737" s="47"/>
      <x:c r="CB737" s="60"/>
      <x:c r="CC737" s="58"/>
      <x:c r="CD737" s="47"/>
      <x:c r="CE737" s="60"/>
      <x:c r="CF737" s="58"/>
      <x:c r="CG737" s="47"/>
      <x:c r="CH737" s="60"/>
      <x:c r="CI737" s="58"/>
      <x:c r="CJ737" s="47"/>
      <x:c r="CK737" s="60"/>
      <x:c r="CL737" s="58"/>
      <x:c r="CM737" s="47"/>
      <x:c r="CN737" s="60"/>
      <x:c r="CO737" s="58"/>
      <x:c r="CP737" s="47"/>
      <x:c r="CQ737" s="60"/>
      <x:c r="CR737" s="58"/>
      <x:c r="CS737" s="47"/>
      <x:c r="CT737" s="60"/>
      <x:c r="CU737" s="58"/>
      <x:c r="CV737" s="47"/>
      <x:c r="CW737" s="60"/>
      <x:c r="CX737" s="58"/>
      <x:c r="CY737" s="47"/>
      <x:c r="CZ737" s="60"/>
      <x:c r="DA737" s="58"/>
      <x:c r="DB737" s="47"/>
      <x:c r="DC737" s="60"/>
      <x:c r="DD737" s="58"/>
      <x:c r="DE737" s="47"/>
      <x:c r="DF737" s="60"/>
      <x:c r="DG737" s="58"/>
      <x:c r="DH737" s="47"/>
      <x:c r="DI737" s="60"/>
      <x:c r="DJ737" s="58"/>
      <x:c r="DK737" s="47"/>
      <x:c r="DL737" s="60"/>
      <x:c r="DM737" s="58"/>
      <x:c r="DN737" s="11"/>
      <x:c r="DO737" s="61"/>
      <x:c r="DP737" s="62"/>
      <x:c r="DQ737" s="11"/>
      <x:c r="DR737" s="61"/>
      <x:c r="DS737" s="62"/>
      <x:c r="DT737" s="11"/>
      <x:c r="DU737" s="61"/>
      <x:c r="DV737" s="62"/>
    </x:row>
    <x:row r="738" spans="1:126" x14ac:dyDescent="0.3">
      <x:c r="A738" s="47"/>
      <x:c r="B738" s="70"/>
      <x:c r="C738" s="70"/>
      <x:c r="D738" s="70"/>
      <x:c r="E738" s="70"/>
      <x:c r="F738" s="70"/>
      <x:c r="G738" s="70"/>
      <x:c r="H738" s="70"/>
      <x:c r="I738" s="70"/>
      <x:c r="J738" s="70"/>
      <x:c r="K738" s="190"/>
      <x:c r="L738" s="195"/>
      <x:c r="M738" s="192"/>
      <x:c r="N738" s="192"/>
      <x:c r="O738" s="69"/>
      <x:c r="P738" s="47"/>
      <x:c r="Q738" s="60"/>
      <x:c r="R738" s="58"/>
      <x:c r="S738" s="47"/>
      <x:c r="T738" s="60"/>
      <x:c r="U738" s="58"/>
      <x:c r="V738" s="47"/>
      <x:c r="W738" s="60"/>
      <x:c r="X738" s="58"/>
      <x:c r="Y738" s="47"/>
      <x:c r="Z738" s="60"/>
      <x:c r="AA738" s="58"/>
      <x:c r="AB738" s="47"/>
      <x:c r="AC738" s="60"/>
      <x:c r="AD738" s="58"/>
      <x:c r="AE738" s="47"/>
      <x:c r="AF738" s="60"/>
      <x:c r="AG738" s="58"/>
      <x:c r="AH738" s="47"/>
      <x:c r="AI738" s="60"/>
      <x:c r="AJ738" s="58"/>
      <x:c r="AK738" s="47"/>
      <x:c r="AL738" s="60"/>
      <x:c r="AM738" s="58"/>
      <x:c r="AN738" s="47"/>
      <x:c r="AO738" s="60"/>
      <x:c r="AP738" s="58"/>
      <x:c r="AQ738" s="47"/>
      <x:c r="AR738" s="60"/>
      <x:c r="AS738" s="58"/>
      <x:c r="AT738" s="47"/>
      <x:c r="AU738" s="60"/>
      <x:c r="AV738" s="58"/>
      <x:c r="AW738" s="47"/>
      <x:c r="AX738" s="60"/>
      <x:c r="AY738" s="58"/>
      <x:c r="AZ738" s="47"/>
      <x:c r="BA738" s="60"/>
      <x:c r="BB738" s="58"/>
      <x:c r="BC738" s="47"/>
      <x:c r="BD738" s="60"/>
      <x:c r="BE738" s="58"/>
      <x:c r="BF738" s="47"/>
      <x:c r="BG738" s="60"/>
      <x:c r="BH738" s="58"/>
      <x:c r="BI738" s="47"/>
      <x:c r="BJ738" s="60"/>
      <x:c r="BK738" s="58"/>
      <x:c r="BL738" s="47"/>
      <x:c r="BM738" s="60"/>
      <x:c r="BN738" s="58"/>
      <x:c r="BO738" s="47"/>
      <x:c r="BP738" s="60"/>
      <x:c r="BQ738" s="58"/>
      <x:c r="BR738" s="47"/>
      <x:c r="BS738" s="60"/>
      <x:c r="BT738" s="58"/>
      <x:c r="BU738" s="47"/>
      <x:c r="BV738" s="60"/>
      <x:c r="BW738" s="58"/>
      <x:c r="BX738" s="47"/>
      <x:c r="BY738" s="60"/>
      <x:c r="BZ738" s="58"/>
      <x:c r="CA738" s="47"/>
      <x:c r="CB738" s="60"/>
      <x:c r="CC738" s="58"/>
      <x:c r="CD738" s="47"/>
      <x:c r="CE738" s="60"/>
      <x:c r="CF738" s="58"/>
      <x:c r="CG738" s="47"/>
      <x:c r="CH738" s="60"/>
      <x:c r="CI738" s="58"/>
      <x:c r="CJ738" s="47"/>
      <x:c r="CK738" s="60"/>
      <x:c r="CL738" s="58"/>
      <x:c r="CM738" s="47"/>
      <x:c r="CN738" s="60"/>
      <x:c r="CO738" s="58"/>
      <x:c r="CP738" s="47"/>
      <x:c r="CQ738" s="60"/>
      <x:c r="CR738" s="58"/>
      <x:c r="CS738" s="47"/>
      <x:c r="CT738" s="60"/>
      <x:c r="CU738" s="58"/>
      <x:c r="CV738" s="47"/>
      <x:c r="CW738" s="60"/>
      <x:c r="CX738" s="58"/>
      <x:c r="CY738" s="47"/>
      <x:c r="CZ738" s="60"/>
      <x:c r="DA738" s="58"/>
      <x:c r="DB738" s="47"/>
      <x:c r="DC738" s="60"/>
      <x:c r="DD738" s="58"/>
      <x:c r="DE738" s="47"/>
      <x:c r="DF738" s="60"/>
      <x:c r="DG738" s="58"/>
      <x:c r="DH738" s="47"/>
      <x:c r="DI738" s="60"/>
      <x:c r="DJ738" s="58"/>
      <x:c r="DK738" s="47"/>
      <x:c r="DL738" s="60"/>
      <x:c r="DM738" s="58"/>
      <x:c r="DN738" s="11"/>
      <x:c r="DO738" s="61"/>
      <x:c r="DP738" s="62"/>
      <x:c r="DQ738" s="11"/>
      <x:c r="DR738" s="61"/>
      <x:c r="DS738" s="62"/>
      <x:c r="DT738" s="11"/>
      <x:c r="DU738" s="61"/>
      <x:c r="DV738" s="62"/>
    </x:row>
    <x:row r="739" spans="1:126" x14ac:dyDescent="0.3">
      <x:c r="A739" s="47"/>
      <x:c r="B739" s="70"/>
      <x:c r="C739" s="70"/>
      <x:c r="D739" s="70"/>
      <x:c r="E739" s="70"/>
      <x:c r="F739" s="70"/>
      <x:c r="G739" s="70"/>
      <x:c r="H739" s="70"/>
      <x:c r="I739" s="70"/>
      <x:c r="J739" s="70"/>
      <x:c r="K739" s="190"/>
      <x:c r="L739" s="195"/>
      <x:c r="M739" s="192"/>
      <x:c r="N739" s="192"/>
      <x:c r="O739" s="69"/>
      <x:c r="P739" s="47"/>
      <x:c r="Q739" s="60"/>
      <x:c r="R739" s="58"/>
      <x:c r="S739" s="47"/>
      <x:c r="T739" s="60"/>
      <x:c r="U739" s="58"/>
      <x:c r="V739" s="47"/>
      <x:c r="W739" s="60"/>
      <x:c r="X739" s="58"/>
      <x:c r="Y739" s="47"/>
      <x:c r="Z739" s="60"/>
      <x:c r="AA739" s="58"/>
      <x:c r="AB739" s="47"/>
      <x:c r="AC739" s="60"/>
      <x:c r="AD739" s="58"/>
      <x:c r="AE739" s="47"/>
      <x:c r="AF739" s="60"/>
      <x:c r="AG739" s="58"/>
      <x:c r="AH739" s="47"/>
      <x:c r="AI739" s="60"/>
      <x:c r="AJ739" s="58"/>
      <x:c r="AK739" s="47"/>
      <x:c r="AL739" s="60"/>
      <x:c r="AM739" s="58"/>
      <x:c r="AN739" s="47"/>
      <x:c r="AO739" s="60"/>
      <x:c r="AP739" s="58"/>
      <x:c r="AQ739" s="47"/>
      <x:c r="AR739" s="60"/>
      <x:c r="AS739" s="58"/>
      <x:c r="AT739" s="47"/>
      <x:c r="AU739" s="60"/>
      <x:c r="AV739" s="58"/>
      <x:c r="AW739" s="47"/>
      <x:c r="AX739" s="60"/>
      <x:c r="AY739" s="58"/>
      <x:c r="AZ739" s="47"/>
      <x:c r="BA739" s="60"/>
      <x:c r="BB739" s="58"/>
      <x:c r="BC739" s="47"/>
      <x:c r="BD739" s="60"/>
      <x:c r="BE739" s="58"/>
      <x:c r="BF739" s="47"/>
      <x:c r="BG739" s="60"/>
      <x:c r="BH739" s="58"/>
      <x:c r="BI739" s="47"/>
      <x:c r="BJ739" s="60"/>
      <x:c r="BK739" s="58"/>
      <x:c r="BL739" s="47"/>
      <x:c r="BM739" s="60"/>
      <x:c r="BN739" s="58"/>
      <x:c r="BO739" s="47"/>
      <x:c r="BP739" s="60"/>
      <x:c r="BQ739" s="58"/>
      <x:c r="BR739" s="47"/>
      <x:c r="BS739" s="60"/>
      <x:c r="BT739" s="58"/>
      <x:c r="BU739" s="47"/>
      <x:c r="BV739" s="60"/>
      <x:c r="BW739" s="58"/>
      <x:c r="BX739" s="47"/>
      <x:c r="BY739" s="60"/>
      <x:c r="BZ739" s="58"/>
      <x:c r="CA739" s="47"/>
      <x:c r="CB739" s="60"/>
      <x:c r="CC739" s="58"/>
      <x:c r="CD739" s="47"/>
      <x:c r="CE739" s="60"/>
      <x:c r="CF739" s="58"/>
      <x:c r="CG739" s="47"/>
      <x:c r="CH739" s="60"/>
      <x:c r="CI739" s="58"/>
      <x:c r="CJ739" s="47"/>
      <x:c r="CK739" s="60"/>
      <x:c r="CL739" s="58"/>
      <x:c r="CM739" s="47"/>
      <x:c r="CN739" s="60"/>
      <x:c r="CO739" s="58"/>
      <x:c r="CP739" s="47"/>
      <x:c r="CQ739" s="60"/>
      <x:c r="CR739" s="58"/>
      <x:c r="CS739" s="47"/>
      <x:c r="CT739" s="60"/>
      <x:c r="CU739" s="58"/>
      <x:c r="CV739" s="47"/>
      <x:c r="CW739" s="60"/>
      <x:c r="CX739" s="58"/>
      <x:c r="CY739" s="47"/>
      <x:c r="CZ739" s="60"/>
      <x:c r="DA739" s="58"/>
      <x:c r="DB739" s="47"/>
      <x:c r="DC739" s="60"/>
      <x:c r="DD739" s="58"/>
      <x:c r="DE739" s="47"/>
      <x:c r="DF739" s="60"/>
      <x:c r="DG739" s="58"/>
      <x:c r="DH739" s="47"/>
      <x:c r="DI739" s="60"/>
      <x:c r="DJ739" s="58"/>
      <x:c r="DK739" s="47"/>
      <x:c r="DL739" s="60"/>
      <x:c r="DM739" s="58"/>
      <x:c r="DN739" s="11"/>
      <x:c r="DO739" s="61"/>
      <x:c r="DP739" s="62"/>
      <x:c r="DQ739" s="11"/>
      <x:c r="DR739" s="61"/>
      <x:c r="DS739" s="62"/>
      <x:c r="DT739" s="11"/>
      <x:c r="DU739" s="61"/>
      <x:c r="DV739" s="62"/>
    </x:row>
    <x:row r="740" spans="1:126" x14ac:dyDescent="0.3">
      <x:c r="A740" s="47"/>
      <x:c r="B740" s="70"/>
      <x:c r="C740" s="70"/>
      <x:c r="D740" s="70"/>
      <x:c r="E740" s="70"/>
      <x:c r="F740" s="70"/>
      <x:c r="G740" s="70"/>
      <x:c r="H740" s="70"/>
      <x:c r="I740" s="70"/>
      <x:c r="J740" s="70"/>
      <x:c r="K740" s="190"/>
      <x:c r="L740" s="195"/>
      <x:c r="M740" s="192"/>
      <x:c r="N740" s="192"/>
      <x:c r="O740" s="69"/>
      <x:c r="P740" s="47"/>
      <x:c r="Q740" s="60"/>
      <x:c r="R740" s="58"/>
      <x:c r="S740" s="47"/>
      <x:c r="T740" s="60"/>
      <x:c r="U740" s="58"/>
      <x:c r="V740" s="47"/>
      <x:c r="W740" s="60"/>
      <x:c r="X740" s="58"/>
      <x:c r="Y740" s="47"/>
      <x:c r="Z740" s="60"/>
      <x:c r="AA740" s="58"/>
      <x:c r="AB740" s="47"/>
      <x:c r="AC740" s="60"/>
      <x:c r="AD740" s="58"/>
      <x:c r="AE740" s="47"/>
      <x:c r="AF740" s="60"/>
      <x:c r="AG740" s="58"/>
      <x:c r="AH740" s="47"/>
      <x:c r="AI740" s="60"/>
      <x:c r="AJ740" s="58"/>
      <x:c r="AK740" s="47"/>
      <x:c r="AL740" s="60"/>
      <x:c r="AM740" s="58"/>
      <x:c r="AN740" s="47"/>
      <x:c r="AO740" s="60"/>
      <x:c r="AP740" s="58"/>
      <x:c r="AQ740" s="47"/>
      <x:c r="AR740" s="60"/>
      <x:c r="AS740" s="58"/>
      <x:c r="AT740" s="47"/>
      <x:c r="AU740" s="60"/>
      <x:c r="AV740" s="58"/>
      <x:c r="AW740" s="47"/>
      <x:c r="AX740" s="60"/>
      <x:c r="AY740" s="58"/>
      <x:c r="AZ740" s="47"/>
      <x:c r="BA740" s="60"/>
      <x:c r="BB740" s="58"/>
      <x:c r="BC740" s="47"/>
      <x:c r="BD740" s="60"/>
      <x:c r="BE740" s="58"/>
      <x:c r="BF740" s="47"/>
      <x:c r="BG740" s="60"/>
      <x:c r="BH740" s="58"/>
      <x:c r="BI740" s="47"/>
      <x:c r="BJ740" s="60"/>
      <x:c r="BK740" s="58"/>
      <x:c r="BL740" s="47"/>
      <x:c r="BM740" s="60"/>
      <x:c r="BN740" s="58"/>
      <x:c r="BO740" s="47"/>
      <x:c r="BP740" s="60"/>
      <x:c r="BQ740" s="58"/>
      <x:c r="BR740" s="47"/>
      <x:c r="BS740" s="60"/>
      <x:c r="BT740" s="58"/>
      <x:c r="BU740" s="47"/>
      <x:c r="BV740" s="60"/>
      <x:c r="BW740" s="58"/>
      <x:c r="BX740" s="47"/>
      <x:c r="BY740" s="60"/>
      <x:c r="BZ740" s="58"/>
      <x:c r="CA740" s="47"/>
      <x:c r="CB740" s="60"/>
      <x:c r="CC740" s="58"/>
      <x:c r="CD740" s="47"/>
      <x:c r="CE740" s="60"/>
      <x:c r="CF740" s="58"/>
      <x:c r="CG740" s="47"/>
      <x:c r="CH740" s="60"/>
      <x:c r="CI740" s="58"/>
      <x:c r="CJ740" s="47"/>
      <x:c r="CK740" s="60"/>
      <x:c r="CL740" s="58"/>
      <x:c r="CM740" s="47"/>
      <x:c r="CN740" s="60"/>
      <x:c r="CO740" s="58"/>
      <x:c r="CP740" s="47"/>
      <x:c r="CQ740" s="60"/>
      <x:c r="CR740" s="58"/>
      <x:c r="CS740" s="47"/>
      <x:c r="CT740" s="60"/>
      <x:c r="CU740" s="58"/>
      <x:c r="CV740" s="47"/>
      <x:c r="CW740" s="60"/>
      <x:c r="CX740" s="58"/>
      <x:c r="CY740" s="47"/>
      <x:c r="CZ740" s="60"/>
      <x:c r="DA740" s="58"/>
      <x:c r="DB740" s="47"/>
      <x:c r="DC740" s="60"/>
      <x:c r="DD740" s="58"/>
      <x:c r="DE740" s="47"/>
      <x:c r="DF740" s="60"/>
      <x:c r="DG740" s="58"/>
      <x:c r="DH740" s="47"/>
      <x:c r="DI740" s="60"/>
      <x:c r="DJ740" s="58"/>
      <x:c r="DK740" s="47"/>
      <x:c r="DL740" s="60"/>
      <x:c r="DM740" s="58"/>
      <x:c r="DN740" s="11"/>
      <x:c r="DO740" s="61"/>
      <x:c r="DP740" s="62"/>
      <x:c r="DQ740" s="11"/>
      <x:c r="DR740" s="61"/>
      <x:c r="DS740" s="62"/>
      <x:c r="DT740" s="11"/>
      <x:c r="DU740" s="61"/>
      <x:c r="DV740" s="62"/>
    </x:row>
    <x:row r="741" spans="1:126" x14ac:dyDescent="0.3">
      <x:c r="A741" s="47"/>
      <x:c r="B741" s="70"/>
      <x:c r="C741" s="70"/>
      <x:c r="D741" s="70"/>
      <x:c r="E741" s="70"/>
      <x:c r="F741" s="70"/>
      <x:c r="G741" s="70"/>
      <x:c r="H741" s="70"/>
      <x:c r="I741" s="70"/>
      <x:c r="J741" s="70"/>
      <x:c r="K741" s="190"/>
      <x:c r="L741" s="195"/>
      <x:c r="M741" s="192"/>
      <x:c r="N741" s="192"/>
      <x:c r="O741" s="69"/>
      <x:c r="P741" s="47"/>
      <x:c r="Q741" s="60"/>
      <x:c r="R741" s="58"/>
      <x:c r="S741" s="47"/>
      <x:c r="T741" s="60"/>
      <x:c r="U741" s="58"/>
      <x:c r="V741" s="47"/>
      <x:c r="W741" s="60"/>
      <x:c r="X741" s="58"/>
      <x:c r="Y741" s="47"/>
      <x:c r="Z741" s="60"/>
      <x:c r="AA741" s="58"/>
      <x:c r="AB741" s="47"/>
      <x:c r="AC741" s="60"/>
      <x:c r="AD741" s="58"/>
      <x:c r="AE741" s="47"/>
      <x:c r="AF741" s="60"/>
      <x:c r="AG741" s="58"/>
      <x:c r="AH741" s="47"/>
      <x:c r="AI741" s="60"/>
      <x:c r="AJ741" s="58"/>
      <x:c r="AK741" s="47"/>
      <x:c r="AL741" s="60"/>
      <x:c r="AM741" s="58"/>
      <x:c r="AN741" s="47"/>
      <x:c r="AO741" s="60"/>
      <x:c r="AP741" s="58"/>
      <x:c r="AQ741" s="47"/>
      <x:c r="AR741" s="60"/>
      <x:c r="AS741" s="58"/>
      <x:c r="AT741" s="47"/>
      <x:c r="AU741" s="60"/>
      <x:c r="AV741" s="58"/>
      <x:c r="AW741" s="47"/>
      <x:c r="AX741" s="60"/>
      <x:c r="AY741" s="58"/>
      <x:c r="AZ741" s="47"/>
      <x:c r="BA741" s="60"/>
      <x:c r="BB741" s="58"/>
      <x:c r="BC741" s="47"/>
      <x:c r="BD741" s="60"/>
      <x:c r="BE741" s="58"/>
      <x:c r="BF741" s="47"/>
      <x:c r="BG741" s="60"/>
      <x:c r="BH741" s="58"/>
      <x:c r="BI741" s="47"/>
      <x:c r="BJ741" s="60"/>
      <x:c r="BK741" s="58"/>
      <x:c r="BL741" s="47"/>
      <x:c r="BM741" s="60"/>
      <x:c r="BN741" s="58"/>
      <x:c r="BO741" s="47"/>
      <x:c r="BP741" s="60"/>
      <x:c r="BQ741" s="58"/>
      <x:c r="BR741" s="47"/>
      <x:c r="BS741" s="60"/>
      <x:c r="BT741" s="58"/>
      <x:c r="BU741" s="47"/>
      <x:c r="BV741" s="60"/>
      <x:c r="BW741" s="58"/>
      <x:c r="BX741" s="47"/>
      <x:c r="BY741" s="60"/>
      <x:c r="BZ741" s="58"/>
      <x:c r="CA741" s="47"/>
      <x:c r="CB741" s="60"/>
      <x:c r="CC741" s="58"/>
      <x:c r="CD741" s="47"/>
      <x:c r="CE741" s="60"/>
      <x:c r="CF741" s="58"/>
      <x:c r="CG741" s="47"/>
      <x:c r="CH741" s="60"/>
      <x:c r="CI741" s="58"/>
      <x:c r="CJ741" s="47"/>
      <x:c r="CK741" s="60"/>
      <x:c r="CL741" s="58"/>
      <x:c r="CM741" s="47"/>
      <x:c r="CN741" s="60"/>
      <x:c r="CO741" s="58"/>
      <x:c r="CP741" s="47"/>
      <x:c r="CQ741" s="60"/>
      <x:c r="CR741" s="58"/>
      <x:c r="CS741" s="47"/>
      <x:c r="CT741" s="60"/>
      <x:c r="CU741" s="58"/>
      <x:c r="CV741" s="47"/>
      <x:c r="CW741" s="60"/>
      <x:c r="CX741" s="58"/>
      <x:c r="CY741" s="47"/>
      <x:c r="CZ741" s="60"/>
      <x:c r="DA741" s="58"/>
      <x:c r="DB741" s="47"/>
      <x:c r="DC741" s="60"/>
      <x:c r="DD741" s="58"/>
      <x:c r="DE741" s="47"/>
      <x:c r="DF741" s="60"/>
      <x:c r="DG741" s="58"/>
      <x:c r="DH741" s="47"/>
      <x:c r="DI741" s="60"/>
      <x:c r="DJ741" s="58"/>
      <x:c r="DK741" s="47"/>
      <x:c r="DL741" s="60"/>
      <x:c r="DM741" s="58"/>
      <x:c r="DN741" s="11"/>
      <x:c r="DO741" s="61"/>
      <x:c r="DP741" s="62"/>
      <x:c r="DQ741" s="11"/>
      <x:c r="DR741" s="61"/>
      <x:c r="DS741" s="62"/>
      <x:c r="DT741" s="11"/>
      <x:c r="DU741" s="61"/>
      <x:c r="DV741" s="62"/>
    </x:row>
    <x:row r="742" spans="1:126" x14ac:dyDescent="0.3">
      <x:c r="A742" s="47"/>
      <x:c r="B742" s="70"/>
      <x:c r="C742" s="70"/>
      <x:c r="D742" s="70"/>
      <x:c r="E742" s="70"/>
      <x:c r="F742" s="70"/>
      <x:c r="G742" s="70"/>
      <x:c r="H742" s="70"/>
      <x:c r="I742" s="70"/>
      <x:c r="J742" s="70"/>
      <x:c r="K742" s="190"/>
      <x:c r="L742" s="195"/>
      <x:c r="M742" s="192"/>
      <x:c r="N742" s="192"/>
      <x:c r="O742" s="69"/>
      <x:c r="P742" s="47"/>
      <x:c r="Q742" s="60"/>
      <x:c r="R742" s="58"/>
      <x:c r="S742" s="47"/>
      <x:c r="T742" s="60"/>
      <x:c r="U742" s="58"/>
      <x:c r="V742" s="47"/>
      <x:c r="W742" s="60"/>
      <x:c r="X742" s="58"/>
      <x:c r="Y742" s="47"/>
      <x:c r="Z742" s="60"/>
      <x:c r="AA742" s="58"/>
      <x:c r="AB742" s="47"/>
      <x:c r="AC742" s="60"/>
      <x:c r="AD742" s="58"/>
      <x:c r="AE742" s="47"/>
      <x:c r="AF742" s="60"/>
      <x:c r="AG742" s="58"/>
      <x:c r="AH742" s="47"/>
      <x:c r="AI742" s="60"/>
      <x:c r="AJ742" s="58"/>
      <x:c r="AK742" s="47"/>
      <x:c r="AL742" s="60"/>
      <x:c r="AM742" s="58"/>
      <x:c r="AN742" s="47"/>
      <x:c r="AO742" s="60"/>
      <x:c r="AP742" s="58"/>
      <x:c r="AQ742" s="47"/>
      <x:c r="AR742" s="60"/>
      <x:c r="AS742" s="58"/>
      <x:c r="AT742" s="47"/>
      <x:c r="AU742" s="60"/>
      <x:c r="AV742" s="58"/>
      <x:c r="AW742" s="47"/>
      <x:c r="AX742" s="60"/>
      <x:c r="AY742" s="58"/>
      <x:c r="AZ742" s="47"/>
      <x:c r="BA742" s="60"/>
      <x:c r="BB742" s="58"/>
      <x:c r="BC742" s="47"/>
      <x:c r="BD742" s="60"/>
      <x:c r="BE742" s="58"/>
      <x:c r="BF742" s="47"/>
      <x:c r="BG742" s="60"/>
      <x:c r="BH742" s="58"/>
      <x:c r="BI742" s="47"/>
      <x:c r="BJ742" s="60"/>
      <x:c r="BK742" s="58"/>
      <x:c r="BL742" s="47"/>
      <x:c r="BM742" s="60"/>
      <x:c r="BN742" s="58"/>
      <x:c r="BO742" s="47"/>
      <x:c r="BP742" s="60"/>
      <x:c r="BQ742" s="58"/>
      <x:c r="BR742" s="47"/>
      <x:c r="BS742" s="60"/>
      <x:c r="BT742" s="58"/>
      <x:c r="BU742" s="47"/>
      <x:c r="BV742" s="60"/>
      <x:c r="BW742" s="58"/>
      <x:c r="BX742" s="47"/>
      <x:c r="BY742" s="60"/>
      <x:c r="BZ742" s="58"/>
      <x:c r="CA742" s="47"/>
      <x:c r="CB742" s="60"/>
      <x:c r="CC742" s="58"/>
      <x:c r="CD742" s="47"/>
      <x:c r="CE742" s="60"/>
      <x:c r="CF742" s="58"/>
      <x:c r="CG742" s="47"/>
      <x:c r="CH742" s="60"/>
      <x:c r="CI742" s="58"/>
      <x:c r="CJ742" s="47"/>
      <x:c r="CK742" s="60"/>
      <x:c r="CL742" s="58"/>
      <x:c r="CM742" s="47"/>
      <x:c r="CN742" s="60"/>
      <x:c r="CO742" s="58"/>
      <x:c r="CP742" s="47"/>
      <x:c r="CQ742" s="60"/>
      <x:c r="CR742" s="58"/>
      <x:c r="CS742" s="47"/>
      <x:c r="CT742" s="60"/>
      <x:c r="CU742" s="58"/>
      <x:c r="CV742" s="47"/>
      <x:c r="CW742" s="60"/>
      <x:c r="CX742" s="58"/>
      <x:c r="CY742" s="47"/>
      <x:c r="CZ742" s="60"/>
      <x:c r="DA742" s="58"/>
      <x:c r="DB742" s="47"/>
      <x:c r="DC742" s="60"/>
      <x:c r="DD742" s="58"/>
      <x:c r="DE742" s="47"/>
      <x:c r="DF742" s="60"/>
      <x:c r="DG742" s="58"/>
      <x:c r="DH742" s="47"/>
      <x:c r="DI742" s="60"/>
      <x:c r="DJ742" s="58"/>
      <x:c r="DK742" s="47"/>
      <x:c r="DL742" s="60"/>
      <x:c r="DM742" s="58"/>
      <x:c r="DN742" s="11"/>
      <x:c r="DO742" s="61"/>
      <x:c r="DP742" s="62"/>
      <x:c r="DQ742" s="11"/>
      <x:c r="DR742" s="61"/>
      <x:c r="DS742" s="62"/>
      <x:c r="DT742" s="11"/>
      <x:c r="DU742" s="61"/>
      <x:c r="DV742" s="62"/>
    </x:row>
    <x:row r="743" spans="1:126" x14ac:dyDescent="0.3">
      <x:c r="A743" s="47"/>
      <x:c r="B743" s="70"/>
      <x:c r="C743" s="70"/>
      <x:c r="D743" s="70"/>
      <x:c r="E743" s="70"/>
      <x:c r="F743" s="70"/>
      <x:c r="G743" s="70"/>
      <x:c r="H743" s="70"/>
      <x:c r="I743" s="70"/>
      <x:c r="J743" s="70"/>
      <x:c r="K743" s="190"/>
      <x:c r="L743" s="195"/>
      <x:c r="M743" s="192"/>
      <x:c r="N743" s="192"/>
      <x:c r="O743" s="69"/>
      <x:c r="P743" s="47"/>
      <x:c r="Q743" s="60"/>
      <x:c r="R743" s="58"/>
      <x:c r="S743" s="47"/>
      <x:c r="T743" s="60"/>
      <x:c r="U743" s="58"/>
      <x:c r="V743" s="47"/>
      <x:c r="W743" s="60"/>
      <x:c r="X743" s="58"/>
      <x:c r="Y743" s="47"/>
      <x:c r="Z743" s="60"/>
      <x:c r="AA743" s="58"/>
      <x:c r="AB743" s="47"/>
      <x:c r="AC743" s="60"/>
      <x:c r="AD743" s="58"/>
      <x:c r="AE743" s="47"/>
      <x:c r="AF743" s="60"/>
      <x:c r="AG743" s="58"/>
      <x:c r="AH743" s="47"/>
      <x:c r="AI743" s="60"/>
      <x:c r="AJ743" s="58"/>
      <x:c r="AK743" s="47"/>
      <x:c r="AL743" s="60"/>
      <x:c r="AM743" s="58"/>
      <x:c r="AN743" s="47"/>
      <x:c r="AO743" s="60"/>
      <x:c r="AP743" s="58"/>
      <x:c r="AQ743" s="47"/>
      <x:c r="AR743" s="60"/>
      <x:c r="AS743" s="58"/>
      <x:c r="AT743" s="47"/>
      <x:c r="AU743" s="60"/>
      <x:c r="AV743" s="58"/>
      <x:c r="AW743" s="47"/>
      <x:c r="AX743" s="60"/>
      <x:c r="AY743" s="58"/>
      <x:c r="AZ743" s="47"/>
      <x:c r="BA743" s="60"/>
      <x:c r="BB743" s="58"/>
      <x:c r="BC743" s="47"/>
      <x:c r="BD743" s="60"/>
      <x:c r="BE743" s="58"/>
      <x:c r="BF743" s="47"/>
      <x:c r="BG743" s="60"/>
      <x:c r="BH743" s="58"/>
      <x:c r="BI743" s="47"/>
      <x:c r="BJ743" s="60"/>
      <x:c r="BK743" s="58"/>
      <x:c r="BL743" s="47"/>
      <x:c r="BM743" s="60"/>
      <x:c r="BN743" s="58"/>
      <x:c r="BO743" s="47"/>
      <x:c r="BP743" s="60"/>
      <x:c r="BQ743" s="58"/>
      <x:c r="BR743" s="47"/>
      <x:c r="BS743" s="60"/>
      <x:c r="BT743" s="58"/>
      <x:c r="BU743" s="47"/>
      <x:c r="BV743" s="60"/>
      <x:c r="BW743" s="58"/>
      <x:c r="BX743" s="47"/>
      <x:c r="BY743" s="60"/>
      <x:c r="BZ743" s="58"/>
      <x:c r="CA743" s="47"/>
      <x:c r="CB743" s="60"/>
      <x:c r="CC743" s="58"/>
      <x:c r="CD743" s="47"/>
      <x:c r="CE743" s="60"/>
      <x:c r="CF743" s="58"/>
      <x:c r="CG743" s="47"/>
      <x:c r="CH743" s="60"/>
      <x:c r="CI743" s="58"/>
      <x:c r="CJ743" s="47"/>
      <x:c r="CK743" s="60"/>
      <x:c r="CL743" s="58"/>
      <x:c r="CM743" s="47"/>
      <x:c r="CN743" s="60"/>
      <x:c r="CO743" s="58"/>
      <x:c r="CP743" s="47"/>
      <x:c r="CQ743" s="60"/>
      <x:c r="CR743" s="58"/>
      <x:c r="CS743" s="47"/>
      <x:c r="CT743" s="60"/>
      <x:c r="CU743" s="58"/>
      <x:c r="CV743" s="47"/>
      <x:c r="CW743" s="60"/>
      <x:c r="CX743" s="58"/>
      <x:c r="CY743" s="47"/>
      <x:c r="CZ743" s="60"/>
      <x:c r="DA743" s="58"/>
      <x:c r="DB743" s="47"/>
      <x:c r="DC743" s="60"/>
      <x:c r="DD743" s="58"/>
      <x:c r="DE743" s="47"/>
      <x:c r="DF743" s="60"/>
      <x:c r="DG743" s="58"/>
      <x:c r="DH743" s="47"/>
      <x:c r="DI743" s="60"/>
      <x:c r="DJ743" s="58"/>
      <x:c r="DK743" s="47"/>
      <x:c r="DL743" s="60"/>
      <x:c r="DM743" s="58"/>
      <x:c r="DN743" s="11"/>
      <x:c r="DO743" s="61"/>
      <x:c r="DP743" s="62"/>
      <x:c r="DQ743" s="11"/>
      <x:c r="DR743" s="61"/>
      <x:c r="DS743" s="62"/>
      <x:c r="DT743" s="11"/>
      <x:c r="DU743" s="61"/>
      <x:c r="DV743" s="62"/>
    </x:row>
    <x:row r="744" spans="1:126" x14ac:dyDescent="0.3">
      <x:c r="A744" s="47"/>
      <x:c r="B744" s="70"/>
      <x:c r="C744" s="70"/>
      <x:c r="D744" s="70"/>
      <x:c r="E744" s="70"/>
      <x:c r="F744" s="70"/>
      <x:c r="G744" s="70"/>
      <x:c r="H744" s="70"/>
      <x:c r="I744" s="70"/>
      <x:c r="J744" s="70"/>
      <x:c r="K744" s="190"/>
      <x:c r="L744" s="195"/>
      <x:c r="M744" s="192"/>
      <x:c r="N744" s="192"/>
      <x:c r="O744" s="69"/>
      <x:c r="P744" s="47"/>
      <x:c r="Q744" s="60"/>
      <x:c r="R744" s="58"/>
      <x:c r="S744" s="47"/>
      <x:c r="T744" s="60"/>
      <x:c r="U744" s="58"/>
      <x:c r="V744" s="47"/>
      <x:c r="W744" s="60"/>
      <x:c r="X744" s="58"/>
      <x:c r="Y744" s="47"/>
      <x:c r="Z744" s="60"/>
      <x:c r="AA744" s="58"/>
      <x:c r="AB744" s="47"/>
      <x:c r="AC744" s="60"/>
      <x:c r="AD744" s="58"/>
      <x:c r="AE744" s="47"/>
      <x:c r="AF744" s="60"/>
      <x:c r="AG744" s="58"/>
      <x:c r="AH744" s="47"/>
      <x:c r="AI744" s="60"/>
      <x:c r="AJ744" s="58"/>
      <x:c r="AK744" s="47"/>
      <x:c r="AL744" s="60"/>
      <x:c r="AM744" s="58"/>
      <x:c r="AN744" s="47"/>
      <x:c r="AO744" s="60"/>
      <x:c r="AP744" s="58"/>
      <x:c r="AQ744" s="47"/>
      <x:c r="AR744" s="60"/>
      <x:c r="AS744" s="58"/>
      <x:c r="AT744" s="47"/>
      <x:c r="AU744" s="60"/>
      <x:c r="AV744" s="58"/>
      <x:c r="AW744" s="47"/>
      <x:c r="AX744" s="60"/>
      <x:c r="AY744" s="58"/>
      <x:c r="AZ744" s="47"/>
      <x:c r="BA744" s="60"/>
      <x:c r="BB744" s="58"/>
      <x:c r="BC744" s="47"/>
      <x:c r="BD744" s="60"/>
      <x:c r="BE744" s="58"/>
      <x:c r="BF744" s="47"/>
      <x:c r="BG744" s="60"/>
      <x:c r="BH744" s="58"/>
      <x:c r="BI744" s="47"/>
      <x:c r="BJ744" s="60"/>
      <x:c r="BK744" s="58"/>
      <x:c r="BL744" s="47"/>
      <x:c r="BM744" s="60"/>
      <x:c r="BN744" s="58"/>
      <x:c r="BO744" s="47"/>
      <x:c r="BP744" s="60"/>
      <x:c r="BQ744" s="58"/>
      <x:c r="BR744" s="47"/>
      <x:c r="BS744" s="60"/>
      <x:c r="BT744" s="58"/>
      <x:c r="BU744" s="47"/>
      <x:c r="BV744" s="60"/>
      <x:c r="BW744" s="58"/>
      <x:c r="BX744" s="47"/>
      <x:c r="BY744" s="60"/>
      <x:c r="BZ744" s="58"/>
      <x:c r="CA744" s="47"/>
      <x:c r="CB744" s="60"/>
      <x:c r="CC744" s="58"/>
      <x:c r="CD744" s="47"/>
      <x:c r="CE744" s="60"/>
      <x:c r="CF744" s="58"/>
      <x:c r="CG744" s="47"/>
      <x:c r="CH744" s="60"/>
      <x:c r="CI744" s="58"/>
      <x:c r="CJ744" s="47"/>
      <x:c r="CK744" s="60"/>
      <x:c r="CL744" s="58"/>
      <x:c r="CM744" s="47"/>
      <x:c r="CN744" s="60"/>
      <x:c r="CO744" s="58"/>
      <x:c r="CP744" s="47"/>
      <x:c r="CQ744" s="60"/>
      <x:c r="CR744" s="58"/>
      <x:c r="CS744" s="47"/>
      <x:c r="CT744" s="60"/>
      <x:c r="CU744" s="58"/>
      <x:c r="CV744" s="47"/>
      <x:c r="CW744" s="60"/>
      <x:c r="CX744" s="58"/>
      <x:c r="CY744" s="47"/>
      <x:c r="CZ744" s="60"/>
      <x:c r="DA744" s="58"/>
      <x:c r="DB744" s="47"/>
      <x:c r="DC744" s="60"/>
      <x:c r="DD744" s="58"/>
      <x:c r="DE744" s="47"/>
      <x:c r="DF744" s="60"/>
      <x:c r="DG744" s="58"/>
      <x:c r="DH744" s="47"/>
      <x:c r="DI744" s="60"/>
      <x:c r="DJ744" s="58"/>
      <x:c r="DK744" s="47"/>
      <x:c r="DL744" s="60"/>
      <x:c r="DM744" s="58"/>
      <x:c r="DN744" s="11"/>
      <x:c r="DO744" s="61"/>
      <x:c r="DP744" s="62"/>
      <x:c r="DQ744" s="11"/>
      <x:c r="DR744" s="61"/>
      <x:c r="DS744" s="62"/>
      <x:c r="DT744" s="11"/>
      <x:c r="DU744" s="61"/>
      <x:c r="DV744" s="62"/>
    </x:row>
    <x:row r="745" spans="1:126" x14ac:dyDescent="0.3">
      <x:c r="A745" s="47"/>
      <x:c r="B745" s="70"/>
      <x:c r="C745" s="70"/>
      <x:c r="D745" s="70"/>
      <x:c r="E745" s="70"/>
      <x:c r="F745" s="70"/>
      <x:c r="G745" s="70"/>
      <x:c r="H745" s="70"/>
      <x:c r="I745" s="70"/>
      <x:c r="J745" s="70"/>
      <x:c r="K745" s="190"/>
      <x:c r="L745" s="195"/>
      <x:c r="M745" s="192"/>
      <x:c r="N745" s="192"/>
      <x:c r="O745" s="69"/>
      <x:c r="P745" s="47"/>
      <x:c r="Q745" s="60"/>
      <x:c r="R745" s="58"/>
      <x:c r="S745" s="47"/>
      <x:c r="T745" s="60"/>
      <x:c r="U745" s="58"/>
      <x:c r="V745" s="47"/>
      <x:c r="W745" s="60"/>
      <x:c r="X745" s="58"/>
      <x:c r="Y745" s="47"/>
      <x:c r="Z745" s="60"/>
      <x:c r="AA745" s="58"/>
      <x:c r="AB745" s="47"/>
      <x:c r="AC745" s="60"/>
      <x:c r="AD745" s="58"/>
      <x:c r="AE745" s="47"/>
      <x:c r="AF745" s="60"/>
      <x:c r="AG745" s="58"/>
      <x:c r="AH745" s="47"/>
      <x:c r="AI745" s="60"/>
      <x:c r="AJ745" s="58"/>
      <x:c r="AK745" s="47"/>
      <x:c r="AL745" s="60"/>
      <x:c r="AM745" s="58"/>
      <x:c r="AN745" s="47"/>
      <x:c r="AO745" s="60"/>
      <x:c r="AP745" s="58"/>
      <x:c r="AQ745" s="47"/>
      <x:c r="AR745" s="60"/>
      <x:c r="AS745" s="58"/>
      <x:c r="AT745" s="47"/>
      <x:c r="AU745" s="60"/>
      <x:c r="AV745" s="58"/>
      <x:c r="AW745" s="47"/>
      <x:c r="AX745" s="60"/>
      <x:c r="AY745" s="58"/>
      <x:c r="AZ745" s="47"/>
      <x:c r="BA745" s="60"/>
      <x:c r="BB745" s="58"/>
      <x:c r="BC745" s="47"/>
      <x:c r="BD745" s="60"/>
      <x:c r="BE745" s="58"/>
      <x:c r="BF745" s="47"/>
      <x:c r="BG745" s="60"/>
      <x:c r="BH745" s="58"/>
      <x:c r="BI745" s="47"/>
      <x:c r="BJ745" s="60"/>
      <x:c r="BK745" s="58"/>
      <x:c r="BL745" s="47"/>
      <x:c r="BM745" s="60"/>
      <x:c r="BN745" s="58"/>
      <x:c r="BO745" s="47"/>
      <x:c r="BP745" s="60"/>
      <x:c r="BQ745" s="58"/>
      <x:c r="BR745" s="47"/>
      <x:c r="BS745" s="60"/>
      <x:c r="BT745" s="58"/>
      <x:c r="BU745" s="47"/>
      <x:c r="BV745" s="60"/>
      <x:c r="BW745" s="58"/>
      <x:c r="BX745" s="47"/>
      <x:c r="BY745" s="60"/>
      <x:c r="BZ745" s="58"/>
      <x:c r="CA745" s="47"/>
      <x:c r="CB745" s="60"/>
      <x:c r="CC745" s="58"/>
      <x:c r="CD745" s="47"/>
      <x:c r="CE745" s="60"/>
      <x:c r="CF745" s="58"/>
      <x:c r="CG745" s="47"/>
      <x:c r="CH745" s="60"/>
      <x:c r="CI745" s="58"/>
      <x:c r="CJ745" s="47"/>
      <x:c r="CK745" s="60"/>
      <x:c r="CL745" s="58"/>
      <x:c r="CM745" s="47"/>
      <x:c r="CN745" s="60"/>
      <x:c r="CO745" s="58"/>
      <x:c r="CP745" s="47"/>
      <x:c r="CQ745" s="60"/>
      <x:c r="CR745" s="58"/>
      <x:c r="CS745" s="47"/>
      <x:c r="CT745" s="60"/>
      <x:c r="CU745" s="58"/>
      <x:c r="CV745" s="47"/>
      <x:c r="CW745" s="60"/>
      <x:c r="CX745" s="58"/>
      <x:c r="CY745" s="47"/>
      <x:c r="CZ745" s="60"/>
      <x:c r="DA745" s="58"/>
      <x:c r="DB745" s="47"/>
      <x:c r="DC745" s="60"/>
      <x:c r="DD745" s="58"/>
      <x:c r="DE745" s="47"/>
      <x:c r="DF745" s="60"/>
      <x:c r="DG745" s="58"/>
      <x:c r="DH745" s="47"/>
      <x:c r="DI745" s="60"/>
      <x:c r="DJ745" s="58"/>
      <x:c r="DK745" s="47"/>
      <x:c r="DL745" s="60"/>
      <x:c r="DM745" s="58"/>
      <x:c r="DN745" s="11"/>
      <x:c r="DO745" s="61"/>
      <x:c r="DP745" s="62"/>
      <x:c r="DQ745" s="11"/>
      <x:c r="DR745" s="61"/>
      <x:c r="DS745" s="62"/>
      <x:c r="DT745" s="11"/>
      <x:c r="DU745" s="61"/>
      <x:c r="DV745" s="62"/>
    </x:row>
    <x:row r="746" spans="1:126" x14ac:dyDescent="0.3">
      <x:c r="A746" s="47"/>
      <x:c r="B746" s="70"/>
      <x:c r="C746" s="70"/>
      <x:c r="D746" s="70"/>
      <x:c r="E746" s="70"/>
      <x:c r="F746" s="70"/>
      <x:c r="G746" s="70"/>
      <x:c r="H746" s="70"/>
      <x:c r="I746" s="70"/>
      <x:c r="J746" s="70"/>
      <x:c r="K746" s="190"/>
      <x:c r="L746" s="195"/>
      <x:c r="M746" s="192"/>
      <x:c r="N746" s="192"/>
      <x:c r="O746" s="69"/>
      <x:c r="P746" s="47"/>
      <x:c r="Q746" s="60"/>
      <x:c r="R746" s="58"/>
      <x:c r="S746" s="47"/>
      <x:c r="T746" s="60"/>
      <x:c r="U746" s="58"/>
      <x:c r="V746" s="47"/>
      <x:c r="W746" s="60"/>
      <x:c r="X746" s="58"/>
      <x:c r="Y746" s="47"/>
      <x:c r="Z746" s="60"/>
      <x:c r="AA746" s="58"/>
      <x:c r="AB746" s="47"/>
      <x:c r="AC746" s="60"/>
      <x:c r="AD746" s="58"/>
      <x:c r="AE746" s="47"/>
      <x:c r="AF746" s="60"/>
      <x:c r="AG746" s="58"/>
      <x:c r="AH746" s="47"/>
      <x:c r="AI746" s="60"/>
      <x:c r="AJ746" s="58"/>
      <x:c r="AK746" s="47"/>
      <x:c r="AL746" s="60"/>
      <x:c r="AM746" s="58"/>
      <x:c r="AN746" s="47"/>
      <x:c r="AO746" s="60"/>
      <x:c r="AP746" s="58"/>
      <x:c r="AQ746" s="47"/>
      <x:c r="AR746" s="60"/>
      <x:c r="AS746" s="58"/>
      <x:c r="AT746" s="47"/>
      <x:c r="AU746" s="60"/>
      <x:c r="AV746" s="58"/>
      <x:c r="AW746" s="47"/>
      <x:c r="AX746" s="60"/>
      <x:c r="AY746" s="58"/>
      <x:c r="AZ746" s="47"/>
      <x:c r="BA746" s="60"/>
      <x:c r="BB746" s="58"/>
      <x:c r="BC746" s="47"/>
      <x:c r="BD746" s="60"/>
      <x:c r="BE746" s="58"/>
      <x:c r="BF746" s="47"/>
      <x:c r="BG746" s="60"/>
      <x:c r="BH746" s="58"/>
      <x:c r="BI746" s="47"/>
      <x:c r="BJ746" s="60"/>
      <x:c r="BK746" s="58"/>
      <x:c r="BL746" s="47"/>
      <x:c r="BM746" s="60"/>
      <x:c r="BN746" s="58"/>
      <x:c r="BO746" s="47"/>
      <x:c r="BP746" s="60"/>
      <x:c r="BQ746" s="58"/>
      <x:c r="BR746" s="47"/>
      <x:c r="BS746" s="60"/>
      <x:c r="BT746" s="58"/>
      <x:c r="BU746" s="47"/>
      <x:c r="BV746" s="60"/>
      <x:c r="BW746" s="58"/>
      <x:c r="BX746" s="47"/>
      <x:c r="BY746" s="60"/>
      <x:c r="BZ746" s="58"/>
      <x:c r="CA746" s="47"/>
      <x:c r="CB746" s="60"/>
      <x:c r="CC746" s="58"/>
      <x:c r="CD746" s="47"/>
      <x:c r="CE746" s="60"/>
      <x:c r="CF746" s="58"/>
      <x:c r="CG746" s="47"/>
      <x:c r="CH746" s="60"/>
      <x:c r="CI746" s="58"/>
      <x:c r="CJ746" s="47"/>
      <x:c r="CK746" s="60"/>
      <x:c r="CL746" s="58"/>
      <x:c r="CM746" s="47"/>
      <x:c r="CN746" s="60"/>
      <x:c r="CO746" s="58"/>
      <x:c r="CP746" s="47"/>
      <x:c r="CQ746" s="60"/>
      <x:c r="CR746" s="58"/>
      <x:c r="CS746" s="47"/>
      <x:c r="CT746" s="60"/>
      <x:c r="CU746" s="58"/>
      <x:c r="CV746" s="47"/>
      <x:c r="CW746" s="60"/>
      <x:c r="CX746" s="58"/>
      <x:c r="CY746" s="47"/>
      <x:c r="CZ746" s="60"/>
      <x:c r="DA746" s="58"/>
      <x:c r="DB746" s="47"/>
      <x:c r="DC746" s="60"/>
      <x:c r="DD746" s="58"/>
      <x:c r="DE746" s="47"/>
      <x:c r="DF746" s="60"/>
      <x:c r="DG746" s="58"/>
      <x:c r="DH746" s="47"/>
      <x:c r="DI746" s="60"/>
      <x:c r="DJ746" s="58"/>
      <x:c r="DK746" s="47"/>
      <x:c r="DL746" s="60"/>
      <x:c r="DM746" s="58"/>
      <x:c r="DN746" s="11"/>
      <x:c r="DO746" s="61"/>
      <x:c r="DP746" s="62"/>
      <x:c r="DQ746" s="11"/>
      <x:c r="DR746" s="61"/>
      <x:c r="DS746" s="62"/>
      <x:c r="DT746" s="11"/>
      <x:c r="DU746" s="61"/>
      <x:c r="DV746" s="62"/>
    </x:row>
    <x:row r="747" spans="1:126" x14ac:dyDescent="0.3">
      <x:c r="A747" s="47"/>
      <x:c r="B747" s="70"/>
      <x:c r="C747" s="70"/>
      <x:c r="D747" s="70"/>
      <x:c r="E747" s="70"/>
      <x:c r="F747" s="70"/>
      <x:c r="G747" s="70"/>
      <x:c r="H747" s="70"/>
      <x:c r="I747" s="70"/>
      <x:c r="J747" s="70"/>
      <x:c r="K747" s="190"/>
      <x:c r="L747" s="195"/>
      <x:c r="M747" s="192"/>
      <x:c r="N747" s="192"/>
      <x:c r="O747" s="69"/>
      <x:c r="P747" s="47"/>
      <x:c r="Q747" s="60"/>
      <x:c r="R747" s="58"/>
      <x:c r="S747" s="47"/>
      <x:c r="T747" s="60"/>
      <x:c r="U747" s="58"/>
      <x:c r="V747" s="47"/>
      <x:c r="W747" s="60"/>
      <x:c r="X747" s="58"/>
      <x:c r="Y747" s="47"/>
      <x:c r="Z747" s="60"/>
      <x:c r="AA747" s="58"/>
      <x:c r="AB747" s="47"/>
      <x:c r="AC747" s="60"/>
      <x:c r="AD747" s="58"/>
      <x:c r="AE747" s="47"/>
      <x:c r="AF747" s="60"/>
      <x:c r="AG747" s="58"/>
      <x:c r="AH747" s="47"/>
      <x:c r="AI747" s="60"/>
      <x:c r="AJ747" s="58"/>
      <x:c r="AK747" s="47"/>
      <x:c r="AL747" s="60"/>
      <x:c r="AM747" s="58"/>
      <x:c r="AN747" s="47"/>
      <x:c r="AO747" s="60"/>
      <x:c r="AP747" s="58"/>
      <x:c r="AQ747" s="47"/>
      <x:c r="AR747" s="60"/>
      <x:c r="AS747" s="58"/>
      <x:c r="AT747" s="47"/>
      <x:c r="AU747" s="60"/>
      <x:c r="AV747" s="58"/>
      <x:c r="AW747" s="47"/>
      <x:c r="AX747" s="60"/>
      <x:c r="AY747" s="58"/>
      <x:c r="AZ747" s="47"/>
      <x:c r="BA747" s="60"/>
      <x:c r="BB747" s="58"/>
      <x:c r="BC747" s="47"/>
      <x:c r="BD747" s="60"/>
      <x:c r="BE747" s="58"/>
      <x:c r="BF747" s="47"/>
      <x:c r="BG747" s="60"/>
      <x:c r="BH747" s="58"/>
      <x:c r="BI747" s="47"/>
      <x:c r="BJ747" s="60"/>
      <x:c r="BK747" s="58"/>
      <x:c r="BL747" s="47"/>
      <x:c r="BM747" s="60"/>
      <x:c r="BN747" s="58"/>
      <x:c r="BO747" s="47"/>
      <x:c r="BP747" s="60"/>
      <x:c r="BQ747" s="58"/>
      <x:c r="BR747" s="47"/>
      <x:c r="BS747" s="60"/>
      <x:c r="BT747" s="58"/>
      <x:c r="BU747" s="47"/>
      <x:c r="BV747" s="60"/>
      <x:c r="BW747" s="58"/>
      <x:c r="BX747" s="47"/>
      <x:c r="BY747" s="60"/>
      <x:c r="BZ747" s="58"/>
      <x:c r="CA747" s="47"/>
      <x:c r="CB747" s="60"/>
      <x:c r="CC747" s="58"/>
      <x:c r="CD747" s="47"/>
      <x:c r="CE747" s="60"/>
      <x:c r="CF747" s="58"/>
      <x:c r="CG747" s="47"/>
      <x:c r="CH747" s="60"/>
      <x:c r="CI747" s="58"/>
      <x:c r="CJ747" s="47"/>
      <x:c r="CK747" s="60"/>
      <x:c r="CL747" s="58"/>
      <x:c r="CM747" s="47"/>
      <x:c r="CN747" s="60"/>
      <x:c r="CO747" s="58"/>
      <x:c r="CP747" s="47"/>
      <x:c r="CQ747" s="60"/>
      <x:c r="CR747" s="58"/>
      <x:c r="CS747" s="47"/>
      <x:c r="CT747" s="60"/>
      <x:c r="CU747" s="58"/>
      <x:c r="CV747" s="47"/>
      <x:c r="CW747" s="60"/>
      <x:c r="CX747" s="58"/>
      <x:c r="CY747" s="47"/>
      <x:c r="CZ747" s="60"/>
      <x:c r="DA747" s="58"/>
      <x:c r="DB747" s="47"/>
      <x:c r="DC747" s="60"/>
      <x:c r="DD747" s="58"/>
      <x:c r="DE747" s="47"/>
      <x:c r="DF747" s="60"/>
      <x:c r="DG747" s="58"/>
      <x:c r="DH747" s="47"/>
      <x:c r="DI747" s="60"/>
      <x:c r="DJ747" s="58"/>
      <x:c r="DK747" s="47"/>
      <x:c r="DL747" s="60"/>
      <x:c r="DM747" s="58"/>
      <x:c r="DN747" s="11"/>
      <x:c r="DO747" s="61"/>
      <x:c r="DP747" s="62"/>
      <x:c r="DQ747" s="11"/>
      <x:c r="DR747" s="61"/>
      <x:c r="DS747" s="62"/>
      <x:c r="DT747" s="11"/>
      <x:c r="DU747" s="61"/>
      <x:c r="DV747" s="62"/>
    </x:row>
    <x:row r="748" spans="1:126" x14ac:dyDescent="0.3">
      <x:c r="A748" s="47"/>
      <x:c r="B748" s="70"/>
      <x:c r="C748" s="70"/>
      <x:c r="D748" s="70"/>
      <x:c r="E748" s="70"/>
      <x:c r="F748" s="70"/>
      <x:c r="G748" s="70"/>
      <x:c r="H748" s="70"/>
      <x:c r="I748" s="70"/>
      <x:c r="J748" s="70"/>
      <x:c r="K748" s="190"/>
      <x:c r="L748" s="195"/>
      <x:c r="M748" s="192"/>
      <x:c r="N748" s="192"/>
      <x:c r="O748" s="69"/>
      <x:c r="P748" s="47"/>
      <x:c r="Q748" s="60"/>
      <x:c r="R748" s="58"/>
      <x:c r="S748" s="47"/>
      <x:c r="T748" s="60"/>
      <x:c r="U748" s="58"/>
      <x:c r="V748" s="47"/>
      <x:c r="W748" s="60"/>
      <x:c r="X748" s="58"/>
      <x:c r="Y748" s="47"/>
      <x:c r="Z748" s="60"/>
      <x:c r="AA748" s="58"/>
      <x:c r="AB748" s="47"/>
      <x:c r="AC748" s="60"/>
      <x:c r="AD748" s="58"/>
      <x:c r="AE748" s="47"/>
      <x:c r="AF748" s="60"/>
      <x:c r="AG748" s="58"/>
      <x:c r="AH748" s="47"/>
      <x:c r="AI748" s="60"/>
      <x:c r="AJ748" s="58"/>
      <x:c r="AK748" s="47"/>
      <x:c r="AL748" s="60"/>
      <x:c r="AM748" s="58"/>
      <x:c r="AN748" s="47"/>
      <x:c r="AO748" s="60"/>
      <x:c r="AP748" s="58"/>
      <x:c r="AQ748" s="47"/>
      <x:c r="AR748" s="60"/>
      <x:c r="AS748" s="58"/>
      <x:c r="AT748" s="47"/>
      <x:c r="AU748" s="60"/>
      <x:c r="AV748" s="58"/>
      <x:c r="AW748" s="47"/>
      <x:c r="AX748" s="60"/>
      <x:c r="AY748" s="58"/>
      <x:c r="AZ748" s="47"/>
      <x:c r="BA748" s="60"/>
      <x:c r="BB748" s="58"/>
      <x:c r="BC748" s="47"/>
      <x:c r="BD748" s="60"/>
      <x:c r="BE748" s="58"/>
      <x:c r="BF748" s="47"/>
      <x:c r="BG748" s="60"/>
      <x:c r="BH748" s="58"/>
      <x:c r="BI748" s="47"/>
      <x:c r="BJ748" s="60"/>
      <x:c r="BK748" s="58"/>
      <x:c r="BL748" s="47"/>
      <x:c r="BM748" s="60"/>
      <x:c r="BN748" s="58"/>
      <x:c r="BO748" s="47"/>
      <x:c r="BP748" s="60"/>
      <x:c r="BQ748" s="58"/>
      <x:c r="BR748" s="47"/>
      <x:c r="BS748" s="60"/>
      <x:c r="BT748" s="58"/>
      <x:c r="BU748" s="47"/>
      <x:c r="BV748" s="60"/>
      <x:c r="BW748" s="58"/>
      <x:c r="BX748" s="47"/>
      <x:c r="BY748" s="60"/>
      <x:c r="BZ748" s="58"/>
      <x:c r="CA748" s="47"/>
      <x:c r="CB748" s="60"/>
      <x:c r="CC748" s="58"/>
      <x:c r="CD748" s="47"/>
      <x:c r="CE748" s="60"/>
      <x:c r="CF748" s="58"/>
      <x:c r="CG748" s="47"/>
      <x:c r="CH748" s="60"/>
      <x:c r="CI748" s="58"/>
      <x:c r="CJ748" s="47"/>
      <x:c r="CK748" s="60"/>
      <x:c r="CL748" s="58"/>
      <x:c r="CM748" s="47"/>
      <x:c r="CN748" s="60"/>
      <x:c r="CO748" s="58"/>
      <x:c r="CP748" s="47"/>
      <x:c r="CQ748" s="60"/>
      <x:c r="CR748" s="58"/>
      <x:c r="CS748" s="47"/>
      <x:c r="CT748" s="60"/>
      <x:c r="CU748" s="58"/>
      <x:c r="CV748" s="47"/>
      <x:c r="CW748" s="60"/>
      <x:c r="CX748" s="58"/>
      <x:c r="CY748" s="47"/>
      <x:c r="CZ748" s="60"/>
      <x:c r="DA748" s="58"/>
      <x:c r="DB748" s="47"/>
      <x:c r="DC748" s="60"/>
      <x:c r="DD748" s="58"/>
      <x:c r="DE748" s="47"/>
      <x:c r="DF748" s="60"/>
      <x:c r="DG748" s="58"/>
      <x:c r="DH748" s="47"/>
      <x:c r="DI748" s="60"/>
      <x:c r="DJ748" s="58"/>
      <x:c r="DK748" s="47"/>
      <x:c r="DL748" s="60"/>
      <x:c r="DM748" s="58"/>
      <x:c r="DN748" s="11"/>
      <x:c r="DO748" s="61"/>
      <x:c r="DP748" s="62"/>
      <x:c r="DQ748" s="11"/>
      <x:c r="DR748" s="61"/>
      <x:c r="DS748" s="62"/>
      <x:c r="DT748" s="11"/>
      <x:c r="DU748" s="61"/>
      <x:c r="DV748" s="62"/>
    </x:row>
    <x:row r="749" spans="1:126" x14ac:dyDescent="0.3">
      <x:c r="A749" s="47"/>
      <x:c r="B749" s="70"/>
      <x:c r="C749" s="70"/>
      <x:c r="D749" s="70"/>
      <x:c r="E749" s="70"/>
      <x:c r="F749" s="70"/>
      <x:c r="G749" s="70"/>
      <x:c r="H749" s="70"/>
      <x:c r="I749" s="70"/>
      <x:c r="J749" s="70"/>
      <x:c r="K749" s="190"/>
      <x:c r="L749" s="195"/>
      <x:c r="M749" s="192"/>
      <x:c r="N749" s="192"/>
      <x:c r="O749" s="69"/>
      <x:c r="P749" s="47"/>
      <x:c r="Q749" s="60"/>
      <x:c r="R749" s="58"/>
      <x:c r="S749" s="47"/>
      <x:c r="T749" s="60"/>
      <x:c r="U749" s="58"/>
      <x:c r="V749" s="47"/>
      <x:c r="W749" s="60"/>
      <x:c r="X749" s="58"/>
      <x:c r="Y749" s="47"/>
      <x:c r="Z749" s="60"/>
      <x:c r="AA749" s="58"/>
      <x:c r="AB749" s="47"/>
      <x:c r="AC749" s="60"/>
      <x:c r="AD749" s="58"/>
      <x:c r="AE749" s="47"/>
      <x:c r="AF749" s="60"/>
      <x:c r="AG749" s="58"/>
      <x:c r="AH749" s="47"/>
      <x:c r="AI749" s="60"/>
      <x:c r="AJ749" s="58"/>
      <x:c r="AK749" s="47"/>
      <x:c r="AL749" s="60"/>
      <x:c r="AM749" s="58"/>
      <x:c r="AN749" s="47"/>
      <x:c r="AO749" s="60"/>
      <x:c r="AP749" s="58"/>
      <x:c r="AQ749" s="47"/>
      <x:c r="AR749" s="60"/>
      <x:c r="AS749" s="58"/>
      <x:c r="AT749" s="47"/>
      <x:c r="AU749" s="60"/>
      <x:c r="AV749" s="58"/>
      <x:c r="AW749" s="47"/>
      <x:c r="AX749" s="60"/>
      <x:c r="AY749" s="58"/>
      <x:c r="AZ749" s="47"/>
      <x:c r="BA749" s="60"/>
      <x:c r="BB749" s="58"/>
      <x:c r="BC749" s="47"/>
      <x:c r="BD749" s="60"/>
      <x:c r="BE749" s="58"/>
      <x:c r="BF749" s="47"/>
      <x:c r="BG749" s="60"/>
      <x:c r="BH749" s="58"/>
      <x:c r="BI749" s="47"/>
      <x:c r="BJ749" s="60"/>
      <x:c r="BK749" s="58"/>
      <x:c r="BL749" s="47"/>
      <x:c r="BM749" s="60"/>
      <x:c r="BN749" s="58"/>
      <x:c r="BO749" s="47"/>
      <x:c r="BP749" s="60"/>
      <x:c r="BQ749" s="58"/>
      <x:c r="BR749" s="47"/>
      <x:c r="BS749" s="60"/>
      <x:c r="BT749" s="58"/>
      <x:c r="BU749" s="47"/>
      <x:c r="BV749" s="60"/>
      <x:c r="BW749" s="58"/>
      <x:c r="BX749" s="47"/>
      <x:c r="BY749" s="60"/>
      <x:c r="BZ749" s="58"/>
      <x:c r="CA749" s="47"/>
      <x:c r="CB749" s="60"/>
      <x:c r="CC749" s="58"/>
      <x:c r="CD749" s="47"/>
      <x:c r="CE749" s="60"/>
      <x:c r="CF749" s="58"/>
      <x:c r="CG749" s="47"/>
      <x:c r="CH749" s="60"/>
      <x:c r="CI749" s="58"/>
      <x:c r="CJ749" s="47"/>
      <x:c r="CK749" s="60"/>
      <x:c r="CL749" s="58"/>
      <x:c r="CM749" s="47"/>
      <x:c r="CN749" s="60"/>
      <x:c r="CO749" s="58"/>
      <x:c r="CP749" s="47"/>
      <x:c r="CQ749" s="60"/>
      <x:c r="CR749" s="58"/>
      <x:c r="CS749" s="47"/>
      <x:c r="CT749" s="60"/>
      <x:c r="CU749" s="58"/>
      <x:c r="CV749" s="47"/>
      <x:c r="CW749" s="60"/>
      <x:c r="CX749" s="58"/>
      <x:c r="CY749" s="47"/>
      <x:c r="CZ749" s="60"/>
      <x:c r="DA749" s="58"/>
      <x:c r="DB749" s="47"/>
      <x:c r="DC749" s="60"/>
      <x:c r="DD749" s="58"/>
      <x:c r="DE749" s="47"/>
      <x:c r="DF749" s="60"/>
      <x:c r="DG749" s="58"/>
      <x:c r="DH749" s="47"/>
      <x:c r="DI749" s="60"/>
      <x:c r="DJ749" s="58"/>
      <x:c r="DK749" s="47"/>
      <x:c r="DL749" s="60"/>
      <x:c r="DM749" s="58"/>
      <x:c r="DN749" s="11"/>
      <x:c r="DO749" s="61"/>
      <x:c r="DP749" s="62"/>
      <x:c r="DQ749" s="11"/>
      <x:c r="DR749" s="61"/>
      <x:c r="DS749" s="62"/>
      <x:c r="DT749" s="11"/>
      <x:c r="DU749" s="61"/>
      <x:c r="DV749" s="62"/>
    </x:row>
    <x:row r="750" spans="1:126" x14ac:dyDescent="0.3">
      <x:c r="A750" s="47"/>
      <x:c r="B750" s="70"/>
      <x:c r="C750" s="70"/>
      <x:c r="D750" s="70"/>
      <x:c r="E750" s="70"/>
      <x:c r="F750" s="70"/>
      <x:c r="G750" s="70"/>
      <x:c r="H750" s="70"/>
      <x:c r="I750" s="70"/>
      <x:c r="J750" s="70"/>
      <x:c r="K750" s="190"/>
      <x:c r="L750" s="195"/>
      <x:c r="M750" s="192"/>
      <x:c r="N750" s="192"/>
      <x:c r="O750" s="69"/>
      <x:c r="P750" s="47"/>
      <x:c r="Q750" s="60"/>
      <x:c r="R750" s="58"/>
      <x:c r="S750" s="47"/>
      <x:c r="T750" s="60"/>
      <x:c r="U750" s="58"/>
      <x:c r="V750" s="47"/>
      <x:c r="W750" s="60"/>
      <x:c r="X750" s="58"/>
      <x:c r="Y750" s="47"/>
      <x:c r="Z750" s="60"/>
      <x:c r="AA750" s="58"/>
      <x:c r="AB750" s="47"/>
      <x:c r="AC750" s="60"/>
      <x:c r="AD750" s="58"/>
      <x:c r="AE750" s="47"/>
      <x:c r="AF750" s="60"/>
      <x:c r="AG750" s="58"/>
      <x:c r="AH750" s="47"/>
      <x:c r="AI750" s="60"/>
      <x:c r="AJ750" s="58"/>
      <x:c r="AK750" s="47"/>
      <x:c r="AL750" s="60"/>
      <x:c r="AM750" s="58"/>
      <x:c r="AN750" s="47"/>
      <x:c r="AO750" s="60"/>
      <x:c r="AP750" s="58"/>
      <x:c r="AQ750" s="47"/>
      <x:c r="AR750" s="60"/>
      <x:c r="AS750" s="58"/>
      <x:c r="AT750" s="47"/>
      <x:c r="AU750" s="60"/>
      <x:c r="AV750" s="58"/>
      <x:c r="AW750" s="47"/>
      <x:c r="AX750" s="60"/>
      <x:c r="AY750" s="58"/>
      <x:c r="AZ750" s="47"/>
      <x:c r="BA750" s="60"/>
      <x:c r="BB750" s="58"/>
      <x:c r="BC750" s="47"/>
      <x:c r="BD750" s="60"/>
      <x:c r="BE750" s="58"/>
      <x:c r="BF750" s="47"/>
      <x:c r="BG750" s="60"/>
      <x:c r="BH750" s="58"/>
      <x:c r="BI750" s="47"/>
      <x:c r="BJ750" s="60"/>
      <x:c r="BK750" s="58"/>
      <x:c r="BL750" s="47"/>
      <x:c r="BM750" s="60"/>
      <x:c r="BN750" s="58"/>
      <x:c r="BO750" s="47"/>
      <x:c r="BP750" s="60"/>
      <x:c r="BQ750" s="58"/>
      <x:c r="BR750" s="47"/>
      <x:c r="BS750" s="60"/>
      <x:c r="BT750" s="58"/>
      <x:c r="BU750" s="47"/>
      <x:c r="BV750" s="60"/>
      <x:c r="BW750" s="58"/>
      <x:c r="BX750" s="47"/>
      <x:c r="BY750" s="60"/>
      <x:c r="BZ750" s="58"/>
      <x:c r="CA750" s="47"/>
      <x:c r="CB750" s="60"/>
      <x:c r="CC750" s="58"/>
      <x:c r="CD750" s="47"/>
      <x:c r="CE750" s="60"/>
      <x:c r="CF750" s="58"/>
      <x:c r="CG750" s="47"/>
      <x:c r="CH750" s="60"/>
      <x:c r="CI750" s="58"/>
      <x:c r="CJ750" s="47"/>
      <x:c r="CK750" s="60"/>
      <x:c r="CL750" s="58"/>
      <x:c r="CM750" s="47"/>
      <x:c r="CN750" s="60"/>
      <x:c r="CO750" s="58"/>
      <x:c r="CP750" s="47"/>
      <x:c r="CQ750" s="60"/>
      <x:c r="CR750" s="58"/>
      <x:c r="CS750" s="47"/>
      <x:c r="CT750" s="60"/>
      <x:c r="CU750" s="58"/>
      <x:c r="CV750" s="47"/>
      <x:c r="CW750" s="60"/>
      <x:c r="CX750" s="58"/>
      <x:c r="CY750" s="47"/>
      <x:c r="CZ750" s="60"/>
      <x:c r="DA750" s="58"/>
      <x:c r="DB750" s="47"/>
      <x:c r="DC750" s="60"/>
      <x:c r="DD750" s="58"/>
      <x:c r="DE750" s="47"/>
      <x:c r="DF750" s="60"/>
      <x:c r="DG750" s="58"/>
      <x:c r="DH750" s="47"/>
      <x:c r="DI750" s="60"/>
      <x:c r="DJ750" s="58"/>
      <x:c r="DK750" s="47"/>
      <x:c r="DL750" s="60"/>
      <x:c r="DM750" s="58"/>
      <x:c r="DN750" s="11"/>
      <x:c r="DO750" s="61"/>
      <x:c r="DP750" s="62"/>
      <x:c r="DQ750" s="11"/>
      <x:c r="DR750" s="61"/>
      <x:c r="DS750" s="62"/>
      <x:c r="DT750" s="11"/>
      <x:c r="DU750" s="61"/>
      <x:c r="DV750" s="62"/>
    </x:row>
    <x:row r="751" spans="1:126" x14ac:dyDescent="0.3">
      <x:c r="A751" s="47"/>
      <x:c r="B751" s="70"/>
      <x:c r="C751" s="70"/>
      <x:c r="D751" s="70"/>
      <x:c r="E751" s="70"/>
      <x:c r="F751" s="70"/>
      <x:c r="G751" s="70"/>
      <x:c r="H751" s="70"/>
      <x:c r="I751" s="70"/>
      <x:c r="J751" s="70"/>
      <x:c r="K751" s="190"/>
      <x:c r="L751" s="195"/>
      <x:c r="M751" s="192"/>
      <x:c r="N751" s="192"/>
      <x:c r="O751" s="69"/>
      <x:c r="P751" s="47"/>
      <x:c r="Q751" s="60"/>
      <x:c r="R751" s="58"/>
      <x:c r="S751" s="47"/>
      <x:c r="T751" s="60"/>
      <x:c r="U751" s="58"/>
      <x:c r="V751" s="47"/>
      <x:c r="W751" s="60"/>
      <x:c r="X751" s="58"/>
      <x:c r="Y751" s="47"/>
      <x:c r="Z751" s="60"/>
      <x:c r="AA751" s="58"/>
      <x:c r="AB751" s="47"/>
      <x:c r="AC751" s="60"/>
      <x:c r="AD751" s="58"/>
      <x:c r="AE751" s="47"/>
      <x:c r="AF751" s="60"/>
      <x:c r="AG751" s="58"/>
      <x:c r="AH751" s="47"/>
      <x:c r="AI751" s="60"/>
      <x:c r="AJ751" s="58"/>
      <x:c r="AK751" s="47"/>
      <x:c r="AL751" s="60"/>
      <x:c r="AM751" s="58"/>
      <x:c r="AN751" s="47"/>
      <x:c r="AO751" s="60"/>
      <x:c r="AP751" s="58"/>
      <x:c r="AQ751" s="47"/>
      <x:c r="AR751" s="60"/>
      <x:c r="AS751" s="58"/>
      <x:c r="AT751" s="47"/>
      <x:c r="AU751" s="60"/>
      <x:c r="AV751" s="58"/>
      <x:c r="AW751" s="47"/>
      <x:c r="AX751" s="60"/>
      <x:c r="AY751" s="58"/>
      <x:c r="AZ751" s="47"/>
      <x:c r="BA751" s="60"/>
      <x:c r="BB751" s="58"/>
      <x:c r="BC751" s="47"/>
      <x:c r="BD751" s="60"/>
      <x:c r="BE751" s="58"/>
      <x:c r="BF751" s="47"/>
      <x:c r="BG751" s="60"/>
      <x:c r="BH751" s="58"/>
      <x:c r="BI751" s="47"/>
      <x:c r="BJ751" s="60"/>
      <x:c r="BK751" s="58"/>
      <x:c r="BL751" s="47"/>
      <x:c r="BM751" s="60"/>
      <x:c r="BN751" s="58"/>
      <x:c r="BO751" s="47"/>
      <x:c r="BP751" s="60"/>
      <x:c r="BQ751" s="58"/>
      <x:c r="BR751" s="47"/>
      <x:c r="BS751" s="60"/>
      <x:c r="BT751" s="58"/>
      <x:c r="BU751" s="47"/>
      <x:c r="BV751" s="60"/>
      <x:c r="BW751" s="58"/>
      <x:c r="BX751" s="47"/>
      <x:c r="BY751" s="60"/>
      <x:c r="BZ751" s="58"/>
      <x:c r="CA751" s="47"/>
      <x:c r="CB751" s="60"/>
      <x:c r="CC751" s="58"/>
      <x:c r="CD751" s="47"/>
      <x:c r="CE751" s="60"/>
      <x:c r="CF751" s="58"/>
      <x:c r="CG751" s="47"/>
      <x:c r="CH751" s="60"/>
      <x:c r="CI751" s="58"/>
      <x:c r="CJ751" s="47"/>
      <x:c r="CK751" s="60"/>
      <x:c r="CL751" s="58"/>
      <x:c r="CM751" s="47"/>
      <x:c r="CN751" s="60"/>
      <x:c r="CO751" s="58"/>
      <x:c r="CP751" s="47"/>
      <x:c r="CQ751" s="60"/>
      <x:c r="CR751" s="58"/>
      <x:c r="CS751" s="47"/>
      <x:c r="CT751" s="60"/>
      <x:c r="CU751" s="58"/>
      <x:c r="CV751" s="47"/>
      <x:c r="CW751" s="60"/>
      <x:c r="CX751" s="58"/>
      <x:c r="CY751" s="47"/>
      <x:c r="CZ751" s="60"/>
      <x:c r="DA751" s="58"/>
      <x:c r="DB751" s="47"/>
      <x:c r="DC751" s="60"/>
      <x:c r="DD751" s="58"/>
      <x:c r="DE751" s="47"/>
      <x:c r="DF751" s="60"/>
      <x:c r="DG751" s="58"/>
      <x:c r="DH751" s="47"/>
      <x:c r="DI751" s="60"/>
      <x:c r="DJ751" s="58"/>
      <x:c r="DK751" s="47"/>
      <x:c r="DL751" s="60"/>
      <x:c r="DM751" s="58"/>
      <x:c r="DN751" s="11"/>
      <x:c r="DO751" s="61"/>
      <x:c r="DP751" s="62"/>
      <x:c r="DQ751" s="11"/>
      <x:c r="DR751" s="61"/>
      <x:c r="DS751" s="62"/>
      <x:c r="DT751" s="11"/>
      <x:c r="DU751" s="61"/>
      <x:c r="DV751" s="62"/>
    </x:row>
    <x:row r="752" spans="1:126" x14ac:dyDescent="0.3">
      <x:c r="A752" s="47"/>
      <x:c r="B752" s="70"/>
      <x:c r="C752" s="70"/>
      <x:c r="D752" s="70"/>
      <x:c r="E752" s="70"/>
      <x:c r="F752" s="70"/>
      <x:c r="G752" s="70"/>
      <x:c r="H752" s="70"/>
      <x:c r="I752" s="70"/>
      <x:c r="J752" s="70"/>
      <x:c r="K752" s="190"/>
      <x:c r="L752" s="195"/>
      <x:c r="M752" s="192"/>
      <x:c r="N752" s="192"/>
      <x:c r="O752" s="69"/>
      <x:c r="P752" s="47"/>
      <x:c r="Q752" s="60"/>
      <x:c r="R752" s="58"/>
      <x:c r="S752" s="47"/>
      <x:c r="T752" s="60"/>
      <x:c r="U752" s="58"/>
      <x:c r="V752" s="47"/>
      <x:c r="W752" s="60"/>
      <x:c r="X752" s="58"/>
      <x:c r="Y752" s="47"/>
      <x:c r="Z752" s="60"/>
      <x:c r="AA752" s="58"/>
      <x:c r="AB752" s="47"/>
      <x:c r="AC752" s="60"/>
      <x:c r="AD752" s="58"/>
      <x:c r="AE752" s="47"/>
      <x:c r="AF752" s="60"/>
      <x:c r="AG752" s="58"/>
      <x:c r="AH752" s="47"/>
      <x:c r="AI752" s="60"/>
      <x:c r="AJ752" s="58"/>
      <x:c r="AK752" s="47"/>
      <x:c r="AL752" s="60"/>
      <x:c r="AM752" s="58"/>
      <x:c r="AN752" s="47"/>
      <x:c r="AO752" s="60"/>
      <x:c r="AP752" s="58"/>
      <x:c r="AQ752" s="47"/>
      <x:c r="AR752" s="60"/>
      <x:c r="AS752" s="58"/>
      <x:c r="AT752" s="47"/>
      <x:c r="AU752" s="60"/>
      <x:c r="AV752" s="58"/>
      <x:c r="AW752" s="47"/>
      <x:c r="AX752" s="60"/>
      <x:c r="AY752" s="58"/>
      <x:c r="AZ752" s="47"/>
      <x:c r="BA752" s="60"/>
      <x:c r="BB752" s="58"/>
      <x:c r="BC752" s="47"/>
      <x:c r="BD752" s="60"/>
      <x:c r="BE752" s="58"/>
      <x:c r="BF752" s="47"/>
      <x:c r="BG752" s="60"/>
      <x:c r="BH752" s="58"/>
      <x:c r="BI752" s="47"/>
      <x:c r="BJ752" s="60"/>
      <x:c r="BK752" s="58"/>
      <x:c r="BL752" s="47"/>
      <x:c r="BM752" s="60"/>
      <x:c r="BN752" s="58"/>
      <x:c r="BO752" s="47"/>
      <x:c r="BP752" s="60"/>
      <x:c r="BQ752" s="58"/>
      <x:c r="BR752" s="47"/>
      <x:c r="BS752" s="60"/>
      <x:c r="BT752" s="58"/>
      <x:c r="BU752" s="47"/>
      <x:c r="BV752" s="60"/>
      <x:c r="BW752" s="58"/>
      <x:c r="BX752" s="47"/>
      <x:c r="BY752" s="60"/>
      <x:c r="BZ752" s="58"/>
      <x:c r="CA752" s="47"/>
      <x:c r="CB752" s="60"/>
      <x:c r="CC752" s="58"/>
      <x:c r="CD752" s="47"/>
      <x:c r="CE752" s="60"/>
      <x:c r="CF752" s="58"/>
      <x:c r="CG752" s="47"/>
      <x:c r="CH752" s="60"/>
      <x:c r="CI752" s="58"/>
      <x:c r="CJ752" s="47"/>
      <x:c r="CK752" s="60"/>
      <x:c r="CL752" s="58"/>
      <x:c r="CM752" s="47"/>
      <x:c r="CN752" s="60"/>
      <x:c r="CO752" s="58"/>
      <x:c r="CP752" s="47"/>
      <x:c r="CQ752" s="60"/>
      <x:c r="CR752" s="58"/>
      <x:c r="CS752" s="47"/>
      <x:c r="CT752" s="60"/>
      <x:c r="CU752" s="58"/>
      <x:c r="CV752" s="47"/>
      <x:c r="CW752" s="60"/>
      <x:c r="CX752" s="58"/>
      <x:c r="CY752" s="47"/>
      <x:c r="CZ752" s="60"/>
      <x:c r="DA752" s="58"/>
      <x:c r="DB752" s="47"/>
      <x:c r="DC752" s="60"/>
      <x:c r="DD752" s="58"/>
      <x:c r="DE752" s="47"/>
      <x:c r="DF752" s="60"/>
      <x:c r="DG752" s="58"/>
      <x:c r="DH752" s="47"/>
      <x:c r="DI752" s="60"/>
      <x:c r="DJ752" s="58"/>
      <x:c r="DK752" s="47"/>
      <x:c r="DL752" s="60"/>
      <x:c r="DM752" s="58"/>
      <x:c r="DN752" s="11"/>
      <x:c r="DO752" s="61"/>
      <x:c r="DP752" s="62"/>
      <x:c r="DQ752" s="11"/>
      <x:c r="DR752" s="61"/>
      <x:c r="DS752" s="62"/>
      <x:c r="DT752" s="11"/>
      <x:c r="DU752" s="61"/>
      <x:c r="DV752" s="62"/>
    </x:row>
    <x:row r="753" spans="1:126" x14ac:dyDescent="0.3">
      <x:c r="A753" s="47"/>
      <x:c r="B753" s="70"/>
      <x:c r="C753" s="70"/>
      <x:c r="D753" s="70"/>
      <x:c r="E753" s="70"/>
      <x:c r="F753" s="70"/>
      <x:c r="G753" s="70"/>
      <x:c r="H753" s="70"/>
      <x:c r="I753" s="70"/>
      <x:c r="J753" s="70"/>
      <x:c r="K753" s="190"/>
      <x:c r="L753" s="195"/>
      <x:c r="M753" s="192"/>
      <x:c r="N753" s="192"/>
      <x:c r="O753" s="69"/>
      <x:c r="P753" s="47"/>
      <x:c r="Q753" s="60"/>
      <x:c r="R753" s="58"/>
      <x:c r="S753" s="47"/>
      <x:c r="T753" s="60"/>
      <x:c r="U753" s="58"/>
      <x:c r="V753" s="47"/>
      <x:c r="W753" s="60"/>
      <x:c r="X753" s="58"/>
      <x:c r="Y753" s="47"/>
      <x:c r="Z753" s="60"/>
      <x:c r="AA753" s="58"/>
      <x:c r="AB753" s="47"/>
      <x:c r="AC753" s="60"/>
      <x:c r="AD753" s="58"/>
      <x:c r="AE753" s="47"/>
      <x:c r="AF753" s="60"/>
      <x:c r="AG753" s="58"/>
      <x:c r="AH753" s="47"/>
      <x:c r="AI753" s="60"/>
      <x:c r="AJ753" s="58"/>
      <x:c r="AK753" s="47"/>
      <x:c r="AL753" s="60"/>
      <x:c r="AM753" s="58"/>
      <x:c r="AN753" s="47"/>
      <x:c r="AO753" s="60"/>
      <x:c r="AP753" s="58"/>
      <x:c r="AQ753" s="47"/>
      <x:c r="AR753" s="60"/>
      <x:c r="AS753" s="58"/>
      <x:c r="AT753" s="47"/>
      <x:c r="AU753" s="60"/>
      <x:c r="AV753" s="58"/>
      <x:c r="AW753" s="47"/>
      <x:c r="AX753" s="60"/>
      <x:c r="AY753" s="58"/>
      <x:c r="AZ753" s="47"/>
      <x:c r="BA753" s="60"/>
      <x:c r="BB753" s="58"/>
      <x:c r="BC753" s="47"/>
      <x:c r="BD753" s="60"/>
      <x:c r="BE753" s="58"/>
      <x:c r="BF753" s="47"/>
      <x:c r="BG753" s="60"/>
      <x:c r="BH753" s="58"/>
      <x:c r="BI753" s="47"/>
      <x:c r="BJ753" s="60"/>
      <x:c r="BK753" s="58"/>
      <x:c r="BL753" s="47"/>
      <x:c r="BM753" s="60"/>
      <x:c r="BN753" s="58"/>
      <x:c r="BO753" s="47"/>
      <x:c r="BP753" s="60"/>
      <x:c r="BQ753" s="58"/>
      <x:c r="BR753" s="47"/>
      <x:c r="BS753" s="60"/>
      <x:c r="BT753" s="58"/>
      <x:c r="BU753" s="47"/>
      <x:c r="BV753" s="60"/>
      <x:c r="BW753" s="58"/>
      <x:c r="BX753" s="47"/>
      <x:c r="BY753" s="60"/>
      <x:c r="BZ753" s="58"/>
      <x:c r="CA753" s="47"/>
      <x:c r="CB753" s="60"/>
      <x:c r="CC753" s="58"/>
      <x:c r="CD753" s="47"/>
      <x:c r="CE753" s="60"/>
      <x:c r="CF753" s="58"/>
      <x:c r="CG753" s="47"/>
      <x:c r="CH753" s="60"/>
      <x:c r="CI753" s="58"/>
      <x:c r="CJ753" s="47"/>
      <x:c r="CK753" s="60"/>
      <x:c r="CL753" s="58"/>
      <x:c r="CM753" s="47"/>
      <x:c r="CN753" s="60"/>
      <x:c r="CO753" s="58"/>
      <x:c r="CP753" s="47"/>
      <x:c r="CQ753" s="60"/>
      <x:c r="CR753" s="58"/>
      <x:c r="CS753" s="47"/>
      <x:c r="CT753" s="60"/>
      <x:c r="CU753" s="58"/>
      <x:c r="CV753" s="47"/>
      <x:c r="CW753" s="60"/>
      <x:c r="CX753" s="58"/>
      <x:c r="CY753" s="47"/>
      <x:c r="CZ753" s="60"/>
      <x:c r="DA753" s="58"/>
      <x:c r="DB753" s="47"/>
      <x:c r="DC753" s="60"/>
      <x:c r="DD753" s="58"/>
      <x:c r="DE753" s="47"/>
      <x:c r="DF753" s="60"/>
      <x:c r="DG753" s="58"/>
      <x:c r="DH753" s="47"/>
      <x:c r="DI753" s="60"/>
      <x:c r="DJ753" s="58"/>
      <x:c r="DK753" s="47"/>
      <x:c r="DL753" s="60"/>
      <x:c r="DM753" s="58"/>
      <x:c r="DN753" s="11"/>
      <x:c r="DO753" s="61"/>
      <x:c r="DP753" s="62"/>
      <x:c r="DQ753" s="11"/>
      <x:c r="DR753" s="61"/>
      <x:c r="DS753" s="62"/>
      <x:c r="DT753" s="11"/>
      <x:c r="DU753" s="61"/>
      <x:c r="DV753" s="62"/>
    </x:row>
    <x:row r="754" spans="1:126" x14ac:dyDescent="0.3">
      <x:c r="A754" s="47"/>
      <x:c r="B754" s="70"/>
      <x:c r="C754" s="70"/>
      <x:c r="D754" s="70"/>
      <x:c r="E754" s="70"/>
      <x:c r="F754" s="70"/>
      <x:c r="G754" s="70"/>
      <x:c r="H754" s="70"/>
      <x:c r="I754" s="70"/>
      <x:c r="J754" s="70"/>
      <x:c r="K754" s="190"/>
      <x:c r="L754" s="195"/>
      <x:c r="M754" s="192"/>
      <x:c r="N754" s="192"/>
      <x:c r="O754" s="69"/>
      <x:c r="P754" s="47"/>
      <x:c r="Q754" s="60"/>
      <x:c r="R754" s="58"/>
      <x:c r="S754" s="47"/>
      <x:c r="T754" s="60"/>
      <x:c r="U754" s="58"/>
      <x:c r="V754" s="47"/>
      <x:c r="W754" s="60"/>
      <x:c r="X754" s="58"/>
      <x:c r="Y754" s="47"/>
      <x:c r="Z754" s="60"/>
      <x:c r="AA754" s="58"/>
      <x:c r="AB754" s="47"/>
      <x:c r="AC754" s="60"/>
      <x:c r="AD754" s="58"/>
      <x:c r="AE754" s="47"/>
      <x:c r="AF754" s="60"/>
      <x:c r="AG754" s="58"/>
      <x:c r="AH754" s="47"/>
      <x:c r="AI754" s="60"/>
      <x:c r="AJ754" s="58"/>
      <x:c r="AK754" s="47"/>
      <x:c r="AL754" s="60"/>
      <x:c r="AM754" s="58"/>
      <x:c r="AN754" s="47"/>
      <x:c r="AO754" s="60"/>
      <x:c r="AP754" s="58"/>
      <x:c r="AQ754" s="47"/>
      <x:c r="AR754" s="60"/>
      <x:c r="AS754" s="58"/>
      <x:c r="AT754" s="47"/>
      <x:c r="AU754" s="60"/>
      <x:c r="AV754" s="58"/>
      <x:c r="AW754" s="47"/>
      <x:c r="AX754" s="60"/>
      <x:c r="AY754" s="58"/>
      <x:c r="AZ754" s="47"/>
      <x:c r="BA754" s="60"/>
      <x:c r="BB754" s="58"/>
      <x:c r="BC754" s="47"/>
      <x:c r="BD754" s="60"/>
      <x:c r="BE754" s="58"/>
      <x:c r="BF754" s="47"/>
      <x:c r="BG754" s="60"/>
      <x:c r="BH754" s="58"/>
      <x:c r="BI754" s="47"/>
      <x:c r="BJ754" s="60"/>
      <x:c r="BK754" s="58"/>
      <x:c r="BL754" s="47"/>
      <x:c r="BM754" s="60"/>
      <x:c r="BN754" s="58"/>
      <x:c r="BO754" s="47"/>
      <x:c r="BP754" s="60"/>
      <x:c r="BQ754" s="58"/>
      <x:c r="BR754" s="47"/>
      <x:c r="BS754" s="60"/>
      <x:c r="BT754" s="58"/>
      <x:c r="BU754" s="47"/>
      <x:c r="BV754" s="60"/>
      <x:c r="BW754" s="58"/>
      <x:c r="BX754" s="47"/>
      <x:c r="BY754" s="60"/>
      <x:c r="BZ754" s="58"/>
      <x:c r="CA754" s="47"/>
      <x:c r="CB754" s="60"/>
      <x:c r="CC754" s="58"/>
      <x:c r="CD754" s="47"/>
      <x:c r="CE754" s="60"/>
      <x:c r="CF754" s="58"/>
      <x:c r="CG754" s="47"/>
      <x:c r="CH754" s="60"/>
      <x:c r="CI754" s="58"/>
      <x:c r="CJ754" s="47"/>
      <x:c r="CK754" s="60"/>
      <x:c r="CL754" s="58"/>
      <x:c r="CM754" s="47"/>
      <x:c r="CN754" s="60"/>
      <x:c r="CO754" s="58"/>
      <x:c r="CP754" s="47"/>
      <x:c r="CQ754" s="60"/>
      <x:c r="CR754" s="58"/>
      <x:c r="CS754" s="47"/>
      <x:c r="CT754" s="60"/>
      <x:c r="CU754" s="58"/>
      <x:c r="CV754" s="47"/>
      <x:c r="CW754" s="60"/>
      <x:c r="CX754" s="58"/>
      <x:c r="CY754" s="47"/>
      <x:c r="CZ754" s="60"/>
      <x:c r="DA754" s="58"/>
      <x:c r="DB754" s="47"/>
      <x:c r="DC754" s="60"/>
      <x:c r="DD754" s="58"/>
      <x:c r="DE754" s="47"/>
      <x:c r="DF754" s="60"/>
      <x:c r="DG754" s="58"/>
      <x:c r="DH754" s="47"/>
      <x:c r="DI754" s="60"/>
      <x:c r="DJ754" s="58"/>
      <x:c r="DK754" s="47"/>
      <x:c r="DL754" s="60"/>
      <x:c r="DM754" s="58"/>
      <x:c r="DN754" s="11"/>
      <x:c r="DO754" s="61"/>
      <x:c r="DP754" s="62"/>
      <x:c r="DQ754" s="11"/>
      <x:c r="DR754" s="61"/>
      <x:c r="DS754" s="62"/>
      <x:c r="DT754" s="11"/>
      <x:c r="DU754" s="61"/>
      <x:c r="DV754" s="62"/>
    </x:row>
    <x:row r="755" spans="1:126" x14ac:dyDescent="0.3">
      <x:c r="A755" s="47"/>
      <x:c r="B755" s="70"/>
      <x:c r="C755" s="70"/>
      <x:c r="D755" s="70"/>
      <x:c r="E755" s="70"/>
      <x:c r="F755" s="70"/>
      <x:c r="G755" s="70"/>
      <x:c r="H755" s="70"/>
      <x:c r="I755" s="70"/>
      <x:c r="J755" s="70"/>
      <x:c r="K755" s="190"/>
      <x:c r="L755" s="195"/>
      <x:c r="M755" s="192"/>
      <x:c r="N755" s="192"/>
      <x:c r="O755" s="69"/>
      <x:c r="P755" s="47"/>
      <x:c r="Q755" s="60"/>
      <x:c r="R755" s="58"/>
      <x:c r="S755" s="47"/>
      <x:c r="T755" s="60"/>
      <x:c r="U755" s="58"/>
      <x:c r="V755" s="47"/>
      <x:c r="W755" s="60"/>
      <x:c r="X755" s="58"/>
      <x:c r="Y755" s="47"/>
      <x:c r="Z755" s="60"/>
      <x:c r="AA755" s="58"/>
      <x:c r="AB755" s="47"/>
      <x:c r="AC755" s="60"/>
      <x:c r="AD755" s="58"/>
      <x:c r="AE755" s="47"/>
      <x:c r="AF755" s="60"/>
      <x:c r="AG755" s="58"/>
      <x:c r="AH755" s="47"/>
      <x:c r="AI755" s="60"/>
      <x:c r="AJ755" s="58"/>
      <x:c r="AK755" s="47"/>
      <x:c r="AL755" s="60"/>
      <x:c r="AM755" s="58"/>
      <x:c r="AN755" s="47"/>
      <x:c r="AO755" s="60"/>
      <x:c r="AP755" s="58"/>
      <x:c r="AQ755" s="47"/>
      <x:c r="AR755" s="60"/>
      <x:c r="AS755" s="58"/>
      <x:c r="AT755" s="47"/>
      <x:c r="AU755" s="60"/>
      <x:c r="AV755" s="58"/>
      <x:c r="AW755" s="47"/>
      <x:c r="AX755" s="60"/>
      <x:c r="AY755" s="58"/>
      <x:c r="AZ755" s="47"/>
      <x:c r="BA755" s="60"/>
      <x:c r="BB755" s="58"/>
      <x:c r="BC755" s="47"/>
      <x:c r="BD755" s="60"/>
      <x:c r="BE755" s="58"/>
      <x:c r="BF755" s="47"/>
      <x:c r="BG755" s="60"/>
      <x:c r="BH755" s="58"/>
      <x:c r="BI755" s="47"/>
      <x:c r="BJ755" s="60"/>
      <x:c r="BK755" s="58"/>
      <x:c r="BL755" s="47"/>
      <x:c r="BM755" s="60"/>
      <x:c r="BN755" s="58"/>
      <x:c r="BO755" s="47"/>
      <x:c r="BP755" s="60"/>
      <x:c r="BQ755" s="58"/>
      <x:c r="BR755" s="47"/>
      <x:c r="BS755" s="60"/>
      <x:c r="BT755" s="58"/>
      <x:c r="BU755" s="47"/>
      <x:c r="BV755" s="60"/>
      <x:c r="BW755" s="58"/>
      <x:c r="BX755" s="47"/>
      <x:c r="BY755" s="60"/>
      <x:c r="BZ755" s="58"/>
      <x:c r="CA755" s="47"/>
      <x:c r="CB755" s="60"/>
      <x:c r="CC755" s="58"/>
      <x:c r="CD755" s="47"/>
      <x:c r="CE755" s="60"/>
      <x:c r="CF755" s="58"/>
      <x:c r="CG755" s="47"/>
      <x:c r="CH755" s="60"/>
      <x:c r="CI755" s="58"/>
      <x:c r="CJ755" s="47"/>
      <x:c r="CK755" s="60"/>
      <x:c r="CL755" s="58"/>
      <x:c r="CM755" s="47"/>
      <x:c r="CN755" s="60"/>
      <x:c r="CO755" s="58"/>
      <x:c r="CP755" s="47"/>
      <x:c r="CQ755" s="60"/>
      <x:c r="CR755" s="58"/>
      <x:c r="CS755" s="47"/>
      <x:c r="CT755" s="60"/>
      <x:c r="CU755" s="58"/>
      <x:c r="CV755" s="47"/>
      <x:c r="CW755" s="60"/>
      <x:c r="CX755" s="58"/>
      <x:c r="CY755" s="47"/>
      <x:c r="CZ755" s="60"/>
      <x:c r="DA755" s="58"/>
      <x:c r="DB755" s="47"/>
      <x:c r="DC755" s="60"/>
      <x:c r="DD755" s="58"/>
      <x:c r="DE755" s="47"/>
      <x:c r="DF755" s="60"/>
      <x:c r="DG755" s="58"/>
      <x:c r="DH755" s="47"/>
      <x:c r="DI755" s="60"/>
      <x:c r="DJ755" s="58"/>
      <x:c r="DK755" s="47"/>
      <x:c r="DL755" s="60"/>
      <x:c r="DM755" s="58"/>
      <x:c r="DN755" s="11"/>
      <x:c r="DO755" s="61"/>
      <x:c r="DP755" s="62"/>
      <x:c r="DQ755" s="11"/>
      <x:c r="DR755" s="61"/>
      <x:c r="DS755" s="62"/>
      <x:c r="DT755" s="11"/>
      <x:c r="DU755" s="61"/>
      <x:c r="DV755" s="62"/>
    </x:row>
    <x:row r="756" spans="1:126" x14ac:dyDescent="0.3">
      <x:c r="A756" s="47"/>
      <x:c r="B756" s="70"/>
      <x:c r="C756" s="70"/>
      <x:c r="D756" s="70"/>
      <x:c r="E756" s="70"/>
      <x:c r="F756" s="70"/>
      <x:c r="G756" s="70"/>
      <x:c r="H756" s="70"/>
      <x:c r="I756" s="70"/>
      <x:c r="J756" s="70"/>
      <x:c r="K756" s="190"/>
      <x:c r="L756" s="195"/>
      <x:c r="M756" s="192"/>
      <x:c r="N756" s="192"/>
      <x:c r="O756" s="69"/>
      <x:c r="P756" s="47"/>
      <x:c r="Q756" s="60"/>
      <x:c r="R756" s="58"/>
      <x:c r="S756" s="47"/>
      <x:c r="T756" s="60"/>
      <x:c r="U756" s="58"/>
      <x:c r="V756" s="47"/>
      <x:c r="W756" s="60"/>
      <x:c r="X756" s="58"/>
      <x:c r="Y756" s="47"/>
      <x:c r="Z756" s="60"/>
      <x:c r="AA756" s="58"/>
      <x:c r="AB756" s="47"/>
      <x:c r="AC756" s="60"/>
      <x:c r="AD756" s="58"/>
      <x:c r="AE756" s="47"/>
      <x:c r="AF756" s="60"/>
      <x:c r="AG756" s="58"/>
      <x:c r="AH756" s="47"/>
      <x:c r="AI756" s="60"/>
      <x:c r="AJ756" s="58"/>
      <x:c r="AK756" s="47"/>
      <x:c r="AL756" s="60"/>
      <x:c r="AM756" s="58"/>
      <x:c r="AN756" s="47"/>
      <x:c r="AO756" s="60"/>
      <x:c r="AP756" s="58"/>
      <x:c r="AQ756" s="47"/>
      <x:c r="AR756" s="60"/>
      <x:c r="AS756" s="58"/>
      <x:c r="AT756" s="47"/>
      <x:c r="AU756" s="60"/>
      <x:c r="AV756" s="58"/>
      <x:c r="AW756" s="47"/>
      <x:c r="AX756" s="60"/>
      <x:c r="AY756" s="58"/>
      <x:c r="AZ756" s="47"/>
      <x:c r="BA756" s="60"/>
      <x:c r="BB756" s="58"/>
      <x:c r="BC756" s="47"/>
      <x:c r="BD756" s="60"/>
      <x:c r="BE756" s="58"/>
      <x:c r="BF756" s="47"/>
      <x:c r="BG756" s="60"/>
      <x:c r="BH756" s="58"/>
      <x:c r="BI756" s="47"/>
      <x:c r="BJ756" s="60"/>
      <x:c r="BK756" s="58"/>
      <x:c r="BL756" s="47"/>
      <x:c r="BM756" s="60"/>
      <x:c r="BN756" s="58"/>
      <x:c r="BO756" s="47"/>
      <x:c r="BP756" s="60"/>
      <x:c r="BQ756" s="58"/>
      <x:c r="BR756" s="47"/>
      <x:c r="BS756" s="60"/>
      <x:c r="BT756" s="58"/>
      <x:c r="BU756" s="47"/>
      <x:c r="BV756" s="60"/>
      <x:c r="BW756" s="58"/>
      <x:c r="BX756" s="47"/>
      <x:c r="BY756" s="60"/>
      <x:c r="BZ756" s="58"/>
      <x:c r="CA756" s="47"/>
      <x:c r="CB756" s="60"/>
      <x:c r="CC756" s="58"/>
      <x:c r="CD756" s="47"/>
      <x:c r="CE756" s="60"/>
      <x:c r="CF756" s="58"/>
      <x:c r="CG756" s="47"/>
      <x:c r="CH756" s="60"/>
      <x:c r="CI756" s="58"/>
      <x:c r="CJ756" s="47"/>
      <x:c r="CK756" s="60"/>
      <x:c r="CL756" s="58"/>
      <x:c r="CM756" s="47"/>
      <x:c r="CN756" s="60"/>
      <x:c r="CO756" s="58"/>
      <x:c r="CP756" s="47"/>
      <x:c r="CQ756" s="60"/>
      <x:c r="CR756" s="58"/>
      <x:c r="CS756" s="47"/>
      <x:c r="CT756" s="60"/>
      <x:c r="CU756" s="58"/>
      <x:c r="CV756" s="47"/>
      <x:c r="CW756" s="60"/>
      <x:c r="CX756" s="58"/>
      <x:c r="CY756" s="47"/>
      <x:c r="CZ756" s="60"/>
      <x:c r="DA756" s="58"/>
      <x:c r="DB756" s="47"/>
      <x:c r="DC756" s="60"/>
      <x:c r="DD756" s="58"/>
      <x:c r="DE756" s="47"/>
      <x:c r="DF756" s="60"/>
      <x:c r="DG756" s="58"/>
      <x:c r="DH756" s="47"/>
      <x:c r="DI756" s="60"/>
      <x:c r="DJ756" s="58"/>
      <x:c r="DK756" s="47"/>
      <x:c r="DL756" s="60"/>
      <x:c r="DM756" s="58"/>
      <x:c r="DN756" s="11"/>
      <x:c r="DO756" s="61"/>
      <x:c r="DP756" s="62"/>
      <x:c r="DQ756" s="11"/>
      <x:c r="DR756" s="61"/>
      <x:c r="DS756" s="62"/>
      <x:c r="DT756" s="11"/>
      <x:c r="DU756" s="61"/>
      <x:c r="DV756" s="62"/>
    </x:row>
    <x:row r="757" spans="1:126" x14ac:dyDescent="0.3">
      <x:c r="A757" s="47"/>
      <x:c r="B757" s="70"/>
      <x:c r="C757" s="70"/>
      <x:c r="D757" s="70"/>
      <x:c r="E757" s="70"/>
      <x:c r="F757" s="70"/>
      <x:c r="G757" s="70"/>
      <x:c r="H757" s="70"/>
      <x:c r="I757" s="70"/>
      <x:c r="J757" s="70"/>
      <x:c r="K757" s="190"/>
      <x:c r="L757" s="195"/>
      <x:c r="M757" s="192"/>
      <x:c r="N757" s="192"/>
      <x:c r="O757" s="69"/>
      <x:c r="P757" s="47"/>
      <x:c r="Q757" s="60"/>
      <x:c r="R757" s="58"/>
      <x:c r="S757" s="47"/>
      <x:c r="T757" s="60"/>
      <x:c r="U757" s="58"/>
      <x:c r="V757" s="47"/>
      <x:c r="W757" s="60"/>
      <x:c r="X757" s="58"/>
      <x:c r="Y757" s="47"/>
      <x:c r="Z757" s="60"/>
      <x:c r="AA757" s="58"/>
      <x:c r="AB757" s="47"/>
      <x:c r="AC757" s="60"/>
      <x:c r="AD757" s="58"/>
      <x:c r="AE757" s="47"/>
      <x:c r="AF757" s="60"/>
      <x:c r="AG757" s="58"/>
      <x:c r="AH757" s="47"/>
      <x:c r="AI757" s="60"/>
      <x:c r="AJ757" s="58"/>
      <x:c r="AK757" s="47"/>
      <x:c r="AL757" s="60"/>
      <x:c r="AM757" s="58"/>
      <x:c r="AN757" s="47"/>
      <x:c r="AO757" s="60"/>
      <x:c r="AP757" s="58"/>
      <x:c r="AQ757" s="47"/>
      <x:c r="AR757" s="60"/>
      <x:c r="AS757" s="58"/>
      <x:c r="AT757" s="47"/>
      <x:c r="AU757" s="60"/>
      <x:c r="AV757" s="58"/>
      <x:c r="AW757" s="47"/>
      <x:c r="AX757" s="60"/>
      <x:c r="AY757" s="58"/>
      <x:c r="AZ757" s="47"/>
      <x:c r="BA757" s="60"/>
      <x:c r="BB757" s="58"/>
      <x:c r="BC757" s="47"/>
      <x:c r="BD757" s="60"/>
      <x:c r="BE757" s="58"/>
      <x:c r="BF757" s="47"/>
      <x:c r="BG757" s="60"/>
      <x:c r="BH757" s="58"/>
      <x:c r="BI757" s="47"/>
      <x:c r="BJ757" s="60"/>
      <x:c r="BK757" s="58"/>
      <x:c r="BL757" s="47"/>
      <x:c r="BM757" s="60"/>
      <x:c r="BN757" s="58"/>
      <x:c r="BO757" s="47"/>
      <x:c r="BP757" s="60"/>
      <x:c r="BQ757" s="58"/>
      <x:c r="BR757" s="47"/>
      <x:c r="BS757" s="60"/>
      <x:c r="BT757" s="58"/>
      <x:c r="BU757" s="47"/>
      <x:c r="BV757" s="60"/>
      <x:c r="BW757" s="58"/>
      <x:c r="BX757" s="47"/>
      <x:c r="BY757" s="60"/>
      <x:c r="BZ757" s="58"/>
      <x:c r="CA757" s="47"/>
      <x:c r="CB757" s="60"/>
      <x:c r="CC757" s="58"/>
      <x:c r="CD757" s="47"/>
      <x:c r="CE757" s="60"/>
      <x:c r="CF757" s="58"/>
      <x:c r="CG757" s="47"/>
      <x:c r="CH757" s="60"/>
      <x:c r="CI757" s="58"/>
      <x:c r="CJ757" s="47"/>
      <x:c r="CK757" s="60"/>
      <x:c r="CL757" s="58"/>
      <x:c r="CM757" s="47"/>
      <x:c r="CN757" s="60"/>
      <x:c r="CO757" s="58"/>
      <x:c r="CP757" s="47"/>
      <x:c r="CQ757" s="60"/>
      <x:c r="CR757" s="58"/>
      <x:c r="CS757" s="47"/>
      <x:c r="CT757" s="60"/>
      <x:c r="CU757" s="58"/>
      <x:c r="CV757" s="47"/>
      <x:c r="CW757" s="60"/>
      <x:c r="CX757" s="58"/>
      <x:c r="CY757" s="47"/>
      <x:c r="CZ757" s="60"/>
      <x:c r="DA757" s="58"/>
      <x:c r="DB757" s="47"/>
      <x:c r="DC757" s="60"/>
      <x:c r="DD757" s="58"/>
      <x:c r="DE757" s="47"/>
      <x:c r="DF757" s="60"/>
      <x:c r="DG757" s="58"/>
      <x:c r="DH757" s="47"/>
      <x:c r="DI757" s="60"/>
      <x:c r="DJ757" s="58"/>
      <x:c r="DK757" s="47"/>
      <x:c r="DL757" s="60"/>
      <x:c r="DM757" s="58"/>
      <x:c r="DN757" s="11"/>
      <x:c r="DO757" s="61"/>
      <x:c r="DP757" s="62"/>
      <x:c r="DQ757" s="11"/>
      <x:c r="DR757" s="61"/>
      <x:c r="DS757" s="62"/>
      <x:c r="DT757" s="11"/>
      <x:c r="DU757" s="61"/>
      <x:c r="DV757" s="62"/>
    </x:row>
    <x:row r="758" spans="1:126" x14ac:dyDescent="0.3">
      <x:c r="A758" s="47"/>
      <x:c r="B758" s="70"/>
      <x:c r="C758" s="70"/>
      <x:c r="D758" s="70"/>
      <x:c r="E758" s="70"/>
      <x:c r="F758" s="70"/>
      <x:c r="G758" s="70"/>
      <x:c r="H758" s="70"/>
      <x:c r="I758" s="70"/>
      <x:c r="J758" s="70"/>
      <x:c r="K758" s="190"/>
      <x:c r="L758" s="195"/>
      <x:c r="M758" s="192"/>
      <x:c r="N758" s="192"/>
      <x:c r="O758" s="69"/>
      <x:c r="P758" s="47"/>
      <x:c r="Q758" s="60"/>
      <x:c r="R758" s="58"/>
      <x:c r="S758" s="47"/>
      <x:c r="T758" s="60"/>
      <x:c r="U758" s="58"/>
      <x:c r="V758" s="47"/>
      <x:c r="W758" s="60"/>
      <x:c r="X758" s="58"/>
      <x:c r="Y758" s="47"/>
      <x:c r="Z758" s="60"/>
      <x:c r="AA758" s="58"/>
      <x:c r="AB758" s="47"/>
      <x:c r="AC758" s="60"/>
      <x:c r="AD758" s="58"/>
      <x:c r="AE758" s="47"/>
      <x:c r="AF758" s="60"/>
      <x:c r="AG758" s="58"/>
      <x:c r="AH758" s="47"/>
      <x:c r="AI758" s="60"/>
      <x:c r="AJ758" s="58"/>
      <x:c r="AK758" s="47"/>
      <x:c r="AL758" s="60"/>
      <x:c r="AM758" s="58"/>
      <x:c r="AN758" s="47"/>
      <x:c r="AO758" s="60"/>
      <x:c r="AP758" s="58"/>
      <x:c r="AQ758" s="47"/>
      <x:c r="AR758" s="60"/>
      <x:c r="AS758" s="58"/>
      <x:c r="AT758" s="47"/>
      <x:c r="AU758" s="60"/>
      <x:c r="AV758" s="58"/>
      <x:c r="AW758" s="47"/>
      <x:c r="AX758" s="60"/>
      <x:c r="AY758" s="58"/>
      <x:c r="AZ758" s="47"/>
      <x:c r="BA758" s="60"/>
      <x:c r="BB758" s="58"/>
      <x:c r="BC758" s="47"/>
      <x:c r="BD758" s="60"/>
      <x:c r="BE758" s="58"/>
      <x:c r="BF758" s="47"/>
      <x:c r="BG758" s="60"/>
      <x:c r="BH758" s="58"/>
      <x:c r="BI758" s="47"/>
      <x:c r="BJ758" s="60"/>
      <x:c r="BK758" s="58"/>
      <x:c r="BL758" s="47"/>
      <x:c r="BM758" s="60"/>
      <x:c r="BN758" s="58"/>
      <x:c r="BO758" s="47"/>
      <x:c r="BP758" s="60"/>
      <x:c r="BQ758" s="58"/>
      <x:c r="BR758" s="47"/>
      <x:c r="BS758" s="60"/>
      <x:c r="BT758" s="58"/>
      <x:c r="BU758" s="47"/>
      <x:c r="BV758" s="60"/>
      <x:c r="BW758" s="58"/>
      <x:c r="BX758" s="47"/>
      <x:c r="BY758" s="60"/>
      <x:c r="BZ758" s="58"/>
      <x:c r="CA758" s="47"/>
      <x:c r="CB758" s="60"/>
      <x:c r="CC758" s="58"/>
      <x:c r="CD758" s="47"/>
      <x:c r="CE758" s="60"/>
      <x:c r="CF758" s="58"/>
      <x:c r="CG758" s="47"/>
      <x:c r="CH758" s="60"/>
      <x:c r="CI758" s="58"/>
      <x:c r="CJ758" s="47"/>
      <x:c r="CK758" s="60"/>
      <x:c r="CL758" s="58"/>
      <x:c r="CM758" s="47"/>
      <x:c r="CN758" s="60"/>
      <x:c r="CO758" s="58"/>
      <x:c r="CP758" s="47"/>
      <x:c r="CQ758" s="60"/>
      <x:c r="CR758" s="58"/>
      <x:c r="CS758" s="47"/>
      <x:c r="CT758" s="60"/>
      <x:c r="CU758" s="58"/>
      <x:c r="CV758" s="47"/>
      <x:c r="CW758" s="60"/>
      <x:c r="CX758" s="58"/>
      <x:c r="CY758" s="47"/>
      <x:c r="CZ758" s="60"/>
      <x:c r="DA758" s="58"/>
      <x:c r="DB758" s="47"/>
      <x:c r="DC758" s="60"/>
      <x:c r="DD758" s="58"/>
      <x:c r="DE758" s="47"/>
      <x:c r="DF758" s="60"/>
      <x:c r="DG758" s="58"/>
      <x:c r="DH758" s="47"/>
      <x:c r="DI758" s="60"/>
      <x:c r="DJ758" s="58"/>
      <x:c r="DK758" s="47"/>
      <x:c r="DL758" s="60"/>
      <x:c r="DM758" s="58"/>
      <x:c r="DN758" s="11"/>
      <x:c r="DO758" s="61"/>
      <x:c r="DP758" s="62"/>
      <x:c r="DQ758" s="11"/>
      <x:c r="DR758" s="61"/>
      <x:c r="DS758" s="62"/>
      <x:c r="DT758" s="11"/>
      <x:c r="DU758" s="61"/>
      <x:c r="DV758" s="62"/>
    </x:row>
    <x:row r="759" spans="1:126" x14ac:dyDescent="0.3">
      <x:c r="A759" s="47"/>
      <x:c r="B759" s="70"/>
      <x:c r="C759" s="70"/>
      <x:c r="D759" s="70"/>
      <x:c r="E759" s="70"/>
      <x:c r="F759" s="70"/>
      <x:c r="G759" s="70"/>
      <x:c r="H759" s="70"/>
      <x:c r="I759" s="70"/>
      <x:c r="J759" s="70"/>
      <x:c r="K759" s="190"/>
      <x:c r="L759" s="195"/>
      <x:c r="M759" s="192"/>
      <x:c r="N759" s="192"/>
      <x:c r="O759" s="69"/>
      <x:c r="P759" s="47"/>
      <x:c r="Q759" s="60"/>
      <x:c r="R759" s="58"/>
      <x:c r="S759" s="47"/>
      <x:c r="T759" s="60"/>
      <x:c r="U759" s="58"/>
      <x:c r="V759" s="47"/>
      <x:c r="W759" s="60"/>
      <x:c r="X759" s="58"/>
      <x:c r="Y759" s="47"/>
      <x:c r="Z759" s="60"/>
      <x:c r="AA759" s="58"/>
      <x:c r="AB759" s="47"/>
      <x:c r="AC759" s="60"/>
      <x:c r="AD759" s="58"/>
      <x:c r="AE759" s="47"/>
      <x:c r="AF759" s="60"/>
      <x:c r="AG759" s="58"/>
      <x:c r="AH759" s="47"/>
      <x:c r="AI759" s="60"/>
      <x:c r="AJ759" s="58"/>
      <x:c r="AK759" s="47"/>
      <x:c r="AL759" s="60"/>
      <x:c r="AM759" s="58"/>
      <x:c r="AN759" s="47"/>
      <x:c r="AO759" s="60"/>
      <x:c r="AP759" s="58"/>
      <x:c r="AQ759" s="47"/>
      <x:c r="AR759" s="60"/>
      <x:c r="AS759" s="58"/>
      <x:c r="AT759" s="47"/>
      <x:c r="AU759" s="60"/>
      <x:c r="AV759" s="58"/>
      <x:c r="AW759" s="47"/>
      <x:c r="AX759" s="60"/>
      <x:c r="AY759" s="58"/>
      <x:c r="AZ759" s="47"/>
      <x:c r="BA759" s="60"/>
      <x:c r="BB759" s="58"/>
      <x:c r="BC759" s="47"/>
      <x:c r="BD759" s="60"/>
      <x:c r="BE759" s="58"/>
      <x:c r="BF759" s="47"/>
      <x:c r="BG759" s="60"/>
      <x:c r="BH759" s="58"/>
      <x:c r="BI759" s="47"/>
      <x:c r="BJ759" s="60"/>
      <x:c r="BK759" s="58"/>
      <x:c r="BL759" s="47"/>
      <x:c r="BM759" s="60"/>
      <x:c r="BN759" s="58"/>
      <x:c r="BO759" s="47"/>
      <x:c r="BP759" s="60"/>
      <x:c r="BQ759" s="58"/>
      <x:c r="BR759" s="47"/>
      <x:c r="BS759" s="60"/>
      <x:c r="BT759" s="58"/>
      <x:c r="BU759" s="47"/>
      <x:c r="BV759" s="60"/>
      <x:c r="BW759" s="58"/>
      <x:c r="BX759" s="47"/>
      <x:c r="BY759" s="60"/>
      <x:c r="BZ759" s="58"/>
      <x:c r="CA759" s="47"/>
      <x:c r="CB759" s="60"/>
      <x:c r="CC759" s="58"/>
      <x:c r="CD759" s="47"/>
      <x:c r="CE759" s="60"/>
      <x:c r="CF759" s="58"/>
      <x:c r="CG759" s="47"/>
      <x:c r="CH759" s="60"/>
      <x:c r="CI759" s="58"/>
      <x:c r="CJ759" s="47"/>
      <x:c r="CK759" s="60"/>
      <x:c r="CL759" s="58"/>
      <x:c r="CM759" s="47"/>
      <x:c r="CN759" s="60"/>
      <x:c r="CO759" s="58"/>
      <x:c r="CP759" s="47"/>
      <x:c r="CQ759" s="60"/>
      <x:c r="CR759" s="58"/>
      <x:c r="CS759" s="47"/>
      <x:c r="CT759" s="60"/>
      <x:c r="CU759" s="58"/>
      <x:c r="CV759" s="47"/>
      <x:c r="CW759" s="60"/>
      <x:c r="CX759" s="58"/>
      <x:c r="CY759" s="47"/>
      <x:c r="CZ759" s="60"/>
      <x:c r="DA759" s="58"/>
      <x:c r="DB759" s="47"/>
      <x:c r="DC759" s="60"/>
      <x:c r="DD759" s="58"/>
      <x:c r="DE759" s="47"/>
      <x:c r="DF759" s="60"/>
      <x:c r="DG759" s="58"/>
      <x:c r="DH759" s="47"/>
      <x:c r="DI759" s="60"/>
      <x:c r="DJ759" s="58"/>
      <x:c r="DK759" s="47"/>
      <x:c r="DL759" s="60"/>
      <x:c r="DM759" s="58"/>
      <x:c r="DN759" s="11"/>
      <x:c r="DO759" s="61"/>
      <x:c r="DP759" s="62"/>
      <x:c r="DQ759" s="11"/>
      <x:c r="DR759" s="61"/>
      <x:c r="DS759" s="62"/>
      <x:c r="DT759" s="11"/>
      <x:c r="DU759" s="61"/>
      <x:c r="DV759" s="62"/>
    </x:row>
    <x:row r="760" spans="1:126" x14ac:dyDescent="0.3">
      <x:c r="A760" s="47"/>
      <x:c r="B760" s="70"/>
      <x:c r="C760" s="70"/>
      <x:c r="D760" s="70"/>
      <x:c r="E760" s="70"/>
      <x:c r="F760" s="70"/>
      <x:c r="G760" s="70"/>
      <x:c r="H760" s="70"/>
      <x:c r="I760" s="70"/>
      <x:c r="J760" s="70"/>
      <x:c r="K760" s="190"/>
      <x:c r="L760" s="195"/>
      <x:c r="M760" s="192"/>
      <x:c r="N760" s="192"/>
      <x:c r="O760" s="69"/>
      <x:c r="P760" s="47"/>
      <x:c r="Q760" s="60"/>
      <x:c r="R760" s="58"/>
      <x:c r="S760" s="47"/>
      <x:c r="T760" s="60"/>
      <x:c r="U760" s="58"/>
      <x:c r="V760" s="47"/>
      <x:c r="W760" s="60"/>
      <x:c r="X760" s="58"/>
      <x:c r="Y760" s="47"/>
      <x:c r="Z760" s="60"/>
      <x:c r="AA760" s="58"/>
      <x:c r="AB760" s="47"/>
      <x:c r="AC760" s="60"/>
      <x:c r="AD760" s="58"/>
      <x:c r="AE760" s="47"/>
      <x:c r="AF760" s="60"/>
      <x:c r="AG760" s="58"/>
      <x:c r="AH760" s="47"/>
      <x:c r="AI760" s="60"/>
      <x:c r="AJ760" s="58"/>
      <x:c r="AK760" s="47"/>
      <x:c r="AL760" s="60"/>
      <x:c r="AM760" s="58"/>
      <x:c r="AN760" s="47"/>
      <x:c r="AO760" s="60"/>
      <x:c r="AP760" s="58"/>
      <x:c r="AQ760" s="47"/>
      <x:c r="AR760" s="60"/>
      <x:c r="AS760" s="58"/>
      <x:c r="AT760" s="47"/>
      <x:c r="AU760" s="60"/>
      <x:c r="AV760" s="58"/>
      <x:c r="AW760" s="47"/>
      <x:c r="AX760" s="60"/>
      <x:c r="AY760" s="58"/>
      <x:c r="AZ760" s="47"/>
      <x:c r="BA760" s="60"/>
      <x:c r="BB760" s="58"/>
      <x:c r="BC760" s="47"/>
      <x:c r="BD760" s="60"/>
      <x:c r="BE760" s="58"/>
      <x:c r="BF760" s="47"/>
      <x:c r="BG760" s="60"/>
      <x:c r="BH760" s="58"/>
      <x:c r="BI760" s="47"/>
      <x:c r="BJ760" s="60"/>
      <x:c r="BK760" s="58"/>
      <x:c r="BL760" s="47"/>
      <x:c r="BM760" s="60"/>
      <x:c r="BN760" s="58"/>
      <x:c r="BO760" s="47"/>
      <x:c r="BP760" s="60"/>
      <x:c r="BQ760" s="58"/>
      <x:c r="BR760" s="47"/>
      <x:c r="BS760" s="60"/>
      <x:c r="BT760" s="58"/>
      <x:c r="BU760" s="47"/>
      <x:c r="BV760" s="60"/>
      <x:c r="BW760" s="58"/>
      <x:c r="BX760" s="47"/>
      <x:c r="BY760" s="60"/>
      <x:c r="BZ760" s="58"/>
      <x:c r="CA760" s="47"/>
      <x:c r="CB760" s="60"/>
      <x:c r="CC760" s="58"/>
      <x:c r="CD760" s="47"/>
      <x:c r="CE760" s="60"/>
      <x:c r="CF760" s="58"/>
      <x:c r="CG760" s="47"/>
      <x:c r="CH760" s="60"/>
      <x:c r="CI760" s="58"/>
      <x:c r="CJ760" s="47"/>
      <x:c r="CK760" s="60"/>
      <x:c r="CL760" s="58"/>
      <x:c r="CM760" s="47"/>
      <x:c r="CN760" s="60"/>
      <x:c r="CO760" s="58"/>
      <x:c r="CP760" s="47"/>
      <x:c r="CQ760" s="60"/>
      <x:c r="CR760" s="58"/>
      <x:c r="CS760" s="47"/>
      <x:c r="CT760" s="60"/>
      <x:c r="CU760" s="58"/>
      <x:c r="CV760" s="47"/>
      <x:c r="CW760" s="60"/>
      <x:c r="CX760" s="58"/>
      <x:c r="CY760" s="47"/>
      <x:c r="CZ760" s="60"/>
      <x:c r="DA760" s="58"/>
      <x:c r="DB760" s="47"/>
      <x:c r="DC760" s="60"/>
      <x:c r="DD760" s="58"/>
      <x:c r="DE760" s="47"/>
      <x:c r="DF760" s="60"/>
      <x:c r="DG760" s="58"/>
      <x:c r="DH760" s="47"/>
      <x:c r="DI760" s="60"/>
      <x:c r="DJ760" s="58"/>
      <x:c r="DK760" s="47"/>
      <x:c r="DL760" s="60"/>
      <x:c r="DM760" s="58"/>
      <x:c r="DN760" s="11"/>
      <x:c r="DO760" s="61"/>
      <x:c r="DP760" s="62"/>
      <x:c r="DQ760" s="11"/>
      <x:c r="DR760" s="61"/>
      <x:c r="DS760" s="62"/>
      <x:c r="DT760" s="11"/>
      <x:c r="DU760" s="61"/>
      <x:c r="DV760" s="62"/>
    </x:row>
    <x:row r="761" spans="1:126" x14ac:dyDescent="0.3">
      <x:c r="A761" s="47"/>
      <x:c r="B761" s="70"/>
      <x:c r="C761" s="70"/>
      <x:c r="D761" s="70"/>
      <x:c r="E761" s="70"/>
      <x:c r="F761" s="70"/>
      <x:c r="G761" s="70"/>
      <x:c r="H761" s="70"/>
      <x:c r="I761" s="70"/>
      <x:c r="J761" s="70"/>
      <x:c r="K761" s="190"/>
      <x:c r="L761" s="195"/>
      <x:c r="M761" s="192"/>
      <x:c r="N761" s="192"/>
      <x:c r="O761" s="69"/>
      <x:c r="P761" s="47"/>
      <x:c r="Q761" s="60"/>
      <x:c r="R761" s="58"/>
      <x:c r="S761" s="47"/>
      <x:c r="T761" s="60"/>
      <x:c r="U761" s="58"/>
      <x:c r="V761" s="47"/>
      <x:c r="W761" s="60"/>
      <x:c r="X761" s="58"/>
      <x:c r="Y761" s="47"/>
      <x:c r="Z761" s="60"/>
      <x:c r="AA761" s="58"/>
      <x:c r="AB761" s="47"/>
      <x:c r="AC761" s="60"/>
      <x:c r="AD761" s="58"/>
      <x:c r="AE761" s="47"/>
      <x:c r="AF761" s="60"/>
      <x:c r="AG761" s="58"/>
      <x:c r="AH761" s="47"/>
      <x:c r="AI761" s="60"/>
      <x:c r="AJ761" s="58"/>
      <x:c r="AK761" s="47"/>
      <x:c r="AL761" s="60"/>
      <x:c r="AM761" s="58"/>
      <x:c r="AN761" s="47"/>
      <x:c r="AO761" s="60"/>
      <x:c r="AP761" s="58"/>
      <x:c r="AQ761" s="47"/>
      <x:c r="AR761" s="60"/>
      <x:c r="AS761" s="58"/>
      <x:c r="AT761" s="47"/>
      <x:c r="AU761" s="60"/>
      <x:c r="AV761" s="58"/>
      <x:c r="AW761" s="47"/>
      <x:c r="AX761" s="60"/>
      <x:c r="AY761" s="58"/>
      <x:c r="AZ761" s="47"/>
      <x:c r="BA761" s="60"/>
      <x:c r="BB761" s="58"/>
      <x:c r="BC761" s="47"/>
      <x:c r="BD761" s="60"/>
      <x:c r="BE761" s="58"/>
      <x:c r="BF761" s="47"/>
      <x:c r="BG761" s="60"/>
      <x:c r="BH761" s="58"/>
      <x:c r="BI761" s="47"/>
      <x:c r="BJ761" s="60"/>
      <x:c r="BK761" s="58"/>
      <x:c r="BL761" s="47"/>
      <x:c r="BM761" s="60"/>
      <x:c r="BN761" s="58"/>
      <x:c r="BO761" s="47"/>
      <x:c r="BP761" s="60"/>
      <x:c r="BQ761" s="58"/>
      <x:c r="BR761" s="47"/>
      <x:c r="BS761" s="60"/>
      <x:c r="BT761" s="58"/>
      <x:c r="BU761" s="47"/>
      <x:c r="BV761" s="60"/>
      <x:c r="BW761" s="58"/>
      <x:c r="BX761" s="47"/>
      <x:c r="BY761" s="60"/>
      <x:c r="BZ761" s="58"/>
      <x:c r="CA761" s="47"/>
      <x:c r="CB761" s="60"/>
      <x:c r="CC761" s="58"/>
      <x:c r="CD761" s="47"/>
      <x:c r="CE761" s="60"/>
      <x:c r="CF761" s="58"/>
      <x:c r="CG761" s="47"/>
      <x:c r="CH761" s="60"/>
      <x:c r="CI761" s="58"/>
      <x:c r="CJ761" s="47"/>
      <x:c r="CK761" s="60"/>
      <x:c r="CL761" s="58"/>
      <x:c r="CM761" s="47"/>
      <x:c r="CN761" s="60"/>
      <x:c r="CO761" s="58"/>
      <x:c r="CP761" s="47"/>
      <x:c r="CQ761" s="60"/>
      <x:c r="CR761" s="58"/>
      <x:c r="CS761" s="47"/>
      <x:c r="CT761" s="60"/>
      <x:c r="CU761" s="58"/>
      <x:c r="CV761" s="47"/>
      <x:c r="CW761" s="60"/>
      <x:c r="CX761" s="58"/>
      <x:c r="CY761" s="47"/>
      <x:c r="CZ761" s="60"/>
      <x:c r="DA761" s="58"/>
      <x:c r="DB761" s="47"/>
      <x:c r="DC761" s="60"/>
      <x:c r="DD761" s="58"/>
      <x:c r="DE761" s="47"/>
      <x:c r="DF761" s="60"/>
      <x:c r="DG761" s="58"/>
      <x:c r="DH761" s="47"/>
      <x:c r="DI761" s="60"/>
      <x:c r="DJ761" s="58"/>
      <x:c r="DK761" s="47"/>
      <x:c r="DL761" s="60"/>
      <x:c r="DM761" s="58"/>
      <x:c r="DN761" s="11"/>
      <x:c r="DO761" s="61"/>
      <x:c r="DP761" s="62"/>
      <x:c r="DQ761" s="11"/>
      <x:c r="DR761" s="61"/>
      <x:c r="DS761" s="62"/>
      <x:c r="DT761" s="11"/>
      <x:c r="DU761" s="61"/>
      <x:c r="DV761" s="62"/>
    </x:row>
    <x:row r="762" spans="1:126" x14ac:dyDescent="0.3">
      <x:c r="A762" s="47"/>
      <x:c r="B762" s="70"/>
      <x:c r="C762" s="70"/>
      <x:c r="D762" s="70"/>
      <x:c r="E762" s="70"/>
      <x:c r="F762" s="70"/>
      <x:c r="G762" s="70"/>
      <x:c r="H762" s="70"/>
      <x:c r="I762" s="70"/>
      <x:c r="J762" s="70"/>
      <x:c r="K762" s="190"/>
      <x:c r="L762" s="195"/>
      <x:c r="M762" s="192"/>
      <x:c r="N762" s="192"/>
      <x:c r="O762" s="69"/>
      <x:c r="P762" s="47"/>
      <x:c r="Q762" s="60"/>
      <x:c r="R762" s="58"/>
      <x:c r="S762" s="47"/>
      <x:c r="T762" s="60"/>
      <x:c r="U762" s="58"/>
      <x:c r="V762" s="47"/>
      <x:c r="W762" s="60"/>
      <x:c r="X762" s="58"/>
      <x:c r="Y762" s="47"/>
      <x:c r="Z762" s="60"/>
      <x:c r="AA762" s="58"/>
      <x:c r="AB762" s="47"/>
      <x:c r="AC762" s="60"/>
      <x:c r="AD762" s="58"/>
      <x:c r="AE762" s="47"/>
      <x:c r="AF762" s="60"/>
      <x:c r="AG762" s="58"/>
      <x:c r="AH762" s="47"/>
      <x:c r="AI762" s="60"/>
      <x:c r="AJ762" s="58"/>
      <x:c r="AK762" s="47"/>
      <x:c r="AL762" s="60"/>
      <x:c r="AM762" s="58"/>
      <x:c r="AN762" s="47"/>
      <x:c r="AO762" s="60"/>
      <x:c r="AP762" s="58"/>
      <x:c r="AQ762" s="47"/>
      <x:c r="AR762" s="60"/>
      <x:c r="AS762" s="58"/>
      <x:c r="AT762" s="47"/>
      <x:c r="AU762" s="60"/>
      <x:c r="AV762" s="58"/>
      <x:c r="AW762" s="47"/>
      <x:c r="AX762" s="60"/>
      <x:c r="AY762" s="58"/>
      <x:c r="AZ762" s="47"/>
      <x:c r="BA762" s="60"/>
      <x:c r="BB762" s="58"/>
      <x:c r="BC762" s="47"/>
      <x:c r="BD762" s="60"/>
      <x:c r="BE762" s="58"/>
      <x:c r="BF762" s="47"/>
      <x:c r="BG762" s="60"/>
      <x:c r="BH762" s="58"/>
      <x:c r="BI762" s="47"/>
      <x:c r="BJ762" s="60"/>
      <x:c r="BK762" s="58"/>
      <x:c r="BL762" s="47"/>
      <x:c r="BM762" s="60"/>
      <x:c r="BN762" s="58"/>
      <x:c r="BO762" s="47"/>
      <x:c r="BP762" s="60"/>
      <x:c r="BQ762" s="58"/>
      <x:c r="BR762" s="47"/>
      <x:c r="BS762" s="60"/>
      <x:c r="BT762" s="58"/>
      <x:c r="BU762" s="47"/>
      <x:c r="BV762" s="60"/>
      <x:c r="BW762" s="58"/>
      <x:c r="BX762" s="47"/>
      <x:c r="BY762" s="60"/>
      <x:c r="BZ762" s="58"/>
      <x:c r="CA762" s="47"/>
      <x:c r="CB762" s="60"/>
      <x:c r="CC762" s="58"/>
      <x:c r="CD762" s="47"/>
      <x:c r="CE762" s="60"/>
      <x:c r="CF762" s="58"/>
      <x:c r="CG762" s="47"/>
      <x:c r="CH762" s="60"/>
      <x:c r="CI762" s="58"/>
      <x:c r="CJ762" s="47"/>
      <x:c r="CK762" s="60"/>
      <x:c r="CL762" s="58"/>
      <x:c r="CM762" s="47"/>
      <x:c r="CN762" s="60"/>
      <x:c r="CO762" s="58"/>
      <x:c r="CP762" s="47"/>
      <x:c r="CQ762" s="60"/>
      <x:c r="CR762" s="58"/>
      <x:c r="CS762" s="47"/>
      <x:c r="CT762" s="60"/>
      <x:c r="CU762" s="58"/>
      <x:c r="CV762" s="47"/>
      <x:c r="CW762" s="60"/>
      <x:c r="CX762" s="58"/>
      <x:c r="CY762" s="47"/>
      <x:c r="CZ762" s="60"/>
      <x:c r="DA762" s="58"/>
      <x:c r="DB762" s="47"/>
      <x:c r="DC762" s="60"/>
      <x:c r="DD762" s="58"/>
      <x:c r="DE762" s="47"/>
      <x:c r="DF762" s="60"/>
      <x:c r="DG762" s="58"/>
      <x:c r="DH762" s="47"/>
      <x:c r="DI762" s="60"/>
      <x:c r="DJ762" s="58"/>
      <x:c r="DK762" s="47"/>
      <x:c r="DL762" s="60"/>
      <x:c r="DM762" s="58"/>
      <x:c r="DN762" s="11"/>
      <x:c r="DO762" s="61"/>
      <x:c r="DP762" s="62"/>
      <x:c r="DQ762" s="11"/>
      <x:c r="DR762" s="61"/>
      <x:c r="DS762" s="62"/>
      <x:c r="DT762" s="11"/>
      <x:c r="DU762" s="61"/>
      <x:c r="DV762" s="62"/>
    </x:row>
    <x:row r="763" spans="1:126" x14ac:dyDescent="0.3">
      <x:c r="A763" s="47"/>
      <x:c r="B763" s="70"/>
      <x:c r="C763" s="70"/>
      <x:c r="D763" s="70"/>
      <x:c r="E763" s="70"/>
      <x:c r="F763" s="70"/>
      <x:c r="G763" s="70"/>
      <x:c r="H763" s="70"/>
      <x:c r="I763" s="70"/>
      <x:c r="J763" s="70"/>
      <x:c r="K763" s="190"/>
      <x:c r="L763" s="195"/>
      <x:c r="M763" s="192"/>
      <x:c r="N763" s="192"/>
      <x:c r="O763" s="69"/>
      <x:c r="P763" s="47"/>
      <x:c r="Q763" s="60"/>
      <x:c r="R763" s="58"/>
      <x:c r="S763" s="47"/>
      <x:c r="T763" s="60"/>
      <x:c r="U763" s="58"/>
      <x:c r="V763" s="47"/>
      <x:c r="W763" s="60"/>
      <x:c r="X763" s="58"/>
      <x:c r="Y763" s="47"/>
      <x:c r="Z763" s="60"/>
      <x:c r="AA763" s="58"/>
      <x:c r="AB763" s="47"/>
      <x:c r="AC763" s="60"/>
      <x:c r="AD763" s="58"/>
      <x:c r="AE763" s="47"/>
      <x:c r="AF763" s="60"/>
      <x:c r="AG763" s="58"/>
      <x:c r="AH763" s="47"/>
      <x:c r="AI763" s="60"/>
      <x:c r="AJ763" s="58"/>
      <x:c r="AK763" s="47"/>
      <x:c r="AL763" s="60"/>
      <x:c r="AM763" s="58"/>
      <x:c r="AN763" s="47"/>
      <x:c r="AO763" s="60"/>
      <x:c r="AP763" s="58"/>
      <x:c r="AQ763" s="47"/>
      <x:c r="AR763" s="60"/>
      <x:c r="AS763" s="58"/>
      <x:c r="AT763" s="47"/>
      <x:c r="AU763" s="60"/>
      <x:c r="AV763" s="58"/>
      <x:c r="AW763" s="47"/>
      <x:c r="AX763" s="60"/>
      <x:c r="AY763" s="58"/>
      <x:c r="AZ763" s="47"/>
      <x:c r="BA763" s="60"/>
      <x:c r="BB763" s="58"/>
      <x:c r="BC763" s="47"/>
      <x:c r="BD763" s="60"/>
      <x:c r="BE763" s="58"/>
      <x:c r="BF763" s="47"/>
      <x:c r="BG763" s="60"/>
      <x:c r="BH763" s="58"/>
      <x:c r="BI763" s="47"/>
      <x:c r="BJ763" s="60"/>
      <x:c r="BK763" s="58"/>
      <x:c r="BL763" s="47"/>
      <x:c r="BM763" s="60"/>
      <x:c r="BN763" s="58"/>
      <x:c r="BO763" s="47"/>
      <x:c r="BP763" s="60"/>
      <x:c r="BQ763" s="58"/>
      <x:c r="BR763" s="47"/>
      <x:c r="BS763" s="60"/>
      <x:c r="BT763" s="58"/>
      <x:c r="BU763" s="47"/>
      <x:c r="BV763" s="60"/>
      <x:c r="BW763" s="58"/>
      <x:c r="BX763" s="47"/>
      <x:c r="BY763" s="60"/>
      <x:c r="BZ763" s="58"/>
      <x:c r="CA763" s="47"/>
      <x:c r="CB763" s="60"/>
      <x:c r="CC763" s="58"/>
      <x:c r="CD763" s="47"/>
      <x:c r="CE763" s="60"/>
      <x:c r="CF763" s="58"/>
      <x:c r="CG763" s="47"/>
      <x:c r="CH763" s="60"/>
      <x:c r="CI763" s="58"/>
      <x:c r="CJ763" s="47"/>
      <x:c r="CK763" s="60"/>
      <x:c r="CL763" s="58"/>
      <x:c r="CM763" s="47"/>
      <x:c r="CN763" s="60"/>
      <x:c r="CO763" s="58"/>
      <x:c r="CP763" s="47"/>
      <x:c r="CQ763" s="60"/>
      <x:c r="CR763" s="58"/>
      <x:c r="CS763" s="47"/>
      <x:c r="CT763" s="60"/>
      <x:c r="CU763" s="58"/>
      <x:c r="CV763" s="47"/>
      <x:c r="CW763" s="60"/>
      <x:c r="CX763" s="58"/>
      <x:c r="CY763" s="47"/>
      <x:c r="CZ763" s="60"/>
      <x:c r="DA763" s="58"/>
      <x:c r="DB763" s="47"/>
      <x:c r="DC763" s="60"/>
      <x:c r="DD763" s="58"/>
      <x:c r="DE763" s="47"/>
      <x:c r="DF763" s="60"/>
      <x:c r="DG763" s="58"/>
      <x:c r="DH763" s="47"/>
      <x:c r="DI763" s="60"/>
      <x:c r="DJ763" s="58"/>
      <x:c r="DK763" s="47"/>
      <x:c r="DL763" s="60"/>
      <x:c r="DM763" s="58"/>
      <x:c r="DN763" s="11"/>
      <x:c r="DO763" s="61"/>
      <x:c r="DP763" s="62"/>
      <x:c r="DQ763" s="11"/>
      <x:c r="DR763" s="61"/>
      <x:c r="DS763" s="62"/>
      <x:c r="DT763" s="11"/>
      <x:c r="DU763" s="61"/>
      <x:c r="DV763" s="62"/>
    </x:row>
    <x:row r="764" spans="1:126" x14ac:dyDescent="0.3">
      <x:c r="A764" s="47"/>
      <x:c r="B764" s="70"/>
      <x:c r="C764" s="70"/>
      <x:c r="D764" s="70"/>
      <x:c r="E764" s="70"/>
      <x:c r="F764" s="70"/>
      <x:c r="G764" s="70"/>
      <x:c r="H764" s="70"/>
      <x:c r="I764" s="70"/>
      <x:c r="J764" s="70"/>
      <x:c r="K764" s="190"/>
      <x:c r="L764" s="195"/>
      <x:c r="M764" s="192"/>
      <x:c r="N764" s="192"/>
      <x:c r="O764" s="69"/>
      <x:c r="P764" s="47"/>
      <x:c r="Q764" s="60"/>
      <x:c r="R764" s="58"/>
      <x:c r="S764" s="47"/>
      <x:c r="T764" s="60"/>
      <x:c r="U764" s="58"/>
      <x:c r="V764" s="47"/>
      <x:c r="W764" s="60"/>
      <x:c r="X764" s="58"/>
      <x:c r="Y764" s="47"/>
      <x:c r="Z764" s="60"/>
      <x:c r="AA764" s="58"/>
      <x:c r="AB764" s="47"/>
      <x:c r="AC764" s="60"/>
      <x:c r="AD764" s="58"/>
      <x:c r="AE764" s="47"/>
      <x:c r="AF764" s="60"/>
      <x:c r="AG764" s="58"/>
      <x:c r="AH764" s="47"/>
      <x:c r="AI764" s="60"/>
      <x:c r="AJ764" s="58"/>
      <x:c r="AK764" s="47"/>
      <x:c r="AL764" s="60"/>
      <x:c r="AM764" s="58"/>
      <x:c r="AN764" s="47"/>
      <x:c r="AO764" s="60"/>
      <x:c r="AP764" s="58"/>
      <x:c r="AQ764" s="47"/>
      <x:c r="AR764" s="60"/>
      <x:c r="AS764" s="58"/>
      <x:c r="AT764" s="47"/>
      <x:c r="AU764" s="60"/>
      <x:c r="AV764" s="58"/>
      <x:c r="AW764" s="47"/>
      <x:c r="AX764" s="60"/>
      <x:c r="AY764" s="58"/>
      <x:c r="AZ764" s="47"/>
      <x:c r="BA764" s="60"/>
      <x:c r="BB764" s="58"/>
      <x:c r="BC764" s="47"/>
      <x:c r="BD764" s="60"/>
      <x:c r="BE764" s="58"/>
      <x:c r="BF764" s="47"/>
      <x:c r="BG764" s="60"/>
      <x:c r="BH764" s="58"/>
      <x:c r="BI764" s="47"/>
      <x:c r="BJ764" s="60"/>
      <x:c r="BK764" s="58"/>
      <x:c r="BL764" s="47"/>
      <x:c r="BM764" s="60"/>
      <x:c r="BN764" s="58"/>
      <x:c r="BO764" s="47"/>
      <x:c r="BP764" s="60"/>
      <x:c r="BQ764" s="58"/>
      <x:c r="BR764" s="47"/>
      <x:c r="BS764" s="60"/>
      <x:c r="BT764" s="58"/>
      <x:c r="BU764" s="47"/>
      <x:c r="BV764" s="60"/>
      <x:c r="BW764" s="58"/>
      <x:c r="BX764" s="47"/>
      <x:c r="BY764" s="60"/>
      <x:c r="BZ764" s="58"/>
      <x:c r="CA764" s="47"/>
      <x:c r="CB764" s="60"/>
      <x:c r="CC764" s="58"/>
      <x:c r="CD764" s="47"/>
      <x:c r="CE764" s="60"/>
      <x:c r="CF764" s="58"/>
      <x:c r="CG764" s="47"/>
      <x:c r="CH764" s="60"/>
      <x:c r="CI764" s="58"/>
      <x:c r="CJ764" s="47"/>
      <x:c r="CK764" s="60"/>
      <x:c r="CL764" s="58"/>
      <x:c r="CM764" s="47"/>
      <x:c r="CN764" s="60"/>
      <x:c r="CO764" s="58"/>
      <x:c r="CP764" s="47"/>
      <x:c r="CQ764" s="60"/>
      <x:c r="CR764" s="58"/>
      <x:c r="CS764" s="47"/>
      <x:c r="CT764" s="60"/>
      <x:c r="CU764" s="58"/>
      <x:c r="CV764" s="47"/>
      <x:c r="CW764" s="60"/>
      <x:c r="CX764" s="58"/>
      <x:c r="CY764" s="47"/>
      <x:c r="CZ764" s="60"/>
      <x:c r="DA764" s="58"/>
      <x:c r="DB764" s="47"/>
      <x:c r="DC764" s="60"/>
      <x:c r="DD764" s="58"/>
      <x:c r="DE764" s="47"/>
      <x:c r="DF764" s="60"/>
      <x:c r="DG764" s="58"/>
      <x:c r="DH764" s="47"/>
      <x:c r="DI764" s="60"/>
      <x:c r="DJ764" s="58"/>
      <x:c r="DK764" s="47"/>
      <x:c r="DL764" s="60"/>
      <x:c r="DM764" s="58"/>
      <x:c r="DN764" s="11"/>
      <x:c r="DO764" s="61"/>
      <x:c r="DP764" s="62"/>
      <x:c r="DQ764" s="11"/>
      <x:c r="DR764" s="61"/>
      <x:c r="DS764" s="62"/>
      <x:c r="DT764" s="11"/>
      <x:c r="DU764" s="61"/>
      <x:c r="DV764" s="62"/>
    </x:row>
    <x:row r="765" spans="1:126" x14ac:dyDescent="0.3">
      <x:c r="A765" s="47"/>
      <x:c r="B765" s="70"/>
      <x:c r="C765" s="70"/>
      <x:c r="D765" s="70"/>
      <x:c r="E765" s="70"/>
      <x:c r="F765" s="70"/>
      <x:c r="G765" s="70"/>
      <x:c r="H765" s="70"/>
      <x:c r="I765" s="70"/>
      <x:c r="J765" s="70"/>
      <x:c r="K765" s="190"/>
      <x:c r="L765" s="195"/>
      <x:c r="M765" s="192"/>
      <x:c r="N765" s="192"/>
      <x:c r="O765" s="69"/>
      <x:c r="P765" s="47"/>
      <x:c r="Q765" s="60"/>
      <x:c r="R765" s="58"/>
      <x:c r="S765" s="47"/>
      <x:c r="T765" s="60"/>
      <x:c r="U765" s="58"/>
      <x:c r="V765" s="47"/>
      <x:c r="W765" s="60"/>
      <x:c r="X765" s="58"/>
      <x:c r="Y765" s="47"/>
      <x:c r="Z765" s="60"/>
      <x:c r="AA765" s="58"/>
      <x:c r="AB765" s="47"/>
      <x:c r="AC765" s="60"/>
      <x:c r="AD765" s="58"/>
      <x:c r="AE765" s="47"/>
      <x:c r="AF765" s="60"/>
      <x:c r="AG765" s="58"/>
      <x:c r="AH765" s="47"/>
      <x:c r="AI765" s="60"/>
      <x:c r="AJ765" s="58"/>
      <x:c r="AK765" s="47"/>
      <x:c r="AL765" s="60"/>
      <x:c r="AM765" s="58"/>
      <x:c r="AN765" s="47"/>
      <x:c r="AO765" s="60"/>
      <x:c r="AP765" s="58"/>
      <x:c r="AQ765" s="47"/>
      <x:c r="AR765" s="60"/>
      <x:c r="AS765" s="58"/>
      <x:c r="AT765" s="47"/>
      <x:c r="AU765" s="60"/>
      <x:c r="AV765" s="58"/>
      <x:c r="AW765" s="47"/>
      <x:c r="AX765" s="60"/>
      <x:c r="AY765" s="58"/>
      <x:c r="AZ765" s="47"/>
      <x:c r="BA765" s="60"/>
      <x:c r="BB765" s="58"/>
      <x:c r="BC765" s="47"/>
      <x:c r="BD765" s="60"/>
      <x:c r="BE765" s="58"/>
      <x:c r="BF765" s="47"/>
      <x:c r="BG765" s="60"/>
      <x:c r="BH765" s="58"/>
      <x:c r="BI765" s="47"/>
      <x:c r="BJ765" s="60"/>
      <x:c r="BK765" s="58"/>
      <x:c r="BL765" s="47"/>
      <x:c r="BM765" s="60"/>
      <x:c r="BN765" s="58"/>
      <x:c r="BO765" s="47"/>
      <x:c r="BP765" s="60"/>
      <x:c r="BQ765" s="58"/>
      <x:c r="BR765" s="47"/>
      <x:c r="BS765" s="60"/>
      <x:c r="BT765" s="58"/>
      <x:c r="BU765" s="47"/>
      <x:c r="BV765" s="60"/>
      <x:c r="BW765" s="58"/>
      <x:c r="BX765" s="47"/>
      <x:c r="BY765" s="60"/>
      <x:c r="BZ765" s="58"/>
      <x:c r="CA765" s="47"/>
      <x:c r="CB765" s="60"/>
      <x:c r="CC765" s="58"/>
      <x:c r="CD765" s="47"/>
      <x:c r="CE765" s="60"/>
      <x:c r="CF765" s="58"/>
      <x:c r="CG765" s="47"/>
      <x:c r="CH765" s="60"/>
      <x:c r="CI765" s="58"/>
      <x:c r="CJ765" s="47"/>
      <x:c r="CK765" s="60"/>
      <x:c r="CL765" s="58"/>
      <x:c r="CM765" s="47"/>
      <x:c r="CN765" s="60"/>
      <x:c r="CO765" s="58"/>
      <x:c r="CP765" s="47"/>
      <x:c r="CQ765" s="60"/>
      <x:c r="CR765" s="58"/>
      <x:c r="CS765" s="47"/>
      <x:c r="CT765" s="60"/>
      <x:c r="CU765" s="58"/>
      <x:c r="CV765" s="47"/>
      <x:c r="CW765" s="60"/>
      <x:c r="CX765" s="58"/>
      <x:c r="CY765" s="47"/>
      <x:c r="CZ765" s="60"/>
      <x:c r="DA765" s="58"/>
      <x:c r="DB765" s="47"/>
      <x:c r="DC765" s="60"/>
      <x:c r="DD765" s="58"/>
      <x:c r="DE765" s="47"/>
      <x:c r="DF765" s="60"/>
      <x:c r="DG765" s="58"/>
      <x:c r="DH765" s="47"/>
      <x:c r="DI765" s="60"/>
      <x:c r="DJ765" s="58"/>
      <x:c r="DK765" s="47"/>
      <x:c r="DL765" s="60"/>
      <x:c r="DM765" s="58"/>
      <x:c r="DN765" s="11"/>
      <x:c r="DO765" s="61"/>
      <x:c r="DP765" s="62"/>
      <x:c r="DQ765" s="11"/>
      <x:c r="DR765" s="61"/>
      <x:c r="DS765" s="62"/>
      <x:c r="DT765" s="11"/>
      <x:c r="DU765" s="61"/>
      <x:c r="DV765" s="62"/>
    </x:row>
    <x:row r="766" spans="1:126" x14ac:dyDescent="0.3">
      <x:c r="A766" s="47"/>
      <x:c r="B766" s="70"/>
      <x:c r="C766" s="70"/>
      <x:c r="D766" s="70"/>
      <x:c r="E766" s="70"/>
      <x:c r="F766" s="70"/>
      <x:c r="G766" s="70"/>
      <x:c r="H766" s="70"/>
      <x:c r="I766" s="70"/>
      <x:c r="J766" s="70"/>
      <x:c r="K766" s="190"/>
      <x:c r="L766" s="195"/>
      <x:c r="M766" s="192"/>
      <x:c r="N766" s="192"/>
      <x:c r="O766" s="69"/>
      <x:c r="P766" s="47"/>
      <x:c r="Q766" s="60"/>
      <x:c r="R766" s="58"/>
      <x:c r="S766" s="47"/>
      <x:c r="T766" s="60"/>
      <x:c r="U766" s="58"/>
      <x:c r="V766" s="47"/>
      <x:c r="W766" s="60"/>
      <x:c r="X766" s="58"/>
      <x:c r="Y766" s="47"/>
      <x:c r="Z766" s="60"/>
      <x:c r="AA766" s="58"/>
      <x:c r="AB766" s="47"/>
      <x:c r="AC766" s="60"/>
      <x:c r="AD766" s="58"/>
      <x:c r="AE766" s="47"/>
      <x:c r="AF766" s="60"/>
      <x:c r="AG766" s="58"/>
      <x:c r="AH766" s="47"/>
      <x:c r="AI766" s="60"/>
      <x:c r="AJ766" s="58"/>
      <x:c r="AK766" s="47"/>
      <x:c r="AL766" s="60"/>
      <x:c r="AM766" s="58"/>
      <x:c r="AN766" s="47"/>
      <x:c r="AO766" s="60"/>
      <x:c r="AP766" s="58"/>
      <x:c r="AQ766" s="47"/>
      <x:c r="AR766" s="60"/>
      <x:c r="AS766" s="58"/>
      <x:c r="AT766" s="47"/>
      <x:c r="AU766" s="60"/>
      <x:c r="AV766" s="58"/>
      <x:c r="AW766" s="47"/>
      <x:c r="AX766" s="60"/>
      <x:c r="AY766" s="58"/>
      <x:c r="AZ766" s="47"/>
      <x:c r="BA766" s="60"/>
      <x:c r="BB766" s="58"/>
      <x:c r="BC766" s="47"/>
      <x:c r="BD766" s="60"/>
      <x:c r="BE766" s="58"/>
      <x:c r="BF766" s="47"/>
      <x:c r="BG766" s="60"/>
      <x:c r="BH766" s="58"/>
      <x:c r="BI766" s="47"/>
      <x:c r="BJ766" s="60"/>
      <x:c r="BK766" s="58"/>
      <x:c r="BL766" s="47"/>
      <x:c r="BM766" s="60"/>
      <x:c r="BN766" s="58"/>
      <x:c r="BO766" s="47"/>
      <x:c r="BP766" s="60"/>
      <x:c r="BQ766" s="58"/>
      <x:c r="BR766" s="47"/>
      <x:c r="BS766" s="60"/>
      <x:c r="BT766" s="58"/>
      <x:c r="BU766" s="47"/>
      <x:c r="BV766" s="60"/>
      <x:c r="BW766" s="58"/>
      <x:c r="BX766" s="47"/>
      <x:c r="BY766" s="60"/>
      <x:c r="BZ766" s="58"/>
      <x:c r="CA766" s="47"/>
      <x:c r="CB766" s="60"/>
      <x:c r="CC766" s="58"/>
      <x:c r="CD766" s="47"/>
      <x:c r="CE766" s="60"/>
      <x:c r="CF766" s="58"/>
      <x:c r="CG766" s="47"/>
      <x:c r="CH766" s="60"/>
      <x:c r="CI766" s="58"/>
      <x:c r="CJ766" s="47"/>
      <x:c r="CK766" s="60"/>
      <x:c r="CL766" s="58"/>
      <x:c r="CM766" s="47"/>
      <x:c r="CN766" s="60"/>
      <x:c r="CO766" s="58"/>
      <x:c r="CP766" s="47"/>
      <x:c r="CQ766" s="60"/>
      <x:c r="CR766" s="58"/>
      <x:c r="CS766" s="47"/>
      <x:c r="CT766" s="60"/>
      <x:c r="CU766" s="58"/>
      <x:c r="CV766" s="47"/>
      <x:c r="CW766" s="60"/>
      <x:c r="CX766" s="58"/>
      <x:c r="CY766" s="47"/>
      <x:c r="CZ766" s="60"/>
      <x:c r="DA766" s="58"/>
      <x:c r="DB766" s="47"/>
      <x:c r="DC766" s="60"/>
      <x:c r="DD766" s="58"/>
      <x:c r="DE766" s="47"/>
      <x:c r="DF766" s="60"/>
      <x:c r="DG766" s="58"/>
      <x:c r="DH766" s="47"/>
      <x:c r="DI766" s="60"/>
      <x:c r="DJ766" s="58"/>
      <x:c r="DK766" s="47"/>
      <x:c r="DL766" s="60"/>
      <x:c r="DM766" s="58"/>
      <x:c r="DN766" s="11"/>
      <x:c r="DO766" s="61"/>
      <x:c r="DP766" s="62"/>
      <x:c r="DQ766" s="11"/>
      <x:c r="DR766" s="61"/>
      <x:c r="DS766" s="62"/>
      <x:c r="DT766" s="11"/>
      <x:c r="DU766" s="61"/>
      <x:c r="DV766" s="62"/>
    </x:row>
    <x:row r="767" spans="1:126" x14ac:dyDescent="0.3">
      <x:c r="A767" s="47"/>
      <x:c r="B767" s="70"/>
      <x:c r="C767" s="70"/>
      <x:c r="D767" s="70"/>
      <x:c r="E767" s="70"/>
      <x:c r="F767" s="70"/>
      <x:c r="G767" s="70"/>
      <x:c r="H767" s="70"/>
      <x:c r="I767" s="70"/>
      <x:c r="J767" s="70"/>
      <x:c r="K767" s="190"/>
      <x:c r="L767" s="195"/>
      <x:c r="M767" s="192"/>
      <x:c r="N767" s="192"/>
      <x:c r="O767" s="69"/>
      <x:c r="P767" s="47"/>
      <x:c r="Q767" s="60"/>
      <x:c r="R767" s="58"/>
      <x:c r="S767" s="47"/>
      <x:c r="T767" s="60"/>
      <x:c r="U767" s="58"/>
      <x:c r="V767" s="47"/>
      <x:c r="W767" s="60"/>
      <x:c r="X767" s="58"/>
      <x:c r="Y767" s="47"/>
      <x:c r="Z767" s="60"/>
      <x:c r="AA767" s="58"/>
      <x:c r="AB767" s="47"/>
      <x:c r="AC767" s="60"/>
      <x:c r="AD767" s="58"/>
      <x:c r="AE767" s="47"/>
      <x:c r="AF767" s="60"/>
      <x:c r="AG767" s="58"/>
      <x:c r="AH767" s="47"/>
      <x:c r="AI767" s="60"/>
      <x:c r="AJ767" s="58"/>
      <x:c r="AK767" s="47"/>
      <x:c r="AL767" s="60"/>
      <x:c r="AM767" s="58"/>
      <x:c r="AN767" s="47"/>
      <x:c r="AO767" s="60"/>
      <x:c r="AP767" s="58"/>
      <x:c r="AQ767" s="47"/>
      <x:c r="AR767" s="60"/>
      <x:c r="AS767" s="58"/>
      <x:c r="AT767" s="47"/>
      <x:c r="AU767" s="60"/>
      <x:c r="AV767" s="58"/>
      <x:c r="AW767" s="47"/>
      <x:c r="AX767" s="60"/>
      <x:c r="AY767" s="58"/>
      <x:c r="AZ767" s="47"/>
      <x:c r="BA767" s="60"/>
      <x:c r="BB767" s="58"/>
      <x:c r="BC767" s="47"/>
      <x:c r="BD767" s="60"/>
      <x:c r="BE767" s="58"/>
      <x:c r="BF767" s="47"/>
      <x:c r="BG767" s="60"/>
      <x:c r="BH767" s="58"/>
      <x:c r="BI767" s="47"/>
      <x:c r="BJ767" s="60"/>
      <x:c r="BK767" s="58"/>
      <x:c r="BL767" s="47"/>
      <x:c r="BM767" s="60"/>
      <x:c r="BN767" s="58"/>
      <x:c r="BO767" s="47"/>
      <x:c r="BP767" s="60"/>
      <x:c r="BQ767" s="58"/>
      <x:c r="BR767" s="47"/>
      <x:c r="BS767" s="60"/>
      <x:c r="BT767" s="58"/>
      <x:c r="BU767" s="47"/>
      <x:c r="BV767" s="60"/>
      <x:c r="BW767" s="58"/>
      <x:c r="BX767" s="47"/>
      <x:c r="BY767" s="60"/>
      <x:c r="BZ767" s="58"/>
      <x:c r="CA767" s="47"/>
      <x:c r="CB767" s="60"/>
      <x:c r="CC767" s="58"/>
      <x:c r="CD767" s="47"/>
      <x:c r="CE767" s="60"/>
      <x:c r="CF767" s="58"/>
      <x:c r="CG767" s="47"/>
      <x:c r="CH767" s="60"/>
      <x:c r="CI767" s="58"/>
      <x:c r="CJ767" s="47"/>
      <x:c r="CK767" s="60"/>
      <x:c r="CL767" s="58"/>
      <x:c r="CM767" s="47"/>
      <x:c r="CN767" s="60"/>
      <x:c r="CO767" s="58"/>
      <x:c r="CP767" s="47"/>
      <x:c r="CQ767" s="60"/>
      <x:c r="CR767" s="58"/>
      <x:c r="CS767" s="47"/>
      <x:c r="CT767" s="60"/>
      <x:c r="CU767" s="58"/>
      <x:c r="CV767" s="47"/>
      <x:c r="CW767" s="60"/>
      <x:c r="CX767" s="58"/>
      <x:c r="CY767" s="47"/>
      <x:c r="CZ767" s="60"/>
      <x:c r="DA767" s="58"/>
      <x:c r="DB767" s="47"/>
      <x:c r="DC767" s="60"/>
      <x:c r="DD767" s="58"/>
      <x:c r="DE767" s="47"/>
      <x:c r="DF767" s="60"/>
      <x:c r="DG767" s="58"/>
      <x:c r="DH767" s="47"/>
      <x:c r="DI767" s="60"/>
      <x:c r="DJ767" s="58"/>
      <x:c r="DK767" s="47"/>
      <x:c r="DL767" s="60"/>
      <x:c r="DM767" s="58"/>
      <x:c r="DN767" s="11"/>
      <x:c r="DO767" s="61"/>
      <x:c r="DP767" s="62"/>
      <x:c r="DQ767" s="11"/>
      <x:c r="DR767" s="61"/>
      <x:c r="DS767" s="62"/>
      <x:c r="DT767" s="11"/>
      <x:c r="DU767" s="61"/>
      <x:c r="DV767" s="62"/>
    </x:row>
    <x:row r="768" spans="1:126" x14ac:dyDescent="0.3">
      <x:c r="A768" s="47"/>
      <x:c r="B768" s="70"/>
      <x:c r="C768" s="70"/>
      <x:c r="D768" s="70"/>
      <x:c r="E768" s="70"/>
      <x:c r="F768" s="70"/>
      <x:c r="G768" s="70"/>
      <x:c r="H768" s="70"/>
      <x:c r="I768" s="70"/>
      <x:c r="J768" s="70"/>
      <x:c r="K768" s="190"/>
      <x:c r="L768" s="195"/>
      <x:c r="M768" s="192"/>
      <x:c r="N768" s="192"/>
      <x:c r="O768" s="69"/>
      <x:c r="P768" s="47"/>
      <x:c r="Q768" s="60"/>
      <x:c r="R768" s="58"/>
      <x:c r="S768" s="47"/>
      <x:c r="T768" s="60"/>
      <x:c r="U768" s="58"/>
      <x:c r="V768" s="47"/>
      <x:c r="W768" s="60"/>
      <x:c r="X768" s="58"/>
      <x:c r="Y768" s="47"/>
      <x:c r="Z768" s="60"/>
      <x:c r="AA768" s="58"/>
      <x:c r="AB768" s="47"/>
      <x:c r="AC768" s="60"/>
      <x:c r="AD768" s="58"/>
      <x:c r="AE768" s="47"/>
      <x:c r="AF768" s="60"/>
      <x:c r="AG768" s="58"/>
      <x:c r="AH768" s="47"/>
      <x:c r="AI768" s="60"/>
      <x:c r="AJ768" s="58"/>
      <x:c r="AK768" s="47"/>
      <x:c r="AL768" s="60"/>
      <x:c r="AM768" s="58"/>
      <x:c r="AN768" s="47"/>
      <x:c r="AO768" s="60"/>
      <x:c r="AP768" s="58"/>
      <x:c r="AQ768" s="47"/>
      <x:c r="AR768" s="60"/>
      <x:c r="AS768" s="58"/>
      <x:c r="AT768" s="47"/>
      <x:c r="AU768" s="60"/>
      <x:c r="AV768" s="58"/>
      <x:c r="AW768" s="47"/>
      <x:c r="AX768" s="60"/>
      <x:c r="AY768" s="58"/>
      <x:c r="AZ768" s="47"/>
      <x:c r="BA768" s="60"/>
      <x:c r="BB768" s="58"/>
      <x:c r="BC768" s="47"/>
      <x:c r="BD768" s="60"/>
      <x:c r="BE768" s="58"/>
      <x:c r="BF768" s="47"/>
      <x:c r="BG768" s="60"/>
      <x:c r="BH768" s="58"/>
      <x:c r="BI768" s="47"/>
      <x:c r="BJ768" s="60"/>
      <x:c r="BK768" s="58"/>
      <x:c r="BL768" s="47"/>
      <x:c r="BM768" s="60"/>
      <x:c r="BN768" s="58"/>
      <x:c r="BO768" s="47"/>
      <x:c r="BP768" s="60"/>
      <x:c r="BQ768" s="58"/>
      <x:c r="BR768" s="47"/>
      <x:c r="BS768" s="60"/>
      <x:c r="BT768" s="58"/>
      <x:c r="BU768" s="47"/>
      <x:c r="BV768" s="60"/>
      <x:c r="BW768" s="58"/>
      <x:c r="BX768" s="47"/>
      <x:c r="BY768" s="60"/>
      <x:c r="BZ768" s="58"/>
      <x:c r="CA768" s="47"/>
      <x:c r="CB768" s="60"/>
      <x:c r="CC768" s="58"/>
      <x:c r="CD768" s="47"/>
      <x:c r="CE768" s="60"/>
      <x:c r="CF768" s="58"/>
      <x:c r="CG768" s="47"/>
      <x:c r="CH768" s="60"/>
      <x:c r="CI768" s="58"/>
      <x:c r="CJ768" s="47"/>
      <x:c r="CK768" s="60"/>
      <x:c r="CL768" s="58"/>
      <x:c r="CM768" s="47"/>
      <x:c r="CN768" s="60"/>
      <x:c r="CO768" s="58"/>
      <x:c r="CP768" s="47"/>
      <x:c r="CQ768" s="60"/>
      <x:c r="CR768" s="58"/>
      <x:c r="CS768" s="47"/>
      <x:c r="CT768" s="60"/>
      <x:c r="CU768" s="58"/>
      <x:c r="CV768" s="47"/>
      <x:c r="CW768" s="60"/>
      <x:c r="CX768" s="58"/>
      <x:c r="CY768" s="47"/>
      <x:c r="CZ768" s="60"/>
      <x:c r="DA768" s="58"/>
      <x:c r="DB768" s="47"/>
      <x:c r="DC768" s="60"/>
      <x:c r="DD768" s="58"/>
      <x:c r="DE768" s="47"/>
      <x:c r="DF768" s="60"/>
      <x:c r="DG768" s="58"/>
      <x:c r="DH768" s="47"/>
      <x:c r="DI768" s="60"/>
      <x:c r="DJ768" s="58"/>
      <x:c r="DK768" s="47"/>
      <x:c r="DL768" s="60"/>
      <x:c r="DM768" s="58"/>
      <x:c r="DN768" s="11"/>
      <x:c r="DO768" s="61"/>
      <x:c r="DP768" s="62"/>
      <x:c r="DQ768" s="11"/>
      <x:c r="DR768" s="61"/>
      <x:c r="DS768" s="62"/>
      <x:c r="DT768" s="11"/>
      <x:c r="DU768" s="61"/>
      <x:c r="DV768" s="62"/>
    </x:row>
    <x:row r="769" spans="1:126" x14ac:dyDescent="0.3">
      <x:c r="A769" s="47"/>
      <x:c r="B769" s="70"/>
      <x:c r="C769" s="70"/>
      <x:c r="D769" s="70"/>
      <x:c r="E769" s="70"/>
      <x:c r="F769" s="70"/>
      <x:c r="G769" s="70"/>
      <x:c r="H769" s="70"/>
      <x:c r="I769" s="70"/>
      <x:c r="J769" s="70"/>
      <x:c r="K769" s="190"/>
      <x:c r="L769" s="195"/>
      <x:c r="M769" s="192"/>
      <x:c r="N769" s="192"/>
      <x:c r="O769" s="69"/>
      <x:c r="P769" s="47"/>
      <x:c r="Q769" s="60"/>
      <x:c r="R769" s="58"/>
      <x:c r="S769" s="47"/>
      <x:c r="T769" s="60"/>
      <x:c r="U769" s="58"/>
      <x:c r="V769" s="47"/>
      <x:c r="W769" s="60"/>
      <x:c r="X769" s="58"/>
      <x:c r="Y769" s="47"/>
      <x:c r="Z769" s="60"/>
      <x:c r="AA769" s="58"/>
      <x:c r="AB769" s="47"/>
      <x:c r="AC769" s="60"/>
      <x:c r="AD769" s="58"/>
      <x:c r="AE769" s="47"/>
      <x:c r="AF769" s="60"/>
      <x:c r="AG769" s="58"/>
      <x:c r="AH769" s="47"/>
      <x:c r="AI769" s="60"/>
      <x:c r="AJ769" s="58"/>
      <x:c r="AK769" s="47"/>
      <x:c r="AL769" s="60"/>
      <x:c r="AM769" s="58"/>
      <x:c r="AN769" s="47"/>
      <x:c r="AO769" s="60"/>
      <x:c r="AP769" s="58"/>
      <x:c r="AQ769" s="47"/>
      <x:c r="AR769" s="60"/>
      <x:c r="AS769" s="58"/>
      <x:c r="AT769" s="47"/>
      <x:c r="AU769" s="60"/>
      <x:c r="AV769" s="58"/>
      <x:c r="AW769" s="47"/>
      <x:c r="AX769" s="60"/>
      <x:c r="AY769" s="58"/>
      <x:c r="AZ769" s="47"/>
      <x:c r="BA769" s="60"/>
      <x:c r="BB769" s="58"/>
      <x:c r="BC769" s="47"/>
      <x:c r="BD769" s="60"/>
      <x:c r="BE769" s="58"/>
      <x:c r="BF769" s="47"/>
      <x:c r="BG769" s="60"/>
      <x:c r="BH769" s="58"/>
      <x:c r="BI769" s="47"/>
      <x:c r="BJ769" s="60"/>
      <x:c r="BK769" s="58"/>
      <x:c r="BL769" s="47"/>
      <x:c r="BM769" s="60"/>
      <x:c r="BN769" s="58"/>
      <x:c r="BO769" s="47"/>
      <x:c r="BP769" s="60"/>
      <x:c r="BQ769" s="58"/>
      <x:c r="BR769" s="47"/>
      <x:c r="BS769" s="60"/>
      <x:c r="BT769" s="58"/>
      <x:c r="BU769" s="47"/>
      <x:c r="BV769" s="60"/>
      <x:c r="BW769" s="58"/>
      <x:c r="BX769" s="47"/>
      <x:c r="BY769" s="60"/>
      <x:c r="BZ769" s="58"/>
      <x:c r="CA769" s="47"/>
      <x:c r="CB769" s="60"/>
      <x:c r="CC769" s="58"/>
      <x:c r="CD769" s="47"/>
      <x:c r="CE769" s="60"/>
      <x:c r="CF769" s="58"/>
      <x:c r="CG769" s="47"/>
      <x:c r="CH769" s="60"/>
      <x:c r="CI769" s="58"/>
      <x:c r="CJ769" s="47"/>
      <x:c r="CK769" s="60"/>
      <x:c r="CL769" s="58"/>
      <x:c r="CM769" s="47"/>
      <x:c r="CN769" s="60"/>
      <x:c r="CO769" s="58"/>
      <x:c r="CP769" s="47"/>
      <x:c r="CQ769" s="60"/>
      <x:c r="CR769" s="58"/>
      <x:c r="CS769" s="47"/>
      <x:c r="CT769" s="60"/>
      <x:c r="CU769" s="58"/>
      <x:c r="CV769" s="47"/>
      <x:c r="CW769" s="60"/>
      <x:c r="CX769" s="58"/>
      <x:c r="CY769" s="47"/>
      <x:c r="CZ769" s="60"/>
      <x:c r="DA769" s="58"/>
      <x:c r="DB769" s="47"/>
      <x:c r="DC769" s="60"/>
      <x:c r="DD769" s="58"/>
      <x:c r="DE769" s="47"/>
      <x:c r="DF769" s="60"/>
      <x:c r="DG769" s="58"/>
      <x:c r="DH769" s="47"/>
      <x:c r="DI769" s="60"/>
      <x:c r="DJ769" s="58"/>
      <x:c r="DK769" s="47"/>
      <x:c r="DL769" s="60"/>
      <x:c r="DM769" s="58"/>
      <x:c r="DN769" s="11"/>
      <x:c r="DO769" s="61"/>
      <x:c r="DP769" s="62"/>
      <x:c r="DQ769" s="11"/>
      <x:c r="DR769" s="61"/>
      <x:c r="DS769" s="62"/>
      <x:c r="DT769" s="11"/>
      <x:c r="DU769" s="61"/>
      <x:c r="DV769" s="62"/>
    </x:row>
    <x:row r="770" spans="1:126" x14ac:dyDescent="0.3">
      <x:c r="A770" s="47"/>
      <x:c r="B770" s="70"/>
      <x:c r="C770" s="70"/>
      <x:c r="D770" s="70"/>
      <x:c r="E770" s="70"/>
      <x:c r="F770" s="70"/>
      <x:c r="G770" s="70"/>
      <x:c r="H770" s="70"/>
      <x:c r="I770" s="70"/>
      <x:c r="J770" s="70"/>
      <x:c r="K770" s="190"/>
      <x:c r="L770" s="195"/>
      <x:c r="M770" s="192"/>
      <x:c r="N770" s="192"/>
      <x:c r="O770" s="69"/>
      <x:c r="P770" s="47"/>
      <x:c r="Q770" s="60"/>
      <x:c r="R770" s="58"/>
      <x:c r="S770" s="47"/>
      <x:c r="T770" s="60"/>
      <x:c r="U770" s="58"/>
      <x:c r="V770" s="47"/>
      <x:c r="W770" s="60"/>
      <x:c r="X770" s="58"/>
      <x:c r="Y770" s="47"/>
      <x:c r="Z770" s="60"/>
      <x:c r="AA770" s="58"/>
      <x:c r="AB770" s="47"/>
      <x:c r="AC770" s="60"/>
      <x:c r="AD770" s="58"/>
      <x:c r="AE770" s="47"/>
      <x:c r="AF770" s="60"/>
      <x:c r="AG770" s="58"/>
      <x:c r="AH770" s="47"/>
      <x:c r="AI770" s="60"/>
      <x:c r="AJ770" s="58"/>
      <x:c r="AK770" s="47"/>
      <x:c r="AL770" s="60"/>
      <x:c r="AM770" s="58"/>
      <x:c r="AN770" s="47"/>
      <x:c r="AO770" s="60"/>
      <x:c r="AP770" s="58"/>
      <x:c r="AQ770" s="47"/>
      <x:c r="AR770" s="60"/>
      <x:c r="AS770" s="58"/>
      <x:c r="AT770" s="47"/>
      <x:c r="AU770" s="60"/>
      <x:c r="AV770" s="58"/>
      <x:c r="AW770" s="47"/>
      <x:c r="AX770" s="60"/>
      <x:c r="AY770" s="58"/>
      <x:c r="AZ770" s="47"/>
      <x:c r="BA770" s="60"/>
      <x:c r="BB770" s="58"/>
      <x:c r="BC770" s="47"/>
      <x:c r="BD770" s="60"/>
      <x:c r="BE770" s="58"/>
      <x:c r="BF770" s="47"/>
      <x:c r="BG770" s="60"/>
      <x:c r="BH770" s="58"/>
      <x:c r="BI770" s="47"/>
      <x:c r="BJ770" s="60"/>
      <x:c r="BK770" s="58"/>
      <x:c r="BL770" s="47"/>
      <x:c r="BM770" s="60"/>
      <x:c r="BN770" s="58"/>
      <x:c r="BO770" s="47"/>
      <x:c r="BP770" s="60"/>
      <x:c r="BQ770" s="58"/>
      <x:c r="BR770" s="47"/>
      <x:c r="BS770" s="60"/>
      <x:c r="BT770" s="58"/>
      <x:c r="BU770" s="47"/>
      <x:c r="BV770" s="60"/>
      <x:c r="BW770" s="58"/>
      <x:c r="BX770" s="47"/>
      <x:c r="BY770" s="60"/>
      <x:c r="BZ770" s="58"/>
      <x:c r="CA770" s="47"/>
      <x:c r="CB770" s="60"/>
      <x:c r="CC770" s="58"/>
      <x:c r="CD770" s="47"/>
      <x:c r="CE770" s="60"/>
      <x:c r="CF770" s="58"/>
      <x:c r="CG770" s="47"/>
      <x:c r="CH770" s="60"/>
      <x:c r="CI770" s="58"/>
      <x:c r="CJ770" s="47"/>
      <x:c r="CK770" s="60"/>
      <x:c r="CL770" s="58"/>
      <x:c r="CM770" s="47"/>
      <x:c r="CN770" s="60"/>
      <x:c r="CO770" s="58"/>
      <x:c r="CP770" s="47"/>
      <x:c r="CQ770" s="60"/>
      <x:c r="CR770" s="58"/>
      <x:c r="CS770" s="47"/>
      <x:c r="CT770" s="60"/>
      <x:c r="CU770" s="58"/>
      <x:c r="CV770" s="47"/>
      <x:c r="CW770" s="60"/>
      <x:c r="CX770" s="58"/>
      <x:c r="CY770" s="47"/>
      <x:c r="CZ770" s="60"/>
      <x:c r="DA770" s="58"/>
      <x:c r="DB770" s="47"/>
      <x:c r="DC770" s="60"/>
      <x:c r="DD770" s="58"/>
      <x:c r="DE770" s="47"/>
      <x:c r="DF770" s="60"/>
      <x:c r="DG770" s="58"/>
      <x:c r="DH770" s="47"/>
      <x:c r="DI770" s="60"/>
      <x:c r="DJ770" s="58"/>
      <x:c r="DK770" s="47"/>
      <x:c r="DL770" s="60"/>
      <x:c r="DM770" s="58"/>
      <x:c r="DN770" s="11"/>
      <x:c r="DO770" s="61"/>
      <x:c r="DP770" s="62"/>
      <x:c r="DQ770" s="11"/>
      <x:c r="DR770" s="61"/>
      <x:c r="DS770" s="62"/>
      <x:c r="DT770" s="11"/>
      <x:c r="DU770" s="61"/>
      <x:c r="DV770" s="62"/>
    </x:row>
    <x:row r="771" spans="1:126" x14ac:dyDescent="0.3">
      <x:c r="A771" s="47"/>
      <x:c r="B771" s="70"/>
      <x:c r="C771" s="70"/>
      <x:c r="D771" s="70"/>
      <x:c r="E771" s="70"/>
      <x:c r="F771" s="70"/>
      <x:c r="G771" s="70"/>
      <x:c r="H771" s="70"/>
      <x:c r="I771" s="70"/>
      <x:c r="J771" s="70"/>
      <x:c r="K771" s="190"/>
      <x:c r="L771" s="195"/>
      <x:c r="M771" s="192"/>
      <x:c r="N771" s="192"/>
      <x:c r="O771" s="69"/>
      <x:c r="P771" s="47"/>
      <x:c r="Q771" s="60"/>
      <x:c r="R771" s="58"/>
      <x:c r="S771" s="47"/>
      <x:c r="T771" s="60"/>
      <x:c r="U771" s="58"/>
      <x:c r="V771" s="47"/>
      <x:c r="W771" s="60"/>
      <x:c r="X771" s="58"/>
      <x:c r="Y771" s="47"/>
      <x:c r="Z771" s="60"/>
      <x:c r="AA771" s="58"/>
      <x:c r="AB771" s="47"/>
      <x:c r="AC771" s="60"/>
      <x:c r="AD771" s="58"/>
      <x:c r="AE771" s="47"/>
      <x:c r="AF771" s="60"/>
      <x:c r="AG771" s="58"/>
      <x:c r="AH771" s="47"/>
      <x:c r="AI771" s="60"/>
      <x:c r="AJ771" s="58"/>
      <x:c r="AK771" s="47"/>
      <x:c r="AL771" s="60"/>
      <x:c r="AM771" s="58"/>
      <x:c r="AN771" s="47"/>
      <x:c r="AO771" s="60"/>
      <x:c r="AP771" s="58"/>
      <x:c r="AQ771" s="47"/>
      <x:c r="AR771" s="60"/>
      <x:c r="AS771" s="58"/>
      <x:c r="AT771" s="47"/>
      <x:c r="AU771" s="60"/>
      <x:c r="AV771" s="58"/>
      <x:c r="AW771" s="47"/>
      <x:c r="AX771" s="60"/>
      <x:c r="AY771" s="58"/>
      <x:c r="AZ771" s="47"/>
      <x:c r="BA771" s="60"/>
      <x:c r="BB771" s="58"/>
      <x:c r="BC771" s="47"/>
      <x:c r="BD771" s="60"/>
      <x:c r="BE771" s="58"/>
      <x:c r="BF771" s="47"/>
      <x:c r="BG771" s="60"/>
      <x:c r="BH771" s="58"/>
      <x:c r="BI771" s="47"/>
      <x:c r="BJ771" s="60"/>
      <x:c r="BK771" s="58"/>
      <x:c r="BL771" s="47"/>
      <x:c r="BM771" s="60"/>
      <x:c r="BN771" s="58"/>
      <x:c r="BO771" s="47"/>
      <x:c r="BP771" s="60"/>
      <x:c r="BQ771" s="58"/>
      <x:c r="BR771" s="47"/>
      <x:c r="BS771" s="60"/>
      <x:c r="BT771" s="58"/>
      <x:c r="BU771" s="47"/>
      <x:c r="BV771" s="60"/>
      <x:c r="BW771" s="58"/>
      <x:c r="BX771" s="47"/>
      <x:c r="BY771" s="60"/>
      <x:c r="BZ771" s="58"/>
      <x:c r="CA771" s="47"/>
      <x:c r="CB771" s="60"/>
      <x:c r="CC771" s="58"/>
      <x:c r="CD771" s="47"/>
      <x:c r="CE771" s="60"/>
      <x:c r="CF771" s="58"/>
      <x:c r="CG771" s="47"/>
      <x:c r="CH771" s="60"/>
      <x:c r="CI771" s="58"/>
      <x:c r="CJ771" s="47"/>
      <x:c r="CK771" s="60"/>
      <x:c r="CL771" s="58"/>
      <x:c r="CM771" s="47"/>
      <x:c r="CN771" s="60"/>
      <x:c r="CO771" s="58"/>
      <x:c r="CP771" s="47"/>
      <x:c r="CQ771" s="60"/>
      <x:c r="CR771" s="58"/>
      <x:c r="CS771" s="47"/>
      <x:c r="CT771" s="60"/>
      <x:c r="CU771" s="58"/>
      <x:c r="CV771" s="47"/>
      <x:c r="CW771" s="60"/>
      <x:c r="CX771" s="58"/>
      <x:c r="CY771" s="47"/>
      <x:c r="CZ771" s="60"/>
      <x:c r="DA771" s="58"/>
      <x:c r="DB771" s="47"/>
      <x:c r="DC771" s="60"/>
      <x:c r="DD771" s="58"/>
      <x:c r="DE771" s="47"/>
      <x:c r="DF771" s="60"/>
      <x:c r="DG771" s="58"/>
      <x:c r="DH771" s="47"/>
      <x:c r="DI771" s="60"/>
      <x:c r="DJ771" s="58"/>
      <x:c r="DK771" s="47"/>
      <x:c r="DL771" s="60"/>
      <x:c r="DM771" s="58"/>
      <x:c r="DN771" s="11"/>
      <x:c r="DO771" s="61"/>
      <x:c r="DP771" s="62"/>
      <x:c r="DQ771" s="11"/>
      <x:c r="DR771" s="61"/>
      <x:c r="DS771" s="62"/>
      <x:c r="DT771" s="11"/>
      <x:c r="DU771" s="61"/>
      <x:c r="DV771" s="62"/>
    </x:row>
    <x:row r="772" spans="1:126" x14ac:dyDescent="0.3">
      <x:c r="A772" s="47"/>
      <x:c r="B772" s="70"/>
      <x:c r="C772" s="70"/>
      <x:c r="D772" s="70"/>
      <x:c r="E772" s="70"/>
      <x:c r="F772" s="70"/>
      <x:c r="G772" s="70"/>
      <x:c r="H772" s="70"/>
      <x:c r="I772" s="70"/>
      <x:c r="J772" s="70"/>
      <x:c r="K772" s="190"/>
      <x:c r="L772" s="195"/>
      <x:c r="M772" s="192"/>
      <x:c r="N772" s="192"/>
      <x:c r="O772" s="69"/>
      <x:c r="P772" s="47"/>
      <x:c r="Q772" s="60"/>
      <x:c r="R772" s="58"/>
      <x:c r="S772" s="47"/>
      <x:c r="T772" s="60"/>
      <x:c r="U772" s="58"/>
      <x:c r="V772" s="47"/>
      <x:c r="W772" s="60"/>
      <x:c r="X772" s="58"/>
      <x:c r="Y772" s="47"/>
      <x:c r="Z772" s="60"/>
      <x:c r="AA772" s="58"/>
      <x:c r="AB772" s="47"/>
      <x:c r="AC772" s="60"/>
      <x:c r="AD772" s="58"/>
      <x:c r="AE772" s="47"/>
      <x:c r="AF772" s="60"/>
      <x:c r="AG772" s="58"/>
      <x:c r="AH772" s="47"/>
      <x:c r="AI772" s="60"/>
      <x:c r="AJ772" s="58"/>
      <x:c r="AK772" s="47"/>
      <x:c r="AL772" s="60"/>
      <x:c r="AM772" s="58"/>
      <x:c r="AN772" s="47"/>
      <x:c r="AO772" s="60"/>
      <x:c r="AP772" s="58"/>
      <x:c r="AQ772" s="47"/>
      <x:c r="AR772" s="60"/>
      <x:c r="AS772" s="58"/>
      <x:c r="AT772" s="47"/>
      <x:c r="AU772" s="60"/>
      <x:c r="AV772" s="58"/>
      <x:c r="AW772" s="47"/>
      <x:c r="AX772" s="60"/>
      <x:c r="AY772" s="58"/>
      <x:c r="AZ772" s="47"/>
      <x:c r="BA772" s="60"/>
      <x:c r="BB772" s="58"/>
      <x:c r="BC772" s="47"/>
      <x:c r="BD772" s="60"/>
      <x:c r="BE772" s="58"/>
      <x:c r="BF772" s="47"/>
      <x:c r="BG772" s="60"/>
      <x:c r="BH772" s="58"/>
      <x:c r="BI772" s="47"/>
      <x:c r="BJ772" s="60"/>
      <x:c r="BK772" s="58"/>
      <x:c r="BL772" s="47"/>
      <x:c r="BM772" s="60"/>
      <x:c r="BN772" s="58"/>
      <x:c r="BO772" s="47"/>
      <x:c r="BP772" s="60"/>
      <x:c r="BQ772" s="58"/>
      <x:c r="BR772" s="47"/>
      <x:c r="BS772" s="60"/>
      <x:c r="BT772" s="58"/>
      <x:c r="BU772" s="47"/>
      <x:c r="BV772" s="60"/>
      <x:c r="BW772" s="58"/>
      <x:c r="BX772" s="47"/>
      <x:c r="BY772" s="60"/>
      <x:c r="BZ772" s="58"/>
      <x:c r="CA772" s="47"/>
      <x:c r="CB772" s="60"/>
      <x:c r="CC772" s="58"/>
      <x:c r="CD772" s="47"/>
      <x:c r="CE772" s="60"/>
      <x:c r="CF772" s="58"/>
      <x:c r="CG772" s="47"/>
      <x:c r="CH772" s="60"/>
      <x:c r="CI772" s="58"/>
      <x:c r="CJ772" s="47"/>
      <x:c r="CK772" s="60"/>
      <x:c r="CL772" s="58"/>
      <x:c r="CM772" s="47"/>
      <x:c r="CN772" s="60"/>
      <x:c r="CO772" s="58"/>
      <x:c r="CP772" s="47"/>
      <x:c r="CQ772" s="60"/>
      <x:c r="CR772" s="58"/>
      <x:c r="CS772" s="47"/>
      <x:c r="CT772" s="60"/>
      <x:c r="CU772" s="58"/>
      <x:c r="CV772" s="47"/>
      <x:c r="CW772" s="60"/>
      <x:c r="CX772" s="58"/>
      <x:c r="CY772" s="47"/>
      <x:c r="CZ772" s="60"/>
      <x:c r="DA772" s="58"/>
      <x:c r="DB772" s="47"/>
      <x:c r="DC772" s="60"/>
      <x:c r="DD772" s="58"/>
      <x:c r="DE772" s="47"/>
      <x:c r="DF772" s="60"/>
      <x:c r="DG772" s="58"/>
      <x:c r="DH772" s="47"/>
      <x:c r="DI772" s="60"/>
      <x:c r="DJ772" s="58"/>
      <x:c r="DK772" s="47"/>
      <x:c r="DL772" s="60"/>
      <x:c r="DM772" s="58"/>
      <x:c r="DN772" s="11"/>
      <x:c r="DO772" s="61"/>
      <x:c r="DP772" s="62"/>
      <x:c r="DQ772" s="11"/>
      <x:c r="DR772" s="61"/>
      <x:c r="DS772" s="62"/>
      <x:c r="DT772" s="11"/>
      <x:c r="DU772" s="61"/>
      <x:c r="DV772" s="62"/>
    </x:row>
    <x:row r="773" spans="1:126" x14ac:dyDescent="0.3">
      <x:c r="A773" s="47"/>
      <x:c r="B773" s="70"/>
      <x:c r="C773" s="70"/>
      <x:c r="D773" s="70"/>
      <x:c r="E773" s="70"/>
      <x:c r="F773" s="70"/>
      <x:c r="G773" s="70"/>
      <x:c r="H773" s="70"/>
      <x:c r="I773" s="70"/>
      <x:c r="J773" s="70"/>
      <x:c r="K773" s="190"/>
      <x:c r="L773" s="195"/>
      <x:c r="M773" s="192"/>
      <x:c r="N773" s="192"/>
      <x:c r="O773" s="69"/>
      <x:c r="P773" s="47"/>
      <x:c r="Q773" s="60"/>
      <x:c r="R773" s="58"/>
      <x:c r="S773" s="47"/>
      <x:c r="T773" s="60"/>
      <x:c r="U773" s="58"/>
      <x:c r="V773" s="47"/>
      <x:c r="W773" s="60"/>
      <x:c r="X773" s="58"/>
      <x:c r="Y773" s="47"/>
      <x:c r="Z773" s="60"/>
      <x:c r="AA773" s="58"/>
      <x:c r="AB773" s="47"/>
      <x:c r="AC773" s="60"/>
      <x:c r="AD773" s="58"/>
      <x:c r="AE773" s="47"/>
      <x:c r="AF773" s="60"/>
      <x:c r="AG773" s="58"/>
      <x:c r="AH773" s="47"/>
      <x:c r="AI773" s="60"/>
      <x:c r="AJ773" s="58"/>
      <x:c r="AK773" s="47"/>
      <x:c r="AL773" s="60"/>
      <x:c r="AM773" s="58"/>
      <x:c r="AN773" s="47"/>
      <x:c r="AO773" s="60"/>
      <x:c r="AP773" s="58"/>
      <x:c r="AQ773" s="47"/>
      <x:c r="AR773" s="60"/>
      <x:c r="AS773" s="58"/>
      <x:c r="AT773" s="47"/>
      <x:c r="AU773" s="60"/>
      <x:c r="AV773" s="58"/>
      <x:c r="AW773" s="47"/>
      <x:c r="AX773" s="60"/>
      <x:c r="AY773" s="58"/>
      <x:c r="AZ773" s="47"/>
      <x:c r="BA773" s="60"/>
      <x:c r="BB773" s="58"/>
      <x:c r="BC773" s="47"/>
      <x:c r="BD773" s="60"/>
      <x:c r="BE773" s="58"/>
      <x:c r="BF773" s="47"/>
      <x:c r="BG773" s="60"/>
      <x:c r="BH773" s="58"/>
      <x:c r="BI773" s="47"/>
      <x:c r="BJ773" s="60"/>
      <x:c r="BK773" s="58"/>
      <x:c r="BL773" s="47"/>
      <x:c r="BM773" s="60"/>
      <x:c r="BN773" s="58"/>
      <x:c r="BO773" s="47"/>
      <x:c r="BP773" s="60"/>
      <x:c r="BQ773" s="58"/>
      <x:c r="BR773" s="47"/>
      <x:c r="BS773" s="60"/>
      <x:c r="BT773" s="58"/>
      <x:c r="BU773" s="47"/>
      <x:c r="BV773" s="60"/>
      <x:c r="BW773" s="58"/>
      <x:c r="BX773" s="47"/>
      <x:c r="BY773" s="60"/>
      <x:c r="BZ773" s="58"/>
      <x:c r="CA773" s="47"/>
      <x:c r="CB773" s="60"/>
      <x:c r="CC773" s="58"/>
      <x:c r="CD773" s="47"/>
      <x:c r="CE773" s="60"/>
      <x:c r="CF773" s="58"/>
      <x:c r="CG773" s="47"/>
      <x:c r="CH773" s="60"/>
      <x:c r="CI773" s="58"/>
      <x:c r="CJ773" s="47"/>
      <x:c r="CK773" s="60"/>
      <x:c r="CL773" s="58"/>
      <x:c r="CM773" s="47"/>
      <x:c r="CN773" s="60"/>
      <x:c r="CO773" s="58"/>
      <x:c r="CP773" s="47"/>
      <x:c r="CQ773" s="60"/>
      <x:c r="CR773" s="58"/>
      <x:c r="CS773" s="47"/>
      <x:c r="CT773" s="60"/>
      <x:c r="CU773" s="58"/>
      <x:c r="CV773" s="47"/>
      <x:c r="CW773" s="60"/>
      <x:c r="CX773" s="58"/>
      <x:c r="CY773" s="47"/>
      <x:c r="CZ773" s="60"/>
      <x:c r="DA773" s="58"/>
      <x:c r="DB773" s="47"/>
      <x:c r="DC773" s="60"/>
      <x:c r="DD773" s="58"/>
      <x:c r="DE773" s="47"/>
      <x:c r="DF773" s="60"/>
      <x:c r="DG773" s="58"/>
      <x:c r="DH773" s="47"/>
      <x:c r="DI773" s="60"/>
      <x:c r="DJ773" s="58"/>
      <x:c r="DK773" s="47"/>
      <x:c r="DL773" s="60"/>
      <x:c r="DM773" s="58"/>
      <x:c r="DN773" s="11"/>
      <x:c r="DO773" s="61"/>
      <x:c r="DP773" s="62"/>
      <x:c r="DQ773" s="11"/>
      <x:c r="DR773" s="61"/>
      <x:c r="DS773" s="62"/>
      <x:c r="DT773" s="11"/>
      <x:c r="DU773" s="61"/>
      <x:c r="DV773" s="62"/>
    </x:row>
    <x:row r="774" spans="1:126" x14ac:dyDescent="0.3">
      <x:c r="A774" s="47"/>
      <x:c r="B774" s="70"/>
      <x:c r="C774" s="70"/>
      <x:c r="D774" s="70"/>
      <x:c r="E774" s="70"/>
      <x:c r="F774" s="70"/>
      <x:c r="G774" s="70"/>
      <x:c r="H774" s="70"/>
      <x:c r="I774" s="70"/>
      <x:c r="J774" s="70"/>
      <x:c r="K774" s="190"/>
      <x:c r="L774" s="195"/>
      <x:c r="M774" s="192"/>
      <x:c r="N774" s="192"/>
      <x:c r="O774" s="69"/>
      <x:c r="P774" s="47"/>
      <x:c r="Q774" s="60"/>
      <x:c r="R774" s="58"/>
      <x:c r="S774" s="47"/>
      <x:c r="T774" s="60"/>
      <x:c r="U774" s="58"/>
      <x:c r="V774" s="47"/>
      <x:c r="W774" s="60"/>
      <x:c r="X774" s="58"/>
      <x:c r="Y774" s="47"/>
      <x:c r="Z774" s="60"/>
      <x:c r="AA774" s="58"/>
      <x:c r="AB774" s="47"/>
      <x:c r="AC774" s="60"/>
      <x:c r="AD774" s="58"/>
      <x:c r="AE774" s="47"/>
      <x:c r="AF774" s="60"/>
      <x:c r="AG774" s="58"/>
      <x:c r="AH774" s="47"/>
      <x:c r="AI774" s="60"/>
      <x:c r="AJ774" s="58"/>
      <x:c r="AK774" s="47"/>
      <x:c r="AL774" s="60"/>
      <x:c r="AM774" s="58"/>
      <x:c r="AN774" s="47"/>
      <x:c r="AO774" s="60"/>
      <x:c r="AP774" s="58"/>
      <x:c r="AQ774" s="47"/>
      <x:c r="AR774" s="60"/>
      <x:c r="AS774" s="58"/>
      <x:c r="AT774" s="47"/>
      <x:c r="AU774" s="60"/>
      <x:c r="AV774" s="58"/>
      <x:c r="AW774" s="47"/>
      <x:c r="AX774" s="60"/>
      <x:c r="AY774" s="58"/>
      <x:c r="AZ774" s="47"/>
      <x:c r="BA774" s="60"/>
      <x:c r="BB774" s="58"/>
      <x:c r="BC774" s="47"/>
      <x:c r="BD774" s="60"/>
      <x:c r="BE774" s="58"/>
      <x:c r="BF774" s="47"/>
      <x:c r="BG774" s="60"/>
      <x:c r="BH774" s="58"/>
      <x:c r="BI774" s="47"/>
      <x:c r="BJ774" s="60"/>
      <x:c r="BK774" s="58"/>
      <x:c r="BL774" s="47"/>
      <x:c r="BM774" s="60"/>
      <x:c r="BN774" s="58"/>
      <x:c r="BO774" s="47"/>
      <x:c r="BP774" s="60"/>
      <x:c r="BQ774" s="58"/>
      <x:c r="BR774" s="47"/>
      <x:c r="BS774" s="60"/>
      <x:c r="BT774" s="58"/>
      <x:c r="BU774" s="47"/>
      <x:c r="BV774" s="60"/>
      <x:c r="BW774" s="58"/>
      <x:c r="BX774" s="47"/>
      <x:c r="BY774" s="60"/>
      <x:c r="BZ774" s="58"/>
      <x:c r="CA774" s="47"/>
      <x:c r="CB774" s="60"/>
      <x:c r="CC774" s="58"/>
      <x:c r="CD774" s="47"/>
      <x:c r="CE774" s="60"/>
      <x:c r="CF774" s="58"/>
      <x:c r="CG774" s="47"/>
      <x:c r="CH774" s="60"/>
      <x:c r="CI774" s="58"/>
      <x:c r="CJ774" s="47"/>
      <x:c r="CK774" s="60"/>
      <x:c r="CL774" s="58"/>
      <x:c r="CM774" s="47"/>
      <x:c r="CN774" s="60"/>
      <x:c r="CO774" s="58"/>
      <x:c r="CP774" s="47"/>
      <x:c r="CQ774" s="60"/>
      <x:c r="CR774" s="58"/>
      <x:c r="CS774" s="47"/>
      <x:c r="CT774" s="60"/>
      <x:c r="CU774" s="58"/>
      <x:c r="CV774" s="47"/>
      <x:c r="CW774" s="60"/>
      <x:c r="CX774" s="58"/>
      <x:c r="CY774" s="47"/>
      <x:c r="CZ774" s="60"/>
      <x:c r="DA774" s="58"/>
      <x:c r="DB774" s="47"/>
      <x:c r="DC774" s="60"/>
      <x:c r="DD774" s="58"/>
      <x:c r="DE774" s="47"/>
      <x:c r="DF774" s="60"/>
      <x:c r="DG774" s="58"/>
      <x:c r="DH774" s="47"/>
      <x:c r="DI774" s="60"/>
      <x:c r="DJ774" s="58"/>
      <x:c r="DK774" s="47"/>
      <x:c r="DL774" s="60"/>
      <x:c r="DM774" s="58"/>
      <x:c r="DN774" s="11"/>
      <x:c r="DO774" s="61"/>
      <x:c r="DP774" s="62"/>
      <x:c r="DQ774" s="11"/>
      <x:c r="DR774" s="61"/>
      <x:c r="DS774" s="62"/>
      <x:c r="DT774" s="11"/>
      <x:c r="DU774" s="61"/>
      <x:c r="DV774" s="62"/>
    </x:row>
    <x:row r="775" spans="1:126" x14ac:dyDescent="0.3">
      <x:c r="A775" s="47"/>
      <x:c r="B775" s="70"/>
      <x:c r="C775" s="70"/>
      <x:c r="D775" s="70"/>
      <x:c r="E775" s="70"/>
      <x:c r="F775" s="70"/>
      <x:c r="G775" s="70"/>
      <x:c r="H775" s="70"/>
      <x:c r="I775" s="70"/>
      <x:c r="J775" s="70"/>
      <x:c r="K775" s="190"/>
      <x:c r="L775" s="195"/>
      <x:c r="M775" s="192"/>
      <x:c r="N775" s="192"/>
      <x:c r="O775" s="69"/>
      <x:c r="P775" s="47"/>
      <x:c r="Q775" s="60"/>
      <x:c r="R775" s="58"/>
      <x:c r="S775" s="47"/>
      <x:c r="T775" s="60"/>
      <x:c r="U775" s="58"/>
      <x:c r="V775" s="47"/>
      <x:c r="W775" s="60"/>
      <x:c r="X775" s="58"/>
      <x:c r="Y775" s="47"/>
      <x:c r="Z775" s="60"/>
      <x:c r="AA775" s="58"/>
      <x:c r="AB775" s="47"/>
      <x:c r="AC775" s="60"/>
      <x:c r="AD775" s="58"/>
      <x:c r="AE775" s="47"/>
      <x:c r="AF775" s="60"/>
      <x:c r="AG775" s="58"/>
      <x:c r="AH775" s="47"/>
      <x:c r="AI775" s="60"/>
      <x:c r="AJ775" s="58"/>
      <x:c r="AK775" s="47"/>
      <x:c r="AL775" s="60"/>
      <x:c r="AM775" s="58"/>
      <x:c r="AN775" s="47"/>
      <x:c r="AO775" s="60"/>
      <x:c r="AP775" s="58"/>
      <x:c r="AQ775" s="47"/>
      <x:c r="AR775" s="60"/>
      <x:c r="AS775" s="58"/>
      <x:c r="AT775" s="47"/>
      <x:c r="AU775" s="60"/>
      <x:c r="AV775" s="58"/>
      <x:c r="AW775" s="47"/>
      <x:c r="AX775" s="60"/>
      <x:c r="AY775" s="58"/>
      <x:c r="AZ775" s="47"/>
      <x:c r="BA775" s="60"/>
      <x:c r="BB775" s="58"/>
      <x:c r="BC775" s="47"/>
      <x:c r="BD775" s="60"/>
      <x:c r="BE775" s="58"/>
      <x:c r="BF775" s="47"/>
      <x:c r="BG775" s="60"/>
      <x:c r="BH775" s="58"/>
      <x:c r="BI775" s="47"/>
      <x:c r="BJ775" s="60"/>
      <x:c r="BK775" s="58"/>
      <x:c r="BL775" s="47"/>
      <x:c r="BM775" s="60"/>
      <x:c r="BN775" s="58"/>
      <x:c r="BO775" s="47"/>
      <x:c r="BP775" s="60"/>
      <x:c r="BQ775" s="58"/>
      <x:c r="BR775" s="47"/>
      <x:c r="BS775" s="60"/>
      <x:c r="BT775" s="58"/>
      <x:c r="BU775" s="47"/>
      <x:c r="BV775" s="60"/>
      <x:c r="BW775" s="58"/>
      <x:c r="BX775" s="47"/>
      <x:c r="BY775" s="60"/>
      <x:c r="BZ775" s="58"/>
      <x:c r="CA775" s="47"/>
      <x:c r="CB775" s="60"/>
      <x:c r="CC775" s="58"/>
      <x:c r="CD775" s="47"/>
      <x:c r="CE775" s="60"/>
      <x:c r="CF775" s="58"/>
      <x:c r="CG775" s="47"/>
      <x:c r="CH775" s="60"/>
      <x:c r="CI775" s="58"/>
      <x:c r="CJ775" s="47"/>
      <x:c r="CK775" s="60"/>
      <x:c r="CL775" s="58"/>
      <x:c r="CM775" s="47"/>
      <x:c r="CN775" s="60"/>
      <x:c r="CO775" s="58"/>
      <x:c r="CP775" s="47"/>
      <x:c r="CQ775" s="60"/>
      <x:c r="CR775" s="58"/>
      <x:c r="CS775" s="47"/>
      <x:c r="CT775" s="60"/>
      <x:c r="CU775" s="58"/>
      <x:c r="CV775" s="47"/>
      <x:c r="CW775" s="60"/>
      <x:c r="CX775" s="58"/>
      <x:c r="CY775" s="47"/>
      <x:c r="CZ775" s="60"/>
      <x:c r="DA775" s="58"/>
      <x:c r="DB775" s="47"/>
      <x:c r="DC775" s="60"/>
      <x:c r="DD775" s="58"/>
      <x:c r="DE775" s="47"/>
      <x:c r="DF775" s="60"/>
      <x:c r="DG775" s="58"/>
      <x:c r="DH775" s="47"/>
      <x:c r="DI775" s="60"/>
      <x:c r="DJ775" s="58"/>
      <x:c r="DK775" s="47"/>
      <x:c r="DL775" s="60"/>
      <x:c r="DM775" s="58"/>
      <x:c r="DN775" s="11"/>
      <x:c r="DO775" s="61"/>
      <x:c r="DP775" s="62"/>
      <x:c r="DQ775" s="11"/>
      <x:c r="DR775" s="61"/>
      <x:c r="DS775" s="62"/>
      <x:c r="DT775" s="11"/>
      <x:c r="DU775" s="61"/>
      <x:c r="DV775" s="62"/>
    </x:row>
    <x:row r="776" spans="1:126" x14ac:dyDescent="0.3">
      <x:c r="A776" s="47"/>
      <x:c r="B776" s="70"/>
      <x:c r="C776" s="70"/>
      <x:c r="D776" s="70"/>
      <x:c r="E776" s="70"/>
      <x:c r="F776" s="70"/>
      <x:c r="G776" s="70"/>
      <x:c r="H776" s="70"/>
      <x:c r="I776" s="70"/>
      <x:c r="J776" s="70"/>
      <x:c r="K776" s="190"/>
      <x:c r="L776" s="195"/>
      <x:c r="M776" s="192"/>
      <x:c r="N776" s="192"/>
      <x:c r="O776" s="69"/>
      <x:c r="P776" s="47"/>
      <x:c r="Q776" s="60"/>
      <x:c r="R776" s="58"/>
      <x:c r="S776" s="47"/>
      <x:c r="T776" s="60"/>
      <x:c r="U776" s="58"/>
      <x:c r="V776" s="47"/>
      <x:c r="W776" s="60"/>
      <x:c r="X776" s="58"/>
      <x:c r="Y776" s="47"/>
      <x:c r="Z776" s="60"/>
      <x:c r="AA776" s="58"/>
      <x:c r="AB776" s="47"/>
      <x:c r="AC776" s="60"/>
      <x:c r="AD776" s="58"/>
      <x:c r="AE776" s="47"/>
      <x:c r="AF776" s="60"/>
      <x:c r="AG776" s="58"/>
      <x:c r="AH776" s="47"/>
      <x:c r="AI776" s="60"/>
      <x:c r="AJ776" s="58"/>
      <x:c r="AK776" s="47"/>
      <x:c r="AL776" s="60"/>
      <x:c r="AM776" s="58"/>
      <x:c r="AN776" s="47"/>
      <x:c r="AO776" s="60"/>
      <x:c r="AP776" s="58"/>
      <x:c r="AQ776" s="47"/>
      <x:c r="AR776" s="60"/>
      <x:c r="AS776" s="58"/>
      <x:c r="AT776" s="47"/>
      <x:c r="AU776" s="60"/>
      <x:c r="AV776" s="58"/>
      <x:c r="AW776" s="47"/>
      <x:c r="AX776" s="60"/>
      <x:c r="AY776" s="58"/>
      <x:c r="AZ776" s="47"/>
      <x:c r="BA776" s="60"/>
      <x:c r="BB776" s="58"/>
      <x:c r="BC776" s="47"/>
      <x:c r="BD776" s="60"/>
      <x:c r="BE776" s="58"/>
      <x:c r="BF776" s="47"/>
      <x:c r="BG776" s="60"/>
      <x:c r="BH776" s="58"/>
      <x:c r="BI776" s="47"/>
      <x:c r="BJ776" s="60"/>
      <x:c r="BK776" s="58"/>
      <x:c r="BL776" s="47"/>
      <x:c r="BM776" s="60"/>
      <x:c r="BN776" s="58"/>
      <x:c r="BO776" s="47"/>
      <x:c r="BP776" s="60"/>
      <x:c r="BQ776" s="58"/>
      <x:c r="BR776" s="47"/>
      <x:c r="BS776" s="60"/>
      <x:c r="BT776" s="58"/>
      <x:c r="BU776" s="47"/>
      <x:c r="BV776" s="60"/>
      <x:c r="BW776" s="58"/>
      <x:c r="BX776" s="47"/>
      <x:c r="BY776" s="60"/>
      <x:c r="BZ776" s="58"/>
      <x:c r="CA776" s="47"/>
      <x:c r="CB776" s="60"/>
      <x:c r="CC776" s="58"/>
      <x:c r="CD776" s="47"/>
      <x:c r="CE776" s="60"/>
      <x:c r="CF776" s="58"/>
      <x:c r="CG776" s="47"/>
      <x:c r="CH776" s="60"/>
      <x:c r="CI776" s="58"/>
      <x:c r="CJ776" s="47"/>
      <x:c r="CK776" s="60"/>
      <x:c r="CL776" s="58"/>
      <x:c r="CM776" s="47"/>
      <x:c r="CN776" s="60"/>
      <x:c r="CO776" s="58"/>
      <x:c r="CP776" s="47"/>
      <x:c r="CQ776" s="60"/>
      <x:c r="CR776" s="58"/>
      <x:c r="CS776" s="47"/>
      <x:c r="CT776" s="60"/>
      <x:c r="CU776" s="58"/>
      <x:c r="CV776" s="47"/>
      <x:c r="CW776" s="60"/>
      <x:c r="CX776" s="58"/>
      <x:c r="CY776" s="47"/>
      <x:c r="CZ776" s="60"/>
      <x:c r="DA776" s="58"/>
      <x:c r="DB776" s="47"/>
      <x:c r="DC776" s="60"/>
      <x:c r="DD776" s="58"/>
      <x:c r="DE776" s="47"/>
      <x:c r="DF776" s="60"/>
      <x:c r="DG776" s="58"/>
      <x:c r="DH776" s="47"/>
      <x:c r="DI776" s="60"/>
      <x:c r="DJ776" s="58"/>
      <x:c r="DK776" s="47"/>
      <x:c r="DL776" s="60"/>
      <x:c r="DM776" s="58"/>
      <x:c r="DN776" s="11"/>
      <x:c r="DO776" s="61"/>
      <x:c r="DP776" s="62"/>
      <x:c r="DQ776" s="11"/>
      <x:c r="DR776" s="61"/>
      <x:c r="DS776" s="62"/>
      <x:c r="DT776" s="11"/>
      <x:c r="DU776" s="61"/>
      <x:c r="DV776" s="62"/>
    </x:row>
    <x:row r="777" spans="1:126" x14ac:dyDescent="0.3">
      <x:c r="A777" s="47"/>
      <x:c r="B777" s="70"/>
      <x:c r="C777" s="70"/>
      <x:c r="D777" s="70"/>
      <x:c r="E777" s="70"/>
      <x:c r="F777" s="70"/>
      <x:c r="G777" s="70"/>
      <x:c r="H777" s="70"/>
      <x:c r="I777" s="70"/>
      <x:c r="J777" s="70"/>
      <x:c r="K777" s="190"/>
      <x:c r="L777" s="195"/>
      <x:c r="M777" s="192"/>
      <x:c r="N777" s="192"/>
      <x:c r="O777" s="69"/>
      <x:c r="P777" s="47"/>
      <x:c r="Q777" s="60"/>
      <x:c r="R777" s="58"/>
      <x:c r="S777" s="47"/>
      <x:c r="T777" s="60"/>
      <x:c r="U777" s="58"/>
      <x:c r="V777" s="47"/>
      <x:c r="W777" s="60"/>
      <x:c r="X777" s="58"/>
      <x:c r="Y777" s="47"/>
      <x:c r="Z777" s="60"/>
      <x:c r="AA777" s="58"/>
      <x:c r="AB777" s="47"/>
      <x:c r="AC777" s="60"/>
      <x:c r="AD777" s="58"/>
      <x:c r="AE777" s="47"/>
      <x:c r="AF777" s="60"/>
      <x:c r="AG777" s="58"/>
      <x:c r="AH777" s="47"/>
      <x:c r="AI777" s="60"/>
      <x:c r="AJ777" s="58"/>
      <x:c r="AK777" s="47"/>
      <x:c r="AL777" s="60"/>
      <x:c r="AM777" s="58"/>
      <x:c r="AN777" s="47"/>
      <x:c r="AO777" s="60"/>
      <x:c r="AP777" s="58"/>
      <x:c r="AQ777" s="47"/>
      <x:c r="AR777" s="60"/>
      <x:c r="AS777" s="58"/>
      <x:c r="AT777" s="47"/>
      <x:c r="AU777" s="60"/>
      <x:c r="AV777" s="58"/>
      <x:c r="AW777" s="47"/>
      <x:c r="AX777" s="60"/>
      <x:c r="AY777" s="58"/>
      <x:c r="AZ777" s="47"/>
      <x:c r="BA777" s="60"/>
      <x:c r="BB777" s="58"/>
      <x:c r="BC777" s="47"/>
      <x:c r="BD777" s="60"/>
      <x:c r="BE777" s="58"/>
      <x:c r="BF777" s="47"/>
      <x:c r="BG777" s="60"/>
      <x:c r="BH777" s="58"/>
      <x:c r="BI777" s="47"/>
      <x:c r="BJ777" s="60"/>
      <x:c r="BK777" s="58"/>
      <x:c r="BL777" s="47"/>
      <x:c r="BM777" s="60"/>
      <x:c r="BN777" s="58"/>
      <x:c r="BO777" s="47"/>
      <x:c r="BP777" s="60"/>
      <x:c r="BQ777" s="58"/>
      <x:c r="BR777" s="47"/>
      <x:c r="BS777" s="60"/>
      <x:c r="BT777" s="58"/>
      <x:c r="BU777" s="47"/>
      <x:c r="BV777" s="60"/>
      <x:c r="BW777" s="58"/>
      <x:c r="BX777" s="47"/>
      <x:c r="BY777" s="60"/>
      <x:c r="BZ777" s="58"/>
      <x:c r="CA777" s="47"/>
      <x:c r="CB777" s="60"/>
      <x:c r="CC777" s="58"/>
      <x:c r="CD777" s="47"/>
      <x:c r="CE777" s="60"/>
      <x:c r="CF777" s="58"/>
      <x:c r="CG777" s="47"/>
      <x:c r="CH777" s="60"/>
      <x:c r="CI777" s="58"/>
      <x:c r="CJ777" s="47"/>
      <x:c r="CK777" s="60"/>
      <x:c r="CL777" s="58"/>
      <x:c r="CM777" s="47"/>
      <x:c r="CN777" s="60"/>
      <x:c r="CO777" s="58"/>
      <x:c r="CP777" s="47"/>
      <x:c r="CQ777" s="60"/>
      <x:c r="CR777" s="58"/>
      <x:c r="CS777" s="47"/>
      <x:c r="CT777" s="60"/>
      <x:c r="CU777" s="58"/>
      <x:c r="CV777" s="47"/>
      <x:c r="CW777" s="60"/>
      <x:c r="CX777" s="58"/>
      <x:c r="CY777" s="47"/>
      <x:c r="CZ777" s="60"/>
      <x:c r="DA777" s="58"/>
      <x:c r="DB777" s="47"/>
      <x:c r="DC777" s="60"/>
      <x:c r="DD777" s="58"/>
      <x:c r="DE777" s="47"/>
      <x:c r="DF777" s="60"/>
      <x:c r="DG777" s="58"/>
      <x:c r="DH777" s="47"/>
      <x:c r="DI777" s="60"/>
      <x:c r="DJ777" s="58"/>
      <x:c r="DK777" s="47"/>
      <x:c r="DL777" s="60"/>
      <x:c r="DM777" s="58"/>
      <x:c r="DN777" s="11"/>
      <x:c r="DO777" s="61"/>
      <x:c r="DP777" s="62"/>
      <x:c r="DQ777" s="11"/>
      <x:c r="DR777" s="61"/>
      <x:c r="DS777" s="62"/>
      <x:c r="DT777" s="11"/>
      <x:c r="DU777" s="61"/>
      <x:c r="DV777" s="62"/>
    </x:row>
    <x:row r="778" spans="1:126" x14ac:dyDescent="0.3">
      <x:c r="A778" s="47"/>
      <x:c r="B778" s="70"/>
      <x:c r="C778" s="70"/>
      <x:c r="D778" s="70"/>
      <x:c r="E778" s="70"/>
      <x:c r="F778" s="70"/>
      <x:c r="G778" s="70"/>
      <x:c r="H778" s="70"/>
      <x:c r="I778" s="70"/>
      <x:c r="J778" s="70"/>
      <x:c r="K778" s="190"/>
      <x:c r="L778" s="195"/>
      <x:c r="M778" s="192"/>
      <x:c r="N778" s="192"/>
      <x:c r="O778" s="69"/>
      <x:c r="P778" s="47"/>
      <x:c r="Q778" s="60"/>
      <x:c r="R778" s="58"/>
      <x:c r="S778" s="47"/>
      <x:c r="T778" s="60"/>
      <x:c r="U778" s="58"/>
      <x:c r="V778" s="47"/>
      <x:c r="W778" s="60"/>
      <x:c r="X778" s="58"/>
      <x:c r="Y778" s="47"/>
      <x:c r="Z778" s="60"/>
      <x:c r="AA778" s="58"/>
      <x:c r="AB778" s="47"/>
      <x:c r="AC778" s="60"/>
      <x:c r="AD778" s="58"/>
      <x:c r="AE778" s="47"/>
      <x:c r="AF778" s="60"/>
      <x:c r="AG778" s="58"/>
      <x:c r="AH778" s="47"/>
      <x:c r="AI778" s="60"/>
      <x:c r="AJ778" s="58"/>
      <x:c r="AK778" s="47"/>
      <x:c r="AL778" s="60"/>
      <x:c r="AM778" s="58"/>
      <x:c r="AN778" s="47"/>
      <x:c r="AO778" s="60"/>
      <x:c r="AP778" s="58"/>
      <x:c r="AQ778" s="47"/>
      <x:c r="AR778" s="60"/>
      <x:c r="AS778" s="58"/>
      <x:c r="AT778" s="47"/>
      <x:c r="AU778" s="60"/>
      <x:c r="AV778" s="58"/>
      <x:c r="AW778" s="47"/>
      <x:c r="AX778" s="60"/>
      <x:c r="AY778" s="58"/>
      <x:c r="AZ778" s="47"/>
      <x:c r="BA778" s="60"/>
      <x:c r="BB778" s="58"/>
      <x:c r="BC778" s="47"/>
      <x:c r="BD778" s="60"/>
      <x:c r="BE778" s="58"/>
      <x:c r="BF778" s="47"/>
      <x:c r="BG778" s="60"/>
      <x:c r="BH778" s="58"/>
      <x:c r="BI778" s="47"/>
      <x:c r="BJ778" s="60"/>
      <x:c r="BK778" s="58"/>
      <x:c r="BL778" s="47"/>
      <x:c r="BM778" s="60"/>
      <x:c r="BN778" s="58"/>
      <x:c r="BO778" s="47"/>
      <x:c r="BP778" s="60"/>
      <x:c r="BQ778" s="58"/>
      <x:c r="BR778" s="47"/>
      <x:c r="BS778" s="60"/>
      <x:c r="BT778" s="58"/>
      <x:c r="BU778" s="47"/>
      <x:c r="BV778" s="60"/>
      <x:c r="BW778" s="58"/>
      <x:c r="BX778" s="47"/>
      <x:c r="BY778" s="60"/>
      <x:c r="BZ778" s="58"/>
      <x:c r="CA778" s="47"/>
      <x:c r="CB778" s="60"/>
      <x:c r="CC778" s="58"/>
      <x:c r="CD778" s="47"/>
      <x:c r="CE778" s="60"/>
      <x:c r="CF778" s="58"/>
      <x:c r="CG778" s="47"/>
      <x:c r="CH778" s="60"/>
      <x:c r="CI778" s="58"/>
      <x:c r="CJ778" s="47"/>
      <x:c r="CK778" s="60"/>
      <x:c r="CL778" s="58"/>
      <x:c r="CM778" s="47"/>
      <x:c r="CN778" s="60"/>
      <x:c r="CO778" s="58"/>
      <x:c r="CP778" s="47"/>
      <x:c r="CQ778" s="60"/>
      <x:c r="CR778" s="58"/>
      <x:c r="CS778" s="47"/>
      <x:c r="CT778" s="60"/>
      <x:c r="CU778" s="58"/>
      <x:c r="CV778" s="47"/>
      <x:c r="CW778" s="60"/>
      <x:c r="CX778" s="58"/>
      <x:c r="CY778" s="47"/>
      <x:c r="CZ778" s="60"/>
      <x:c r="DA778" s="58"/>
      <x:c r="DB778" s="47"/>
      <x:c r="DC778" s="60"/>
      <x:c r="DD778" s="58"/>
      <x:c r="DE778" s="47"/>
      <x:c r="DF778" s="60"/>
      <x:c r="DG778" s="58"/>
      <x:c r="DH778" s="47"/>
      <x:c r="DI778" s="60"/>
      <x:c r="DJ778" s="58"/>
      <x:c r="DK778" s="47"/>
      <x:c r="DL778" s="60"/>
      <x:c r="DM778" s="58"/>
      <x:c r="DN778" s="11"/>
      <x:c r="DO778" s="61"/>
      <x:c r="DP778" s="62"/>
      <x:c r="DQ778" s="11"/>
      <x:c r="DR778" s="61"/>
      <x:c r="DS778" s="62"/>
      <x:c r="DT778" s="11"/>
      <x:c r="DU778" s="61"/>
      <x:c r="DV778" s="62"/>
    </x:row>
    <x:row r="779" spans="1:126" x14ac:dyDescent="0.3">
      <x:c r="A779" s="47"/>
      <x:c r="B779" s="70"/>
      <x:c r="C779" s="70"/>
      <x:c r="D779" s="70"/>
      <x:c r="E779" s="70"/>
      <x:c r="F779" s="70"/>
      <x:c r="G779" s="70"/>
      <x:c r="H779" s="70"/>
      <x:c r="I779" s="70"/>
      <x:c r="J779" s="70"/>
      <x:c r="K779" s="190"/>
      <x:c r="L779" s="195"/>
      <x:c r="M779" s="192"/>
      <x:c r="N779" s="192"/>
      <x:c r="O779" s="69"/>
      <x:c r="P779" s="47"/>
      <x:c r="Q779" s="60"/>
      <x:c r="R779" s="58"/>
      <x:c r="S779" s="47"/>
      <x:c r="T779" s="60"/>
      <x:c r="U779" s="58"/>
      <x:c r="V779" s="47"/>
      <x:c r="W779" s="60"/>
      <x:c r="X779" s="58"/>
      <x:c r="Y779" s="47"/>
      <x:c r="Z779" s="60"/>
      <x:c r="AA779" s="58"/>
      <x:c r="AB779" s="47"/>
      <x:c r="AC779" s="60"/>
      <x:c r="AD779" s="58"/>
      <x:c r="AE779" s="47"/>
      <x:c r="AF779" s="60"/>
      <x:c r="AG779" s="58"/>
      <x:c r="AH779" s="47"/>
      <x:c r="AI779" s="60"/>
      <x:c r="AJ779" s="58"/>
      <x:c r="AK779" s="47"/>
      <x:c r="AL779" s="60"/>
      <x:c r="AM779" s="58"/>
      <x:c r="AN779" s="47"/>
      <x:c r="AO779" s="60"/>
      <x:c r="AP779" s="58"/>
      <x:c r="AQ779" s="47"/>
      <x:c r="AR779" s="60"/>
      <x:c r="AS779" s="58"/>
      <x:c r="AT779" s="47"/>
      <x:c r="AU779" s="60"/>
      <x:c r="AV779" s="58"/>
      <x:c r="AW779" s="47"/>
      <x:c r="AX779" s="60"/>
      <x:c r="AY779" s="58"/>
      <x:c r="AZ779" s="47"/>
      <x:c r="BA779" s="60"/>
      <x:c r="BB779" s="58"/>
      <x:c r="BC779" s="47"/>
      <x:c r="BD779" s="60"/>
      <x:c r="BE779" s="58"/>
      <x:c r="BF779" s="47"/>
      <x:c r="BG779" s="60"/>
      <x:c r="BH779" s="58"/>
      <x:c r="BI779" s="47"/>
      <x:c r="BJ779" s="60"/>
      <x:c r="BK779" s="58"/>
      <x:c r="BL779" s="47"/>
      <x:c r="BM779" s="60"/>
      <x:c r="BN779" s="58"/>
      <x:c r="BO779" s="47"/>
      <x:c r="BP779" s="60"/>
      <x:c r="BQ779" s="58"/>
      <x:c r="BR779" s="47"/>
      <x:c r="BS779" s="60"/>
      <x:c r="BT779" s="58"/>
      <x:c r="BU779" s="47"/>
      <x:c r="BV779" s="60"/>
      <x:c r="BW779" s="58"/>
      <x:c r="BX779" s="47"/>
      <x:c r="BY779" s="60"/>
      <x:c r="BZ779" s="58"/>
      <x:c r="CA779" s="47"/>
      <x:c r="CB779" s="60"/>
      <x:c r="CC779" s="58"/>
      <x:c r="CD779" s="47"/>
      <x:c r="CE779" s="60"/>
      <x:c r="CF779" s="58"/>
      <x:c r="CG779" s="47"/>
      <x:c r="CH779" s="60"/>
      <x:c r="CI779" s="58"/>
      <x:c r="CJ779" s="47"/>
      <x:c r="CK779" s="60"/>
      <x:c r="CL779" s="58"/>
      <x:c r="CM779" s="47"/>
      <x:c r="CN779" s="60"/>
      <x:c r="CO779" s="58"/>
      <x:c r="CP779" s="47"/>
      <x:c r="CQ779" s="60"/>
      <x:c r="CR779" s="58"/>
      <x:c r="CS779" s="47"/>
      <x:c r="CT779" s="60"/>
      <x:c r="CU779" s="58"/>
      <x:c r="CV779" s="47"/>
      <x:c r="CW779" s="60"/>
      <x:c r="CX779" s="58"/>
      <x:c r="CY779" s="47"/>
      <x:c r="CZ779" s="60"/>
      <x:c r="DA779" s="58"/>
      <x:c r="DB779" s="47"/>
      <x:c r="DC779" s="60"/>
      <x:c r="DD779" s="58"/>
      <x:c r="DE779" s="47"/>
      <x:c r="DF779" s="60"/>
      <x:c r="DG779" s="58"/>
      <x:c r="DH779" s="47"/>
      <x:c r="DI779" s="60"/>
      <x:c r="DJ779" s="58"/>
      <x:c r="DK779" s="47"/>
      <x:c r="DL779" s="60"/>
      <x:c r="DM779" s="58"/>
      <x:c r="DN779" s="11"/>
      <x:c r="DO779" s="61"/>
      <x:c r="DP779" s="62"/>
      <x:c r="DQ779" s="11"/>
      <x:c r="DR779" s="61"/>
      <x:c r="DS779" s="62"/>
      <x:c r="DT779" s="11"/>
      <x:c r="DU779" s="61"/>
      <x:c r="DV779" s="62"/>
    </x:row>
    <x:row r="780" spans="1:126" x14ac:dyDescent="0.3">
      <x:c r="A780" s="47"/>
      <x:c r="B780" s="70"/>
      <x:c r="C780" s="70"/>
      <x:c r="D780" s="70"/>
      <x:c r="E780" s="70"/>
      <x:c r="F780" s="70"/>
      <x:c r="G780" s="70"/>
      <x:c r="H780" s="70"/>
      <x:c r="I780" s="70"/>
      <x:c r="J780" s="70"/>
      <x:c r="K780" s="190"/>
      <x:c r="L780" s="195"/>
      <x:c r="M780" s="192"/>
      <x:c r="N780" s="192"/>
      <x:c r="O780" s="69"/>
      <x:c r="P780" s="47"/>
      <x:c r="Q780" s="60"/>
      <x:c r="R780" s="58"/>
      <x:c r="S780" s="47"/>
      <x:c r="T780" s="60"/>
      <x:c r="U780" s="58"/>
      <x:c r="V780" s="47"/>
      <x:c r="W780" s="60"/>
      <x:c r="X780" s="58"/>
      <x:c r="Y780" s="47"/>
      <x:c r="Z780" s="60"/>
      <x:c r="AA780" s="58"/>
      <x:c r="AB780" s="47"/>
      <x:c r="AC780" s="60"/>
      <x:c r="AD780" s="58"/>
      <x:c r="AE780" s="47"/>
      <x:c r="AF780" s="60"/>
      <x:c r="AG780" s="58"/>
      <x:c r="AH780" s="47"/>
      <x:c r="AI780" s="60"/>
      <x:c r="AJ780" s="58"/>
      <x:c r="AK780" s="47"/>
      <x:c r="AL780" s="60"/>
      <x:c r="AM780" s="58"/>
      <x:c r="AN780" s="47"/>
      <x:c r="AO780" s="60"/>
      <x:c r="AP780" s="58"/>
      <x:c r="AQ780" s="47"/>
      <x:c r="AR780" s="60"/>
      <x:c r="AS780" s="58"/>
      <x:c r="AT780" s="47"/>
      <x:c r="AU780" s="60"/>
      <x:c r="AV780" s="58"/>
      <x:c r="AW780" s="47"/>
      <x:c r="AX780" s="60"/>
      <x:c r="AY780" s="58"/>
      <x:c r="AZ780" s="47"/>
      <x:c r="BA780" s="60"/>
      <x:c r="BB780" s="58"/>
      <x:c r="BC780" s="47"/>
      <x:c r="BD780" s="60"/>
      <x:c r="BE780" s="58"/>
      <x:c r="BF780" s="47"/>
      <x:c r="BG780" s="60"/>
      <x:c r="BH780" s="58"/>
      <x:c r="BI780" s="47"/>
      <x:c r="BJ780" s="60"/>
      <x:c r="BK780" s="58"/>
      <x:c r="BL780" s="47"/>
      <x:c r="BM780" s="60"/>
      <x:c r="BN780" s="58"/>
      <x:c r="BO780" s="47"/>
      <x:c r="BP780" s="60"/>
      <x:c r="BQ780" s="58"/>
      <x:c r="BR780" s="47"/>
      <x:c r="BS780" s="60"/>
      <x:c r="BT780" s="58"/>
      <x:c r="BU780" s="47"/>
      <x:c r="BV780" s="60"/>
      <x:c r="BW780" s="58"/>
      <x:c r="BX780" s="47"/>
      <x:c r="BY780" s="60"/>
      <x:c r="BZ780" s="58"/>
      <x:c r="CA780" s="47"/>
      <x:c r="CB780" s="60"/>
      <x:c r="CC780" s="58"/>
      <x:c r="CD780" s="47"/>
      <x:c r="CE780" s="60"/>
      <x:c r="CF780" s="58"/>
      <x:c r="CG780" s="47"/>
      <x:c r="CH780" s="60"/>
      <x:c r="CI780" s="58"/>
      <x:c r="CJ780" s="47"/>
      <x:c r="CK780" s="60"/>
      <x:c r="CL780" s="58"/>
      <x:c r="CM780" s="47"/>
      <x:c r="CN780" s="60"/>
      <x:c r="CO780" s="58"/>
      <x:c r="CP780" s="47"/>
      <x:c r="CQ780" s="60"/>
      <x:c r="CR780" s="58"/>
      <x:c r="CS780" s="47"/>
      <x:c r="CT780" s="60"/>
      <x:c r="CU780" s="58"/>
      <x:c r="CV780" s="47"/>
      <x:c r="CW780" s="60"/>
      <x:c r="CX780" s="58"/>
      <x:c r="CY780" s="47"/>
      <x:c r="CZ780" s="60"/>
      <x:c r="DA780" s="58"/>
      <x:c r="DB780" s="47"/>
      <x:c r="DC780" s="60"/>
      <x:c r="DD780" s="58"/>
      <x:c r="DE780" s="47"/>
      <x:c r="DF780" s="60"/>
      <x:c r="DG780" s="58"/>
      <x:c r="DH780" s="47"/>
      <x:c r="DI780" s="60"/>
      <x:c r="DJ780" s="58"/>
      <x:c r="DK780" s="47"/>
      <x:c r="DL780" s="60"/>
      <x:c r="DM780" s="58"/>
      <x:c r="DN780" s="11"/>
      <x:c r="DO780" s="61"/>
      <x:c r="DP780" s="62"/>
      <x:c r="DQ780" s="11"/>
      <x:c r="DR780" s="61"/>
      <x:c r="DS780" s="62"/>
      <x:c r="DT780" s="11"/>
      <x:c r="DU780" s="61"/>
      <x:c r="DV780" s="62"/>
    </x:row>
    <x:row r="781" spans="1:126" x14ac:dyDescent="0.3">
      <x:c r="A781" s="47"/>
      <x:c r="B781" s="70"/>
      <x:c r="C781" s="70"/>
      <x:c r="D781" s="70"/>
      <x:c r="E781" s="70"/>
      <x:c r="F781" s="70"/>
      <x:c r="G781" s="70"/>
      <x:c r="H781" s="70"/>
      <x:c r="I781" s="70"/>
      <x:c r="J781" s="70"/>
      <x:c r="K781" s="190"/>
      <x:c r="L781" s="195"/>
      <x:c r="M781" s="192"/>
      <x:c r="N781" s="192"/>
      <x:c r="O781" s="69"/>
      <x:c r="P781" s="47"/>
      <x:c r="Q781" s="60"/>
      <x:c r="R781" s="58"/>
      <x:c r="S781" s="47"/>
      <x:c r="T781" s="60"/>
      <x:c r="U781" s="58"/>
      <x:c r="V781" s="47"/>
      <x:c r="W781" s="60"/>
      <x:c r="X781" s="58"/>
      <x:c r="Y781" s="47"/>
      <x:c r="Z781" s="60"/>
      <x:c r="AA781" s="58"/>
      <x:c r="AB781" s="47"/>
      <x:c r="AC781" s="60"/>
      <x:c r="AD781" s="58"/>
      <x:c r="AE781" s="47"/>
      <x:c r="AF781" s="60"/>
      <x:c r="AG781" s="58"/>
      <x:c r="AH781" s="47"/>
      <x:c r="AI781" s="60"/>
      <x:c r="AJ781" s="58"/>
      <x:c r="AK781" s="47"/>
      <x:c r="AL781" s="60"/>
      <x:c r="AM781" s="58"/>
      <x:c r="AN781" s="47"/>
      <x:c r="AO781" s="60"/>
      <x:c r="AP781" s="58"/>
      <x:c r="AQ781" s="47"/>
      <x:c r="AR781" s="60"/>
      <x:c r="AS781" s="58"/>
      <x:c r="AT781" s="47"/>
      <x:c r="AU781" s="60"/>
      <x:c r="AV781" s="58"/>
      <x:c r="AW781" s="47"/>
      <x:c r="AX781" s="60"/>
      <x:c r="AY781" s="58"/>
      <x:c r="AZ781" s="47"/>
      <x:c r="BA781" s="60"/>
      <x:c r="BB781" s="58"/>
      <x:c r="BC781" s="47"/>
      <x:c r="BD781" s="60"/>
      <x:c r="BE781" s="58"/>
      <x:c r="BF781" s="47"/>
      <x:c r="BG781" s="60"/>
      <x:c r="BH781" s="58"/>
      <x:c r="BI781" s="47"/>
      <x:c r="BJ781" s="60"/>
      <x:c r="BK781" s="58"/>
      <x:c r="BL781" s="47"/>
      <x:c r="BM781" s="60"/>
      <x:c r="BN781" s="58"/>
      <x:c r="BO781" s="47"/>
      <x:c r="BP781" s="60"/>
      <x:c r="BQ781" s="58"/>
      <x:c r="BR781" s="47"/>
      <x:c r="BS781" s="60"/>
      <x:c r="BT781" s="58"/>
      <x:c r="BU781" s="47"/>
      <x:c r="BV781" s="60"/>
      <x:c r="BW781" s="58"/>
      <x:c r="BX781" s="47"/>
      <x:c r="BY781" s="60"/>
      <x:c r="BZ781" s="58"/>
      <x:c r="CA781" s="47"/>
      <x:c r="CB781" s="60"/>
      <x:c r="CC781" s="58"/>
      <x:c r="CD781" s="47"/>
      <x:c r="CE781" s="60"/>
      <x:c r="CF781" s="58"/>
      <x:c r="CG781" s="47"/>
      <x:c r="CH781" s="60"/>
      <x:c r="CI781" s="58"/>
      <x:c r="CJ781" s="47"/>
      <x:c r="CK781" s="60"/>
      <x:c r="CL781" s="58"/>
      <x:c r="CM781" s="47"/>
      <x:c r="CN781" s="60"/>
      <x:c r="CO781" s="58"/>
      <x:c r="CP781" s="47"/>
      <x:c r="CQ781" s="60"/>
      <x:c r="CR781" s="58"/>
      <x:c r="CS781" s="47"/>
      <x:c r="CT781" s="60"/>
      <x:c r="CU781" s="58"/>
      <x:c r="CV781" s="47"/>
      <x:c r="CW781" s="60"/>
      <x:c r="CX781" s="58"/>
      <x:c r="CY781" s="47"/>
      <x:c r="CZ781" s="60"/>
      <x:c r="DA781" s="58"/>
      <x:c r="DB781" s="47"/>
      <x:c r="DC781" s="60"/>
      <x:c r="DD781" s="58"/>
      <x:c r="DE781" s="47"/>
      <x:c r="DF781" s="60"/>
      <x:c r="DG781" s="58"/>
      <x:c r="DH781" s="47"/>
      <x:c r="DI781" s="60"/>
      <x:c r="DJ781" s="58"/>
      <x:c r="DK781" s="47"/>
      <x:c r="DL781" s="60"/>
      <x:c r="DM781" s="58"/>
      <x:c r="DN781" s="11"/>
      <x:c r="DO781" s="61"/>
      <x:c r="DP781" s="62"/>
      <x:c r="DQ781" s="11"/>
      <x:c r="DR781" s="61"/>
      <x:c r="DS781" s="62"/>
      <x:c r="DT781" s="11"/>
      <x:c r="DU781" s="61"/>
      <x:c r="DV781" s="62"/>
    </x:row>
    <x:row r="782" spans="1:126" x14ac:dyDescent="0.3">
      <x:c r="A782" s="47"/>
      <x:c r="B782" s="70"/>
      <x:c r="C782" s="70"/>
      <x:c r="D782" s="70"/>
      <x:c r="E782" s="70"/>
      <x:c r="F782" s="70"/>
      <x:c r="G782" s="70"/>
      <x:c r="H782" s="70"/>
      <x:c r="I782" s="70"/>
      <x:c r="J782" s="70"/>
      <x:c r="K782" s="190"/>
      <x:c r="L782" s="195"/>
      <x:c r="M782" s="192"/>
      <x:c r="N782" s="192"/>
      <x:c r="O782" s="69"/>
      <x:c r="P782" s="47"/>
      <x:c r="Q782" s="60"/>
      <x:c r="R782" s="58"/>
      <x:c r="S782" s="47"/>
      <x:c r="T782" s="60"/>
      <x:c r="U782" s="58"/>
      <x:c r="V782" s="47"/>
      <x:c r="W782" s="60"/>
      <x:c r="X782" s="58"/>
      <x:c r="Y782" s="47"/>
      <x:c r="Z782" s="60"/>
      <x:c r="AA782" s="58"/>
      <x:c r="AB782" s="47"/>
      <x:c r="AC782" s="60"/>
      <x:c r="AD782" s="58"/>
      <x:c r="AE782" s="47"/>
      <x:c r="AF782" s="60"/>
      <x:c r="AG782" s="58"/>
      <x:c r="AH782" s="47"/>
      <x:c r="AI782" s="60"/>
      <x:c r="AJ782" s="58"/>
      <x:c r="AK782" s="47"/>
      <x:c r="AL782" s="60"/>
      <x:c r="AM782" s="58"/>
      <x:c r="AN782" s="47"/>
      <x:c r="AO782" s="60"/>
      <x:c r="AP782" s="58"/>
      <x:c r="AQ782" s="47"/>
      <x:c r="AR782" s="60"/>
      <x:c r="AS782" s="58"/>
      <x:c r="AT782" s="47"/>
      <x:c r="AU782" s="60"/>
      <x:c r="AV782" s="58"/>
      <x:c r="AW782" s="47"/>
      <x:c r="AX782" s="60"/>
      <x:c r="AY782" s="58"/>
      <x:c r="AZ782" s="47"/>
      <x:c r="BA782" s="60"/>
      <x:c r="BB782" s="58"/>
      <x:c r="BC782" s="47"/>
      <x:c r="BD782" s="60"/>
      <x:c r="BE782" s="58"/>
      <x:c r="BF782" s="47"/>
      <x:c r="BG782" s="60"/>
      <x:c r="BH782" s="58"/>
      <x:c r="BI782" s="47"/>
      <x:c r="BJ782" s="60"/>
      <x:c r="BK782" s="58"/>
      <x:c r="BL782" s="47"/>
      <x:c r="BM782" s="60"/>
      <x:c r="BN782" s="58"/>
      <x:c r="BO782" s="47"/>
      <x:c r="BP782" s="60"/>
      <x:c r="BQ782" s="58"/>
      <x:c r="BR782" s="47"/>
      <x:c r="BS782" s="60"/>
      <x:c r="BT782" s="58"/>
      <x:c r="BU782" s="47"/>
      <x:c r="BV782" s="60"/>
      <x:c r="BW782" s="58"/>
      <x:c r="BX782" s="47"/>
      <x:c r="BY782" s="60"/>
      <x:c r="BZ782" s="58"/>
      <x:c r="CA782" s="47"/>
      <x:c r="CB782" s="60"/>
      <x:c r="CC782" s="58"/>
      <x:c r="CD782" s="47"/>
      <x:c r="CE782" s="60"/>
      <x:c r="CF782" s="58"/>
      <x:c r="CG782" s="47"/>
      <x:c r="CH782" s="60"/>
      <x:c r="CI782" s="58"/>
      <x:c r="CJ782" s="47"/>
      <x:c r="CK782" s="60"/>
      <x:c r="CL782" s="58"/>
      <x:c r="CM782" s="47"/>
      <x:c r="CN782" s="60"/>
      <x:c r="CO782" s="58"/>
      <x:c r="CP782" s="47"/>
      <x:c r="CQ782" s="60"/>
      <x:c r="CR782" s="58"/>
      <x:c r="CS782" s="47"/>
      <x:c r="CT782" s="60"/>
      <x:c r="CU782" s="58"/>
      <x:c r="CV782" s="47"/>
      <x:c r="CW782" s="60"/>
      <x:c r="CX782" s="58"/>
      <x:c r="CY782" s="47"/>
      <x:c r="CZ782" s="60"/>
      <x:c r="DA782" s="58"/>
      <x:c r="DB782" s="47"/>
      <x:c r="DC782" s="60"/>
      <x:c r="DD782" s="58"/>
      <x:c r="DE782" s="47"/>
      <x:c r="DF782" s="60"/>
      <x:c r="DG782" s="58"/>
      <x:c r="DH782" s="47"/>
      <x:c r="DI782" s="60"/>
      <x:c r="DJ782" s="58"/>
      <x:c r="DK782" s="47"/>
      <x:c r="DL782" s="60"/>
      <x:c r="DM782" s="58"/>
      <x:c r="DN782" s="11"/>
      <x:c r="DO782" s="61"/>
      <x:c r="DP782" s="62"/>
      <x:c r="DQ782" s="11"/>
      <x:c r="DR782" s="61"/>
      <x:c r="DS782" s="62"/>
      <x:c r="DT782" s="11"/>
      <x:c r="DU782" s="61"/>
      <x:c r="DV782" s="62"/>
    </x:row>
    <x:row r="783" spans="1:126" x14ac:dyDescent="0.3">
      <x:c r="A783" s="47"/>
      <x:c r="B783" s="70"/>
      <x:c r="C783" s="70"/>
      <x:c r="D783" s="70"/>
      <x:c r="E783" s="70"/>
      <x:c r="F783" s="70"/>
      <x:c r="G783" s="70"/>
      <x:c r="H783" s="70"/>
      <x:c r="I783" s="70"/>
      <x:c r="J783" s="70"/>
      <x:c r="K783" s="190"/>
      <x:c r="L783" s="195"/>
      <x:c r="M783" s="192"/>
      <x:c r="N783" s="192"/>
      <x:c r="O783" s="69"/>
      <x:c r="P783" s="47"/>
      <x:c r="Q783" s="60"/>
      <x:c r="R783" s="58"/>
      <x:c r="S783" s="47"/>
      <x:c r="T783" s="60"/>
      <x:c r="U783" s="58"/>
      <x:c r="V783" s="47"/>
      <x:c r="W783" s="60"/>
      <x:c r="X783" s="58"/>
      <x:c r="Y783" s="47"/>
      <x:c r="Z783" s="60"/>
      <x:c r="AA783" s="58"/>
      <x:c r="AB783" s="47"/>
      <x:c r="AC783" s="60"/>
      <x:c r="AD783" s="58"/>
      <x:c r="AE783" s="47"/>
      <x:c r="AF783" s="60"/>
      <x:c r="AG783" s="58"/>
      <x:c r="AH783" s="47"/>
      <x:c r="AI783" s="60"/>
      <x:c r="AJ783" s="58"/>
      <x:c r="AK783" s="47"/>
      <x:c r="AL783" s="60"/>
      <x:c r="AM783" s="58"/>
      <x:c r="AN783" s="47"/>
      <x:c r="AO783" s="60"/>
      <x:c r="AP783" s="58"/>
      <x:c r="AQ783" s="47"/>
      <x:c r="AR783" s="60"/>
      <x:c r="AS783" s="58"/>
      <x:c r="AT783" s="47"/>
      <x:c r="AU783" s="60"/>
      <x:c r="AV783" s="58"/>
      <x:c r="AW783" s="47"/>
      <x:c r="AX783" s="60"/>
      <x:c r="AY783" s="58"/>
      <x:c r="AZ783" s="47"/>
      <x:c r="BA783" s="60"/>
      <x:c r="BB783" s="58"/>
      <x:c r="BC783" s="47"/>
      <x:c r="BD783" s="60"/>
      <x:c r="BE783" s="58"/>
      <x:c r="BF783" s="47"/>
      <x:c r="BG783" s="60"/>
      <x:c r="BH783" s="58"/>
      <x:c r="BI783" s="47"/>
      <x:c r="BJ783" s="60"/>
      <x:c r="BK783" s="58"/>
      <x:c r="BL783" s="47"/>
      <x:c r="BM783" s="60"/>
      <x:c r="BN783" s="58"/>
      <x:c r="BO783" s="47"/>
      <x:c r="BP783" s="60"/>
      <x:c r="BQ783" s="58"/>
      <x:c r="BR783" s="47"/>
      <x:c r="BS783" s="60"/>
      <x:c r="BT783" s="58"/>
      <x:c r="BU783" s="47"/>
      <x:c r="BV783" s="60"/>
      <x:c r="BW783" s="58"/>
      <x:c r="BX783" s="47"/>
      <x:c r="BY783" s="60"/>
      <x:c r="BZ783" s="58"/>
      <x:c r="CA783" s="47"/>
      <x:c r="CB783" s="60"/>
      <x:c r="CC783" s="58"/>
      <x:c r="CD783" s="47"/>
      <x:c r="CE783" s="60"/>
      <x:c r="CF783" s="58"/>
      <x:c r="CG783" s="47"/>
      <x:c r="CH783" s="60"/>
      <x:c r="CI783" s="58"/>
      <x:c r="CJ783" s="47"/>
      <x:c r="CK783" s="60"/>
      <x:c r="CL783" s="58"/>
      <x:c r="CM783" s="47"/>
      <x:c r="CN783" s="60"/>
      <x:c r="CO783" s="58"/>
      <x:c r="CP783" s="47"/>
      <x:c r="CQ783" s="60"/>
      <x:c r="CR783" s="58"/>
      <x:c r="CS783" s="47"/>
      <x:c r="CT783" s="60"/>
      <x:c r="CU783" s="58"/>
      <x:c r="CV783" s="47"/>
      <x:c r="CW783" s="60"/>
      <x:c r="CX783" s="58"/>
      <x:c r="CY783" s="47"/>
      <x:c r="CZ783" s="60"/>
      <x:c r="DA783" s="58"/>
      <x:c r="DB783" s="47"/>
      <x:c r="DC783" s="60"/>
      <x:c r="DD783" s="58"/>
      <x:c r="DE783" s="47"/>
      <x:c r="DF783" s="60"/>
      <x:c r="DG783" s="58"/>
      <x:c r="DH783" s="47"/>
      <x:c r="DI783" s="60"/>
      <x:c r="DJ783" s="58"/>
      <x:c r="DK783" s="47"/>
      <x:c r="DL783" s="60"/>
      <x:c r="DM783" s="58"/>
      <x:c r="DN783" s="11"/>
      <x:c r="DO783" s="61"/>
      <x:c r="DP783" s="62"/>
      <x:c r="DQ783" s="11"/>
      <x:c r="DR783" s="61"/>
      <x:c r="DS783" s="62"/>
      <x:c r="DT783" s="11"/>
      <x:c r="DU783" s="61"/>
      <x:c r="DV783" s="62"/>
    </x:row>
    <x:row r="784" spans="1:126" x14ac:dyDescent="0.3">
      <x:c r="A784" s="47"/>
      <x:c r="B784" s="70"/>
      <x:c r="C784" s="70"/>
      <x:c r="D784" s="70"/>
      <x:c r="E784" s="70"/>
      <x:c r="F784" s="70"/>
      <x:c r="G784" s="70"/>
      <x:c r="H784" s="70"/>
      <x:c r="I784" s="70"/>
      <x:c r="J784" s="70"/>
      <x:c r="K784" s="190"/>
      <x:c r="L784" s="195"/>
      <x:c r="M784" s="192"/>
      <x:c r="N784" s="192"/>
      <x:c r="O784" s="69"/>
      <x:c r="P784" s="47"/>
      <x:c r="Q784" s="60"/>
      <x:c r="R784" s="58"/>
      <x:c r="S784" s="47"/>
      <x:c r="T784" s="60"/>
      <x:c r="U784" s="58"/>
      <x:c r="V784" s="47"/>
      <x:c r="W784" s="60"/>
      <x:c r="X784" s="58"/>
      <x:c r="Y784" s="47"/>
      <x:c r="Z784" s="60"/>
      <x:c r="AA784" s="58"/>
      <x:c r="AB784" s="47"/>
      <x:c r="AC784" s="60"/>
      <x:c r="AD784" s="58"/>
      <x:c r="AE784" s="47"/>
      <x:c r="AF784" s="60"/>
      <x:c r="AG784" s="58"/>
      <x:c r="AH784" s="47"/>
      <x:c r="AI784" s="60"/>
      <x:c r="AJ784" s="58"/>
      <x:c r="AK784" s="47"/>
      <x:c r="AL784" s="60"/>
      <x:c r="AM784" s="58"/>
      <x:c r="AN784" s="47"/>
      <x:c r="AO784" s="60"/>
      <x:c r="AP784" s="58"/>
      <x:c r="AQ784" s="47"/>
      <x:c r="AR784" s="60"/>
      <x:c r="AS784" s="58"/>
      <x:c r="AT784" s="47"/>
      <x:c r="AU784" s="60"/>
      <x:c r="AV784" s="58"/>
      <x:c r="AW784" s="47"/>
      <x:c r="AX784" s="60"/>
      <x:c r="AY784" s="58"/>
      <x:c r="AZ784" s="47"/>
      <x:c r="BA784" s="60"/>
      <x:c r="BB784" s="58"/>
      <x:c r="BC784" s="47"/>
      <x:c r="BD784" s="60"/>
      <x:c r="BE784" s="58"/>
      <x:c r="BF784" s="47"/>
      <x:c r="BG784" s="60"/>
      <x:c r="BH784" s="58"/>
      <x:c r="BI784" s="47"/>
      <x:c r="BJ784" s="60"/>
      <x:c r="BK784" s="58"/>
      <x:c r="BL784" s="47"/>
      <x:c r="BM784" s="60"/>
      <x:c r="BN784" s="58"/>
      <x:c r="BO784" s="47"/>
      <x:c r="BP784" s="60"/>
      <x:c r="BQ784" s="58"/>
      <x:c r="BR784" s="47"/>
      <x:c r="BS784" s="60"/>
      <x:c r="BT784" s="58"/>
      <x:c r="BU784" s="47"/>
      <x:c r="BV784" s="60"/>
      <x:c r="BW784" s="58"/>
      <x:c r="BX784" s="47"/>
      <x:c r="BY784" s="60"/>
      <x:c r="BZ784" s="58"/>
      <x:c r="CA784" s="47"/>
      <x:c r="CB784" s="60"/>
      <x:c r="CC784" s="58"/>
      <x:c r="CD784" s="47"/>
      <x:c r="CE784" s="60"/>
      <x:c r="CF784" s="58"/>
      <x:c r="CG784" s="47"/>
      <x:c r="CH784" s="60"/>
      <x:c r="CI784" s="58"/>
      <x:c r="CJ784" s="47"/>
      <x:c r="CK784" s="60"/>
      <x:c r="CL784" s="58"/>
      <x:c r="CM784" s="47"/>
      <x:c r="CN784" s="60"/>
      <x:c r="CO784" s="58"/>
      <x:c r="CP784" s="47"/>
      <x:c r="CQ784" s="60"/>
      <x:c r="CR784" s="58"/>
      <x:c r="CS784" s="47"/>
      <x:c r="CT784" s="60"/>
      <x:c r="CU784" s="58"/>
      <x:c r="CV784" s="47"/>
      <x:c r="CW784" s="60"/>
      <x:c r="CX784" s="58"/>
      <x:c r="CY784" s="47"/>
      <x:c r="CZ784" s="60"/>
      <x:c r="DA784" s="58"/>
      <x:c r="DB784" s="47"/>
      <x:c r="DC784" s="60"/>
      <x:c r="DD784" s="58"/>
      <x:c r="DE784" s="47"/>
      <x:c r="DF784" s="60"/>
      <x:c r="DG784" s="58"/>
      <x:c r="DH784" s="47"/>
      <x:c r="DI784" s="60"/>
      <x:c r="DJ784" s="58"/>
      <x:c r="DK784" s="47"/>
      <x:c r="DL784" s="60"/>
      <x:c r="DM784" s="58"/>
      <x:c r="DN784" s="11"/>
      <x:c r="DO784" s="61"/>
      <x:c r="DP784" s="62"/>
      <x:c r="DQ784" s="11"/>
      <x:c r="DR784" s="61"/>
      <x:c r="DS784" s="62"/>
      <x:c r="DT784" s="11"/>
      <x:c r="DU784" s="61"/>
      <x:c r="DV784" s="62"/>
    </x:row>
    <x:row r="785" spans="1:126" x14ac:dyDescent="0.3">
      <x:c r="A785" s="47"/>
      <x:c r="B785" s="70"/>
      <x:c r="C785" s="70"/>
      <x:c r="D785" s="70"/>
      <x:c r="E785" s="70"/>
      <x:c r="F785" s="70"/>
      <x:c r="G785" s="70"/>
      <x:c r="H785" s="70"/>
      <x:c r="I785" s="70"/>
      <x:c r="J785" s="70"/>
      <x:c r="K785" s="190"/>
      <x:c r="L785" s="195"/>
      <x:c r="M785" s="192"/>
      <x:c r="N785" s="192"/>
      <x:c r="O785" s="69"/>
      <x:c r="P785" s="47"/>
      <x:c r="Q785" s="60"/>
      <x:c r="R785" s="58"/>
      <x:c r="S785" s="47"/>
      <x:c r="T785" s="60"/>
      <x:c r="U785" s="58"/>
      <x:c r="V785" s="47"/>
      <x:c r="W785" s="60"/>
      <x:c r="X785" s="58"/>
      <x:c r="Y785" s="47"/>
      <x:c r="Z785" s="60"/>
      <x:c r="AA785" s="58"/>
      <x:c r="AB785" s="47"/>
      <x:c r="AC785" s="60"/>
      <x:c r="AD785" s="58"/>
      <x:c r="AE785" s="47"/>
      <x:c r="AF785" s="60"/>
      <x:c r="AG785" s="58"/>
      <x:c r="AH785" s="47"/>
      <x:c r="AI785" s="60"/>
      <x:c r="AJ785" s="58"/>
      <x:c r="AK785" s="47"/>
      <x:c r="AL785" s="60"/>
      <x:c r="AM785" s="58"/>
      <x:c r="AN785" s="47"/>
      <x:c r="AO785" s="60"/>
      <x:c r="AP785" s="58"/>
      <x:c r="AQ785" s="47"/>
      <x:c r="AR785" s="60"/>
      <x:c r="AS785" s="58"/>
      <x:c r="AT785" s="47"/>
      <x:c r="AU785" s="60"/>
      <x:c r="AV785" s="58"/>
      <x:c r="AW785" s="47"/>
      <x:c r="AX785" s="60"/>
      <x:c r="AY785" s="58"/>
      <x:c r="AZ785" s="47"/>
      <x:c r="BA785" s="60"/>
      <x:c r="BB785" s="58"/>
      <x:c r="BC785" s="47"/>
      <x:c r="BD785" s="60"/>
      <x:c r="BE785" s="58"/>
      <x:c r="BF785" s="47"/>
      <x:c r="BG785" s="60"/>
      <x:c r="BH785" s="58"/>
      <x:c r="BI785" s="47"/>
      <x:c r="BJ785" s="60"/>
      <x:c r="BK785" s="58"/>
      <x:c r="BL785" s="47"/>
      <x:c r="BM785" s="60"/>
      <x:c r="BN785" s="58"/>
      <x:c r="BO785" s="47"/>
      <x:c r="BP785" s="60"/>
      <x:c r="BQ785" s="58"/>
      <x:c r="BR785" s="47"/>
      <x:c r="BS785" s="60"/>
      <x:c r="BT785" s="58"/>
      <x:c r="BU785" s="47"/>
      <x:c r="BV785" s="60"/>
      <x:c r="BW785" s="58"/>
      <x:c r="BX785" s="47"/>
      <x:c r="BY785" s="60"/>
      <x:c r="BZ785" s="58"/>
      <x:c r="CA785" s="47"/>
      <x:c r="CB785" s="60"/>
      <x:c r="CC785" s="58"/>
      <x:c r="CD785" s="47"/>
      <x:c r="CE785" s="60"/>
      <x:c r="CF785" s="58"/>
      <x:c r="CG785" s="47"/>
      <x:c r="CH785" s="60"/>
      <x:c r="CI785" s="58"/>
      <x:c r="CJ785" s="47"/>
      <x:c r="CK785" s="60"/>
      <x:c r="CL785" s="58"/>
      <x:c r="CM785" s="47"/>
      <x:c r="CN785" s="60"/>
      <x:c r="CO785" s="58"/>
      <x:c r="CP785" s="47"/>
      <x:c r="CQ785" s="60"/>
      <x:c r="CR785" s="58"/>
      <x:c r="CS785" s="47"/>
      <x:c r="CT785" s="60"/>
      <x:c r="CU785" s="58"/>
      <x:c r="CV785" s="47"/>
      <x:c r="CW785" s="60"/>
      <x:c r="CX785" s="58"/>
      <x:c r="CY785" s="47"/>
      <x:c r="CZ785" s="60"/>
      <x:c r="DA785" s="58"/>
      <x:c r="DB785" s="47"/>
      <x:c r="DC785" s="60"/>
      <x:c r="DD785" s="58"/>
      <x:c r="DE785" s="47"/>
      <x:c r="DF785" s="60"/>
      <x:c r="DG785" s="58"/>
      <x:c r="DH785" s="47"/>
      <x:c r="DI785" s="60"/>
      <x:c r="DJ785" s="58"/>
      <x:c r="DK785" s="47"/>
      <x:c r="DL785" s="60"/>
      <x:c r="DM785" s="58"/>
      <x:c r="DN785" s="11"/>
      <x:c r="DO785" s="61"/>
      <x:c r="DP785" s="62"/>
      <x:c r="DQ785" s="11"/>
      <x:c r="DR785" s="61"/>
      <x:c r="DS785" s="62"/>
      <x:c r="DT785" s="11"/>
      <x:c r="DU785" s="61"/>
      <x:c r="DV785" s="62"/>
    </x:row>
    <x:row r="786" spans="1:126" x14ac:dyDescent="0.3">
      <x:c r="A786" s="47"/>
      <x:c r="B786" s="70"/>
      <x:c r="C786" s="70"/>
      <x:c r="D786" s="70"/>
      <x:c r="E786" s="70"/>
      <x:c r="F786" s="70"/>
      <x:c r="G786" s="70"/>
      <x:c r="H786" s="70"/>
      <x:c r="I786" s="70"/>
      <x:c r="J786" s="70"/>
      <x:c r="K786" s="190"/>
      <x:c r="L786" s="195"/>
      <x:c r="M786" s="192"/>
      <x:c r="N786" s="192"/>
      <x:c r="O786" s="69"/>
      <x:c r="P786" s="47"/>
      <x:c r="Q786" s="60"/>
      <x:c r="R786" s="58"/>
      <x:c r="S786" s="47"/>
      <x:c r="T786" s="60"/>
      <x:c r="U786" s="58"/>
      <x:c r="V786" s="47"/>
      <x:c r="W786" s="60"/>
      <x:c r="X786" s="58"/>
      <x:c r="Y786" s="47"/>
      <x:c r="Z786" s="60"/>
      <x:c r="AA786" s="58"/>
      <x:c r="AB786" s="47"/>
      <x:c r="AC786" s="60"/>
      <x:c r="AD786" s="58"/>
      <x:c r="AE786" s="47"/>
      <x:c r="AF786" s="60"/>
      <x:c r="AG786" s="58"/>
      <x:c r="AH786" s="47"/>
      <x:c r="AI786" s="60"/>
      <x:c r="AJ786" s="58"/>
      <x:c r="AK786" s="47"/>
      <x:c r="AL786" s="60"/>
      <x:c r="AM786" s="58"/>
      <x:c r="AN786" s="47"/>
      <x:c r="AO786" s="60"/>
      <x:c r="AP786" s="58"/>
      <x:c r="AQ786" s="47"/>
      <x:c r="AR786" s="60"/>
      <x:c r="AS786" s="58"/>
      <x:c r="AT786" s="47"/>
      <x:c r="AU786" s="60"/>
      <x:c r="AV786" s="58"/>
      <x:c r="AW786" s="47"/>
      <x:c r="AX786" s="60"/>
      <x:c r="AY786" s="58"/>
      <x:c r="AZ786" s="47"/>
      <x:c r="BA786" s="60"/>
      <x:c r="BB786" s="58"/>
      <x:c r="BC786" s="47"/>
      <x:c r="BD786" s="60"/>
      <x:c r="BE786" s="58"/>
      <x:c r="BF786" s="47"/>
      <x:c r="BG786" s="60"/>
      <x:c r="BH786" s="58"/>
      <x:c r="BI786" s="47"/>
      <x:c r="BJ786" s="60"/>
      <x:c r="BK786" s="58"/>
      <x:c r="BL786" s="47"/>
      <x:c r="BM786" s="60"/>
      <x:c r="BN786" s="58"/>
      <x:c r="BO786" s="47"/>
      <x:c r="BP786" s="60"/>
      <x:c r="BQ786" s="58"/>
      <x:c r="BR786" s="47"/>
      <x:c r="BS786" s="60"/>
      <x:c r="BT786" s="58"/>
      <x:c r="BU786" s="47"/>
      <x:c r="BV786" s="60"/>
      <x:c r="BW786" s="58"/>
      <x:c r="BX786" s="47"/>
      <x:c r="BY786" s="60"/>
      <x:c r="BZ786" s="58"/>
      <x:c r="CA786" s="47"/>
      <x:c r="CB786" s="60"/>
      <x:c r="CC786" s="58"/>
      <x:c r="CD786" s="47"/>
      <x:c r="CE786" s="60"/>
      <x:c r="CF786" s="58"/>
      <x:c r="CG786" s="47"/>
      <x:c r="CH786" s="60"/>
      <x:c r="CI786" s="58"/>
      <x:c r="CJ786" s="47"/>
      <x:c r="CK786" s="60"/>
      <x:c r="CL786" s="58"/>
      <x:c r="CM786" s="47"/>
      <x:c r="CN786" s="60"/>
      <x:c r="CO786" s="58"/>
      <x:c r="CP786" s="47"/>
      <x:c r="CQ786" s="60"/>
      <x:c r="CR786" s="58"/>
      <x:c r="CS786" s="47"/>
      <x:c r="CT786" s="60"/>
      <x:c r="CU786" s="58"/>
      <x:c r="CV786" s="47"/>
      <x:c r="CW786" s="60"/>
      <x:c r="CX786" s="58"/>
      <x:c r="CY786" s="47"/>
      <x:c r="CZ786" s="60"/>
      <x:c r="DA786" s="58"/>
      <x:c r="DB786" s="47"/>
      <x:c r="DC786" s="60"/>
      <x:c r="DD786" s="58"/>
      <x:c r="DE786" s="47"/>
      <x:c r="DF786" s="60"/>
      <x:c r="DG786" s="58"/>
      <x:c r="DH786" s="47"/>
      <x:c r="DI786" s="60"/>
      <x:c r="DJ786" s="58"/>
      <x:c r="DK786" s="47"/>
      <x:c r="DL786" s="60"/>
      <x:c r="DM786" s="58"/>
      <x:c r="DN786" s="11"/>
      <x:c r="DO786" s="61"/>
      <x:c r="DP786" s="62"/>
      <x:c r="DQ786" s="11"/>
      <x:c r="DR786" s="61"/>
      <x:c r="DS786" s="62"/>
      <x:c r="DT786" s="11"/>
      <x:c r="DU786" s="61"/>
      <x:c r="DV786" s="62"/>
    </x:row>
    <x:row r="787" spans="1:126" x14ac:dyDescent="0.3">
      <x:c r="A787" s="47"/>
      <x:c r="B787" s="70"/>
      <x:c r="C787" s="70"/>
      <x:c r="D787" s="70"/>
      <x:c r="E787" s="70"/>
      <x:c r="F787" s="70"/>
      <x:c r="G787" s="70"/>
      <x:c r="H787" s="70"/>
      <x:c r="I787" s="70"/>
      <x:c r="J787" s="70"/>
      <x:c r="K787" s="190"/>
      <x:c r="L787" s="195"/>
      <x:c r="M787" s="192"/>
      <x:c r="N787" s="192"/>
      <x:c r="O787" s="69"/>
      <x:c r="P787" s="47"/>
      <x:c r="Q787" s="60"/>
      <x:c r="R787" s="58"/>
      <x:c r="S787" s="47"/>
      <x:c r="T787" s="60"/>
      <x:c r="U787" s="58"/>
      <x:c r="V787" s="47"/>
      <x:c r="W787" s="60"/>
      <x:c r="X787" s="58"/>
      <x:c r="Y787" s="47"/>
      <x:c r="Z787" s="60"/>
      <x:c r="AA787" s="58"/>
      <x:c r="AB787" s="47"/>
      <x:c r="AC787" s="60"/>
      <x:c r="AD787" s="58"/>
      <x:c r="AE787" s="47"/>
      <x:c r="AF787" s="60"/>
      <x:c r="AG787" s="58"/>
      <x:c r="AH787" s="47"/>
      <x:c r="AI787" s="60"/>
      <x:c r="AJ787" s="58"/>
      <x:c r="AK787" s="47"/>
      <x:c r="AL787" s="60"/>
      <x:c r="AM787" s="58"/>
      <x:c r="AN787" s="47"/>
      <x:c r="AO787" s="60"/>
      <x:c r="AP787" s="58"/>
      <x:c r="AQ787" s="47"/>
      <x:c r="AR787" s="60"/>
      <x:c r="AS787" s="58"/>
      <x:c r="AT787" s="47"/>
      <x:c r="AU787" s="60"/>
      <x:c r="AV787" s="58"/>
      <x:c r="AW787" s="47"/>
      <x:c r="AX787" s="60"/>
      <x:c r="AY787" s="58"/>
      <x:c r="AZ787" s="47"/>
      <x:c r="BA787" s="60"/>
      <x:c r="BB787" s="58"/>
      <x:c r="BC787" s="47"/>
      <x:c r="BD787" s="60"/>
      <x:c r="BE787" s="58"/>
      <x:c r="BF787" s="47"/>
      <x:c r="BG787" s="60"/>
      <x:c r="BH787" s="58"/>
      <x:c r="BI787" s="47"/>
      <x:c r="BJ787" s="60"/>
      <x:c r="BK787" s="58"/>
      <x:c r="BL787" s="47"/>
      <x:c r="BM787" s="60"/>
      <x:c r="BN787" s="58"/>
      <x:c r="BO787" s="47"/>
      <x:c r="BP787" s="60"/>
      <x:c r="BQ787" s="58"/>
      <x:c r="BR787" s="47"/>
      <x:c r="BS787" s="60"/>
      <x:c r="BT787" s="58"/>
      <x:c r="BU787" s="47"/>
      <x:c r="BV787" s="60"/>
      <x:c r="BW787" s="58"/>
      <x:c r="BX787" s="47"/>
      <x:c r="BY787" s="60"/>
      <x:c r="BZ787" s="58"/>
      <x:c r="CA787" s="47"/>
      <x:c r="CB787" s="60"/>
      <x:c r="CC787" s="58"/>
      <x:c r="CD787" s="47"/>
      <x:c r="CE787" s="60"/>
      <x:c r="CF787" s="58"/>
      <x:c r="CG787" s="47"/>
      <x:c r="CH787" s="60"/>
      <x:c r="CI787" s="58"/>
      <x:c r="CJ787" s="47"/>
      <x:c r="CK787" s="60"/>
      <x:c r="CL787" s="58"/>
      <x:c r="CM787" s="47"/>
      <x:c r="CN787" s="60"/>
      <x:c r="CO787" s="58"/>
      <x:c r="CP787" s="47"/>
      <x:c r="CQ787" s="60"/>
      <x:c r="CR787" s="58"/>
      <x:c r="CS787" s="47"/>
      <x:c r="CT787" s="60"/>
      <x:c r="CU787" s="58"/>
      <x:c r="CV787" s="47"/>
      <x:c r="CW787" s="60"/>
      <x:c r="CX787" s="58"/>
      <x:c r="CY787" s="47"/>
      <x:c r="CZ787" s="60"/>
      <x:c r="DA787" s="58"/>
      <x:c r="DB787" s="47"/>
      <x:c r="DC787" s="60"/>
      <x:c r="DD787" s="58"/>
      <x:c r="DE787" s="47"/>
      <x:c r="DF787" s="60"/>
      <x:c r="DG787" s="58"/>
      <x:c r="DH787" s="47"/>
      <x:c r="DI787" s="60"/>
      <x:c r="DJ787" s="58"/>
      <x:c r="DK787" s="47"/>
      <x:c r="DL787" s="60"/>
      <x:c r="DM787" s="58"/>
      <x:c r="DN787" s="11"/>
      <x:c r="DO787" s="61"/>
      <x:c r="DP787" s="62"/>
      <x:c r="DQ787" s="11"/>
      <x:c r="DR787" s="61"/>
      <x:c r="DS787" s="62"/>
      <x:c r="DT787" s="11"/>
      <x:c r="DU787" s="61"/>
      <x:c r="DV787" s="62"/>
    </x:row>
    <x:row r="788" spans="1:126" x14ac:dyDescent="0.3">
      <x:c r="A788" s="47"/>
      <x:c r="B788" s="70"/>
      <x:c r="C788" s="70"/>
      <x:c r="D788" s="70"/>
      <x:c r="E788" s="70"/>
      <x:c r="F788" s="70"/>
      <x:c r="G788" s="70"/>
      <x:c r="H788" s="70"/>
      <x:c r="I788" s="70"/>
      <x:c r="J788" s="70"/>
      <x:c r="K788" s="190"/>
      <x:c r="L788" s="195"/>
      <x:c r="M788" s="192"/>
      <x:c r="N788" s="192"/>
      <x:c r="O788" s="69"/>
      <x:c r="P788" s="47"/>
      <x:c r="Q788" s="60"/>
      <x:c r="R788" s="58"/>
      <x:c r="S788" s="47"/>
      <x:c r="T788" s="60"/>
      <x:c r="U788" s="58"/>
      <x:c r="V788" s="47"/>
      <x:c r="W788" s="60"/>
      <x:c r="X788" s="58"/>
      <x:c r="Y788" s="47"/>
      <x:c r="Z788" s="60"/>
      <x:c r="AA788" s="58"/>
      <x:c r="AB788" s="47"/>
      <x:c r="AC788" s="60"/>
      <x:c r="AD788" s="58"/>
      <x:c r="AE788" s="47"/>
      <x:c r="AF788" s="60"/>
      <x:c r="AG788" s="58"/>
      <x:c r="AH788" s="47"/>
      <x:c r="AI788" s="60"/>
      <x:c r="AJ788" s="58"/>
      <x:c r="AK788" s="47"/>
      <x:c r="AL788" s="60"/>
      <x:c r="AM788" s="58"/>
      <x:c r="AN788" s="47"/>
      <x:c r="AO788" s="60"/>
      <x:c r="AP788" s="58"/>
      <x:c r="AQ788" s="47"/>
      <x:c r="AR788" s="60"/>
      <x:c r="AS788" s="58"/>
      <x:c r="AT788" s="47"/>
      <x:c r="AU788" s="60"/>
      <x:c r="AV788" s="58"/>
      <x:c r="AW788" s="47"/>
      <x:c r="AX788" s="60"/>
      <x:c r="AY788" s="58"/>
      <x:c r="AZ788" s="47"/>
      <x:c r="BA788" s="60"/>
      <x:c r="BB788" s="58"/>
      <x:c r="BC788" s="47"/>
      <x:c r="BD788" s="60"/>
      <x:c r="BE788" s="58"/>
      <x:c r="BF788" s="47"/>
      <x:c r="BG788" s="60"/>
      <x:c r="BH788" s="58"/>
      <x:c r="BI788" s="47"/>
      <x:c r="BJ788" s="60"/>
      <x:c r="BK788" s="58"/>
      <x:c r="BL788" s="47"/>
      <x:c r="BM788" s="60"/>
      <x:c r="BN788" s="58"/>
      <x:c r="BO788" s="47"/>
      <x:c r="BP788" s="60"/>
      <x:c r="BQ788" s="58"/>
      <x:c r="BR788" s="47"/>
      <x:c r="BS788" s="60"/>
      <x:c r="BT788" s="58"/>
      <x:c r="BU788" s="47"/>
      <x:c r="BV788" s="60"/>
      <x:c r="BW788" s="58"/>
      <x:c r="BX788" s="47"/>
      <x:c r="BY788" s="60"/>
      <x:c r="BZ788" s="58"/>
      <x:c r="CA788" s="47"/>
      <x:c r="CB788" s="60"/>
      <x:c r="CC788" s="58"/>
      <x:c r="CD788" s="47"/>
      <x:c r="CE788" s="60"/>
      <x:c r="CF788" s="58"/>
      <x:c r="CG788" s="47"/>
      <x:c r="CH788" s="60"/>
      <x:c r="CI788" s="58"/>
      <x:c r="CJ788" s="47"/>
      <x:c r="CK788" s="60"/>
      <x:c r="CL788" s="58"/>
      <x:c r="CM788" s="47"/>
      <x:c r="CN788" s="60"/>
      <x:c r="CO788" s="58"/>
      <x:c r="CP788" s="47"/>
      <x:c r="CQ788" s="60"/>
      <x:c r="CR788" s="58"/>
      <x:c r="CS788" s="47"/>
      <x:c r="CT788" s="60"/>
      <x:c r="CU788" s="58"/>
      <x:c r="CV788" s="47"/>
      <x:c r="CW788" s="60"/>
      <x:c r="CX788" s="58"/>
      <x:c r="CY788" s="47"/>
      <x:c r="CZ788" s="60"/>
      <x:c r="DA788" s="58"/>
      <x:c r="DB788" s="47"/>
      <x:c r="DC788" s="60"/>
      <x:c r="DD788" s="58"/>
      <x:c r="DE788" s="47"/>
      <x:c r="DF788" s="60"/>
      <x:c r="DG788" s="58"/>
      <x:c r="DH788" s="47"/>
      <x:c r="DI788" s="60"/>
      <x:c r="DJ788" s="58"/>
      <x:c r="DK788" s="47"/>
      <x:c r="DL788" s="60"/>
      <x:c r="DM788" s="58"/>
      <x:c r="DN788" s="11"/>
      <x:c r="DO788" s="61"/>
      <x:c r="DP788" s="62"/>
      <x:c r="DQ788" s="11"/>
      <x:c r="DR788" s="61"/>
      <x:c r="DS788" s="62"/>
      <x:c r="DT788" s="11"/>
      <x:c r="DU788" s="61"/>
      <x:c r="DV788" s="62"/>
    </x:row>
    <x:row r="789" spans="1:126" x14ac:dyDescent="0.3">
      <x:c r="A789" s="47"/>
      <x:c r="B789" s="70"/>
      <x:c r="C789" s="70"/>
      <x:c r="D789" s="70"/>
      <x:c r="E789" s="70"/>
      <x:c r="F789" s="70"/>
      <x:c r="G789" s="70"/>
      <x:c r="H789" s="70"/>
      <x:c r="I789" s="70"/>
      <x:c r="J789" s="70"/>
      <x:c r="K789" s="190"/>
      <x:c r="L789" s="195"/>
      <x:c r="M789" s="192"/>
      <x:c r="N789" s="192"/>
      <x:c r="O789" s="69"/>
      <x:c r="P789" s="47"/>
      <x:c r="Q789" s="60"/>
      <x:c r="R789" s="58"/>
      <x:c r="S789" s="47"/>
      <x:c r="T789" s="60"/>
      <x:c r="U789" s="58"/>
      <x:c r="V789" s="47"/>
      <x:c r="W789" s="60"/>
      <x:c r="X789" s="58"/>
      <x:c r="Y789" s="47"/>
      <x:c r="Z789" s="60"/>
      <x:c r="AA789" s="58"/>
      <x:c r="AB789" s="47"/>
      <x:c r="AC789" s="60"/>
      <x:c r="AD789" s="58"/>
      <x:c r="AE789" s="47"/>
      <x:c r="AF789" s="60"/>
      <x:c r="AG789" s="58"/>
      <x:c r="AH789" s="47"/>
      <x:c r="AI789" s="60"/>
      <x:c r="AJ789" s="58"/>
      <x:c r="AK789" s="47"/>
      <x:c r="AL789" s="60"/>
      <x:c r="AM789" s="58"/>
      <x:c r="AN789" s="47"/>
      <x:c r="AO789" s="60"/>
      <x:c r="AP789" s="58"/>
      <x:c r="AQ789" s="47"/>
      <x:c r="AR789" s="60"/>
      <x:c r="AS789" s="58"/>
      <x:c r="AT789" s="47"/>
      <x:c r="AU789" s="60"/>
      <x:c r="AV789" s="58"/>
      <x:c r="AW789" s="47"/>
      <x:c r="AX789" s="60"/>
      <x:c r="AY789" s="58"/>
      <x:c r="AZ789" s="47"/>
      <x:c r="BA789" s="60"/>
      <x:c r="BB789" s="58"/>
      <x:c r="BC789" s="47"/>
      <x:c r="BD789" s="60"/>
      <x:c r="BE789" s="58"/>
      <x:c r="BF789" s="47"/>
      <x:c r="BG789" s="60"/>
      <x:c r="BH789" s="58"/>
      <x:c r="BI789" s="47"/>
      <x:c r="BJ789" s="60"/>
      <x:c r="BK789" s="58"/>
      <x:c r="BL789" s="47"/>
      <x:c r="BM789" s="60"/>
      <x:c r="BN789" s="58"/>
      <x:c r="BO789" s="47"/>
      <x:c r="BP789" s="60"/>
      <x:c r="BQ789" s="58"/>
      <x:c r="BR789" s="47"/>
      <x:c r="BS789" s="60"/>
      <x:c r="BT789" s="58"/>
      <x:c r="BU789" s="47"/>
      <x:c r="BV789" s="60"/>
      <x:c r="BW789" s="58"/>
      <x:c r="BX789" s="47"/>
      <x:c r="BY789" s="60"/>
      <x:c r="BZ789" s="58"/>
      <x:c r="CA789" s="47"/>
      <x:c r="CB789" s="60"/>
      <x:c r="CC789" s="58"/>
      <x:c r="CD789" s="47"/>
      <x:c r="CE789" s="60"/>
      <x:c r="CF789" s="58"/>
      <x:c r="CG789" s="47"/>
      <x:c r="CH789" s="60"/>
      <x:c r="CI789" s="58"/>
      <x:c r="CJ789" s="47"/>
      <x:c r="CK789" s="60"/>
      <x:c r="CL789" s="58"/>
      <x:c r="CM789" s="47"/>
      <x:c r="CN789" s="60"/>
      <x:c r="CO789" s="58"/>
      <x:c r="CP789" s="47"/>
      <x:c r="CQ789" s="60"/>
      <x:c r="CR789" s="58"/>
      <x:c r="CS789" s="47"/>
      <x:c r="CT789" s="60"/>
      <x:c r="CU789" s="58"/>
      <x:c r="CV789" s="47"/>
      <x:c r="CW789" s="60"/>
      <x:c r="CX789" s="58"/>
      <x:c r="CY789" s="47"/>
      <x:c r="CZ789" s="60"/>
      <x:c r="DA789" s="58"/>
      <x:c r="DB789" s="47"/>
      <x:c r="DC789" s="60"/>
      <x:c r="DD789" s="58"/>
      <x:c r="DE789" s="47"/>
      <x:c r="DF789" s="60"/>
      <x:c r="DG789" s="58"/>
      <x:c r="DH789" s="47"/>
      <x:c r="DI789" s="60"/>
      <x:c r="DJ789" s="58"/>
      <x:c r="DK789" s="47"/>
      <x:c r="DL789" s="60"/>
      <x:c r="DM789" s="58"/>
      <x:c r="DN789" s="11"/>
      <x:c r="DO789" s="61"/>
      <x:c r="DP789" s="62"/>
      <x:c r="DQ789" s="11"/>
      <x:c r="DR789" s="61"/>
      <x:c r="DS789" s="62"/>
      <x:c r="DT789" s="11"/>
      <x:c r="DU789" s="61"/>
      <x:c r="DV789" s="62"/>
    </x:row>
    <x:row r="790" spans="1:126" x14ac:dyDescent="0.3">
      <x:c r="A790" s="47"/>
      <x:c r="B790" s="70"/>
      <x:c r="C790" s="70"/>
      <x:c r="D790" s="70"/>
      <x:c r="E790" s="70"/>
      <x:c r="F790" s="70"/>
      <x:c r="G790" s="70"/>
      <x:c r="H790" s="70"/>
      <x:c r="I790" s="70"/>
      <x:c r="J790" s="70"/>
      <x:c r="K790" s="190"/>
      <x:c r="L790" s="195"/>
      <x:c r="M790" s="192"/>
      <x:c r="N790" s="192"/>
      <x:c r="O790" s="69"/>
      <x:c r="P790" s="47"/>
      <x:c r="Q790" s="60"/>
      <x:c r="R790" s="58"/>
      <x:c r="S790" s="47"/>
      <x:c r="T790" s="60"/>
      <x:c r="U790" s="58"/>
      <x:c r="V790" s="47"/>
      <x:c r="W790" s="60"/>
      <x:c r="X790" s="58"/>
      <x:c r="Y790" s="47"/>
      <x:c r="Z790" s="60"/>
      <x:c r="AA790" s="58"/>
      <x:c r="AB790" s="47"/>
      <x:c r="AC790" s="60"/>
      <x:c r="AD790" s="58"/>
      <x:c r="AE790" s="47"/>
      <x:c r="AF790" s="60"/>
      <x:c r="AG790" s="58"/>
      <x:c r="AH790" s="47"/>
      <x:c r="AI790" s="60"/>
      <x:c r="AJ790" s="58"/>
      <x:c r="AK790" s="47"/>
      <x:c r="AL790" s="60"/>
      <x:c r="AM790" s="58"/>
      <x:c r="AN790" s="47"/>
      <x:c r="AO790" s="60"/>
      <x:c r="AP790" s="58"/>
      <x:c r="AQ790" s="47"/>
      <x:c r="AR790" s="60"/>
      <x:c r="AS790" s="58"/>
      <x:c r="AT790" s="47"/>
      <x:c r="AU790" s="60"/>
      <x:c r="AV790" s="58"/>
      <x:c r="AW790" s="47"/>
      <x:c r="AX790" s="60"/>
      <x:c r="AY790" s="58"/>
      <x:c r="AZ790" s="47"/>
      <x:c r="BA790" s="60"/>
      <x:c r="BB790" s="58"/>
      <x:c r="BC790" s="47"/>
      <x:c r="BD790" s="60"/>
      <x:c r="BE790" s="58"/>
      <x:c r="BF790" s="47"/>
      <x:c r="BG790" s="60"/>
      <x:c r="BH790" s="58"/>
      <x:c r="BI790" s="47"/>
      <x:c r="BJ790" s="60"/>
      <x:c r="BK790" s="58"/>
      <x:c r="BL790" s="47"/>
      <x:c r="BM790" s="60"/>
      <x:c r="BN790" s="58"/>
      <x:c r="BO790" s="47"/>
      <x:c r="BP790" s="60"/>
      <x:c r="BQ790" s="58"/>
      <x:c r="BR790" s="47"/>
      <x:c r="BS790" s="60"/>
      <x:c r="BT790" s="58"/>
      <x:c r="BU790" s="47"/>
      <x:c r="BV790" s="60"/>
      <x:c r="BW790" s="58"/>
      <x:c r="BX790" s="47"/>
      <x:c r="BY790" s="60"/>
      <x:c r="BZ790" s="58"/>
      <x:c r="CA790" s="47"/>
      <x:c r="CB790" s="60"/>
      <x:c r="CC790" s="58"/>
      <x:c r="CD790" s="47"/>
      <x:c r="CE790" s="60"/>
      <x:c r="CF790" s="58"/>
      <x:c r="CG790" s="47"/>
      <x:c r="CH790" s="60"/>
      <x:c r="CI790" s="58"/>
      <x:c r="CJ790" s="47"/>
      <x:c r="CK790" s="60"/>
      <x:c r="CL790" s="58"/>
      <x:c r="CM790" s="47"/>
      <x:c r="CN790" s="60"/>
      <x:c r="CO790" s="58"/>
      <x:c r="CP790" s="47"/>
      <x:c r="CQ790" s="60"/>
      <x:c r="CR790" s="58"/>
      <x:c r="CS790" s="47"/>
      <x:c r="CT790" s="60"/>
      <x:c r="CU790" s="58"/>
      <x:c r="CV790" s="47"/>
      <x:c r="CW790" s="60"/>
      <x:c r="CX790" s="58"/>
      <x:c r="CY790" s="47"/>
      <x:c r="CZ790" s="60"/>
      <x:c r="DA790" s="58"/>
      <x:c r="DB790" s="47"/>
      <x:c r="DC790" s="60"/>
      <x:c r="DD790" s="58"/>
      <x:c r="DE790" s="47"/>
      <x:c r="DF790" s="60"/>
      <x:c r="DG790" s="58"/>
      <x:c r="DH790" s="47"/>
      <x:c r="DI790" s="60"/>
      <x:c r="DJ790" s="58"/>
      <x:c r="DK790" s="47"/>
      <x:c r="DL790" s="60"/>
      <x:c r="DM790" s="58"/>
      <x:c r="DN790" s="11"/>
      <x:c r="DO790" s="61"/>
      <x:c r="DP790" s="62"/>
      <x:c r="DQ790" s="11"/>
      <x:c r="DR790" s="61"/>
      <x:c r="DS790" s="62"/>
      <x:c r="DT790" s="11"/>
      <x:c r="DU790" s="61"/>
      <x:c r="DV790" s="62"/>
    </x:row>
    <x:row r="791" spans="1:126" x14ac:dyDescent="0.3">
      <x:c r="A791" s="47"/>
      <x:c r="B791" s="70"/>
      <x:c r="C791" s="70"/>
      <x:c r="D791" s="70"/>
      <x:c r="E791" s="70"/>
      <x:c r="F791" s="70"/>
      <x:c r="G791" s="70"/>
      <x:c r="H791" s="70"/>
      <x:c r="I791" s="70"/>
      <x:c r="J791" s="70"/>
      <x:c r="K791" s="190"/>
      <x:c r="L791" s="195"/>
      <x:c r="M791" s="192"/>
      <x:c r="N791" s="192"/>
      <x:c r="O791" s="69"/>
      <x:c r="P791" s="47"/>
      <x:c r="Q791" s="60"/>
      <x:c r="R791" s="58"/>
      <x:c r="S791" s="47"/>
      <x:c r="T791" s="60"/>
      <x:c r="U791" s="58"/>
      <x:c r="V791" s="47"/>
      <x:c r="W791" s="60"/>
      <x:c r="X791" s="58"/>
      <x:c r="Y791" s="47"/>
      <x:c r="Z791" s="60"/>
      <x:c r="AA791" s="58"/>
      <x:c r="AB791" s="47"/>
      <x:c r="AC791" s="60"/>
      <x:c r="AD791" s="58"/>
      <x:c r="AE791" s="47"/>
      <x:c r="AF791" s="60"/>
      <x:c r="AG791" s="58"/>
      <x:c r="AH791" s="47"/>
      <x:c r="AI791" s="60"/>
      <x:c r="AJ791" s="58"/>
      <x:c r="AK791" s="47"/>
      <x:c r="AL791" s="60"/>
      <x:c r="AM791" s="58"/>
      <x:c r="AN791" s="47"/>
      <x:c r="AO791" s="60"/>
      <x:c r="AP791" s="58"/>
      <x:c r="AQ791" s="47"/>
      <x:c r="AR791" s="60"/>
      <x:c r="AS791" s="58"/>
      <x:c r="AT791" s="47"/>
      <x:c r="AU791" s="60"/>
      <x:c r="AV791" s="58"/>
      <x:c r="AW791" s="47"/>
      <x:c r="AX791" s="60"/>
      <x:c r="AY791" s="58"/>
      <x:c r="AZ791" s="47"/>
      <x:c r="BA791" s="60"/>
      <x:c r="BB791" s="58"/>
      <x:c r="BC791" s="47"/>
      <x:c r="BD791" s="60"/>
      <x:c r="BE791" s="58"/>
      <x:c r="BF791" s="47"/>
      <x:c r="BG791" s="60"/>
      <x:c r="BH791" s="58"/>
      <x:c r="BI791" s="47"/>
      <x:c r="BJ791" s="60"/>
      <x:c r="BK791" s="58"/>
      <x:c r="BL791" s="47"/>
      <x:c r="BM791" s="60"/>
      <x:c r="BN791" s="58"/>
      <x:c r="BO791" s="47"/>
      <x:c r="BP791" s="60"/>
      <x:c r="BQ791" s="58"/>
      <x:c r="BR791" s="47"/>
      <x:c r="BS791" s="60"/>
      <x:c r="BT791" s="58"/>
      <x:c r="BU791" s="47"/>
      <x:c r="BV791" s="60"/>
      <x:c r="BW791" s="58"/>
      <x:c r="BX791" s="47"/>
      <x:c r="BY791" s="60"/>
      <x:c r="BZ791" s="58"/>
      <x:c r="CA791" s="47"/>
      <x:c r="CB791" s="60"/>
      <x:c r="CC791" s="58"/>
      <x:c r="CD791" s="47"/>
      <x:c r="CE791" s="60"/>
      <x:c r="CF791" s="58"/>
      <x:c r="CG791" s="47"/>
      <x:c r="CH791" s="60"/>
      <x:c r="CI791" s="58"/>
      <x:c r="CJ791" s="47"/>
      <x:c r="CK791" s="60"/>
      <x:c r="CL791" s="58"/>
      <x:c r="CM791" s="47"/>
      <x:c r="CN791" s="60"/>
      <x:c r="CO791" s="58"/>
      <x:c r="CP791" s="47"/>
      <x:c r="CQ791" s="60"/>
      <x:c r="CR791" s="58"/>
      <x:c r="CS791" s="47"/>
      <x:c r="CT791" s="60"/>
      <x:c r="CU791" s="58"/>
      <x:c r="CV791" s="47"/>
      <x:c r="CW791" s="60"/>
      <x:c r="CX791" s="58"/>
      <x:c r="CY791" s="47"/>
      <x:c r="CZ791" s="60"/>
      <x:c r="DA791" s="58"/>
      <x:c r="DB791" s="47"/>
      <x:c r="DC791" s="60"/>
      <x:c r="DD791" s="58"/>
      <x:c r="DE791" s="47"/>
      <x:c r="DF791" s="60"/>
      <x:c r="DG791" s="58"/>
      <x:c r="DH791" s="47"/>
      <x:c r="DI791" s="60"/>
      <x:c r="DJ791" s="58"/>
      <x:c r="DK791" s="47"/>
      <x:c r="DL791" s="60"/>
      <x:c r="DM791" s="58"/>
      <x:c r="DN791" s="11"/>
      <x:c r="DO791" s="61"/>
      <x:c r="DP791" s="62"/>
      <x:c r="DQ791" s="11"/>
      <x:c r="DR791" s="61"/>
      <x:c r="DS791" s="62"/>
      <x:c r="DT791" s="11"/>
      <x:c r="DU791" s="61"/>
      <x:c r="DV791" s="62"/>
    </x:row>
    <x:row r="792" spans="1:126" x14ac:dyDescent="0.3">
      <x:c r="A792" s="47"/>
      <x:c r="B792" s="70"/>
      <x:c r="C792" s="70"/>
      <x:c r="D792" s="70"/>
      <x:c r="E792" s="70"/>
      <x:c r="F792" s="70"/>
      <x:c r="G792" s="70"/>
      <x:c r="H792" s="70"/>
      <x:c r="I792" s="70"/>
      <x:c r="J792" s="70"/>
      <x:c r="K792" s="190"/>
      <x:c r="L792" s="195"/>
      <x:c r="M792" s="192"/>
      <x:c r="N792" s="192"/>
      <x:c r="O792" s="69"/>
      <x:c r="P792" s="47"/>
      <x:c r="Q792" s="60"/>
      <x:c r="R792" s="58"/>
      <x:c r="S792" s="47"/>
      <x:c r="T792" s="60"/>
      <x:c r="U792" s="58"/>
      <x:c r="V792" s="47"/>
      <x:c r="W792" s="60"/>
      <x:c r="X792" s="58"/>
      <x:c r="Y792" s="47"/>
      <x:c r="Z792" s="60"/>
      <x:c r="AA792" s="58"/>
      <x:c r="AB792" s="47"/>
      <x:c r="AC792" s="60"/>
      <x:c r="AD792" s="58"/>
      <x:c r="AE792" s="47"/>
      <x:c r="AF792" s="60"/>
      <x:c r="AG792" s="58"/>
      <x:c r="AH792" s="47"/>
      <x:c r="AI792" s="60"/>
      <x:c r="AJ792" s="58"/>
      <x:c r="AK792" s="47"/>
      <x:c r="AL792" s="60"/>
      <x:c r="AM792" s="58"/>
      <x:c r="AN792" s="47"/>
      <x:c r="AO792" s="60"/>
      <x:c r="AP792" s="58"/>
      <x:c r="AQ792" s="47"/>
      <x:c r="AR792" s="60"/>
      <x:c r="AS792" s="58"/>
      <x:c r="AT792" s="47"/>
      <x:c r="AU792" s="60"/>
      <x:c r="AV792" s="58"/>
      <x:c r="AW792" s="47"/>
      <x:c r="AX792" s="60"/>
      <x:c r="AY792" s="58"/>
      <x:c r="AZ792" s="47"/>
      <x:c r="BA792" s="60"/>
      <x:c r="BB792" s="58"/>
      <x:c r="BC792" s="47"/>
      <x:c r="BD792" s="60"/>
      <x:c r="BE792" s="58"/>
      <x:c r="BF792" s="47"/>
      <x:c r="BG792" s="60"/>
      <x:c r="BH792" s="58"/>
      <x:c r="BI792" s="47"/>
      <x:c r="BJ792" s="60"/>
      <x:c r="BK792" s="58"/>
      <x:c r="BL792" s="47"/>
      <x:c r="BM792" s="60"/>
      <x:c r="BN792" s="58"/>
      <x:c r="BO792" s="47"/>
      <x:c r="BP792" s="60"/>
      <x:c r="BQ792" s="58"/>
      <x:c r="BR792" s="47"/>
      <x:c r="BS792" s="60"/>
      <x:c r="BT792" s="58"/>
      <x:c r="BU792" s="47"/>
      <x:c r="BV792" s="60"/>
      <x:c r="BW792" s="58"/>
      <x:c r="BX792" s="47"/>
      <x:c r="BY792" s="60"/>
      <x:c r="BZ792" s="58"/>
      <x:c r="CA792" s="47"/>
      <x:c r="CB792" s="60"/>
      <x:c r="CC792" s="58"/>
      <x:c r="CD792" s="47"/>
      <x:c r="CE792" s="60"/>
      <x:c r="CF792" s="58"/>
      <x:c r="CG792" s="47"/>
      <x:c r="CH792" s="60"/>
      <x:c r="CI792" s="58"/>
      <x:c r="CJ792" s="47"/>
      <x:c r="CK792" s="60"/>
      <x:c r="CL792" s="58"/>
      <x:c r="CM792" s="47"/>
      <x:c r="CN792" s="60"/>
      <x:c r="CO792" s="58"/>
      <x:c r="CP792" s="47"/>
      <x:c r="CQ792" s="60"/>
      <x:c r="CR792" s="58"/>
      <x:c r="CS792" s="47"/>
      <x:c r="CT792" s="60"/>
      <x:c r="CU792" s="58"/>
      <x:c r="CV792" s="47"/>
      <x:c r="CW792" s="60"/>
      <x:c r="CX792" s="58"/>
      <x:c r="CY792" s="47"/>
      <x:c r="CZ792" s="60"/>
      <x:c r="DA792" s="58"/>
      <x:c r="DB792" s="47"/>
      <x:c r="DC792" s="60"/>
      <x:c r="DD792" s="58"/>
      <x:c r="DE792" s="47"/>
      <x:c r="DF792" s="60"/>
      <x:c r="DG792" s="58"/>
      <x:c r="DH792" s="47"/>
      <x:c r="DI792" s="60"/>
      <x:c r="DJ792" s="58"/>
      <x:c r="DK792" s="47"/>
      <x:c r="DL792" s="60"/>
      <x:c r="DM792" s="58"/>
      <x:c r="DN792" s="11"/>
      <x:c r="DO792" s="61"/>
      <x:c r="DP792" s="62"/>
      <x:c r="DQ792" s="11"/>
      <x:c r="DR792" s="61"/>
      <x:c r="DS792" s="62"/>
      <x:c r="DT792" s="11"/>
      <x:c r="DU792" s="61"/>
      <x:c r="DV792" s="62"/>
    </x:row>
    <x:row r="793" spans="1:126" x14ac:dyDescent="0.3">
      <x:c r="A793" s="47"/>
      <x:c r="B793" s="70"/>
      <x:c r="C793" s="70"/>
      <x:c r="D793" s="70"/>
      <x:c r="E793" s="70"/>
      <x:c r="F793" s="70"/>
      <x:c r="G793" s="70"/>
      <x:c r="H793" s="70"/>
      <x:c r="I793" s="70"/>
      <x:c r="J793" s="70"/>
      <x:c r="K793" s="190"/>
      <x:c r="L793" s="195"/>
      <x:c r="M793" s="192"/>
      <x:c r="N793" s="192"/>
      <x:c r="O793" s="69"/>
      <x:c r="P793" s="47"/>
      <x:c r="Q793" s="60"/>
      <x:c r="R793" s="58"/>
      <x:c r="S793" s="47"/>
      <x:c r="T793" s="60"/>
      <x:c r="U793" s="58"/>
      <x:c r="V793" s="47"/>
      <x:c r="W793" s="60"/>
      <x:c r="X793" s="58"/>
      <x:c r="Y793" s="47"/>
      <x:c r="Z793" s="60"/>
      <x:c r="AA793" s="58"/>
      <x:c r="AB793" s="47"/>
      <x:c r="AC793" s="60"/>
      <x:c r="AD793" s="58"/>
      <x:c r="AE793" s="47"/>
      <x:c r="AF793" s="60"/>
      <x:c r="AG793" s="58"/>
      <x:c r="AH793" s="47"/>
      <x:c r="AI793" s="60"/>
      <x:c r="AJ793" s="58"/>
      <x:c r="AK793" s="47"/>
      <x:c r="AL793" s="60"/>
      <x:c r="AM793" s="58"/>
      <x:c r="AN793" s="47"/>
      <x:c r="AO793" s="60"/>
      <x:c r="AP793" s="58"/>
      <x:c r="AQ793" s="47"/>
      <x:c r="AR793" s="60"/>
      <x:c r="AS793" s="58"/>
      <x:c r="AT793" s="47"/>
      <x:c r="AU793" s="60"/>
      <x:c r="AV793" s="58"/>
      <x:c r="AW793" s="47"/>
      <x:c r="AX793" s="60"/>
      <x:c r="AY793" s="58"/>
      <x:c r="AZ793" s="47"/>
      <x:c r="BA793" s="60"/>
      <x:c r="BB793" s="58"/>
      <x:c r="BC793" s="47"/>
      <x:c r="BD793" s="60"/>
      <x:c r="BE793" s="58"/>
      <x:c r="BF793" s="47"/>
      <x:c r="BG793" s="60"/>
      <x:c r="BH793" s="58"/>
      <x:c r="BI793" s="47"/>
      <x:c r="BJ793" s="60"/>
      <x:c r="BK793" s="58"/>
      <x:c r="BL793" s="47"/>
      <x:c r="BM793" s="60"/>
      <x:c r="BN793" s="58"/>
      <x:c r="BO793" s="47"/>
      <x:c r="BP793" s="60"/>
      <x:c r="BQ793" s="58"/>
      <x:c r="BR793" s="47"/>
      <x:c r="BS793" s="60"/>
      <x:c r="BT793" s="58"/>
      <x:c r="BU793" s="47"/>
      <x:c r="BV793" s="60"/>
      <x:c r="BW793" s="58"/>
      <x:c r="BX793" s="47"/>
      <x:c r="BY793" s="60"/>
      <x:c r="BZ793" s="58"/>
      <x:c r="CA793" s="47"/>
      <x:c r="CB793" s="60"/>
      <x:c r="CC793" s="58"/>
      <x:c r="CD793" s="47"/>
      <x:c r="CE793" s="60"/>
      <x:c r="CF793" s="58"/>
      <x:c r="CG793" s="47"/>
      <x:c r="CH793" s="60"/>
      <x:c r="CI793" s="58"/>
      <x:c r="CJ793" s="47"/>
      <x:c r="CK793" s="60"/>
      <x:c r="CL793" s="58"/>
      <x:c r="CM793" s="47"/>
      <x:c r="CN793" s="60"/>
      <x:c r="CO793" s="58"/>
      <x:c r="CP793" s="47"/>
      <x:c r="CQ793" s="60"/>
      <x:c r="CR793" s="58"/>
      <x:c r="CS793" s="47"/>
      <x:c r="CT793" s="60"/>
      <x:c r="CU793" s="58"/>
      <x:c r="CV793" s="47"/>
      <x:c r="CW793" s="60"/>
      <x:c r="CX793" s="58"/>
      <x:c r="CY793" s="47"/>
      <x:c r="CZ793" s="60"/>
      <x:c r="DA793" s="58"/>
      <x:c r="DB793" s="47"/>
      <x:c r="DC793" s="60"/>
      <x:c r="DD793" s="58"/>
      <x:c r="DE793" s="47"/>
      <x:c r="DF793" s="60"/>
      <x:c r="DG793" s="58"/>
      <x:c r="DH793" s="47"/>
      <x:c r="DI793" s="60"/>
      <x:c r="DJ793" s="58"/>
      <x:c r="DK793" s="47"/>
      <x:c r="DL793" s="60"/>
      <x:c r="DM793" s="58"/>
      <x:c r="DN793" s="11"/>
      <x:c r="DO793" s="61"/>
      <x:c r="DP793" s="62"/>
      <x:c r="DQ793" s="11"/>
      <x:c r="DR793" s="61"/>
      <x:c r="DS793" s="62"/>
      <x:c r="DT793" s="11"/>
      <x:c r="DU793" s="61"/>
      <x:c r="DV793" s="62"/>
    </x:row>
    <x:row r="794" spans="1:126" x14ac:dyDescent="0.3">
      <x:c r="A794" s="47"/>
      <x:c r="B794" s="70"/>
      <x:c r="C794" s="70"/>
      <x:c r="D794" s="70"/>
      <x:c r="E794" s="70"/>
      <x:c r="F794" s="70"/>
      <x:c r="G794" s="70"/>
      <x:c r="H794" s="70"/>
      <x:c r="I794" s="70"/>
      <x:c r="J794" s="70"/>
      <x:c r="K794" s="190"/>
      <x:c r="L794" s="195"/>
      <x:c r="M794" s="192"/>
      <x:c r="N794" s="192"/>
      <x:c r="O794" s="69"/>
      <x:c r="P794" s="47"/>
      <x:c r="Q794" s="60"/>
      <x:c r="R794" s="58"/>
      <x:c r="S794" s="47"/>
      <x:c r="T794" s="60"/>
      <x:c r="U794" s="58"/>
      <x:c r="V794" s="47"/>
      <x:c r="W794" s="60"/>
      <x:c r="X794" s="58"/>
      <x:c r="Y794" s="47"/>
      <x:c r="Z794" s="60"/>
      <x:c r="AA794" s="58"/>
      <x:c r="AB794" s="47"/>
      <x:c r="AC794" s="60"/>
      <x:c r="AD794" s="58"/>
      <x:c r="AE794" s="47"/>
      <x:c r="AF794" s="60"/>
      <x:c r="AG794" s="58"/>
      <x:c r="AH794" s="47"/>
      <x:c r="AI794" s="60"/>
      <x:c r="AJ794" s="58"/>
      <x:c r="AK794" s="47"/>
      <x:c r="AL794" s="60"/>
      <x:c r="AM794" s="58"/>
      <x:c r="AN794" s="47"/>
      <x:c r="AO794" s="60"/>
      <x:c r="AP794" s="58"/>
      <x:c r="AQ794" s="47"/>
      <x:c r="AR794" s="60"/>
      <x:c r="AS794" s="58"/>
      <x:c r="AT794" s="47"/>
      <x:c r="AU794" s="60"/>
      <x:c r="AV794" s="58"/>
      <x:c r="AW794" s="47"/>
      <x:c r="AX794" s="60"/>
      <x:c r="AY794" s="58"/>
      <x:c r="AZ794" s="47"/>
      <x:c r="BA794" s="60"/>
      <x:c r="BB794" s="58"/>
      <x:c r="BC794" s="47"/>
      <x:c r="BD794" s="60"/>
      <x:c r="BE794" s="58"/>
      <x:c r="BF794" s="47"/>
      <x:c r="BG794" s="60"/>
      <x:c r="BH794" s="58"/>
      <x:c r="BI794" s="47"/>
      <x:c r="BJ794" s="60"/>
      <x:c r="BK794" s="58"/>
      <x:c r="BL794" s="47"/>
      <x:c r="BM794" s="60"/>
      <x:c r="BN794" s="58"/>
      <x:c r="BO794" s="47"/>
      <x:c r="BP794" s="60"/>
      <x:c r="BQ794" s="58"/>
      <x:c r="BR794" s="47"/>
      <x:c r="BS794" s="60"/>
      <x:c r="BT794" s="58"/>
      <x:c r="BU794" s="47"/>
      <x:c r="BV794" s="60"/>
      <x:c r="BW794" s="58"/>
      <x:c r="BX794" s="47"/>
      <x:c r="BY794" s="60"/>
      <x:c r="BZ794" s="58"/>
      <x:c r="CA794" s="47"/>
      <x:c r="CB794" s="60"/>
      <x:c r="CC794" s="58"/>
      <x:c r="CD794" s="47"/>
      <x:c r="CE794" s="60"/>
      <x:c r="CF794" s="58"/>
      <x:c r="CG794" s="47"/>
      <x:c r="CH794" s="60"/>
      <x:c r="CI794" s="58"/>
      <x:c r="CJ794" s="47"/>
      <x:c r="CK794" s="60"/>
      <x:c r="CL794" s="58"/>
      <x:c r="CM794" s="47"/>
      <x:c r="CN794" s="60"/>
      <x:c r="CO794" s="58"/>
      <x:c r="CP794" s="47"/>
      <x:c r="CQ794" s="60"/>
      <x:c r="CR794" s="58"/>
      <x:c r="CS794" s="47"/>
      <x:c r="CT794" s="60"/>
      <x:c r="CU794" s="58"/>
      <x:c r="CV794" s="47"/>
      <x:c r="CW794" s="60"/>
      <x:c r="CX794" s="58"/>
      <x:c r="CY794" s="47"/>
      <x:c r="CZ794" s="60"/>
      <x:c r="DA794" s="58"/>
      <x:c r="DB794" s="47"/>
      <x:c r="DC794" s="60"/>
      <x:c r="DD794" s="58"/>
      <x:c r="DE794" s="47"/>
      <x:c r="DF794" s="60"/>
      <x:c r="DG794" s="58"/>
      <x:c r="DH794" s="47"/>
      <x:c r="DI794" s="60"/>
      <x:c r="DJ794" s="58"/>
      <x:c r="DK794" s="47"/>
      <x:c r="DL794" s="60"/>
      <x:c r="DM794" s="58"/>
      <x:c r="DN794" s="11"/>
      <x:c r="DO794" s="61"/>
      <x:c r="DP794" s="62"/>
      <x:c r="DQ794" s="11"/>
      <x:c r="DR794" s="61"/>
      <x:c r="DS794" s="62"/>
      <x:c r="DT794" s="11"/>
      <x:c r="DU794" s="61"/>
      <x:c r="DV794" s="62"/>
    </x:row>
    <x:row r="795" spans="1:126" x14ac:dyDescent="0.3">
      <x:c r="A795" s="47"/>
      <x:c r="B795" s="70"/>
      <x:c r="C795" s="70"/>
      <x:c r="D795" s="70"/>
      <x:c r="E795" s="70"/>
      <x:c r="F795" s="70"/>
      <x:c r="G795" s="70"/>
      <x:c r="H795" s="70"/>
      <x:c r="I795" s="70"/>
      <x:c r="J795" s="70"/>
      <x:c r="K795" s="190"/>
      <x:c r="L795" s="195"/>
      <x:c r="M795" s="192"/>
      <x:c r="N795" s="192"/>
      <x:c r="O795" s="69"/>
      <x:c r="P795" s="47"/>
      <x:c r="Q795" s="60"/>
      <x:c r="R795" s="58"/>
      <x:c r="S795" s="47"/>
      <x:c r="T795" s="60"/>
      <x:c r="U795" s="58"/>
      <x:c r="V795" s="47"/>
      <x:c r="W795" s="60"/>
      <x:c r="X795" s="58"/>
      <x:c r="Y795" s="47"/>
      <x:c r="Z795" s="60"/>
      <x:c r="AA795" s="58"/>
      <x:c r="AB795" s="47"/>
      <x:c r="AC795" s="60"/>
      <x:c r="AD795" s="58"/>
      <x:c r="AE795" s="47"/>
      <x:c r="AF795" s="60"/>
      <x:c r="AG795" s="58"/>
      <x:c r="AH795" s="47"/>
      <x:c r="AI795" s="60"/>
      <x:c r="AJ795" s="58"/>
      <x:c r="AK795" s="47"/>
      <x:c r="AL795" s="60"/>
      <x:c r="AM795" s="58"/>
      <x:c r="AN795" s="47"/>
      <x:c r="AO795" s="60"/>
      <x:c r="AP795" s="58"/>
      <x:c r="AQ795" s="47"/>
      <x:c r="AR795" s="60"/>
      <x:c r="AS795" s="58"/>
      <x:c r="AT795" s="47"/>
      <x:c r="AU795" s="60"/>
      <x:c r="AV795" s="58"/>
      <x:c r="AW795" s="47"/>
      <x:c r="AX795" s="60"/>
      <x:c r="AY795" s="58"/>
      <x:c r="AZ795" s="47"/>
      <x:c r="BA795" s="60"/>
      <x:c r="BB795" s="58"/>
      <x:c r="BC795" s="47"/>
      <x:c r="BD795" s="60"/>
      <x:c r="BE795" s="58"/>
      <x:c r="BF795" s="47"/>
      <x:c r="BG795" s="60"/>
      <x:c r="BH795" s="58"/>
      <x:c r="BI795" s="47"/>
      <x:c r="BJ795" s="60"/>
      <x:c r="BK795" s="58"/>
      <x:c r="BL795" s="47"/>
      <x:c r="BM795" s="60"/>
      <x:c r="BN795" s="58"/>
      <x:c r="BO795" s="47"/>
      <x:c r="BP795" s="60"/>
      <x:c r="BQ795" s="58"/>
      <x:c r="BR795" s="47"/>
      <x:c r="BS795" s="60"/>
      <x:c r="BT795" s="58"/>
      <x:c r="BU795" s="47"/>
      <x:c r="BV795" s="60"/>
      <x:c r="BW795" s="58"/>
      <x:c r="BX795" s="47"/>
      <x:c r="BY795" s="60"/>
      <x:c r="BZ795" s="58"/>
      <x:c r="CA795" s="47"/>
      <x:c r="CB795" s="60"/>
      <x:c r="CC795" s="58"/>
      <x:c r="CD795" s="47"/>
      <x:c r="CE795" s="60"/>
      <x:c r="CF795" s="58"/>
      <x:c r="CG795" s="47"/>
      <x:c r="CH795" s="60"/>
      <x:c r="CI795" s="58"/>
      <x:c r="CJ795" s="47"/>
      <x:c r="CK795" s="60"/>
      <x:c r="CL795" s="58"/>
      <x:c r="CM795" s="47"/>
      <x:c r="CN795" s="60"/>
      <x:c r="CO795" s="58"/>
      <x:c r="CP795" s="47"/>
      <x:c r="CQ795" s="60"/>
      <x:c r="CR795" s="58"/>
      <x:c r="CS795" s="47"/>
      <x:c r="CT795" s="60"/>
      <x:c r="CU795" s="58"/>
      <x:c r="CV795" s="47"/>
      <x:c r="CW795" s="60"/>
      <x:c r="CX795" s="58"/>
      <x:c r="CY795" s="47"/>
      <x:c r="CZ795" s="60"/>
      <x:c r="DA795" s="58"/>
      <x:c r="DB795" s="47"/>
      <x:c r="DC795" s="60"/>
      <x:c r="DD795" s="58"/>
      <x:c r="DE795" s="47"/>
      <x:c r="DF795" s="60"/>
      <x:c r="DG795" s="58"/>
      <x:c r="DH795" s="47"/>
      <x:c r="DI795" s="60"/>
      <x:c r="DJ795" s="58"/>
      <x:c r="DK795" s="47"/>
      <x:c r="DL795" s="60"/>
      <x:c r="DM795" s="58"/>
      <x:c r="DN795" s="11"/>
      <x:c r="DO795" s="61"/>
      <x:c r="DP795" s="62"/>
      <x:c r="DQ795" s="11"/>
      <x:c r="DR795" s="61"/>
      <x:c r="DS795" s="62"/>
      <x:c r="DT795" s="11"/>
      <x:c r="DU795" s="61"/>
      <x:c r="DV795" s="62"/>
    </x:row>
    <x:row r="796" spans="1:126" x14ac:dyDescent="0.3">
      <x:c r="A796" s="47"/>
      <x:c r="B796" s="70"/>
      <x:c r="C796" s="70"/>
      <x:c r="D796" s="70"/>
      <x:c r="E796" s="70"/>
      <x:c r="F796" s="70"/>
      <x:c r="G796" s="70"/>
      <x:c r="H796" s="70"/>
      <x:c r="I796" s="70"/>
      <x:c r="J796" s="70"/>
      <x:c r="K796" s="190"/>
      <x:c r="L796" s="195"/>
      <x:c r="M796" s="192"/>
      <x:c r="N796" s="192"/>
      <x:c r="O796" s="69"/>
      <x:c r="P796" s="47"/>
      <x:c r="Q796" s="60"/>
      <x:c r="R796" s="58"/>
      <x:c r="S796" s="47"/>
      <x:c r="T796" s="60"/>
      <x:c r="U796" s="58"/>
      <x:c r="V796" s="47"/>
      <x:c r="W796" s="60"/>
      <x:c r="X796" s="58"/>
      <x:c r="Y796" s="47"/>
      <x:c r="Z796" s="60"/>
      <x:c r="AA796" s="58"/>
      <x:c r="AB796" s="47"/>
      <x:c r="AC796" s="60"/>
      <x:c r="AD796" s="58"/>
      <x:c r="AE796" s="47"/>
      <x:c r="AF796" s="60"/>
      <x:c r="AG796" s="58"/>
      <x:c r="AH796" s="47"/>
      <x:c r="AI796" s="60"/>
      <x:c r="AJ796" s="58"/>
      <x:c r="AK796" s="47"/>
      <x:c r="AL796" s="60"/>
      <x:c r="AM796" s="58"/>
      <x:c r="AN796" s="47"/>
      <x:c r="AO796" s="60"/>
      <x:c r="AP796" s="58"/>
      <x:c r="AQ796" s="47"/>
      <x:c r="AR796" s="60"/>
      <x:c r="AS796" s="58"/>
      <x:c r="AT796" s="47"/>
      <x:c r="AU796" s="60"/>
      <x:c r="AV796" s="58"/>
      <x:c r="AW796" s="47"/>
      <x:c r="AX796" s="60"/>
      <x:c r="AY796" s="58"/>
      <x:c r="AZ796" s="47"/>
      <x:c r="BA796" s="60"/>
      <x:c r="BB796" s="58"/>
      <x:c r="BC796" s="47"/>
      <x:c r="BD796" s="60"/>
      <x:c r="BE796" s="58"/>
      <x:c r="BF796" s="47"/>
      <x:c r="BG796" s="60"/>
      <x:c r="BH796" s="58"/>
      <x:c r="BI796" s="47"/>
      <x:c r="BJ796" s="60"/>
      <x:c r="BK796" s="58"/>
      <x:c r="BL796" s="47"/>
      <x:c r="BM796" s="60"/>
      <x:c r="BN796" s="58"/>
      <x:c r="BO796" s="47"/>
      <x:c r="BP796" s="60"/>
      <x:c r="BQ796" s="58"/>
      <x:c r="BR796" s="47"/>
      <x:c r="BS796" s="60"/>
      <x:c r="BT796" s="58"/>
      <x:c r="BU796" s="47"/>
      <x:c r="BV796" s="60"/>
      <x:c r="BW796" s="58"/>
      <x:c r="BX796" s="47"/>
      <x:c r="BY796" s="60"/>
      <x:c r="BZ796" s="58"/>
      <x:c r="CA796" s="47"/>
      <x:c r="CB796" s="60"/>
      <x:c r="CC796" s="58"/>
      <x:c r="CD796" s="47"/>
      <x:c r="CE796" s="60"/>
      <x:c r="CF796" s="58"/>
      <x:c r="CG796" s="47"/>
      <x:c r="CH796" s="60"/>
      <x:c r="CI796" s="58"/>
      <x:c r="CJ796" s="47"/>
      <x:c r="CK796" s="60"/>
      <x:c r="CL796" s="58"/>
      <x:c r="CM796" s="47"/>
      <x:c r="CN796" s="60"/>
      <x:c r="CO796" s="58"/>
      <x:c r="CP796" s="47"/>
      <x:c r="CQ796" s="60"/>
      <x:c r="CR796" s="58"/>
      <x:c r="CS796" s="47"/>
      <x:c r="CT796" s="60"/>
      <x:c r="CU796" s="58"/>
      <x:c r="CV796" s="47"/>
      <x:c r="CW796" s="60"/>
      <x:c r="CX796" s="58"/>
      <x:c r="CY796" s="47"/>
      <x:c r="CZ796" s="60"/>
      <x:c r="DA796" s="58"/>
      <x:c r="DB796" s="47"/>
      <x:c r="DC796" s="60"/>
      <x:c r="DD796" s="58"/>
      <x:c r="DE796" s="47"/>
      <x:c r="DF796" s="60"/>
      <x:c r="DG796" s="58"/>
      <x:c r="DH796" s="47"/>
      <x:c r="DI796" s="60"/>
      <x:c r="DJ796" s="58"/>
      <x:c r="DK796" s="47"/>
      <x:c r="DL796" s="60"/>
      <x:c r="DM796" s="58"/>
      <x:c r="DN796" s="11"/>
      <x:c r="DO796" s="61"/>
      <x:c r="DP796" s="62"/>
      <x:c r="DQ796" s="11"/>
      <x:c r="DR796" s="61"/>
      <x:c r="DS796" s="62"/>
      <x:c r="DT796" s="11"/>
      <x:c r="DU796" s="61"/>
      <x:c r="DV796" s="62"/>
    </x:row>
    <x:row r="797" spans="1:126" x14ac:dyDescent="0.3">
      <x:c r="A797" s="47"/>
      <x:c r="B797" s="70"/>
      <x:c r="C797" s="70"/>
      <x:c r="D797" s="70"/>
      <x:c r="E797" s="70"/>
      <x:c r="F797" s="70"/>
      <x:c r="G797" s="70"/>
      <x:c r="H797" s="70"/>
      <x:c r="I797" s="70"/>
      <x:c r="J797" s="70"/>
      <x:c r="K797" s="190"/>
      <x:c r="L797" s="195"/>
      <x:c r="M797" s="192"/>
      <x:c r="N797" s="192"/>
      <x:c r="O797" s="69"/>
      <x:c r="P797" s="47"/>
      <x:c r="Q797" s="60"/>
      <x:c r="R797" s="58"/>
      <x:c r="S797" s="47"/>
      <x:c r="T797" s="60"/>
      <x:c r="U797" s="58"/>
      <x:c r="V797" s="47"/>
      <x:c r="W797" s="60"/>
      <x:c r="X797" s="58"/>
      <x:c r="Y797" s="47"/>
      <x:c r="Z797" s="60"/>
      <x:c r="AA797" s="58"/>
      <x:c r="AB797" s="47"/>
      <x:c r="AC797" s="60"/>
      <x:c r="AD797" s="58"/>
      <x:c r="AE797" s="47"/>
      <x:c r="AF797" s="60"/>
      <x:c r="AG797" s="58"/>
      <x:c r="AH797" s="47"/>
      <x:c r="AI797" s="60"/>
      <x:c r="AJ797" s="58"/>
      <x:c r="AK797" s="47"/>
      <x:c r="AL797" s="60"/>
      <x:c r="AM797" s="58"/>
      <x:c r="AN797" s="47"/>
      <x:c r="AO797" s="60"/>
      <x:c r="AP797" s="58"/>
      <x:c r="AQ797" s="47"/>
      <x:c r="AR797" s="60"/>
      <x:c r="AS797" s="58"/>
      <x:c r="AT797" s="47"/>
      <x:c r="AU797" s="60"/>
      <x:c r="AV797" s="58"/>
      <x:c r="AW797" s="47"/>
      <x:c r="AX797" s="60"/>
      <x:c r="AY797" s="58"/>
      <x:c r="AZ797" s="47"/>
      <x:c r="BA797" s="60"/>
      <x:c r="BB797" s="58"/>
      <x:c r="BC797" s="47"/>
      <x:c r="BD797" s="60"/>
      <x:c r="BE797" s="58"/>
      <x:c r="BF797" s="47"/>
      <x:c r="BG797" s="60"/>
      <x:c r="BH797" s="58"/>
      <x:c r="BI797" s="47"/>
      <x:c r="BJ797" s="60"/>
      <x:c r="BK797" s="58"/>
      <x:c r="BL797" s="47"/>
      <x:c r="BM797" s="60"/>
      <x:c r="BN797" s="58"/>
      <x:c r="BO797" s="47"/>
      <x:c r="BP797" s="60"/>
      <x:c r="BQ797" s="58"/>
      <x:c r="BR797" s="47"/>
      <x:c r="BS797" s="60"/>
      <x:c r="BT797" s="58"/>
      <x:c r="BU797" s="47"/>
      <x:c r="BV797" s="60"/>
      <x:c r="BW797" s="58"/>
      <x:c r="BX797" s="47"/>
      <x:c r="BY797" s="60"/>
      <x:c r="BZ797" s="58"/>
      <x:c r="CA797" s="47"/>
      <x:c r="CB797" s="60"/>
      <x:c r="CC797" s="58"/>
      <x:c r="CD797" s="47"/>
      <x:c r="CE797" s="60"/>
      <x:c r="CF797" s="58"/>
      <x:c r="CG797" s="47"/>
      <x:c r="CH797" s="60"/>
      <x:c r="CI797" s="58"/>
      <x:c r="CJ797" s="47"/>
      <x:c r="CK797" s="60"/>
      <x:c r="CL797" s="58"/>
      <x:c r="CM797" s="47"/>
      <x:c r="CN797" s="60"/>
      <x:c r="CO797" s="58"/>
      <x:c r="CP797" s="47"/>
      <x:c r="CQ797" s="60"/>
      <x:c r="CR797" s="58"/>
      <x:c r="CS797" s="47"/>
      <x:c r="CT797" s="60"/>
      <x:c r="CU797" s="58"/>
      <x:c r="CV797" s="47"/>
      <x:c r="CW797" s="60"/>
      <x:c r="CX797" s="58"/>
      <x:c r="CY797" s="47"/>
      <x:c r="CZ797" s="60"/>
      <x:c r="DA797" s="58"/>
      <x:c r="DB797" s="47"/>
      <x:c r="DC797" s="60"/>
      <x:c r="DD797" s="58"/>
      <x:c r="DE797" s="47"/>
      <x:c r="DF797" s="60"/>
      <x:c r="DG797" s="58"/>
      <x:c r="DH797" s="47"/>
      <x:c r="DI797" s="60"/>
      <x:c r="DJ797" s="58"/>
      <x:c r="DK797" s="47"/>
      <x:c r="DL797" s="60"/>
      <x:c r="DM797" s="58"/>
      <x:c r="DN797" s="11"/>
      <x:c r="DO797" s="61"/>
      <x:c r="DP797" s="62"/>
      <x:c r="DQ797" s="11"/>
      <x:c r="DR797" s="61"/>
      <x:c r="DS797" s="62"/>
      <x:c r="DT797" s="11"/>
      <x:c r="DU797" s="61"/>
      <x:c r="DV797" s="62"/>
    </x:row>
    <x:row r="798" spans="1:126" x14ac:dyDescent="0.3">
      <x:c r="A798" s="47"/>
      <x:c r="B798" s="70"/>
      <x:c r="C798" s="70"/>
      <x:c r="D798" s="70"/>
      <x:c r="E798" s="70"/>
      <x:c r="F798" s="70"/>
      <x:c r="G798" s="70"/>
      <x:c r="H798" s="70"/>
      <x:c r="I798" s="70"/>
      <x:c r="J798" s="70"/>
      <x:c r="K798" s="190"/>
      <x:c r="L798" s="195"/>
      <x:c r="M798" s="192"/>
      <x:c r="N798" s="192"/>
      <x:c r="O798" s="69"/>
      <x:c r="P798" s="47"/>
      <x:c r="Q798" s="60"/>
      <x:c r="R798" s="58"/>
      <x:c r="S798" s="47"/>
      <x:c r="T798" s="60"/>
      <x:c r="U798" s="58"/>
      <x:c r="V798" s="47"/>
      <x:c r="W798" s="60"/>
      <x:c r="X798" s="58"/>
      <x:c r="Y798" s="47"/>
      <x:c r="Z798" s="60"/>
      <x:c r="AA798" s="58"/>
      <x:c r="AB798" s="47"/>
      <x:c r="AC798" s="60"/>
      <x:c r="AD798" s="58"/>
      <x:c r="AE798" s="47"/>
      <x:c r="AF798" s="60"/>
      <x:c r="AG798" s="58"/>
      <x:c r="AH798" s="47"/>
      <x:c r="AI798" s="60"/>
      <x:c r="AJ798" s="58"/>
      <x:c r="AK798" s="47"/>
      <x:c r="AL798" s="60"/>
      <x:c r="AM798" s="58"/>
      <x:c r="AN798" s="47"/>
      <x:c r="AO798" s="60"/>
      <x:c r="AP798" s="58"/>
      <x:c r="AQ798" s="47"/>
      <x:c r="AR798" s="60"/>
      <x:c r="AS798" s="58"/>
      <x:c r="AT798" s="47"/>
      <x:c r="AU798" s="60"/>
      <x:c r="AV798" s="58"/>
      <x:c r="AW798" s="47"/>
      <x:c r="AX798" s="60"/>
      <x:c r="AY798" s="58"/>
      <x:c r="AZ798" s="47"/>
      <x:c r="BA798" s="60"/>
      <x:c r="BB798" s="58"/>
      <x:c r="BC798" s="47"/>
      <x:c r="BD798" s="60"/>
      <x:c r="BE798" s="58"/>
      <x:c r="BF798" s="47"/>
      <x:c r="BG798" s="60"/>
      <x:c r="BH798" s="58"/>
      <x:c r="BI798" s="47"/>
      <x:c r="BJ798" s="60"/>
      <x:c r="BK798" s="58"/>
      <x:c r="BL798" s="47"/>
      <x:c r="BM798" s="60"/>
      <x:c r="BN798" s="58"/>
      <x:c r="BO798" s="47"/>
      <x:c r="BP798" s="60"/>
      <x:c r="BQ798" s="58"/>
      <x:c r="BR798" s="47"/>
      <x:c r="BS798" s="60"/>
      <x:c r="BT798" s="58"/>
      <x:c r="BU798" s="47"/>
      <x:c r="BV798" s="60"/>
      <x:c r="BW798" s="58"/>
      <x:c r="BX798" s="47"/>
      <x:c r="BY798" s="60"/>
      <x:c r="BZ798" s="58"/>
      <x:c r="CA798" s="47"/>
      <x:c r="CB798" s="60"/>
      <x:c r="CC798" s="58"/>
      <x:c r="CD798" s="47"/>
      <x:c r="CE798" s="60"/>
      <x:c r="CF798" s="58"/>
      <x:c r="CG798" s="47"/>
      <x:c r="CH798" s="60"/>
      <x:c r="CI798" s="58"/>
      <x:c r="CJ798" s="47"/>
      <x:c r="CK798" s="60"/>
      <x:c r="CL798" s="58"/>
      <x:c r="CM798" s="47"/>
      <x:c r="CN798" s="60"/>
      <x:c r="CO798" s="58"/>
      <x:c r="CP798" s="47"/>
      <x:c r="CQ798" s="60"/>
      <x:c r="CR798" s="58"/>
      <x:c r="CS798" s="47"/>
      <x:c r="CT798" s="60"/>
      <x:c r="CU798" s="58"/>
      <x:c r="CV798" s="47"/>
      <x:c r="CW798" s="60"/>
      <x:c r="CX798" s="58"/>
      <x:c r="CY798" s="47"/>
      <x:c r="CZ798" s="60"/>
      <x:c r="DA798" s="58"/>
      <x:c r="DB798" s="47"/>
      <x:c r="DC798" s="60"/>
      <x:c r="DD798" s="58"/>
      <x:c r="DE798" s="47"/>
      <x:c r="DF798" s="60"/>
      <x:c r="DG798" s="58"/>
      <x:c r="DH798" s="47"/>
      <x:c r="DI798" s="60"/>
      <x:c r="DJ798" s="58"/>
      <x:c r="DK798" s="47"/>
      <x:c r="DL798" s="60"/>
      <x:c r="DM798" s="58"/>
      <x:c r="DN798" s="11"/>
      <x:c r="DO798" s="61"/>
      <x:c r="DP798" s="62"/>
      <x:c r="DQ798" s="11"/>
      <x:c r="DR798" s="61"/>
      <x:c r="DS798" s="62"/>
      <x:c r="DT798" s="11"/>
      <x:c r="DU798" s="61"/>
      <x:c r="DV798" s="62"/>
    </x:row>
    <x:row r="799" spans="1:126" x14ac:dyDescent="0.3">
      <x:c r="A799" s="47"/>
      <x:c r="B799" s="70"/>
      <x:c r="C799" s="70"/>
      <x:c r="D799" s="70"/>
      <x:c r="E799" s="70"/>
      <x:c r="F799" s="70"/>
      <x:c r="G799" s="70"/>
      <x:c r="H799" s="70"/>
      <x:c r="I799" s="70"/>
      <x:c r="J799" s="70"/>
      <x:c r="K799" s="190"/>
      <x:c r="L799" s="195"/>
      <x:c r="M799" s="192"/>
      <x:c r="N799" s="192"/>
      <x:c r="O799" s="69"/>
      <x:c r="P799" s="47"/>
      <x:c r="Q799" s="60"/>
      <x:c r="R799" s="58"/>
      <x:c r="S799" s="47"/>
      <x:c r="T799" s="60"/>
      <x:c r="U799" s="58"/>
      <x:c r="V799" s="47"/>
      <x:c r="W799" s="60"/>
      <x:c r="X799" s="58"/>
      <x:c r="Y799" s="47"/>
      <x:c r="Z799" s="60"/>
      <x:c r="AA799" s="58"/>
      <x:c r="AB799" s="47"/>
      <x:c r="AC799" s="60"/>
      <x:c r="AD799" s="58"/>
      <x:c r="AE799" s="47"/>
      <x:c r="AF799" s="60"/>
      <x:c r="AG799" s="58"/>
      <x:c r="AH799" s="47"/>
      <x:c r="AI799" s="60"/>
      <x:c r="AJ799" s="58"/>
      <x:c r="AK799" s="47"/>
      <x:c r="AL799" s="60"/>
      <x:c r="AM799" s="58"/>
      <x:c r="AN799" s="47"/>
      <x:c r="AO799" s="60"/>
      <x:c r="AP799" s="58"/>
      <x:c r="AQ799" s="47"/>
      <x:c r="AR799" s="60"/>
      <x:c r="AS799" s="58"/>
      <x:c r="AT799" s="47"/>
      <x:c r="AU799" s="60"/>
      <x:c r="AV799" s="58"/>
      <x:c r="AW799" s="47"/>
      <x:c r="AX799" s="60"/>
      <x:c r="AY799" s="58"/>
      <x:c r="AZ799" s="47"/>
      <x:c r="BA799" s="60"/>
      <x:c r="BB799" s="58"/>
      <x:c r="BC799" s="47"/>
      <x:c r="BD799" s="60"/>
      <x:c r="BE799" s="58"/>
      <x:c r="BF799" s="47"/>
      <x:c r="BG799" s="60"/>
      <x:c r="BH799" s="58"/>
      <x:c r="BI799" s="47"/>
      <x:c r="BJ799" s="60"/>
      <x:c r="BK799" s="58"/>
      <x:c r="BL799" s="47"/>
      <x:c r="BM799" s="60"/>
      <x:c r="BN799" s="58"/>
      <x:c r="BO799" s="47"/>
      <x:c r="BP799" s="60"/>
      <x:c r="BQ799" s="58"/>
      <x:c r="BR799" s="47"/>
      <x:c r="BS799" s="60"/>
      <x:c r="BT799" s="58"/>
      <x:c r="BU799" s="47"/>
      <x:c r="BV799" s="60"/>
      <x:c r="BW799" s="58"/>
      <x:c r="BX799" s="47"/>
      <x:c r="BY799" s="60"/>
      <x:c r="BZ799" s="58"/>
      <x:c r="CA799" s="47"/>
      <x:c r="CB799" s="60"/>
      <x:c r="CC799" s="58"/>
      <x:c r="CD799" s="47"/>
      <x:c r="CE799" s="60"/>
      <x:c r="CF799" s="58"/>
      <x:c r="CG799" s="47"/>
      <x:c r="CH799" s="60"/>
      <x:c r="CI799" s="58"/>
      <x:c r="CJ799" s="47"/>
      <x:c r="CK799" s="60"/>
      <x:c r="CL799" s="58"/>
      <x:c r="CM799" s="47"/>
      <x:c r="CN799" s="60"/>
      <x:c r="CO799" s="58"/>
      <x:c r="CP799" s="47"/>
      <x:c r="CQ799" s="60"/>
      <x:c r="CR799" s="58"/>
      <x:c r="CS799" s="47"/>
      <x:c r="CT799" s="60"/>
      <x:c r="CU799" s="58"/>
      <x:c r="CV799" s="47"/>
      <x:c r="CW799" s="60"/>
      <x:c r="CX799" s="58"/>
      <x:c r="CY799" s="47"/>
      <x:c r="CZ799" s="60"/>
      <x:c r="DA799" s="58"/>
      <x:c r="DB799" s="47"/>
      <x:c r="DC799" s="60"/>
      <x:c r="DD799" s="58"/>
      <x:c r="DE799" s="47"/>
      <x:c r="DF799" s="60"/>
      <x:c r="DG799" s="58"/>
      <x:c r="DH799" s="47"/>
      <x:c r="DI799" s="60"/>
      <x:c r="DJ799" s="58"/>
      <x:c r="DK799" s="47"/>
      <x:c r="DL799" s="60"/>
      <x:c r="DM799" s="58"/>
      <x:c r="DN799" s="11"/>
      <x:c r="DO799" s="61"/>
      <x:c r="DP799" s="62"/>
      <x:c r="DQ799" s="11"/>
      <x:c r="DR799" s="61"/>
      <x:c r="DS799" s="62"/>
      <x:c r="DT799" s="11"/>
      <x:c r="DU799" s="61"/>
      <x:c r="DV799" s="62"/>
    </x:row>
    <x:row r="800" spans="1:126" x14ac:dyDescent="0.3">
      <x:c r="A800" s="47"/>
      <x:c r="B800" s="70"/>
      <x:c r="C800" s="70"/>
      <x:c r="D800" s="70"/>
      <x:c r="E800" s="70"/>
      <x:c r="F800" s="70"/>
      <x:c r="G800" s="70"/>
      <x:c r="H800" s="70"/>
      <x:c r="I800" s="70"/>
      <x:c r="J800" s="70"/>
      <x:c r="K800" s="190"/>
      <x:c r="L800" s="195"/>
      <x:c r="M800" s="192"/>
      <x:c r="N800" s="192"/>
      <x:c r="O800" s="69"/>
      <x:c r="P800" s="47"/>
      <x:c r="Q800" s="60"/>
      <x:c r="R800" s="58"/>
      <x:c r="S800" s="47"/>
      <x:c r="T800" s="60"/>
      <x:c r="U800" s="58"/>
      <x:c r="V800" s="47"/>
      <x:c r="W800" s="60"/>
      <x:c r="X800" s="58"/>
      <x:c r="Y800" s="47"/>
      <x:c r="Z800" s="60"/>
      <x:c r="AA800" s="58"/>
      <x:c r="AB800" s="47"/>
      <x:c r="AC800" s="60"/>
      <x:c r="AD800" s="58"/>
      <x:c r="AE800" s="47"/>
      <x:c r="AF800" s="60"/>
      <x:c r="AG800" s="58"/>
      <x:c r="AH800" s="47"/>
      <x:c r="AI800" s="60"/>
      <x:c r="AJ800" s="58"/>
      <x:c r="AK800" s="47"/>
      <x:c r="AL800" s="60"/>
      <x:c r="AM800" s="58"/>
      <x:c r="AN800" s="47"/>
      <x:c r="AO800" s="60"/>
      <x:c r="AP800" s="58"/>
      <x:c r="AQ800" s="47"/>
      <x:c r="AR800" s="60"/>
      <x:c r="AS800" s="58"/>
      <x:c r="AT800" s="47"/>
      <x:c r="AU800" s="60"/>
      <x:c r="AV800" s="58"/>
      <x:c r="AW800" s="47"/>
      <x:c r="AX800" s="60"/>
      <x:c r="AY800" s="58"/>
      <x:c r="AZ800" s="47"/>
      <x:c r="BA800" s="60"/>
      <x:c r="BB800" s="58"/>
      <x:c r="BC800" s="47"/>
      <x:c r="BD800" s="60"/>
      <x:c r="BE800" s="58"/>
      <x:c r="BF800" s="47"/>
      <x:c r="BG800" s="60"/>
      <x:c r="BH800" s="58"/>
      <x:c r="BI800" s="47"/>
      <x:c r="BJ800" s="60"/>
      <x:c r="BK800" s="58"/>
      <x:c r="BL800" s="47"/>
      <x:c r="BM800" s="60"/>
      <x:c r="BN800" s="58"/>
      <x:c r="BO800" s="47"/>
      <x:c r="BP800" s="60"/>
      <x:c r="BQ800" s="58"/>
      <x:c r="BR800" s="47"/>
      <x:c r="BS800" s="60"/>
      <x:c r="BT800" s="58"/>
      <x:c r="BU800" s="47"/>
      <x:c r="BV800" s="60"/>
      <x:c r="BW800" s="58"/>
      <x:c r="BX800" s="47"/>
      <x:c r="BY800" s="60"/>
      <x:c r="BZ800" s="58"/>
      <x:c r="CA800" s="47"/>
      <x:c r="CB800" s="60"/>
      <x:c r="CC800" s="58"/>
      <x:c r="CD800" s="47"/>
      <x:c r="CE800" s="60"/>
      <x:c r="CF800" s="58"/>
      <x:c r="CG800" s="47"/>
      <x:c r="CH800" s="60"/>
      <x:c r="CI800" s="58"/>
      <x:c r="CJ800" s="47"/>
      <x:c r="CK800" s="60"/>
      <x:c r="CL800" s="58"/>
      <x:c r="CM800" s="47"/>
      <x:c r="CN800" s="60"/>
      <x:c r="CO800" s="58"/>
      <x:c r="CP800" s="47"/>
      <x:c r="CQ800" s="60"/>
      <x:c r="CR800" s="58"/>
      <x:c r="CS800" s="47"/>
      <x:c r="CT800" s="60"/>
      <x:c r="CU800" s="58"/>
      <x:c r="CV800" s="47"/>
      <x:c r="CW800" s="60"/>
      <x:c r="CX800" s="58"/>
      <x:c r="CY800" s="47"/>
      <x:c r="CZ800" s="60"/>
      <x:c r="DA800" s="58"/>
      <x:c r="DB800" s="47"/>
      <x:c r="DC800" s="60"/>
      <x:c r="DD800" s="58"/>
      <x:c r="DE800" s="47"/>
      <x:c r="DF800" s="60"/>
      <x:c r="DG800" s="58"/>
      <x:c r="DH800" s="47"/>
      <x:c r="DI800" s="60"/>
      <x:c r="DJ800" s="58"/>
      <x:c r="DK800" s="47"/>
      <x:c r="DL800" s="60"/>
      <x:c r="DM800" s="58"/>
      <x:c r="DN800" s="11"/>
      <x:c r="DO800" s="61"/>
      <x:c r="DP800" s="62"/>
      <x:c r="DQ800" s="11"/>
      <x:c r="DR800" s="61"/>
      <x:c r="DS800" s="62"/>
      <x:c r="DT800" s="11"/>
      <x:c r="DU800" s="61"/>
      <x:c r="DV800" s="62"/>
    </x:row>
    <x:row r="801" spans="1:126" x14ac:dyDescent="0.3">
      <x:c r="A801" s="47"/>
      <x:c r="B801" s="70"/>
      <x:c r="C801" s="70"/>
      <x:c r="D801" s="70"/>
      <x:c r="E801" s="70"/>
      <x:c r="F801" s="70"/>
      <x:c r="G801" s="70"/>
      <x:c r="H801" s="70"/>
      <x:c r="I801" s="70"/>
      <x:c r="J801" s="70"/>
      <x:c r="K801" s="190"/>
      <x:c r="L801" s="195"/>
      <x:c r="M801" s="192"/>
      <x:c r="N801" s="192"/>
      <x:c r="O801" s="69"/>
      <x:c r="P801" s="47"/>
      <x:c r="Q801" s="60"/>
      <x:c r="R801" s="58"/>
      <x:c r="S801" s="47"/>
      <x:c r="T801" s="60"/>
      <x:c r="U801" s="58"/>
      <x:c r="V801" s="47"/>
      <x:c r="W801" s="60"/>
      <x:c r="X801" s="58"/>
      <x:c r="Y801" s="47"/>
      <x:c r="Z801" s="60"/>
      <x:c r="AA801" s="58"/>
      <x:c r="AB801" s="47"/>
      <x:c r="AC801" s="60"/>
      <x:c r="AD801" s="58"/>
      <x:c r="AE801" s="47"/>
      <x:c r="AF801" s="60"/>
      <x:c r="AG801" s="58"/>
      <x:c r="AH801" s="47"/>
      <x:c r="AI801" s="60"/>
      <x:c r="AJ801" s="58"/>
      <x:c r="AK801" s="47"/>
      <x:c r="AL801" s="60"/>
      <x:c r="AM801" s="58"/>
      <x:c r="AN801" s="47"/>
      <x:c r="AO801" s="60"/>
      <x:c r="AP801" s="58"/>
      <x:c r="AQ801" s="47"/>
      <x:c r="AR801" s="60"/>
      <x:c r="AS801" s="58"/>
      <x:c r="AT801" s="47"/>
      <x:c r="AU801" s="60"/>
      <x:c r="AV801" s="58"/>
      <x:c r="AW801" s="47"/>
      <x:c r="AX801" s="60"/>
      <x:c r="AY801" s="58"/>
      <x:c r="AZ801" s="47"/>
      <x:c r="BA801" s="60"/>
      <x:c r="BB801" s="58"/>
      <x:c r="BC801" s="47"/>
      <x:c r="BD801" s="60"/>
      <x:c r="BE801" s="58"/>
      <x:c r="BF801" s="47"/>
      <x:c r="BG801" s="60"/>
      <x:c r="BH801" s="58"/>
      <x:c r="BI801" s="47"/>
      <x:c r="BJ801" s="60"/>
      <x:c r="BK801" s="58"/>
      <x:c r="BL801" s="47"/>
      <x:c r="BM801" s="60"/>
      <x:c r="BN801" s="58"/>
      <x:c r="BO801" s="47"/>
      <x:c r="BP801" s="60"/>
      <x:c r="BQ801" s="58"/>
      <x:c r="BR801" s="47"/>
      <x:c r="BS801" s="60"/>
      <x:c r="BT801" s="58"/>
      <x:c r="BU801" s="47"/>
      <x:c r="BV801" s="60"/>
      <x:c r="BW801" s="58"/>
      <x:c r="BX801" s="47"/>
      <x:c r="BY801" s="60"/>
      <x:c r="BZ801" s="58"/>
      <x:c r="CA801" s="47"/>
      <x:c r="CB801" s="60"/>
      <x:c r="CC801" s="58"/>
      <x:c r="CD801" s="47"/>
      <x:c r="CE801" s="60"/>
      <x:c r="CF801" s="58"/>
      <x:c r="CG801" s="47"/>
      <x:c r="CH801" s="60"/>
      <x:c r="CI801" s="58"/>
      <x:c r="CJ801" s="47"/>
      <x:c r="CK801" s="60"/>
      <x:c r="CL801" s="58"/>
      <x:c r="CM801" s="47"/>
      <x:c r="CN801" s="60"/>
      <x:c r="CO801" s="58"/>
      <x:c r="CP801" s="47"/>
      <x:c r="CQ801" s="60"/>
      <x:c r="CR801" s="58"/>
      <x:c r="CS801" s="47"/>
      <x:c r="CT801" s="60"/>
      <x:c r="CU801" s="58"/>
      <x:c r="CV801" s="47"/>
      <x:c r="CW801" s="60"/>
      <x:c r="CX801" s="58"/>
      <x:c r="CY801" s="47"/>
      <x:c r="CZ801" s="60"/>
      <x:c r="DA801" s="58"/>
      <x:c r="DB801" s="47"/>
      <x:c r="DC801" s="60"/>
      <x:c r="DD801" s="58"/>
      <x:c r="DE801" s="47"/>
      <x:c r="DF801" s="60"/>
      <x:c r="DG801" s="58"/>
      <x:c r="DH801" s="47"/>
      <x:c r="DI801" s="60"/>
      <x:c r="DJ801" s="58"/>
      <x:c r="DK801" s="47"/>
      <x:c r="DL801" s="60"/>
      <x:c r="DM801" s="58"/>
      <x:c r="DN801" s="11"/>
      <x:c r="DO801" s="61"/>
      <x:c r="DP801" s="62"/>
      <x:c r="DQ801" s="11"/>
      <x:c r="DR801" s="61"/>
      <x:c r="DS801" s="62"/>
      <x:c r="DT801" s="11"/>
      <x:c r="DU801" s="61"/>
      <x:c r="DV801" s="62"/>
    </x:row>
    <x:row r="802" spans="1:126" x14ac:dyDescent="0.3">
      <x:c r="A802" s="47"/>
      <x:c r="B802" s="70"/>
      <x:c r="C802" s="70"/>
      <x:c r="D802" s="70"/>
      <x:c r="E802" s="70"/>
      <x:c r="F802" s="70"/>
      <x:c r="G802" s="70"/>
      <x:c r="H802" s="70"/>
      <x:c r="I802" s="70"/>
      <x:c r="J802" s="70"/>
      <x:c r="K802" s="190"/>
      <x:c r="L802" s="195"/>
      <x:c r="M802" s="192"/>
      <x:c r="N802" s="192"/>
      <x:c r="O802" s="69"/>
      <x:c r="P802" s="47"/>
      <x:c r="Q802" s="60"/>
      <x:c r="R802" s="58"/>
      <x:c r="S802" s="47"/>
      <x:c r="T802" s="60"/>
      <x:c r="U802" s="58"/>
      <x:c r="V802" s="47"/>
      <x:c r="W802" s="60"/>
      <x:c r="X802" s="58"/>
      <x:c r="Y802" s="47"/>
      <x:c r="Z802" s="60"/>
      <x:c r="AA802" s="58"/>
      <x:c r="AB802" s="47"/>
      <x:c r="AC802" s="60"/>
      <x:c r="AD802" s="58"/>
      <x:c r="AE802" s="47"/>
      <x:c r="AF802" s="60"/>
      <x:c r="AG802" s="58"/>
      <x:c r="AH802" s="47"/>
      <x:c r="AI802" s="60"/>
      <x:c r="AJ802" s="58"/>
      <x:c r="AK802" s="47"/>
      <x:c r="AL802" s="60"/>
      <x:c r="AM802" s="58"/>
      <x:c r="AN802" s="47"/>
      <x:c r="AO802" s="60"/>
      <x:c r="AP802" s="58"/>
      <x:c r="AQ802" s="47"/>
      <x:c r="AR802" s="60"/>
      <x:c r="AS802" s="58"/>
      <x:c r="AT802" s="47"/>
      <x:c r="AU802" s="60"/>
      <x:c r="AV802" s="58"/>
      <x:c r="AW802" s="47"/>
      <x:c r="AX802" s="60"/>
      <x:c r="AY802" s="58"/>
      <x:c r="AZ802" s="47"/>
      <x:c r="BA802" s="60"/>
      <x:c r="BB802" s="58"/>
      <x:c r="BC802" s="47"/>
      <x:c r="BD802" s="60"/>
      <x:c r="BE802" s="58"/>
      <x:c r="BF802" s="47"/>
      <x:c r="BG802" s="60"/>
      <x:c r="BH802" s="58"/>
      <x:c r="BI802" s="47"/>
      <x:c r="BJ802" s="60"/>
      <x:c r="BK802" s="58"/>
      <x:c r="BL802" s="47"/>
      <x:c r="BM802" s="60"/>
      <x:c r="BN802" s="58"/>
      <x:c r="BO802" s="47"/>
      <x:c r="BP802" s="60"/>
      <x:c r="BQ802" s="58"/>
      <x:c r="BR802" s="47"/>
      <x:c r="BS802" s="60"/>
      <x:c r="BT802" s="58"/>
      <x:c r="BU802" s="47"/>
      <x:c r="BV802" s="60"/>
      <x:c r="BW802" s="58"/>
      <x:c r="BX802" s="47"/>
      <x:c r="BY802" s="60"/>
      <x:c r="BZ802" s="58"/>
      <x:c r="CA802" s="47"/>
      <x:c r="CB802" s="60"/>
      <x:c r="CC802" s="58"/>
      <x:c r="CD802" s="47"/>
      <x:c r="CE802" s="60"/>
      <x:c r="CF802" s="58"/>
      <x:c r="CG802" s="47"/>
      <x:c r="CH802" s="60"/>
      <x:c r="CI802" s="58"/>
      <x:c r="CJ802" s="47"/>
      <x:c r="CK802" s="60"/>
      <x:c r="CL802" s="58"/>
      <x:c r="CM802" s="47"/>
      <x:c r="CN802" s="60"/>
      <x:c r="CO802" s="58"/>
      <x:c r="CP802" s="47"/>
      <x:c r="CQ802" s="60"/>
      <x:c r="CR802" s="58"/>
      <x:c r="CS802" s="47"/>
      <x:c r="CT802" s="60"/>
      <x:c r="CU802" s="58"/>
      <x:c r="CV802" s="47"/>
      <x:c r="CW802" s="60"/>
      <x:c r="CX802" s="58"/>
      <x:c r="CY802" s="47"/>
      <x:c r="CZ802" s="60"/>
      <x:c r="DA802" s="58"/>
      <x:c r="DB802" s="47"/>
      <x:c r="DC802" s="60"/>
      <x:c r="DD802" s="58"/>
      <x:c r="DE802" s="47"/>
      <x:c r="DF802" s="60"/>
      <x:c r="DG802" s="58"/>
      <x:c r="DH802" s="47"/>
      <x:c r="DI802" s="60"/>
      <x:c r="DJ802" s="58"/>
      <x:c r="DK802" s="47"/>
      <x:c r="DL802" s="60"/>
      <x:c r="DM802" s="58"/>
      <x:c r="DN802" s="11"/>
      <x:c r="DO802" s="61"/>
      <x:c r="DP802" s="62"/>
      <x:c r="DQ802" s="11"/>
      <x:c r="DR802" s="61"/>
      <x:c r="DS802" s="62"/>
      <x:c r="DT802" s="11"/>
      <x:c r="DU802" s="61"/>
      <x:c r="DV802" s="62"/>
    </x:row>
    <x:row r="803" spans="1:126" x14ac:dyDescent="0.3">
      <x:c r="A803" s="47"/>
      <x:c r="B803" s="70"/>
      <x:c r="C803" s="70"/>
      <x:c r="D803" s="70"/>
      <x:c r="E803" s="70"/>
      <x:c r="F803" s="70"/>
      <x:c r="G803" s="70"/>
      <x:c r="H803" s="70"/>
      <x:c r="I803" s="70"/>
      <x:c r="J803" s="70"/>
      <x:c r="K803" s="190"/>
      <x:c r="L803" s="195"/>
      <x:c r="M803" s="192"/>
      <x:c r="N803" s="192"/>
      <x:c r="O803" s="69"/>
      <x:c r="P803" s="47"/>
      <x:c r="Q803" s="60"/>
      <x:c r="R803" s="58"/>
      <x:c r="S803" s="47"/>
      <x:c r="T803" s="60"/>
      <x:c r="U803" s="58"/>
      <x:c r="V803" s="47"/>
      <x:c r="W803" s="60"/>
      <x:c r="X803" s="58"/>
      <x:c r="Y803" s="47"/>
      <x:c r="Z803" s="60"/>
      <x:c r="AA803" s="58"/>
      <x:c r="AB803" s="47"/>
      <x:c r="AC803" s="60"/>
      <x:c r="AD803" s="58"/>
      <x:c r="AE803" s="47"/>
      <x:c r="AF803" s="60"/>
      <x:c r="AG803" s="58"/>
      <x:c r="AH803" s="47"/>
      <x:c r="AI803" s="60"/>
      <x:c r="AJ803" s="58"/>
      <x:c r="AK803" s="47"/>
      <x:c r="AL803" s="60"/>
      <x:c r="AM803" s="58"/>
      <x:c r="AN803" s="47"/>
      <x:c r="AO803" s="60"/>
      <x:c r="AP803" s="58"/>
      <x:c r="AQ803" s="47"/>
      <x:c r="AR803" s="60"/>
      <x:c r="AS803" s="58"/>
      <x:c r="AT803" s="47"/>
      <x:c r="AU803" s="60"/>
      <x:c r="AV803" s="58"/>
      <x:c r="AW803" s="47"/>
      <x:c r="AX803" s="60"/>
      <x:c r="AY803" s="58"/>
      <x:c r="AZ803" s="47"/>
      <x:c r="BA803" s="60"/>
      <x:c r="BB803" s="58"/>
      <x:c r="BC803" s="47"/>
      <x:c r="BD803" s="60"/>
      <x:c r="BE803" s="58"/>
      <x:c r="BF803" s="47"/>
      <x:c r="BG803" s="60"/>
      <x:c r="BH803" s="58"/>
      <x:c r="BI803" s="47"/>
      <x:c r="BJ803" s="60"/>
      <x:c r="BK803" s="58"/>
      <x:c r="BL803" s="47"/>
      <x:c r="BM803" s="60"/>
      <x:c r="BN803" s="58"/>
      <x:c r="BO803" s="47"/>
      <x:c r="BP803" s="60"/>
      <x:c r="BQ803" s="58"/>
      <x:c r="BR803" s="47"/>
      <x:c r="BS803" s="60"/>
      <x:c r="BT803" s="58"/>
      <x:c r="BU803" s="47"/>
      <x:c r="BV803" s="60"/>
      <x:c r="BW803" s="58"/>
      <x:c r="BX803" s="47"/>
      <x:c r="BY803" s="60"/>
      <x:c r="BZ803" s="58"/>
      <x:c r="CA803" s="47"/>
      <x:c r="CB803" s="60"/>
      <x:c r="CC803" s="58"/>
      <x:c r="CD803" s="47"/>
      <x:c r="CE803" s="60"/>
      <x:c r="CF803" s="58"/>
      <x:c r="CG803" s="47"/>
      <x:c r="CH803" s="60"/>
      <x:c r="CI803" s="58"/>
      <x:c r="CJ803" s="47"/>
      <x:c r="CK803" s="60"/>
      <x:c r="CL803" s="58"/>
      <x:c r="CM803" s="47"/>
      <x:c r="CN803" s="60"/>
      <x:c r="CO803" s="58"/>
      <x:c r="CP803" s="47"/>
      <x:c r="CQ803" s="60"/>
      <x:c r="CR803" s="58"/>
      <x:c r="CS803" s="47"/>
      <x:c r="CT803" s="60"/>
      <x:c r="CU803" s="58"/>
      <x:c r="CV803" s="47"/>
      <x:c r="CW803" s="60"/>
      <x:c r="CX803" s="58"/>
      <x:c r="CY803" s="47"/>
      <x:c r="CZ803" s="60"/>
      <x:c r="DA803" s="58"/>
      <x:c r="DB803" s="47"/>
      <x:c r="DC803" s="60"/>
      <x:c r="DD803" s="58"/>
      <x:c r="DE803" s="47"/>
      <x:c r="DF803" s="60"/>
      <x:c r="DG803" s="58"/>
      <x:c r="DH803" s="47"/>
      <x:c r="DI803" s="60"/>
      <x:c r="DJ803" s="58"/>
      <x:c r="DK803" s="47"/>
      <x:c r="DL803" s="60"/>
      <x:c r="DM803" s="58"/>
      <x:c r="DN803" s="11"/>
      <x:c r="DO803" s="61"/>
      <x:c r="DP803" s="62"/>
      <x:c r="DQ803" s="11"/>
      <x:c r="DR803" s="61"/>
      <x:c r="DS803" s="62"/>
      <x:c r="DT803" s="11"/>
      <x:c r="DU803" s="61"/>
      <x:c r="DV803" s="62"/>
    </x:row>
    <x:row r="804" spans="1:126" x14ac:dyDescent="0.3">
      <x:c r="A804" s="47"/>
      <x:c r="B804" s="70"/>
      <x:c r="C804" s="70"/>
      <x:c r="D804" s="70"/>
      <x:c r="E804" s="70"/>
      <x:c r="F804" s="70"/>
      <x:c r="G804" s="70"/>
      <x:c r="H804" s="70"/>
      <x:c r="I804" s="70"/>
      <x:c r="J804" s="70"/>
      <x:c r="K804" s="190"/>
      <x:c r="L804" s="195"/>
      <x:c r="M804" s="192"/>
      <x:c r="N804" s="192"/>
      <x:c r="O804" s="69"/>
      <x:c r="P804" s="47"/>
      <x:c r="Q804" s="60"/>
      <x:c r="R804" s="58"/>
      <x:c r="S804" s="47"/>
      <x:c r="T804" s="60"/>
      <x:c r="U804" s="58"/>
      <x:c r="V804" s="47"/>
      <x:c r="W804" s="60"/>
      <x:c r="X804" s="58"/>
      <x:c r="Y804" s="47"/>
      <x:c r="Z804" s="60"/>
      <x:c r="AA804" s="58"/>
      <x:c r="AB804" s="47"/>
      <x:c r="AC804" s="60"/>
      <x:c r="AD804" s="58"/>
      <x:c r="AE804" s="47"/>
      <x:c r="AF804" s="60"/>
      <x:c r="AG804" s="58"/>
      <x:c r="AH804" s="47"/>
      <x:c r="AI804" s="60"/>
      <x:c r="AJ804" s="58"/>
      <x:c r="AK804" s="47"/>
      <x:c r="AL804" s="60"/>
      <x:c r="AM804" s="58"/>
      <x:c r="AN804" s="47"/>
      <x:c r="AO804" s="60"/>
      <x:c r="AP804" s="58"/>
      <x:c r="AQ804" s="47"/>
      <x:c r="AR804" s="60"/>
      <x:c r="AS804" s="58"/>
      <x:c r="AT804" s="47"/>
      <x:c r="AU804" s="60"/>
      <x:c r="AV804" s="58"/>
      <x:c r="AW804" s="47"/>
      <x:c r="AX804" s="60"/>
      <x:c r="AY804" s="58"/>
      <x:c r="AZ804" s="47"/>
      <x:c r="BA804" s="60"/>
      <x:c r="BB804" s="58"/>
      <x:c r="BC804" s="47"/>
      <x:c r="BD804" s="60"/>
      <x:c r="BE804" s="58"/>
      <x:c r="BF804" s="47"/>
      <x:c r="BG804" s="60"/>
      <x:c r="BH804" s="58"/>
      <x:c r="BI804" s="47"/>
      <x:c r="BJ804" s="60"/>
      <x:c r="BK804" s="58"/>
      <x:c r="BL804" s="47"/>
      <x:c r="BM804" s="60"/>
      <x:c r="BN804" s="58"/>
      <x:c r="BO804" s="47"/>
      <x:c r="BP804" s="60"/>
      <x:c r="BQ804" s="58"/>
      <x:c r="BR804" s="47"/>
      <x:c r="BS804" s="60"/>
      <x:c r="BT804" s="58"/>
      <x:c r="BU804" s="47"/>
      <x:c r="BV804" s="60"/>
      <x:c r="BW804" s="58"/>
      <x:c r="BX804" s="47"/>
      <x:c r="BY804" s="60"/>
      <x:c r="BZ804" s="58"/>
      <x:c r="CA804" s="47"/>
      <x:c r="CB804" s="60"/>
      <x:c r="CC804" s="58"/>
      <x:c r="CD804" s="47"/>
      <x:c r="CE804" s="60"/>
      <x:c r="CF804" s="58"/>
      <x:c r="CG804" s="47"/>
      <x:c r="CH804" s="60"/>
      <x:c r="CI804" s="58"/>
      <x:c r="CJ804" s="47"/>
      <x:c r="CK804" s="60"/>
      <x:c r="CL804" s="58"/>
      <x:c r="CM804" s="47"/>
      <x:c r="CN804" s="60"/>
      <x:c r="CO804" s="58"/>
      <x:c r="CP804" s="47"/>
      <x:c r="CQ804" s="60"/>
      <x:c r="CR804" s="58"/>
      <x:c r="CS804" s="47"/>
      <x:c r="CT804" s="60"/>
      <x:c r="CU804" s="58"/>
      <x:c r="CV804" s="47"/>
      <x:c r="CW804" s="60"/>
      <x:c r="CX804" s="58"/>
      <x:c r="CY804" s="47"/>
      <x:c r="CZ804" s="60"/>
      <x:c r="DA804" s="58"/>
      <x:c r="DB804" s="47"/>
      <x:c r="DC804" s="60"/>
      <x:c r="DD804" s="58"/>
      <x:c r="DE804" s="47"/>
      <x:c r="DF804" s="60"/>
      <x:c r="DG804" s="58"/>
      <x:c r="DH804" s="47"/>
      <x:c r="DI804" s="60"/>
      <x:c r="DJ804" s="58"/>
      <x:c r="DK804" s="47"/>
      <x:c r="DL804" s="60"/>
      <x:c r="DM804" s="58"/>
      <x:c r="DN804" s="11"/>
      <x:c r="DO804" s="61"/>
      <x:c r="DP804" s="62"/>
      <x:c r="DQ804" s="11"/>
      <x:c r="DR804" s="61"/>
      <x:c r="DS804" s="62"/>
      <x:c r="DT804" s="11"/>
      <x:c r="DU804" s="61"/>
      <x:c r="DV804" s="62"/>
    </x:row>
    <x:row r="805" spans="1:126" x14ac:dyDescent="0.3">
      <x:c r="A805" s="47"/>
      <x:c r="B805" s="70"/>
      <x:c r="C805" s="70"/>
      <x:c r="D805" s="70"/>
      <x:c r="E805" s="70"/>
      <x:c r="F805" s="70"/>
      <x:c r="G805" s="70"/>
      <x:c r="H805" s="70"/>
      <x:c r="I805" s="70"/>
      <x:c r="J805" s="70"/>
      <x:c r="K805" s="190"/>
      <x:c r="L805" s="195"/>
      <x:c r="M805" s="192"/>
      <x:c r="N805" s="192"/>
      <x:c r="O805" s="69"/>
      <x:c r="P805" s="47"/>
      <x:c r="Q805" s="60"/>
      <x:c r="R805" s="58"/>
      <x:c r="S805" s="47"/>
      <x:c r="T805" s="60"/>
      <x:c r="U805" s="58"/>
      <x:c r="V805" s="47"/>
      <x:c r="W805" s="60"/>
      <x:c r="X805" s="58"/>
      <x:c r="Y805" s="47"/>
      <x:c r="Z805" s="60"/>
      <x:c r="AA805" s="58"/>
      <x:c r="AB805" s="47"/>
      <x:c r="AC805" s="60"/>
      <x:c r="AD805" s="58"/>
      <x:c r="AE805" s="47"/>
      <x:c r="AF805" s="60"/>
      <x:c r="AG805" s="58"/>
      <x:c r="AH805" s="47"/>
      <x:c r="AI805" s="60"/>
      <x:c r="AJ805" s="58"/>
      <x:c r="AK805" s="47"/>
      <x:c r="AL805" s="60"/>
      <x:c r="AM805" s="58"/>
      <x:c r="AN805" s="47"/>
      <x:c r="AO805" s="60"/>
      <x:c r="AP805" s="58"/>
      <x:c r="AQ805" s="47"/>
      <x:c r="AR805" s="60"/>
      <x:c r="AS805" s="58"/>
      <x:c r="AT805" s="47"/>
      <x:c r="AU805" s="60"/>
      <x:c r="AV805" s="58"/>
      <x:c r="AW805" s="47"/>
      <x:c r="AX805" s="60"/>
      <x:c r="AY805" s="58"/>
      <x:c r="AZ805" s="47"/>
      <x:c r="BA805" s="60"/>
      <x:c r="BB805" s="58"/>
      <x:c r="BC805" s="47"/>
      <x:c r="BD805" s="60"/>
      <x:c r="BE805" s="58"/>
      <x:c r="BF805" s="47"/>
      <x:c r="BG805" s="60"/>
      <x:c r="BH805" s="58"/>
      <x:c r="BI805" s="47"/>
      <x:c r="BJ805" s="60"/>
      <x:c r="BK805" s="58"/>
      <x:c r="BL805" s="47"/>
      <x:c r="BM805" s="60"/>
      <x:c r="BN805" s="58"/>
      <x:c r="BO805" s="47"/>
      <x:c r="BP805" s="60"/>
      <x:c r="BQ805" s="58"/>
      <x:c r="BR805" s="47"/>
      <x:c r="BS805" s="60"/>
      <x:c r="BT805" s="58"/>
      <x:c r="BU805" s="47"/>
      <x:c r="BV805" s="60"/>
      <x:c r="BW805" s="58"/>
      <x:c r="BX805" s="47"/>
      <x:c r="BY805" s="60"/>
      <x:c r="BZ805" s="58"/>
      <x:c r="CA805" s="47"/>
      <x:c r="CB805" s="60"/>
      <x:c r="CC805" s="58"/>
      <x:c r="CD805" s="47"/>
      <x:c r="CE805" s="60"/>
      <x:c r="CF805" s="58"/>
      <x:c r="CG805" s="47"/>
      <x:c r="CH805" s="60"/>
      <x:c r="CI805" s="58"/>
      <x:c r="CJ805" s="47"/>
      <x:c r="CK805" s="60"/>
      <x:c r="CL805" s="58"/>
      <x:c r="CM805" s="47"/>
      <x:c r="CN805" s="60"/>
      <x:c r="CO805" s="58"/>
      <x:c r="CP805" s="47"/>
      <x:c r="CQ805" s="60"/>
      <x:c r="CR805" s="58"/>
      <x:c r="CS805" s="47"/>
      <x:c r="CT805" s="60"/>
      <x:c r="CU805" s="58"/>
      <x:c r="CV805" s="47"/>
      <x:c r="CW805" s="60"/>
      <x:c r="CX805" s="58"/>
      <x:c r="CY805" s="47"/>
      <x:c r="CZ805" s="60"/>
      <x:c r="DA805" s="58"/>
      <x:c r="DB805" s="47"/>
      <x:c r="DC805" s="60"/>
      <x:c r="DD805" s="58"/>
      <x:c r="DE805" s="47"/>
      <x:c r="DF805" s="60"/>
      <x:c r="DG805" s="58"/>
      <x:c r="DH805" s="47"/>
      <x:c r="DI805" s="60"/>
      <x:c r="DJ805" s="58"/>
      <x:c r="DK805" s="47"/>
      <x:c r="DL805" s="60"/>
      <x:c r="DM805" s="58"/>
      <x:c r="DN805" s="11"/>
      <x:c r="DO805" s="61"/>
      <x:c r="DP805" s="62"/>
      <x:c r="DQ805" s="11"/>
      <x:c r="DR805" s="61"/>
      <x:c r="DS805" s="62"/>
      <x:c r="DT805" s="11"/>
      <x:c r="DU805" s="61"/>
      <x:c r="DV805" s="62"/>
    </x:row>
    <x:row r="806" spans="1:126" x14ac:dyDescent="0.3">
      <x:c r="A806" s="47"/>
      <x:c r="B806" s="70"/>
      <x:c r="C806" s="70"/>
      <x:c r="D806" s="70"/>
      <x:c r="E806" s="70"/>
      <x:c r="F806" s="70"/>
      <x:c r="G806" s="70"/>
      <x:c r="H806" s="70"/>
      <x:c r="I806" s="70"/>
      <x:c r="J806" s="70"/>
      <x:c r="K806" s="190"/>
      <x:c r="L806" s="195"/>
      <x:c r="M806" s="192"/>
      <x:c r="N806" s="192"/>
      <x:c r="O806" s="69"/>
      <x:c r="P806" s="47"/>
      <x:c r="Q806" s="60"/>
      <x:c r="R806" s="58"/>
      <x:c r="S806" s="47"/>
      <x:c r="T806" s="60"/>
      <x:c r="U806" s="58"/>
      <x:c r="V806" s="47"/>
      <x:c r="W806" s="60"/>
      <x:c r="X806" s="58"/>
      <x:c r="Y806" s="47"/>
      <x:c r="Z806" s="60"/>
      <x:c r="AA806" s="58"/>
      <x:c r="AB806" s="47"/>
      <x:c r="AC806" s="60"/>
      <x:c r="AD806" s="58"/>
      <x:c r="AE806" s="47"/>
      <x:c r="AF806" s="60"/>
      <x:c r="AG806" s="58"/>
      <x:c r="AH806" s="47"/>
      <x:c r="AI806" s="60"/>
      <x:c r="AJ806" s="58"/>
      <x:c r="AK806" s="47"/>
      <x:c r="AL806" s="60"/>
      <x:c r="AM806" s="58"/>
      <x:c r="AN806" s="47"/>
      <x:c r="AO806" s="60"/>
      <x:c r="AP806" s="58"/>
      <x:c r="AQ806" s="47"/>
      <x:c r="AR806" s="60"/>
      <x:c r="AS806" s="58"/>
      <x:c r="AT806" s="47"/>
      <x:c r="AU806" s="60"/>
      <x:c r="AV806" s="58"/>
      <x:c r="AW806" s="47"/>
      <x:c r="AX806" s="60"/>
      <x:c r="AY806" s="58"/>
      <x:c r="AZ806" s="47"/>
      <x:c r="BA806" s="60"/>
      <x:c r="BB806" s="58"/>
      <x:c r="BC806" s="47"/>
      <x:c r="BD806" s="60"/>
      <x:c r="BE806" s="58"/>
      <x:c r="BF806" s="47"/>
      <x:c r="BG806" s="60"/>
      <x:c r="BH806" s="58"/>
      <x:c r="BI806" s="47"/>
      <x:c r="BJ806" s="60"/>
      <x:c r="BK806" s="58"/>
      <x:c r="BL806" s="47"/>
      <x:c r="BM806" s="60"/>
      <x:c r="BN806" s="58"/>
      <x:c r="BO806" s="47"/>
      <x:c r="BP806" s="60"/>
      <x:c r="BQ806" s="58"/>
      <x:c r="BR806" s="47"/>
      <x:c r="BS806" s="60"/>
      <x:c r="BT806" s="58"/>
      <x:c r="BU806" s="47"/>
      <x:c r="BV806" s="60"/>
      <x:c r="BW806" s="58"/>
      <x:c r="BX806" s="47"/>
      <x:c r="BY806" s="60"/>
      <x:c r="BZ806" s="58"/>
      <x:c r="CA806" s="47"/>
      <x:c r="CB806" s="60"/>
      <x:c r="CC806" s="58"/>
      <x:c r="CD806" s="47"/>
      <x:c r="CE806" s="60"/>
      <x:c r="CF806" s="58"/>
      <x:c r="CG806" s="47"/>
      <x:c r="CH806" s="60"/>
      <x:c r="CI806" s="58"/>
      <x:c r="CJ806" s="47"/>
      <x:c r="CK806" s="60"/>
      <x:c r="CL806" s="58"/>
      <x:c r="CM806" s="47"/>
      <x:c r="CN806" s="60"/>
      <x:c r="CO806" s="58"/>
      <x:c r="CP806" s="47"/>
      <x:c r="CQ806" s="60"/>
      <x:c r="CR806" s="58"/>
      <x:c r="CS806" s="47"/>
      <x:c r="CT806" s="60"/>
      <x:c r="CU806" s="58"/>
      <x:c r="CV806" s="47"/>
      <x:c r="CW806" s="60"/>
      <x:c r="CX806" s="58"/>
      <x:c r="CY806" s="47"/>
      <x:c r="CZ806" s="60"/>
      <x:c r="DA806" s="58"/>
      <x:c r="DB806" s="47"/>
      <x:c r="DC806" s="60"/>
      <x:c r="DD806" s="58"/>
      <x:c r="DE806" s="47"/>
      <x:c r="DF806" s="60"/>
      <x:c r="DG806" s="58"/>
      <x:c r="DH806" s="47"/>
      <x:c r="DI806" s="60"/>
      <x:c r="DJ806" s="58"/>
      <x:c r="DK806" s="47"/>
      <x:c r="DL806" s="60"/>
      <x:c r="DM806" s="58"/>
      <x:c r="DN806" s="11"/>
      <x:c r="DO806" s="61"/>
      <x:c r="DP806" s="62"/>
      <x:c r="DQ806" s="11"/>
      <x:c r="DR806" s="61"/>
      <x:c r="DS806" s="62"/>
      <x:c r="DT806" s="11"/>
      <x:c r="DU806" s="61"/>
      <x:c r="DV806" s="62"/>
    </x:row>
    <x:row r="807" spans="1:126" x14ac:dyDescent="0.3">
      <x:c r="A807" s="47"/>
      <x:c r="B807" s="70"/>
      <x:c r="C807" s="70"/>
      <x:c r="D807" s="70"/>
      <x:c r="E807" s="70"/>
      <x:c r="F807" s="70"/>
      <x:c r="G807" s="70"/>
      <x:c r="H807" s="70"/>
      <x:c r="I807" s="70"/>
      <x:c r="J807" s="70"/>
      <x:c r="K807" s="190"/>
      <x:c r="L807" s="195"/>
      <x:c r="M807" s="192"/>
      <x:c r="N807" s="192"/>
      <x:c r="O807" s="69"/>
      <x:c r="P807" s="47"/>
      <x:c r="Q807" s="60"/>
      <x:c r="R807" s="58"/>
      <x:c r="S807" s="47"/>
      <x:c r="T807" s="60"/>
      <x:c r="U807" s="58"/>
      <x:c r="V807" s="47"/>
      <x:c r="W807" s="60"/>
      <x:c r="X807" s="58"/>
      <x:c r="Y807" s="47"/>
      <x:c r="Z807" s="60"/>
      <x:c r="AA807" s="58"/>
      <x:c r="AB807" s="47"/>
      <x:c r="AC807" s="60"/>
      <x:c r="AD807" s="58"/>
      <x:c r="AE807" s="47"/>
      <x:c r="AF807" s="60"/>
      <x:c r="AG807" s="58"/>
      <x:c r="AH807" s="47"/>
      <x:c r="AI807" s="60"/>
      <x:c r="AJ807" s="58"/>
      <x:c r="AK807" s="47"/>
      <x:c r="AL807" s="60"/>
      <x:c r="AM807" s="58"/>
      <x:c r="AN807" s="47"/>
      <x:c r="AO807" s="60"/>
      <x:c r="AP807" s="58"/>
      <x:c r="AQ807" s="47"/>
      <x:c r="AR807" s="60"/>
      <x:c r="AS807" s="58"/>
      <x:c r="AT807" s="47"/>
      <x:c r="AU807" s="60"/>
      <x:c r="AV807" s="58"/>
      <x:c r="AW807" s="47"/>
      <x:c r="AX807" s="60"/>
      <x:c r="AY807" s="58"/>
      <x:c r="AZ807" s="47"/>
      <x:c r="BA807" s="60"/>
      <x:c r="BB807" s="58"/>
      <x:c r="BC807" s="47"/>
      <x:c r="BD807" s="60"/>
      <x:c r="BE807" s="58"/>
      <x:c r="BF807" s="47"/>
      <x:c r="BG807" s="60"/>
      <x:c r="BH807" s="58"/>
      <x:c r="BI807" s="47"/>
      <x:c r="BJ807" s="60"/>
      <x:c r="BK807" s="58"/>
      <x:c r="BL807" s="47"/>
      <x:c r="BM807" s="60"/>
      <x:c r="BN807" s="58"/>
      <x:c r="BO807" s="47"/>
      <x:c r="BP807" s="60"/>
      <x:c r="BQ807" s="58"/>
      <x:c r="BR807" s="47"/>
      <x:c r="BS807" s="60"/>
      <x:c r="BT807" s="58"/>
      <x:c r="BU807" s="47"/>
      <x:c r="BV807" s="60"/>
      <x:c r="BW807" s="58"/>
      <x:c r="BX807" s="47"/>
      <x:c r="BY807" s="60"/>
      <x:c r="BZ807" s="58"/>
      <x:c r="CA807" s="47"/>
      <x:c r="CB807" s="60"/>
      <x:c r="CC807" s="58"/>
      <x:c r="CD807" s="47"/>
      <x:c r="CE807" s="60"/>
      <x:c r="CF807" s="58"/>
      <x:c r="CG807" s="47"/>
      <x:c r="CH807" s="60"/>
      <x:c r="CI807" s="58"/>
      <x:c r="CJ807" s="47"/>
      <x:c r="CK807" s="60"/>
      <x:c r="CL807" s="58"/>
      <x:c r="CM807" s="47"/>
      <x:c r="CN807" s="60"/>
      <x:c r="CO807" s="58"/>
      <x:c r="CP807" s="47"/>
      <x:c r="CQ807" s="60"/>
      <x:c r="CR807" s="58"/>
      <x:c r="CS807" s="47"/>
      <x:c r="CT807" s="60"/>
      <x:c r="CU807" s="58"/>
      <x:c r="CV807" s="47"/>
      <x:c r="CW807" s="60"/>
      <x:c r="CX807" s="58"/>
      <x:c r="CY807" s="47"/>
      <x:c r="CZ807" s="60"/>
      <x:c r="DA807" s="58"/>
      <x:c r="DB807" s="47"/>
      <x:c r="DC807" s="60"/>
      <x:c r="DD807" s="58"/>
      <x:c r="DE807" s="47"/>
      <x:c r="DF807" s="60"/>
      <x:c r="DG807" s="58"/>
      <x:c r="DH807" s="47"/>
      <x:c r="DI807" s="60"/>
      <x:c r="DJ807" s="58"/>
      <x:c r="DK807" s="47"/>
      <x:c r="DL807" s="60"/>
      <x:c r="DM807" s="58"/>
      <x:c r="DN807" s="11"/>
      <x:c r="DO807" s="61"/>
      <x:c r="DP807" s="62"/>
      <x:c r="DQ807" s="11"/>
      <x:c r="DR807" s="61"/>
      <x:c r="DS807" s="62"/>
      <x:c r="DT807" s="11"/>
      <x:c r="DU807" s="61"/>
      <x:c r="DV807" s="62"/>
    </x:row>
    <x:row r="808" spans="1:126" x14ac:dyDescent="0.3">
      <x:c r="A808" s="47"/>
      <x:c r="B808" s="70"/>
      <x:c r="C808" s="70"/>
      <x:c r="D808" s="70"/>
      <x:c r="E808" s="70"/>
      <x:c r="F808" s="70"/>
      <x:c r="G808" s="70"/>
      <x:c r="H808" s="70"/>
      <x:c r="I808" s="70"/>
      <x:c r="J808" s="70"/>
      <x:c r="K808" s="190"/>
      <x:c r="L808" s="195"/>
      <x:c r="M808" s="192"/>
      <x:c r="N808" s="192"/>
      <x:c r="O808" s="69"/>
      <x:c r="P808" s="47"/>
      <x:c r="Q808" s="60"/>
      <x:c r="R808" s="58"/>
      <x:c r="S808" s="47"/>
      <x:c r="T808" s="60"/>
      <x:c r="U808" s="58"/>
      <x:c r="V808" s="47"/>
      <x:c r="W808" s="60"/>
      <x:c r="X808" s="58"/>
      <x:c r="Y808" s="47"/>
      <x:c r="Z808" s="60"/>
      <x:c r="AA808" s="58"/>
      <x:c r="AB808" s="47"/>
      <x:c r="AC808" s="60"/>
      <x:c r="AD808" s="58"/>
      <x:c r="AE808" s="47"/>
      <x:c r="AF808" s="60"/>
      <x:c r="AG808" s="58"/>
      <x:c r="AH808" s="47"/>
      <x:c r="AI808" s="60"/>
      <x:c r="AJ808" s="58"/>
      <x:c r="AK808" s="47"/>
      <x:c r="AL808" s="60"/>
      <x:c r="AM808" s="58"/>
      <x:c r="AN808" s="47"/>
      <x:c r="AO808" s="60"/>
      <x:c r="AP808" s="58"/>
      <x:c r="AQ808" s="47"/>
      <x:c r="AR808" s="60"/>
      <x:c r="AS808" s="58"/>
      <x:c r="AT808" s="47"/>
      <x:c r="AU808" s="60"/>
      <x:c r="AV808" s="58"/>
      <x:c r="AW808" s="47"/>
      <x:c r="AX808" s="60"/>
      <x:c r="AY808" s="58"/>
      <x:c r="AZ808" s="47"/>
      <x:c r="BA808" s="60"/>
      <x:c r="BB808" s="58"/>
      <x:c r="BC808" s="47"/>
      <x:c r="BD808" s="60"/>
      <x:c r="BE808" s="58"/>
      <x:c r="BF808" s="47"/>
      <x:c r="BG808" s="60"/>
      <x:c r="BH808" s="58"/>
      <x:c r="BI808" s="47"/>
      <x:c r="BJ808" s="60"/>
      <x:c r="BK808" s="58"/>
      <x:c r="BL808" s="47"/>
      <x:c r="BM808" s="60"/>
      <x:c r="BN808" s="58"/>
      <x:c r="BO808" s="47"/>
      <x:c r="BP808" s="60"/>
      <x:c r="BQ808" s="58"/>
      <x:c r="BR808" s="47"/>
      <x:c r="BS808" s="60"/>
      <x:c r="BT808" s="58"/>
      <x:c r="BU808" s="47"/>
      <x:c r="BV808" s="60"/>
      <x:c r="BW808" s="58"/>
      <x:c r="BX808" s="47"/>
      <x:c r="BY808" s="60"/>
      <x:c r="BZ808" s="58"/>
      <x:c r="CA808" s="47"/>
      <x:c r="CB808" s="60"/>
      <x:c r="CC808" s="58"/>
      <x:c r="CD808" s="47"/>
      <x:c r="CE808" s="60"/>
      <x:c r="CF808" s="58"/>
      <x:c r="CG808" s="47"/>
      <x:c r="CH808" s="60"/>
      <x:c r="CI808" s="58"/>
      <x:c r="CJ808" s="47"/>
      <x:c r="CK808" s="60"/>
      <x:c r="CL808" s="58"/>
      <x:c r="CM808" s="47"/>
      <x:c r="CN808" s="60"/>
      <x:c r="CO808" s="58"/>
      <x:c r="CP808" s="47"/>
      <x:c r="CQ808" s="60"/>
      <x:c r="CR808" s="58"/>
      <x:c r="CS808" s="47"/>
      <x:c r="CT808" s="60"/>
      <x:c r="CU808" s="58"/>
      <x:c r="CV808" s="47"/>
      <x:c r="CW808" s="60"/>
      <x:c r="CX808" s="58"/>
      <x:c r="CY808" s="47"/>
      <x:c r="CZ808" s="60"/>
      <x:c r="DA808" s="58"/>
      <x:c r="DB808" s="47"/>
      <x:c r="DC808" s="60"/>
      <x:c r="DD808" s="58"/>
      <x:c r="DE808" s="47"/>
      <x:c r="DF808" s="60"/>
      <x:c r="DG808" s="58"/>
      <x:c r="DH808" s="47"/>
      <x:c r="DI808" s="60"/>
      <x:c r="DJ808" s="58"/>
      <x:c r="DK808" s="47"/>
      <x:c r="DL808" s="60"/>
      <x:c r="DM808" s="58"/>
      <x:c r="DN808" s="11"/>
      <x:c r="DO808" s="61"/>
      <x:c r="DP808" s="62"/>
      <x:c r="DQ808" s="11"/>
      <x:c r="DR808" s="61"/>
      <x:c r="DS808" s="62"/>
      <x:c r="DT808" s="11"/>
      <x:c r="DU808" s="61"/>
      <x:c r="DV808" s="62"/>
    </x:row>
    <x:row r="809" spans="1:126" x14ac:dyDescent="0.3">
      <x:c r="A809" s="47"/>
      <x:c r="B809" s="70"/>
      <x:c r="C809" s="70"/>
      <x:c r="D809" s="70"/>
      <x:c r="E809" s="70"/>
      <x:c r="F809" s="70"/>
      <x:c r="G809" s="70"/>
      <x:c r="H809" s="70"/>
      <x:c r="I809" s="70"/>
      <x:c r="J809" s="70"/>
      <x:c r="K809" s="190"/>
      <x:c r="L809" s="195"/>
      <x:c r="M809" s="192"/>
      <x:c r="N809" s="192"/>
      <x:c r="O809" s="69"/>
      <x:c r="P809" s="47"/>
      <x:c r="Q809" s="60"/>
      <x:c r="R809" s="58"/>
      <x:c r="S809" s="47"/>
      <x:c r="T809" s="60"/>
      <x:c r="U809" s="58"/>
      <x:c r="V809" s="47"/>
      <x:c r="W809" s="60"/>
      <x:c r="X809" s="58"/>
      <x:c r="Y809" s="47"/>
      <x:c r="Z809" s="60"/>
      <x:c r="AA809" s="58"/>
      <x:c r="AB809" s="47"/>
      <x:c r="AC809" s="60"/>
      <x:c r="AD809" s="58"/>
      <x:c r="AE809" s="47"/>
      <x:c r="AF809" s="60"/>
      <x:c r="AG809" s="58"/>
      <x:c r="AH809" s="47"/>
      <x:c r="AI809" s="60"/>
      <x:c r="AJ809" s="58"/>
      <x:c r="AK809" s="47"/>
      <x:c r="AL809" s="60"/>
      <x:c r="AM809" s="58"/>
      <x:c r="AN809" s="47"/>
      <x:c r="AO809" s="60"/>
      <x:c r="AP809" s="58"/>
      <x:c r="AQ809" s="47"/>
      <x:c r="AR809" s="60"/>
      <x:c r="AS809" s="58"/>
      <x:c r="AT809" s="47"/>
      <x:c r="AU809" s="60"/>
      <x:c r="AV809" s="58"/>
      <x:c r="AW809" s="47"/>
      <x:c r="AX809" s="60"/>
      <x:c r="AY809" s="58"/>
      <x:c r="AZ809" s="47"/>
      <x:c r="BA809" s="60"/>
      <x:c r="BB809" s="58"/>
      <x:c r="BC809" s="47"/>
      <x:c r="BD809" s="60"/>
      <x:c r="BE809" s="58"/>
      <x:c r="BF809" s="47"/>
      <x:c r="BG809" s="60"/>
      <x:c r="BH809" s="58"/>
      <x:c r="BI809" s="47"/>
      <x:c r="BJ809" s="60"/>
      <x:c r="BK809" s="58"/>
      <x:c r="BL809" s="47"/>
      <x:c r="BM809" s="60"/>
      <x:c r="BN809" s="58"/>
      <x:c r="BO809" s="47"/>
      <x:c r="BP809" s="60"/>
      <x:c r="BQ809" s="58"/>
      <x:c r="BR809" s="47"/>
      <x:c r="BS809" s="60"/>
      <x:c r="BT809" s="58"/>
      <x:c r="BU809" s="47"/>
      <x:c r="BV809" s="60"/>
      <x:c r="BW809" s="58"/>
      <x:c r="BX809" s="47"/>
      <x:c r="BY809" s="60"/>
      <x:c r="BZ809" s="58"/>
      <x:c r="CA809" s="47"/>
      <x:c r="CB809" s="60"/>
      <x:c r="CC809" s="58"/>
      <x:c r="CD809" s="47"/>
      <x:c r="CE809" s="60"/>
      <x:c r="CF809" s="58"/>
      <x:c r="CG809" s="47"/>
      <x:c r="CH809" s="60"/>
      <x:c r="CI809" s="58"/>
      <x:c r="CJ809" s="47"/>
      <x:c r="CK809" s="60"/>
      <x:c r="CL809" s="58"/>
      <x:c r="CM809" s="47"/>
      <x:c r="CN809" s="60"/>
      <x:c r="CO809" s="58"/>
      <x:c r="CP809" s="47"/>
      <x:c r="CQ809" s="60"/>
      <x:c r="CR809" s="58"/>
      <x:c r="CS809" s="47"/>
      <x:c r="CT809" s="60"/>
      <x:c r="CU809" s="58"/>
      <x:c r="CV809" s="47"/>
      <x:c r="CW809" s="60"/>
      <x:c r="CX809" s="58"/>
      <x:c r="CY809" s="47"/>
      <x:c r="CZ809" s="60"/>
      <x:c r="DA809" s="58"/>
      <x:c r="DB809" s="47"/>
      <x:c r="DC809" s="60"/>
      <x:c r="DD809" s="58"/>
      <x:c r="DE809" s="47"/>
      <x:c r="DF809" s="60"/>
      <x:c r="DG809" s="58"/>
      <x:c r="DH809" s="47"/>
      <x:c r="DI809" s="60"/>
      <x:c r="DJ809" s="58"/>
      <x:c r="DK809" s="47"/>
      <x:c r="DL809" s="60"/>
      <x:c r="DM809" s="58"/>
      <x:c r="DN809" s="11"/>
      <x:c r="DO809" s="61"/>
      <x:c r="DP809" s="62"/>
      <x:c r="DQ809" s="11"/>
      <x:c r="DR809" s="61"/>
      <x:c r="DS809" s="62"/>
      <x:c r="DT809" s="11"/>
      <x:c r="DU809" s="61"/>
      <x:c r="DV809" s="62"/>
    </x:row>
    <x:row r="810" spans="1:126" x14ac:dyDescent="0.3">
      <x:c r="A810" s="47"/>
      <x:c r="B810" s="70"/>
      <x:c r="C810" s="70"/>
      <x:c r="D810" s="70"/>
      <x:c r="E810" s="70"/>
      <x:c r="F810" s="70"/>
      <x:c r="G810" s="70"/>
      <x:c r="H810" s="70"/>
      <x:c r="I810" s="70"/>
      <x:c r="J810" s="70"/>
      <x:c r="K810" s="190"/>
      <x:c r="L810" s="195"/>
      <x:c r="M810" s="192"/>
      <x:c r="N810" s="192"/>
      <x:c r="O810" s="69"/>
      <x:c r="P810" s="47"/>
      <x:c r="Q810" s="60"/>
      <x:c r="R810" s="58"/>
      <x:c r="S810" s="47"/>
      <x:c r="T810" s="60"/>
      <x:c r="U810" s="58"/>
      <x:c r="V810" s="47"/>
      <x:c r="W810" s="60"/>
      <x:c r="X810" s="58"/>
      <x:c r="Y810" s="47"/>
      <x:c r="Z810" s="60"/>
      <x:c r="AA810" s="58"/>
      <x:c r="AB810" s="47"/>
      <x:c r="AC810" s="60"/>
      <x:c r="AD810" s="58"/>
      <x:c r="AE810" s="47"/>
      <x:c r="AF810" s="60"/>
      <x:c r="AG810" s="58"/>
      <x:c r="AH810" s="47"/>
      <x:c r="AI810" s="60"/>
      <x:c r="AJ810" s="58"/>
      <x:c r="AK810" s="47"/>
      <x:c r="AL810" s="60"/>
      <x:c r="AM810" s="58"/>
      <x:c r="AN810" s="47"/>
      <x:c r="AO810" s="60"/>
      <x:c r="AP810" s="58"/>
      <x:c r="AQ810" s="47"/>
      <x:c r="AR810" s="60"/>
      <x:c r="AS810" s="58"/>
      <x:c r="AT810" s="47"/>
      <x:c r="AU810" s="60"/>
      <x:c r="AV810" s="58"/>
      <x:c r="AW810" s="47"/>
      <x:c r="AX810" s="60"/>
      <x:c r="AY810" s="58"/>
      <x:c r="AZ810" s="47"/>
      <x:c r="BA810" s="60"/>
      <x:c r="BB810" s="58"/>
      <x:c r="BC810" s="47"/>
      <x:c r="BD810" s="60"/>
      <x:c r="BE810" s="58"/>
      <x:c r="BF810" s="47"/>
      <x:c r="BG810" s="60"/>
      <x:c r="BH810" s="58"/>
      <x:c r="BI810" s="47"/>
      <x:c r="BJ810" s="60"/>
      <x:c r="BK810" s="58"/>
      <x:c r="BL810" s="47"/>
      <x:c r="BM810" s="60"/>
      <x:c r="BN810" s="58"/>
      <x:c r="BO810" s="47"/>
      <x:c r="BP810" s="60"/>
      <x:c r="BQ810" s="58"/>
      <x:c r="BR810" s="47"/>
      <x:c r="BS810" s="60"/>
      <x:c r="BT810" s="58"/>
      <x:c r="BU810" s="47"/>
      <x:c r="BV810" s="60"/>
      <x:c r="BW810" s="58"/>
      <x:c r="BX810" s="47"/>
      <x:c r="BY810" s="60"/>
      <x:c r="BZ810" s="58"/>
      <x:c r="CA810" s="47"/>
      <x:c r="CB810" s="60"/>
      <x:c r="CC810" s="58"/>
      <x:c r="CD810" s="47"/>
      <x:c r="CE810" s="60"/>
      <x:c r="CF810" s="58"/>
      <x:c r="CG810" s="47"/>
      <x:c r="CH810" s="60"/>
      <x:c r="CI810" s="58"/>
      <x:c r="CJ810" s="47"/>
      <x:c r="CK810" s="60"/>
      <x:c r="CL810" s="58"/>
      <x:c r="CM810" s="47"/>
      <x:c r="CN810" s="60"/>
      <x:c r="CO810" s="58"/>
      <x:c r="CP810" s="47"/>
      <x:c r="CQ810" s="60"/>
      <x:c r="CR810" s="58"/>
      <x:c r="CS810" s="47"/>
      <x:c r="CT810" s="60"/>
      <x:c r="CU810" s="58"/>
      <x:c r="CV810" s="47"/>
      <x:c r="CW810" s="60"/>
      <x:c r="CX810" s="58"/>
      <x:c r="CY810" s="47"/>
      <x:c r="CZ810" s="60"/>
      <x:c r="DA810" s="58"/>
      <x:c r="DB810" s="47"/>
      <x:c r="DC810" s="60"/>
      <x:c r="DD810" s="58"/>
      <x:c r="DE810" s="47"/>
      <x:c r="DF810" s="60"/>
      <x:c r="DG810" s="58"/>
      <x:c r="DH810" s="47"/>
      <x:c r="DI810" s="60"/>
      <x:c r="DJ810" s="58"/>
      <x:c r="DK810" s="47"/>
      <x:c r="DL810" s="60"/>
      <x:c r="DM810" s="58"/>
      <x:c r="DN810" s="11"/>
      <x:c r="DO810" s="61"/>
      <x:c r="DP810" s="62"/>
      <x:c r="DQ810" s="11"/>
      <x:c r="DR810" s="61"/>
      <x:c r="DS810" s="62"/>
      <x:c r="DT810" s="11"/>
      <x:c r="DU810" s="61"/>
      <x:c r="DV810" s="62"/>
    </x:row>
    <x:row r="811" spans="1:126" x14ac:dyDescent="0.3">
      <x:c r="A811" s="47"/>
      <x:c r="B811" s="70"/>
      <x:c r="C811" s="70"/>
      <x:c r="D811" s="70"/>
      <x:c r="E811" s="70"/>
      <x:c r="F811" s="70"/>
      <x:c r="G811" s="70"/>
      <x:c r="H811" s="70"/>
      <x:c r="I811" s="70"/>
      <x:c r="J811" s="70"/>
      <x:c r="K811" s="190"/>
      <x:c r="L811" s="195"/>
      <x:c r="M811" s="192"/>
      <x:c r="N811" s="192"/>
      <x:c r="O811" s="69"/>
      <x:c r="P811" s="47"/>
      <x:c r="Q811" s="60"/>
      <x:c r="R811" s="58"/>
      <x:c r="S811" s="47"/>
      <x:c r="T811" s="60"/>
      <x:c r="U811" s="58"/>
      <x:c r="V811" s="47"/>
      <x:c r="W811" s="60"/>
      <x:c r="X811" s="58"/>
      <x:c r="Y811" s="47"/>
      <x:c r="Z811" s="60"/>
      <x:c r="AA811" s="58"/>
      <x:c r="AB811" s="47"/>
      <x:c r="AC811" s="60"/>
      <x:c r="AD811" s="58"/>
      <x:c r="AE811" s="47"/>
      <x:c r="AF811" s="60"/>
      <x:c r="AG811" s="58"/>
      <x:c r="AH811" s="47"/>
      <x:c r="AI811" s="60"/>
      <x:c r="AJ811" s="58"/>
      <x:c r="AK811" s="47"/>
      <x:c r="AL811" s="60"/>
      <x:c r="AM811" s="58"/>
      <x:c r="AN811" s="47"/>
      <x:c r="AO811" s="60"/>
      <x:c r="AP811" s="58"/>
      <x:c r="AQ811" s="47"/>
      <x:c r="AR811" s="60"/>
      <x:c r="AS811" s="58"/>
      <x:c r="AT811" s="47"/>
      <x:c r="AU811" s="60"/>
      <x:c r="AV811" s="58"/>
      <x:c r="AW811" s="47"/>
      <x:c r="AX811" s="60"/>
      <x:c r="AY811" s="58"/>
      <x:c r="AZ811" s="47"/>
      <x:c r="BA811" s="60"/>
      <x:c r="BB811" s="58"/>
      <x:c r="BC811" s="47"/>
      <x:c r="BD811" s="60"/>
      <x:c r="BE811" s="58"/>
      <x:c r="BF811" s="47"/>
      <x:c r="BG811" s="60"/>
      <x:c r="BH811" s="58"/>
      <x:c r="BI811" s="47"/>
      <x:c r="BJ811" s="60"/>
      <x:c r="BK811" s="58"/>
      <x:c r="BL811" s="47"/>
      <x:c r="BM811" s="60"/>
      <x:c r="BN811" s="58"/>
      <x:c r="BO811" s="47"/>
      <x:c r="BP811" s="60"/>
      <x:c r="BQ811" s="58"/>
      <x:c r="BR811" s="47"/>
      <x:c r="BS811" s="60"/>
      <x:c r="BT811" s="58"/>
      <x:c r="BU811" s="47"/>
      <x:c r="BV811" s="60"/>
      <x:c r="BW811" s="58"/>
      <x:c r="BX811" s="47"/>
      <x:c r="BY811" s="60"/>
      <x:c r="BZ811" s="58"/>
      <x:c r="CA811" s="47"/>
      <x:c r="CB811" s="60"/>
      <x:c r="CC811" s="58"/>
      <x:c r="CD811" s="47"/>
      <x:c r="CE811" s="60"/>
      <x:c r="CF811" s="58"/>
      <x:c r="CG811" s="47"/>
      <x:c r="CH811" s="60"/>
      <x:c r="CI811" s="58"/>
      <x:c r="CJ811" s="47"/>
      <x:c r="CK811" s="60"/>
      <x:c r="CL811" s="58"/>
      <x:c r="CM811" s="47"/>
      <x:c r="CN811" s="60"/>
      <x:c r="CO811" s="58"/>
      <x:c r="CP811" s="47"/>
      <x:c r="CQ811" s="60"/>
      <x:c r="CR811" s="58"/>
      <x:c r="CS811" s="47"/>
      <x:c r="CT811" s="60"/>
      <x:c r="CU811" s="58"/>
      <x:c r="CV811" s="47"/>
      <x:c r="CW811" s="60"/>
      <x:c r="CX811" s="58"/>
      <x:c r="CY811" s="47"/>
      <x:c r="CZ811" s="60"/>
      <x:c r="DA811" s="58"/>
      <x:c r="DB811" s="47"/>
      <x:c r="DC811" s="60"/>
      <x:c r="DD811" s="58"/>
      <x:c r="DE811" s="47"/>
      <x:c r="DF811" s="60"/>
      <x:c r="DG811" s="58"/>
      <x:c r="DH811" s="47"/>
      <x:c r="DI811" s="60"/>
      <x:c r="DJ811" s="58"/>
      <x:c r="DK811" s="47"/>
      <x:c r="DL811" s="60"/>
      <x:c r="DM811" s="58"/>
      <x:c r="DN811" s="11"/>
      <x:c r="DO811" s="61"/>
      <x:c r="DP811" s="62"/>
      <x:c r="DQ811" s="11"/>
      <x:c r="DR811" s="61"/>
      <x:c r="DS811" s="62"/>
      <x:c r="DT811" s="11"/>
      <x:c r="DU811" s="61"/>
      <x:c r="DV811" s="62"/>
    </x:row>
    <x:row r="812" spans="1:126" x14ac:dyDescent="0.3">
      <x:c r="A812" s="47"/>
      <x:c r="B812" s="70"/>
      <x:c r="C812" s="70"/>
      <x:c r="D812" s="70"/>
      <x:c r="E812" s="70"/>
      <x:c r="F812" s="70"/>
      <x:c r="G812" s="70"/>
      <x:c r="H812" s="70"/>
      <x:c r="I812" s="70"/>
      <x:c r="J812" s="70"/>
      <x:c r="K812" s="190"/>
      <x:c r="L812" s="195"/>
      <x:c r="M812" s="192"/>
      <x:c r="N812" s="192"/>
      <x:c r="O812" s="69"/>
      <x:c r="P812" s="47"/>
      <x:c r="Q812" s="60"/>
      <x:c r="R812" s="58"/>
      <x:c r="S812" s="47"/>
      <x:c r="T812" s="60"/>
      <x:c r="U812" s="58"/>
      <x:c r="V812" s="47"/>
      <x:c r="W812" s="60"/>
      <x:c r="X812" s="58"/>
      <x:c r="Y812" s="47"/>
      <x:c r="Z812" s="60"/>
      <x:c r="AA812" s="58"/>
      <x:c r="AB812" s="47"/>
      <x:c r="AC812" s="60"/>
      <x:c r="AD812" s="58"/>
      <x:c r="AE812" s="47"/>
      <x:c r="AF812" s="60"/>
      <x:c r="AG812" s="58"/>
      <x:c r="AH812" s="47"/>
      <x:c r="AI812" s="60"/>
      <x:c r="AJ812" s="58"/>
      <x:c r="AK812" s="47"/>
      <x:c r="AL812" s="60"/>
      <x:c r="AM812" s="58"/>
      <x:c r="AN812" s="47"/>
      <x:c r="AO812" s="60"/>
      <x:c r="AP812" s="58"/>
      <x:c r="AQ812" s="47"/>
      <x:c r="AR812" s="60"/>
      <x:c r="AS812" s="58"/>
      <x:c r="AT812" s="47"/>
      <x:c r="AU812" s="60"/>
      <x:c r="AV812" s="58"/>
      <x:c r="AW812" s="47"/>
      <x:c r="AX812" s="60"/>
      <x:c r="AY812" s="58"/>
      <x:c r="AZ812" s="47"/>
      <x:c r="BA812" s="60"/>
      <x:c r="BB812" s="58"/>
      <x:c r="BC812" s="47"/>
      <x:c r="BD812" s="60"/>
      <x:c r="BE812" s="58"/>
      <x:c r="BF812" s="47"/>
      <x:c r="BG812" s="60"/>
      <x:c r="BH812" s="58"/>
      <x:c r="BI812" s="47"/>
      <x:c r="BJ812" s="60"/>
      <x:c r="BK812" s="58"/>
      <x:c r="BL812" s="47"/>
      <x:c r="BM812" s="60"/>
      <x:c r="BN812" s="58"/>
      <x:c r="BO812" s="47"/>
      <x:c r="BP812" s="60"/>
      <x:c r="BQ812" s="58"/>
      <x:c r="BR812" s="47"/>
      <x:c r="BS812" s="60"/>
      <x:c r="BT812" s="58"/>
      <x:c r="BU812" s="47"/>
      <x:c r="BV812" s="60"/>
      <x:c r="BW812" s="58"/>
      <x:c r="BX812" s="47"/>
      <x:c r="BY812" s="60"/>
      <x:c r="BZ812" s="58"/>
      <x:c r="CA812" s="47"/>
      <x:c r="CB812" s="60"/>
      <x:c r="CC812" s="58"/>
      <x:c r="CD812" s="47"/>
      <x:c r="CE812" s="60"/>
      <x:c r="CF812" s="58"/>
      <x:c r="CG812" s="47"/>
      <x:c r="CH812" s="60"/>
      <x:c r="CI812" s="58"/>
      <x:c r="CJ812" s="47"/>
      <x:c r="CK812" s="60"/>
      <x:c r="CL812" s="58"/>
      <x:c r="CM812" s="47"/>
      <x:c r="CN812" s="60"/>
      <x:c r="CO812" s="58"/>
      <x:c r="CP812" s="47"/>
      <x:c r="CQ812" s="60"/>
      <x:c r="CR812" s="58"/>
      <x:c r="CS812" s="47"/>
      <x:c r="CT812" s="60"/>
      <x:c r="CU812" s="58"/>
      <x:c r="CV812" s="47"/>
      <x:c r="CW812" s="60"/>
      <x:c r="CX812" s="58"/>
      <x:c r="CY812" s="47"/>
      <x:c r="CZ812" s="60"/>
      <x:c r="DA812" s="58"/>
      <x:c r="DB812" s="47"/>
      <x:c r="DC812" s="60"/>
      <x:c r="DD812" s="58"/>
      <x:c r="DE812" s="47"/>
      <x:c r="DF812" s="60"/>
      <x:c r="DG812" s="58"/>
      <x:c r="DH812" s="47"/>
      <x:c r="DI812" s="60"/>
      <x:c r="DJ812" s="58"/>
      <x:c r="DK812" s="47"/>
      <x:c r="DL812" s="60"/>
      <x:c r="DM812" s="58"/>
      <x:c r="DN812" s="11"/>
      <x:c r="DO812" s="61"/>
      <x:c r="DP812" s="62"/>
      <x:c r="DQ812" s="11"/>
      <x:c r="DR812" s="61"/>
      <x:c r="DS812" s="62"/>
      <x:c r="DT812" s="11"/>
      <x:c r="DU812" s="61"/>
      <x:c r="DV812" s="62"/>
    </x:row>
    <x:row r="813" spans="1:126" x14ac:dyDescent="0.3">
      <x:c r="A813" s="47"/>
      <x:c r="B813" s="70"/>
      <x:c r="C813" s="70"/>
      <x:c r="D813" s="70"/>
      <x:c r="E813" s="70"/>
      <x:c r="F813" s="70"/>
      <x:c r="G813" s="70"/>
      <x:c r="H813" s="70"/>
      <x:c r="I813" s="70"/>
      <x:c r="J813" s="70"/>
      <x:c r="K813" s="190"/>
      <x:c r="L813" s="195"/>
      <x:c r="M813" s="192"/>
      <x:c r="N813" s="192"/>
      <x:c r="O813" s="69"/>
      <x:c r="P813" s="47"/>
      <x:c r="Q813" s="60"/>
      <x:c r="R813" s="58"/>
      <x:c r="S813" s="47"/>
      <x:c r="T813" s="60"/>
      <x:c r="U813" s="58"/>
      <x:c r="V813" s="47"/>
      <x:c r="W813" s="60"/>
      <x:c r="X813" s="58"/>
      <x:c r="Y813" s="47"/>
      <x:c r="Z813" s="60"/>
      <x:c r="AA813" s="58"/>
      <x:c r="AB813" s="47"/>
      <x:c r="AC813" s="60"/>
      <x:c r="AD813" s="58"/>
      <x:c r="AE813" s="47"/>
      <x:c r="AF813" s="60"/>
      <x:c r="AG813" s="58"/>
      <x:c r="AH813" s="47"/>
      <x:c r="AI813" s="60"/>
      <x:c r="AJ813" s="58"/>
      <x:c r="AK813" s="47"/>
      <x:c r="AL813" s="60"/>
      <x:c r="AM813" s="58"/>
      <x:c r="AN813" s="47"/>
      <x:c r="AO813" s="60"/>
      <x:c r="AP813" s="58"/>
      <x:c r="AQ813" s="47"/>
      <x:c r="AR813" s="60"/>
      <x:c r="AS813" s="58"/>
      <x:c r="AT813" s="47"/>
      <x:c r="AU813" s="60"/>
      <x:c r="AV813" s="58"/>
      <x:c r="AW813" s="47"/>
      <x:c r="AX813" s="60"/>
      <x:c r="AY813" s="58"/>
      <x:c r="AZ813" s="47"/>
      <x:c r="BA813" s="60"/>
      <x:c r="BB813" s="58"/>
      <x:c r="BC813" s="47"/>
      <x:c r="BD813" s="60"/>
      <x:c r="BE813" s="58"/>
      <x:c r="BF813" s="47"/>
      <x:c r="BG813" s="60"/>
      <x:c r="BH813" s="58"/>
      <x:c r="BI813" s="47"/>
      <x:c r="BJ813" s="60"/>
      <x:c r="BK813" s="58"/>
      <x:c r="BL813" s="47"/>
      <x:c r="BM813" s="60"/>
      <x:c r="BN813" s="58"/>
      <x:c r="BO813" s="47"/>
      <x:c r="BP813" s="60"/>
      <x:c r="BQ813" s="58"/>
      <x:c r="BR813" s="47"/>
      <x:c r="BS813" s="60"/>
      <x:c r="BT813" s="58"/>
      <x:c r="BU813" s="47"/>
      <x:c r="BV813" s="60"/>
      <x:c r="BW813" s="58"/>
      <x:c r="BX813" s="47"/>
      <x:c r="BY813" s="60"/>
      <x:c r="BZ813" s="58"/>
      <x:c r="CA813" s="47"/>
      <x:c r="CB813" s="60"/>
      <x:c r="CC813" s="58"/>
      <x:c r="CD813" s="47"/>
      <x:c r="CE813" s="60"/>
      <x:c r="CF813" s="58"/>
      <x:c r="CG813" s="47"/>
      <x:c r="CH813" s="60"/>
      <x:c r="CI813" s="58"/>
      <x:c r="CJ813" s="47"/>
      <x:c r="CK813" s="60"/>
      <x:c r="CL813" s="58"/>
      <x:c r="CM813" s="47"/>
      <x:c r="CN813" s="60"/>
      <x:c r="CO813" s="58"/>
      <x:c r="CP813" s="47"/>
      <x:c r="CQ813" s="60"/>
      <x:c r="CR813" s="58"/>
      <x:c r="CS813" s="47"/>
      <x:c r="CT813" s="60"/>
      <x:c r="CU813" s="58"/>
      <x:c r="CV813" s="47"/>
      <x:c r="CW813" s="60"/>
      <x:c r="CX813" s="58"/>
      <x:c r="CY813" s="47"/>
      <x:c r="CZ813" s="60"/>
      <x:c r="DA813" s="58"/>
      <x:c r="DB813" s="47"/>
      <x:c r="DC813" s="60"/>
      <x:c r="DD813" s="58"/>
      <x:c r="DE813" s="47"/>
      <x:c r="DF813" s="60"/>
      <x:c r="DG813" s="58"/>
      <x:c r="DH813" s="47"/>
      <x:c r="DI813" s="60"/>
      <x:c r="DJ813" s="58"/>
      <x:c r="DK813" s="47"/>
      <x:c r="DL813" s="60"/>
      <x:c r="DM813" s="58"/>
      <x:c r="DN813" s="11"/>
      <x:c r="DO813" s="61"/>
      <x:c r="DP813" s="62"/>
      <x:c r="DQ813" s="11"/>
      <x:c r="DR813" s="61"/>
      <x:c r="DS813" s="62"/>
      <x:c r="DT813" s="11"/>
      <x:c r="DU813" s="61"/>
      <x:c r="DV813" s="62"/>
    </x:row>
    <x:row r="814" spans="1:126" x14ac:dyDescent="0.3">
      <x:c r="A814" s="47"/>
      <x:c r="B814" s="70"/>
      <x:c r="C814" s="70"/>
      <x:c r="D814" s="70"/>
      <x:c r="E814" s="70"/>
      <x:c r="F814" s="70"/>
      <x:c r="G814" s="70"/>
      <x:c r="H814" s="70"/>
      <x:c r="I814" s="70"/>
      <x:c r="J814" s="70"/>
      <x:c r="K814" s="190"/>
      <x:c r="L814" s="195"/>
      <x:c r="M814" s="192"/>
      <x:c r="N814" s="192"/>
      <x:c r="O814" s="69"/>
      <x:c r="P814" s="47"/>
      <x:c r="Q814" s="60"/>
      <x:c r="R814" s="58"/>
      <x:c r="S814" s="47"/>
      <x:c r="T814" s="60"/>
      <x:c r="U814" s="58"/>
      <x:c r="V814" s="47"/>
      <x:c r="W814" s="60"/>
      <x:c r="X814" s="58"/>
      <x:c r="Y814" s="47"/>
      <x:c r="Z814" s="60"/>
      <x:c r="AA814" s="58"/>
      <x:c r="AB814" s="47"/>
      <x:c r="AC814" s="60"/>
      <x:c r="AD814" s="58"/>
      <x:c r="AE814" s="47"/>
      <x:c r="AF814" s="60"/>
      <x:c r="AG814" s="58"/>
      <x:c r="AH814" s="47"/>
      <x:c r="AI814" s="60"/>
      <x:c r="AJ814" s="58"/>
      <x:c r="AK814" s="47"/>
      <x:c r="AL814" s="60"/>
      <x:c r="AM814" s="58"/>
      <x:c r="AN814" s="47"/>
      <x:c r="AO814" s="60"/>
      <x:c r="AP814" s="58"/>
      <x:c r="AQ814" s="47"/>
      <x:c r="AR814" s="60"/>
      <x:c r="AS814" s="58"/>
      <x:c r="AT814" s="47"/>
      <x:c r="AU814" s="60"/>
      <x:c r="AV814" s="58"/>
      <x:c r="AW814" s="47"/>
      <x:c r="AX814" s="60"/>
      <x:c r="AY814" s="58"/>
      <x:c r="AZ814" s="47"/>
      <x:c r="BA814" s="60"/>
      <x:c r="BB814" s="58"/>
      <x:c r="BC814" s="47"/>
      <x:c r="BD814" s="60"/>
      <x:c r="BE814" s="58"/>
      <x:c r="BF814" s="47"/>
      <x:c r="BG814" s="60"/>
      <x:c r="BH814" s="58"/>
      <x:c r="BI814" s="47"/>
      <x:c r="BJ814" s="60"/>
      <x:c r="BK814" s="58"/>
      <x:c r="BL814" s="47"/>
      <x:c r="BM814" s="60"/>
      <x:c r="BN814" s="58"/>
      <x:c r="BO814" s="47"/>
      <x:c r="BP814" s="60"/>
      <x:c r="BQ814" s="58"/>
      <x:c r="BR814" s="47"/>
      <x:c r="BS814" s="60"/>
      <x:c r="BT814" s="58"/>
      <x:c r="BU814" s="47"/>
      <x:c r="BV814" s="60"/>
      <x:c r="BW814" s="58"/>
      <x:c r="BX814" s="47"/>
      <x:c r="BY814" s="60"/>
      <x:c r="BZ814" s="58"/>
      <x:c r="CA814" s="47"/>
      <x:c r="CB814" s="60"/>
      <x:c r="CC814" s="58"/>
      <x:c r="CD814" s="47"/>
      <x:c r="CE814" s="60"/>
      <x:c r="CF814" s="58"/>
      <x:c r="CG814" s="47"/>
      <x:c r="CH814" s="60"/>
      <x:c r="CI814" s="58"/>
      <x:c r="CJ814" s="47"/>
      <x:c r="CK814" s="60"/>
      <x:c r="CL814" s="58"/>
      <x:c r="CM814" s="47"/>
      <x:c r="CN814" s="60"/>
      <x:c r="CO814" s="58"/>
      <x:c r="CP814" s="47"/>
      <x:c r="CQ814" s="60"/>
      <x:c r="CR814" s="58"/>
      <x:c r="CS814" s="47"/>
      <x:c r="CT814" s="60"/>
      <x:c r="CU814" s="58"/>
      <x:c r="CV814" s="47"/>
      <x:c r="CW814" s="60"/>
      <x:c r="CX814" s="58"/>
      <x:c r="CY814" s="47"/>
      <x:c r="CZ814" s="60"/>
      <x:c r="DA814" s="58"/>
      <x:c r="DB814" s="47"/>
      <x:c r="DC814" s="60"/>
      <x:c r="DD814" s="58"/>
      <x:c r="DE814" s="47"/>
      <x:c r="DF814" s="60"/>
      <x:c r="DG814" s="58"/>
      <x:c r="DH814" s="47"/>
      <x:c r="DI814" s="60"/>
      <x:c r="DJ814" s="58"/>
      <x:c r="DK814" s="47"/>
      <x:c r="DL814" s="60"/>
      <x:c r="DM814" s="58"/>
      <x:c r="DN814" s="11"/>
      <x:c r="DO814" s="61"/>
      <x:c r="DP814" s="62"/>
      <x:c r="DQ814" s="11"/>
      <x:c r="DR814" s="61"/>
      <x:c r="DS814" s="62"/>
      <x:c r="DT814" s="11"/>
      <x:c r="DU814" s="61"/>
      <x:c r="DV814" s="62"/>
    </x:row>
    <x:row r="815" spans="1:126" x14ac:dyDescent="0.3">
      <x:c r="A815" s="47"/>
      <x:c r="B815" s="70"/>
      <x:c r="C815" s="70"/>
      <x:c r="D815" s="70"/>
      <x:c r="E815" s="70"/>
      <x:c r="F815" s="70"/>
      <x:c r="G815" s="70"/>
      <x:c r="H815" s="70"/>
      <x:c r="I815" s="70"/>
      <x:c r="J815" s="70"/>
      <x:c r="K815" s="190"/>
      <x:c r="L815" s="195"/>
      <x:c r="M815" s="192"/>
      <x:c r="N815" s="192"/>
      <x:c r="O815" s="69"/>
      <x:c r="P815" s="47"/>
      <x:c r="Q815" s="60"/>
      <x:c r="R815" s="58"/>
      <x:c r="S815" s="47"/>
      <x:c r="T815" s="60"/>
      <x:c r="U815" s="58"/>
      <x:c r="V815" s="47"/>
      <x:c r="W815" s="60"/>
      <x:c r="X815" s="58"/>
      <x:c r="Y815" s="47"/>
      <x:c r="Z815" s="60"/>
      <x:c r="AA815" s="58"/>
      <x:c r="AB815" s="47"/>
      <x:c r="AC815" s="60"/>
      <x:c r="AD815" s="58"/>
      <x:c r="AE815" s="47"/>
      <x:c r="AF815" s="60"/>
      <x:c r="AG815" s="58"/>
      <x:c r="AH815" s="47"/>
      <x:c r="AI815" s="60"/>
      <x:c r="AJ815" s="58"/>
      <x:c r="AK815" s="47"/>
      <x:c r="AL815" s="60"/>
      <x:c r="AM815" s="58"/>
      <x:c r="AN815" s="47"/>
      <x:c r="AO815" s="60"/>
      <x:c r="AP815" s="58"/>
      <x:c r="AQ815" s="47"/>
      <x:c r="AR815" s="60"/>
      <x:c r="AS815" s="58"/>
      <x:c r="AT815" s="47"/>
      <x:c r="AU815" s="60"/>
      <x:c r="AV815" s="58"/>
      <x:c r="AW815" s="47"/>
      <x:c r="AX815" s="60"/>
      <x:c r="AY815" s="58"/>
      <x:c r="AZ815" s="47"/>
      <x:c r="BA815" s="60"/>
      <x:c r="BB815" s="58"/>
      <x:c r="BC815" s="47"/>
      <x:c r="BD815" s="60"/>
      <x:c r="BE815" s="58"/>
      <x:c r="BF815" s="47"/>
      <x:c r="BG815" s="60"/>
      <x:c r="BH815" s="58"/>
      <x:c r="BI815" s="47"/>
      <x:c r="BJ815" s="60"/>
      <x:c r="BK815" s="58"/>
      <x:c r="BL815" s="47"/>
      <x:c r="BM815" s="60"/>
      <x:c r="BN815" s="58"/>
      <x:c r="BO815" s="47"/>
      <x:c r="BP815" s="60"/>
      <x:c r="BQ815" s="58"/>
      <x:c r="BR815" s="47"/>
      <x:c r="BS815" s="60"/>
      <x:c r="BT815" s="58"/>
      <x:c r="BU815" s="47"/>
      <x:c r="BV815" s="60"/>
      <x:c r="BW815" s="58"/>
      <x:c r="BX815" s="47"/>
      <x:c r="BY815" s="60"/>
      <x:c r="BZ815" s="58"/>
      <x:c r="CA815" s="47"/>
      <x:c r="CB815" s="60"/>
      <x:c r="CC815" s="58"/>
      <x:c r="CD815" s="47"/>
      <x:c r="CE815" s="60"/>
      <x:c r="CF815" s="58"/>
      <x:c r="CG815" s="47"/>
      <x:c r="CH815" s="60"/>
      <x:c r="CI815" s="58"/>
      <x:c r="CJ815" s="47"/>
      <x:c r="CK815" s="60"/>
      <x:c r="CL815" s="58"/>
      <x:c r="CM815" s="47"/>
      <x:c r="CN815" s="60"/>
      <x:c r="CO815" s="58"/>
      <x:c r="CP815" s="47"/>
      <x:c r="CQ815" s="60"/>
      <x:c r="CR815" s="58"/>
      <x:c r="CS815" s="47"/>
      <x:c r="CT815" s="60"/>
      <x:c r="CU815" s="58"/>
      <x:c r="CV815" s="47"/>
      <x:c r="CW815" s="60"/>
      <x:c r="CX815" s="58"/>
      <x:c r="CY815" s="47"/>
      <x:c r="CZ815" s="60"/>
      <x:c r="DA815" s="58"/>
      <x:c r="DB815" s="47"/>
      <x:c r="DC815" s="60"/>
      <x:c r="DD815" s="58"/>
      <x:c r="DE815" s="47"/>
      <x:c r="DF815" s="60"/>
      <x:c r="DG815" s="58"/>
      <x:c r="DH815" s="47"/>
      <x:c r="DI815" s="60"/>
      <x:c r="DJ815" s="58"/>
      <x:c r="DK815" s="47"/>
      <x:c r="DL815" s="60"/>
      <x:c r="DM815" s="58"/>
      <x:c r="DN815" s="11"/>
      <x:c r="DO815" s="61"/>
      <x:c r="DP815" s="62"/>
      <x:c r="DQ815" s="11"/>
      <x:c r="DR815" s="61"/>
      <x:c r="DS815" s="62"/>
      <x:c r="DT815" s="11"/>
      <x:c r="DU815" s="61"/>
      <x:c r="DV815" s="62"/>
    </x:row>
    <x:row r="816" spans="1:126" x14ac:dyDescent="0.3">
      <x:c r="A816" s="47"/>
      <x:c r="B816" s="70"/>
      <x:c r="C816" s="70"/>
      <x:c r="D816" s="70"/>
      <x:c r="E816" s="70"/>
      <x:c r="F816" s="70"/>
      <x:c r="G816" s="70"/>
      <x:c r="H816" s="70"/>
      <x:c r="I816" s="70"/>
      <x:c r="J816" s="70"/>
      <x:c r="K816" s="190"/>
      <x:c r="L816" s="195"/>
      <x:c r="M816" s="192"/>
      <x:c r="N816" s="192"/>
      <x:c r="O816" s="69"/>
      <x:c r="P816" s="47"/>
      <x:c r="Q816" s="60"/>
      <x:c r="R816" s="58"/>
      <x:c r="S816" s="47"/>
      <x:c r="T816" s="60"/>
      <x:c r="U816" s="58"/>
      <x:c r="V816" s="47"/>
      <x:c r="W816" s="60"/>
      <x:c r="X816" s="58"/>
      <x:c r="Y816" s="47"/>
      <x:c r="Z816" s="60"/>
      <x:c r="AA816" s="58"/>
      <x:c r="AB816" s="47"/>
      <x:c r="AC816" s="60"/>
      <x:c r="AD816" s="58"/>
      <x:c r="AE816" s="47"/>
      <x:c r="AF816" s="60"/>
      <x:c r="AG816" s="58"/>
      <x:c r="AH816" s="47"/>
      <x:c r="AI816" s="60"/>
      <x:c r="AJ816" s="58"/>
      <x:c r="AK816" s="47"/>
      <x:c r="AL816" s="60"/>
      <x:c r="AM816" s="58"/>
      <x:c r="AN816" s="47"/>
      <x:c r="AO816" s="60"/>
      <x:c r="AP816" s="58"/>
      <x:c r="AQ816" s="47"/>
      <x:c r="AR816" s="60"/>
      <x:c r="AS816" s="58"/>
      <x:c r="AT816" s="47"/>
      <x:c r="AU816" s="60"/>
      <x:c r="AV816" s="58"/>
      <x:c r="AW816" s="47"/>
      <x:c r="AX816" s="60"/>
      <x:c r="AY816" s="58"/>
      <x:c r="AZ816" s="47"/>
      <x:c r="BA816" s="60"/>
      <x:c r="BB816" s="58"/>
      <x:c r="BC816" s="47"/>
      <x:c r="BD816" s="60"/>
      <x:c r="BE816" s="58"/>
      <x:c r="BF816" s="47"/>
      <x:c r="BG816" s="60"/>
      <x:c r="BH816" s="58"/>
      <x:c r="BI816" s="47"/>
      <x:c r="BJ816" s="60"/>
      <x:c r="BK816" s="58"/>
      <x:c r="BL816" s="47"/>
      <x:c r="BM816" s="60"/>
      <x:c r="BN816" s="58"/>
      <x:c r="BO816" s="47"/>
      <x:c r="BP816" s="60"/>
      <x:c r="BQ816" s="58"/>
      <x:c r="BR816" s="47"/>
      <x:c r="BS816" s="60"/>
      <x:c r="BT816" s="58"/>
      <x:c r="BU816" s="47"/>
      <x:c r="BV816" s="60"/>
      <x:c r="BW816" s="58"/>
      <x:c r="BX816" s="47"/>
      <x:c r="BY816" s="60"/>
      <x:c r="BZ816" s="58"/>
      <x:c r="CA816" s="47"/>
      <x:c r="CB816" s="60"/>
      <x:c r="CC816" s="58"/>
      <x:c r="CD816" s="47"/>
      <x:c r="CE816" s="60"/>
      <x:c r="CF816" s="58"/>
      <x:c r="CG816" s="47"/>
      <x:c r="CH816" s="60"/>
      <x:c r="CI816" s="58"/>
      <x:c r="CJ816" s="47"/>
      <x:c r="CK816" s="60"/>
      <x:c r="CL816" s="58"/>
      <x:c r="CM816" s="47"/>
      <x:c r="CN816" s="60"/>
      <x:c r="CO816" s="58"/>
      <x:c r="CP816" s="47"/>
      <x:c r="CQ816" s="60"/>
      <x:c r="CR816" s="58"/>
      <x:c r="CS816" s="47"/>
      <x:c r="CT816" s="60"/>
      <x:c r="CU816" s="58"/>
      <x:c r="CV816" s="47"/>
      <x:c r="CW816" s="60"/>
      <x:c r="CX816" s="58"/>
      <x:c r="CY816" s="47"/>
      <x:c r="CZ816" s="60"/>
      <x:c r="DA816" s="58"/>
      <x:c r="DB816" s="47"/>
      <x:c r="DC816" s="60"/>
      <x:c r="DD816" s="58"/>
      <x:c r="DE816" s="47"/>
      <x:c r="DF816" s="60"/>
      <x:c r="DG816" s="58"/>
      <x:c r="DH816" s="47"/>
      <x:c r="DI816" s="60"/>
      <x:c r="DJ816" s="58"/>
      <x:c r="DK816" s="47"/>
      <x:c r="DL816" s="60"/>
      <x:c r="DM816" s="58"/>
      <x:c r="DN816" s="11"/>
      <x:c r="DO816" s="61"/>
      <x:c r="DP816" s="62"/>
      <x:c r="DQ816" s="11"/>
      <x:c r="DR816" s="61"/>
      <x:c r="DS816" s="62"/>
      <x:c r="DT816" s="11"/>
      <x:c r="DU816" s="61"/>
      <x:c r="DV816" s="62"/>
    </x:row>
    <x:row r="817" spans="1:126" x14ac:dyDescent="0.3">
      <x:c r="A817" s="47"/>
      <x:c r="B817" s="70"/>
      <x:c r="C817" s="70"/>
      <x:c r="D817" s="70"/>
      <x:c r="E817" s="70"/>
      <x:c r="F817" s="70"/>
      <x:c r="G817" s="70"/>
      <x:c r="H817" s="70"/>
      <x:c r="I817" s="70"/>
      <x:c r="J817" s="70"/>
      <x:c r="K817" s="190"/>
      <x:c r="L817" s="195"/>
      <x:c r="M817" s="192"/>
      <x:c r="N817" s="192"/>
      <x:c r="O817" s="69"/>
      <x:c r="P817" s="47"/>
      <x:c r="Q817" s="60"/>
      <x:c r="R817" s="58"/>
      <x:c r="S817" s="47"/>
      <x:c r="T817" s="60"/>
      <x:c r="U817" s="58"/>
      <x:c r="V817" s="47"/>
      <x:c r="W817" s="60"/>
      <x:c r="X817" s="58"/>
      <x:c r="Y817" s="47"/>
      <x:c r="Z817" s="60"/>
      <x:c r="AA817" s="58"/>
      <x:c r="AB817" s="47"/>
      <x:c r="AC817" s="60"/>
      <x:c r="AD817" s="58"/>
      <x:c r="AE817" s="47"/>
      <x:c r="AF817" s="60"/>
      <x:c r="AG817" s="58"/>
      <x:c r="AH817" s="47"/>
      <x:c r="AI817" s="60"/>
      <x:c r="AJ817" s="58"/>
      <x:c r="AK817" s="47"/>
      <x:c r="AL817" s="60"/>
      <x:c r="AM817" s="58"/>
      <x:c r="AN817" s="47"/>
      <x:c r="AO817" s="60"/>
      <x:c r="AP817" s="58"/>
      <x:c r="AQ817" s="47"/>
      <x:c r="AR817" s="60"/>
      <x:c r="AS817" s="58"/>
      <x:c r="AT817" s="47"/>
      <x:c r="AU817" s="60"/>
      <x:c r="AV817" s="58"/>
      <x:c r="AW817" s="47"/>
      <x:c r="AX817" s="60"/>
      <x:c r="AY817" s="58"/>
      <x:c r="AZ817" s="47"/>
      <x:c r="BA817" s="60"/>
      <x:c r="BB817" s="58"/>
      <x:c r="BC817" s="47"/>
      <x:c r="BD817" s="60"/>
      <x:c r="BE817" s="58"/>
      <x:c r="BF817" s="47"/>
      <x:c r="BG817" s="60"/>
      <x:c r="BH817" s="58"/>
      <x:c r="BI817" s="47"/>
      <x:c r="BJ817" s="60"/>
      <x:c r="BK817" s="58"/>
      <x:c r="BL817" s="47"/>
      <x:c r="BM817" s="60"/>
      <x:c r="BN817" s="58"/>
      <x:c r="BO817" s="47"/>
      <x:c r="BP817" s="60"/>
      <x:c r="BQ817" s="58"/>
      <x:c r="BR817" s="47"/>
      <x:c r="BS817" s="60"/>
      <x:c r="BT817" s="58"/>
      <x:c r="BU817" s="47"/>
      <x:c r="BV817" s="60"/>
      <x:c r="BW817" s="58"/>
      <x:c r="BX817" s="47"/>
      <x:c r="BY817" s="60"/>
      <x:c r="BZ817" s="58"/>
      <x:c r="CA817" s="47"/>
      <x:c r="CB817" s="60"/>
      <x:c r="CC817" s="58"/>
      <x:c r="CD817" s="47"/>
      <x:c r="CE817" s="60"/>
      <x:c r="CF817" s="58"/>
      <x:c r="CG817" s="47"/>
      <x:c r="CH817" s="60"/>
      <x:c r="CI817" s="58"/>
      <x:c r="CJ817" s="47"/>
      <x:c r="CK817" s="60"/>
      <x:c r="CL817" s="58"/>
      <x:c r="CM817" s="47"/>
      <x:c r="CN817" s="60"/>
      <x:c r="CO817" s="58"/>
      <x:c r="CP817" s="47"/>
      <x:c r="CQ817" s="60"/>
      <x:c r="CR817" s="58"/>
      <x:c r="CS817" s="47"/>
      <x:c r="CT817" s="60"/>
      <x:c r="CU817" s="58"/>
      <x:c r="CV817" s="47"/>
      <x:c r="CW817" s="60"/>
      <x:c r="CX817" s="58"/>
      <x:c r="CY817" s="47"/>
      <x:c r="CZ817" s="60"/>
      <x:c r="DA817" s="58"/>
      <x:c r="DB817" s="47"/>
      <x:c r="DC817" s="60"/>
      <x:c r="DD817" s="58"/>
      <x:c r="DE817" s="47"/>
      <x:c r="DF817" s="60"/>
      <x:c r="DG817" s="58"/>
      <x:c r="DH817" s="47"/>
      <x:c r="DI817" s="60"/>
      <x:c r="DJ817" s="58"/>
      <x:c r="DK817" s="47"/>
      <x:c r="DL817" s="60"/>
      <x:c r="DM817" s="58"/>
      <x:c r="DN817" s="11"/>
      <x:c r="DO817" s="61"/>
      <x:c r="DP817" s="62"/>
      <x:c r="DQ817" s="11"/>
      <x:c r="DR817" s="61"/>
      <x:c r="DS817" s="62"/>
      <x:c r="DT817" s="11"/>
      <x:c r="DU817" s="61"/>
      <x:c r="DV817" s="62"/>
    </x:row>
    <x:row r="818" spans="1:126" x14ac:dyDescent="0.3">
      <x:c r="A818" s="47"/>
      <x:c r="B818" s="70"/>
      <x:c r="C818" s="70"/>
      <x:c r="D818" s="70"/>
      <x:c r="E818" s="70"/>
      <x:c r="F818" s="70"/>
      <x:c r="G818" s="70"/>
      <x:c r="H818" s="70"/>
      <x:c r="I818" s="70"/>
      <x:c r="J818" s="70"/>
      <x:c r="K818" s="190"/>
      <x:c r="L818" s="195"/>
      <x:c r="M818" s="192"/>
      <x:c r="N818" s="192"/>
      <x:c r="O818" s="69"/>
      <x:c r="P818" s="47"/>
      <x:c r="Q818" s="60"/>
      <x:c r="R818" s="58"/>
      <x:c r="S818" s="47"/>
      <x:c r="T818" s="60"/>
      <x:c r="U818" s="58"/>
      <x:c r="V818" s="47"/>
      <x:c r="W818" s="60"/>
      <x:c r="X818" s="58"/>
      <x:c r="Y818" s="47"/>
      <x:c r="Z818" s="60"/>
      <x:c r="AA818" s="58"/>
      <x:c r="AB818" s="47"/>
      <x:c r="AC818" s="60"/>
      <x:c r="AD818" s="58"/>
      <x:c r="AE818" s="47"/>
      <x:c r="AF818" s="60"/>
      <x:c r="AG818" s="58"/>
      <x:c r="AH818" s="47"/>
      <x:c r="AI818" s="60"/>
      <x:c r="AJ818" s="58"/>
      <x:c r="AK818" s="47"/>
      <x:c r="AL818" s="60"/>
      <x:c r="AM818" s="58"/>
      <x:c r="AN818" s="47"/>
      <x:c r="AO818" s="60"/>
      <x:c r="AP818" s="58"/>
      <x:c r="AQ818" s="47"/>
      <x:c r="AR818" s="60"/>
      <x:c r="AS818" s="58"/>
      <x:c r="AT818" s="47"/>
      <x:c r="AU818" s="60"/>
      <x:c r="AV818" s="58"/>
      <x:c r="AW818" s="47"/>
      <x:c r="AX818" s="60"/>
      <x:c r="AY818" s="58"/>
      <x:c r="AZ818" s="47"/>
      <x:c r="BA818" s="60"/>
      <x:c r="BB818" s="58"/>
      <x:c r="BC818" s="47"/>
      <x:c r="BD818" s="60"/>
      <x:c r="BE818" s="58"/>
      <x:c r="BF818" s="47"/>
      <x:c r="BG818" s="60"/>
      <x:c r="BH818" s="58"/>
      <x:c r="BI818" s="47"/>
      <x:c r="BJ818" s="60"/>
      <x:c r="BK818" s="58"/>
      <x:c r="BL818" s="47"/>
      <x:c r="BM818" s="60"/>
      <x:c r="BN818" s="58"/>
      <x:c r="BO818" s="47"/>
      <x:c r="BP818" s="60"/>
      <x:c r="BQ818" s="58"/>
      <x:c r="BR818" s="47"/>
      <x:c r="BS818" s="60"/>
      <x:c r="BT818" s="58"/>
      <x:c r="BU818" s="47"/>
      <x:c r="BV818" s="60"/>
      <x:c r="BW818" s="58"/>
      <x:c r="BX818" s="47"/>
      <x:c r="BY818" s="60"/>
      <x:c r="BZ818" s="58"/>
      <x:c r="CA818" s="47"/>
      <x:c r="CB818" s="60"/>
      <x:c r="CC818" s="58"/>
      <x:c r="CD818" s="47"/>
      <x:c r="CE818" s="60"/>
      <x:c r="CF818" s="58"/>
      <x:c r="CG818" s="47"/>
      <x:c r="CH818" s="60"/>
      <x:c r="CI818" s="58"/>
      <x:c r="CJ818" s="47"/>
      <x:c r="CK818" s="60"/>
      <x:c r="CL818" s="58"/>
      <x:c r="CM818" s="47"/>
      <x:c r="CN818" s="60"/>
      <x:c r="CO818" s="58"/>
      <x:c r="CP818" s="47"/>
      <x:c r="CQ818" s="60"/>
      <x:c r="CR818" s="58"/>
      <x:c r="CS818" s="47"/>
      <x:c r="CT818" s="60"/>
      <x:c r="CU818" s="58"/>
      <x:c r="CV818" s="47"/>
      <x:c r="CW818" s="60"/>
      <x:c r="CX818" s="58"/>
      <x:c r="CY818" s="47"/>
      <x:c r="CZ818" s="60"/>
      <x:c r="DA818" s="58"/>
      <x:c r="DB818" s="47"/>
      <x:c r="DC818" s="60"/>
      <x:c r="DD818" s="58"/>
      <x:c r="DE818" s="47"/>
      <x:c r="DF818" s="60"/>
      <x:c r="DG818" s="58"/>
      <x:c r="DH818" s="47"/>
      <x:c r="DI818" s="60"/>
      <x:c r="DJ818" s="58"/>
      <x:c r="DK818" s="47"/>
      <x:c r="DL818" s="60"/>
      <x:c r="DM818" s="58"/>
      <x:c r="DN818" s="11"/>
      <x:c r="DO818" s="61"/>
      <x:c r="DP818" s="62"/>
      <x:c r="DQ818" s="11"/>
      <x:c r="DR818" s="61"/>
      <x:c r="DS818" s="62"/>
      <x:c r="DT818" s="11"/>
      <x:c r="DU818" s="61"/>
      <x:c r="DV818" s="62"/>
    </x:row>
    <x:row r="819" spans="1:126" x14ac:dyDescent="0.3">
      <x:c r="A819" s="47"/>
      <x:c r="B819" s="70"/>
      <x:c r="C819" s="70"/>
      <x:c r="D819" s="70"/>
      <x:c r="E819" s="70"/>
      <x:c r="F819" s="70"/>
      <x:c r="G819" s="70"/>
      <x:c r="H819" s="70"/>
      <x:c r="I819" s="70"/>
      <x:c r="J819" s="70"/>
      <x:c r="K819" s="190"/>
      <x:c r="L819" s="195"/>
      <x:c r="M819" s="192"/>
      <x:c r="N819" s="192"/>
      <x:c r="O819" s="69"/>
      <x:c r="P819" s="47"/>
      <x:c r="Q819" s="60"/>
      <x:c r="R819" s="58"/>
      <x:c r="S819" s="47"/>
      <x:c r="T819" s="60"/>
      <x:c r="U819" s="58"/>
      <x:c r="V819" s="47"/>
      <x:c r="W819" s="60"/>
      <x:c r="X819" s="58"/>
      <x:c r="Y819" s="47"/>
      <x:c r="Z819" s="60"/>
      <x:c r="AA819" s="58"/>
      <x:c r="AB819" s="47"/>
      <x:c r="AC819" s="60"/>
      <x:c r="AD819" s="58"/>
      <x:c r="AE819" s="47"/>
      <x:c r="AF819" s="60"/>
      <x:c r="AG819" s="58"/>
      <x:c r="AH819" s="47"/>
      <x:c r="AI819" s="60"/>
      <x:c r="AJ819" s="58"/>
      <x:c r="AK819" s="47"/>
      <x:c r="AL819" s="60"/>
      <x:c r="AM819" s="58"/>
      <x:c r="AN819" s="47"/>
      <x:c r="AO819" s="60"/>
      <x:c r="AP819" s="58"/>
      <x:c r="AQ819" s="47"/>
      <x:c r="AR819" s="60"/>
      <x:c r="AS819" s="58"/>
      <x:c r="AT819" s="47"/>
      <x:c r="AU819" s="60"/>
      <x:c r="AV819" s="58"/>
      <x:c r="AW819" s="47"/>
      <x:c r="AX819" s="60"/>
      <x:c r="AY819" s="58"/>
      <x:c r="AZ819" s="47"/>
      <x:c r="BA819" s="60"/>
      <x:c r="BB819" s="58"/>
      <x:c r="BC819" s="47"/>
      <x:c r="BD819" s="60"/>
      <x:c r="BE819" s="58"/>
      <x:c r="BF819" s="47"/>
      <x:c r="BG819" s="60"/>
      <x:c r="BH819" s="58"/>
      <x:c r="BI819" s="47"/>
      <x:c r="BJ819" s="60"/>
      <x:c r="BK819" s="58"/>
      <x:c r="BL819" s="47"/>
      <x:c r="BM819" s="60"/>
      <x:c r="BN819" s="58"/>
      <x:c r="BO819" s="47"/>
      <x:c r="BP819" s="60"/>
      <x:c r="BQ819" s="58"/>
      <x:c r="BR819" s="47"/>
      <x:c r="BS819" s="60"/>
      <x:c r="BT819" s="58"/>
      <x:c r="BU819" s="47"/>
      <x:c r="BV819" s="60"/>
      <x:c r="BW819" s="58"/>
      <x:c r="BX819" s="47"/>
      <x:c r="BY819" s="60"/>
      <x:c r="BZ819" s="58"/>
      <x:c r="CA819" s="47"/>
      <x:c r="CB819" s="60"/>
      <x:c r="CC819" s="58"/>
      <x:c r="CD819" s="47"/>
      <x:c r="CE819" s="60"/>
      <x:c r="CF819" s="58"/>
      <x:c r="CG819" s="47"/>
      <x:c r="CH819" s="60"/>
      <x:c r="CI819" s="58"/>
      <x:c r="CJ819" s="47"/>
      <x:c r="CK819" s="60"/>
      <x:c r="CL819" s="58"/>
      <x:c r="CM819" s="47"/>
      <x:c r="CN819" s="60"/>
      <x:c r="CO819" s="58"/>
      <x:c r="CP819" s="47"/>
      <x:c r="CQ819" s="60"/>
      <x:c r="CR819" s="58"/>
      <x:c r="CS819" s="47"/>
      <x:c r="CT819" s="60"/>
      <x:c r="CU819" s="58"/>
      <x:c r="CV819" s="47"/>
      <x:c r="CW819" s="60"/>
      <x:c r="CX819" s="58"/>
      <x:c r="CY819" s="47"/>
      <x:c r="CZ819" s="60"/>
      <x:c r="DA819" s="58"/>
      <x:c r="DB819" s="47"/>
      <x:c r="DC819" s="60"/>
      <x:c r="DD819" s="58"/>
      <x:c r="DE819" s="47"/>
      <x:c r="DF819" s="60"/>
      <x:c r="DG819" s="58"/>
      <x:c r="DH819" s="47"/>
      <x:c r="DI819" s="60"/>
      <x:c r="DJ819" s="58"/>
      <x:c r="DK819" s="47"/>
      <x:c r="DL819" s="60"/>
      <x:c r="DM819" s="58"/>
      <x:c r="DN819" s="11"/>
      <x:c r="DO819" s="61"/>
      <x:c r="DP819" s="62"/>
      <x:c r="DQ819" s="11"/>
      <x:c r="DR819" s="61"/>
      <x:c r="DS819" s="62"/>
      <x:c r="DT819" s="11"/>
      <x:c r="DU819" s="61"/>
      <x:c r="DV819" s="62"/>
    </x:row>
    <x:row r="820" spans="1:126" x14ac:dyDescent="0.3">
      <x:c r="A820" s="47"/>
      <x:c r="B820" s="70"/>
      <x:c r="C820" s="70"/>
      <x:c r="D820" s="70"/>
      <x:c r="E820" s="70"/>
      <x:c r="F820" s="70"/>
      <x:c r="G820" s="70"/>
      <x:c r="H820" s="70"/>
      <x:c r="I820" s="70"/>
      <x:c r="J820" s="70"/>
      <x:c r="K820" s="190"/>
      <x:c r="L820" s="195"/>
      <x:c r="M820" s="192"/>
      <x:c r="N820" s="192"/>
      <x:c r="O820" s="69"/>
      <x:c r="P820" s="47"/>
      <x:c r="Q820" s="60"/>
      <x:c r="R820" s="58"/>
      <x:c r="S820" s="47"/>
      <x:c r="T820" s="60"/>
      <x:c r="U820" s="58"/>
      <x:c r="V820" s="47"/>
      <x:c r="W820" s="60"/>
      <x:c r="X820" s="58"/>
      <x:c r="Y820" s="47"/>
      <x:c r="Z820" s="60"/>
      <x:c r="AA820" s="58"/>
      <x:c r="AB820" s="47"/>
      <x:c r="AC820" s="60"/>
      <x:c r="AD820" s="58"/>
      <x:c r="AE820" s="47"/>
      <x:c r="AF820" s="60"/>
      <x:c r="AG820" s="58"/>
      <x:c r="AH820" s="47"/>
      <x:c r="AI820" s="60"/>
      <x:c r="AJ820" s="58"/>
      <x:c r="AK820" s="47"/>
      <x:c r="AL820" s="60"/>
      <x:c r="AM820" s="58"/>
      <x:c r="AN820" s="47"/>
      <x:c r="AO820" s="60"/>
      <x:c r="AP820" s="58"/>
      <x:c r="AQ820" s="47"/>
      <x:c r="AR820" s="60"/>
      <x:c r="AS820" s="58"/>
      <x:c r="AT820" s="47"/>
      <x:c r="AU820" s="60"/>
      <x:c r="AV820" s="58"/>
      <x:c r="AW820" s="47"/>
      <x:c r="AX820" s="60"/>
      <x:c r="AY820" s="58"/>
      <x:c r="AZ820" s="47"/>
      <x:c r="BA820" s="60"/>
      <x:c r="BB820" s="58"/>
      <x:c r="BC820" s="47"/>
      <x:c r="BD820" s="60"/>
      <x:c r="BE820" s="58"/>
      <x:c r="BF820" s="47"/>
      <x:c r="BG820" s="60"/>
      <x:c r="BH820" s="58"/>
      <x:c r="BI820" s="47"/>
      <x:c r="BJ820" s="60"/>
      <x:c r="BK820" s="58"/>
      <x:c r="BL820" s="47"/>
      <x:c r="BM820" s="60"/>
      <x:c r="BN820" s="58"/>
      <x:c r="BO820" s="47"/>
      <x:c r="BP820" s="60"/>
      <x:c r="BQ820" s="58"/>
      <x:c r="BR820" s="47"/>
      <x:c r="BS820" s="60"/>
      <x:c r="BT820" s="58"/>
      <x:c r="BU820" s="47"/>
      <x:c r="BV820" s="60"/>
      <x:c r="BW820" s="58"/>
      <x:c r="BX820" s="47"/>
      <x:c r="BY820" s="60"/>
      <x:c r="BZ820" s="58"/>
      <x:c r="CA820" s="47"/>
      <x:c r="CB820" s="60"/>
      <x:c r="CC820" s="58"/>
      <x:c r="CD820" s="47"/>
      <x:c r="CE820" s="60"/>
      <x:c r="CF820" s="58"/>
      <x:c r="CG820" s="47"/>
      <x:c r="CH820" s="60"/>
      <x:c r="CI820" s="58"/>
      <x:c r="CJ820" s="47"/>
      <x:c r="CK820" s="60"/>
      <x:c r="CL820" s="58"/>
      <x:c r="CM820" s="47"/>
      <x:c r="CN820" s="60"/>
      <x:c r="CO820" s="58"/>
      <x:c r="CP820" s="47"/>
      <x:c r="CQ820" s="60"/>
      <x:c r="CR820" s="58"/>
      <x:c r="CS820" s="47"/>
      <x:c r="CT820" s="60"/>
      <x:c r="CU820" s="58"/>
      <x:c r="CV820" s="47"/>
      <x:c r="CW820" s="60"/>
      <x:c r="CX820" s="58"/>
      <x:c r="CY820" s="47"/>
      <x:c r="CZ820" s="60"/>
      <x:c r="DA820" s="58"/>
      <x:c r="DB820" s="47"/>
      <x:c r="DC820" s="60"/>
      <x:c r="DD820" s="58"/>
      <x:c r="DE820" s="47"/>
      <x:c r="DF820" s="60"/>
      <x:c r="DG820" s="58"/>
      <x:c r="DH820" s="47"/>
      <x:c r="DI820" s="60"/>
      <x:c r="DJ820" s="58"/>
      <x:c r="DK820" s="47"/>
      <x:c r="DL820" s="60"/>
      <x:c r="DM820" s="58"/>
      <x:c r="DN820" s="11"/>
      <x:c r="DO820" s="61"/>
      <x:c r="DP820" s="62"/>
      <x:c r="DQ820" s="11"/>
      <x:c r="DR820" s="61"/>
      <x:c r="DS820" s="62"/>
      <x:c r="DT820" s="11"/>
      <x:c r="DU820" s="61"/>
      <x:c r="DV820" s="62"/>
    </x:row>
    <x:row r="821" spans="1:126" x14ac:dyDescent="0.3">
      <x:c r="A821" s="47"/>
      <x:c r="B821" s="70"/>
      <x:c r="C821" s="70"/>
      <x:c r="D821" s="70"/>
      <x:c r="E821" s="70"/>
      <x:c r="F821" s="70"/>
      <x:c r="G821" s="70"/>
      <x:c r="H821" s="70"/>
      <x:c r="I821" s="70"/>
      <x:c r="J821" s="70"/>
      <x:c r="K821" s="190"/>
      <x:c r="L821" s="195"/>
      <x:c r="M821" s="192"/>
      <x:c r="N821" s="192"/>
      <x:c r="O821" s="69"/>
      <x:c r="P821" s="47"/>
      <x:c r="Q821" s="60"/>
      <x:c r="R821" s="58"/>
      <x:c r="S821" s="47"/>
      <x:c r="T821" s="60"/>
      <x:c r="U821" s="58"/>
      <x:c r="V821" s="47"/>
      <x:c r="W821" s="60"/>
      <x:c r="X821" s="58"/>
      <x:c r="Y821" s="47"/>
      <x:c r="Z821" s="60"/>
      <x:c r="AA821" s="58"/>
      <x:c r="AB821" s="47"/>
      <x:c r="AC821" s="60"/>
      <x:c r="AD821" s="58"/>
      <x:c r="AE821" s="47"/>
      <x:c r="AF821" s="60"/>
      <x:c r="AG821" s="58"/>
      <x:c r="AH821" s="47"/>
      <x:c r="AI821" s="60"/>
      <x:c r="AJ821" s="58"/>
      <x:c r="AK821" s="47"/>
      <x:c r="AL821" s="60"/>
      <x:c r="AM821" s="58"/>
      <x:c r="AN821" s="47"/>
      <x:c r="AO821" s="60"/>
      <x:c r="AP821" s="58"/>
      <x:c r="AQ821" s="47"/>
      <x:c r="AR821" s="60"/>
      <x:c r="AS821" s="58"/>
      <x:c r="AT821" s="47"/>
      <x:c r="AU821" s="60"/>
      <x:c r="AV821" s="58"/>
      <x:c r="AW821" s="47"/>
      <x:c r="AX821" s="60"/>
      <x:c r="AY821" s="58"/>
      <x:c r="AZ821" s="47"/>
      <x:c r="BA821" s="60"/>
      <x:c r="BB821" s="58"/>
      <x:c r="BC821" s="47"/>
      <x:c r="BD821" s="60"/>
      <x:c r="BE821" s="58"/>
      <x:c r="BF821" s="47"/>
      <x:c r="BG821" s="60"/>
      <x:c r="BH821" s="58"/>
      <x:c r="BI821" s="47"/>
      <x:c r="BJ821" s="60"/>
      <x:c r="BK821" s="58"/>
      <x:c r="BL821" s="47"/>
      <x:c r="BM821" s="60"/>
      <x:c r="BN821" s="58"/>
      <x:c r="BO821" s="47"/>
      <x:c r="BP821" s="60"/>
      <x:c r="BQ821" s="58"/>
      <x:c r="BR821" s="47"/>
      <x:c r="BS821" s="60"/>
      <x:c r="BT821" s="58"/>
      <x:c r="BU821" s="47"/>
      <x:c r="BV821" s="60"/>
      <x:c r="BW821" s="58"/>
      <x:c r="BX821" s="47"/>
      <x:c r="BY821" s="60"/>
      <x:c r="BZ821" s="58"/>
      <x:c r="CA821" s="47"/>
      <x:c r="CB821" s="60"/>
      <x:c r="CC821" s="58"/>
      <x:c r="CD821" s="47"/>
      <x:c r="CE821" s="60"/>
      <x:c r="CF821" s="58"/>
      <x:c r="CG821" s="47"/>
      <x:c r="CH821" s="60"/>
      <x:c r="CI821" s="58"/>
      <x:c r="CJ821" s="47"/>
      <x:c r="CK821" s="60"/>
      <x:c r="CL821" s="58"/>
      <x:c r="CM821" s="47"/>
      <x:c r="CN821" s="60"/>
      <x:c r="CO821" s="58"/>
      <x:c r="CP821" s="47"/>
      <x:c r="CQ821" s="60"/>
      <x:c r="CR821" s="58"/>
      <x:c r="CS821" s="47"/>
      <x:c r="CT821" s="60"/>
      <x:c r="CU821" s="58"/>
      <x:c r="CV821" s="47"/>
      <x:c r="CW821" s="60"/>
      <x:c r="CX821" s="58"/>
      <x:c r="CY821" s="47"/>
      <x:c r="CZ821" s="60"/>
      <x:c r="DA821" s="58"/>
      <x:c r="DB821" s="47"/>
      <x:c r="DC821" s="60"/>
      <x:c r="DD821" s="58"/>
      <x:c r="DE821" s="47"/>
      <x:c r="DF821" s="60"/>
      <x:c r="DG821" s="58"/>
      <x:c r="DH821" s="47"/>
      <x:c r="DI821" s="60"/>
      <x:c r="DJ821" s="58"/>
      <x:c r="DK821" s="47"/>
      <x:c r="DL821" s="60"/>
      <x:c r="DM821" s="58"/>
      <x:c r="DN821" s="11"/>
      <x:c r="DO821" s="61"/>
      <x:c r="DP821" s="62"/>
      <x:c r="DQ821" s="11"/>
      <x:c r="DR821" s="61"/>
      <x:c r="DS821" s="62"/>
      <x:c r="DT821" s="11"/>
      <x:c r="DU821" s="61"/>
      <x:c r="DV821" s="62"/>
    </x:row>
    <x:row r="822" spans="1:126" x14ac:dyDescent="0.3">
      <x:c r="A822" s="47"/>
      <x:c r="B822" s="70"/>
      <x:c r="C822" s="70"/>
      <x:c r="D822" s="70"/>
      <x:c r="E822" s="70"/>
      <x:c r="F822" s="70"/>
      <x:c r="G822" s="70"/>
      <x:c r="H822" s="70"/>
      <x:c r="I822" s="70"/>
      <x:c r="J822" s="70"/>
      <x:c r="K822" s="190"/>
      <x:c r="L822" s="195"/>
      <x:c r="M822" s="192"/>
      <x:c r="N822" s="192"/>
      <x:c r="O822" s="69"/>
      <x:c r="P822" s="47"/>
      <x:c r="Q822" s="60"/>
      <x:c r="R822" s="58"/>
      <x:c r="S822" s="47"/>
      <x:c r="T822" s="60"/>
      <x:c r="U822" s="58"/>
      <x:c r="V822" s="47"/>
      <x:c r="W822" s="60"/>
      <x:c r="X822" s="58"/>
      <x:c r="Y822" s="47"/>
      <x:c r="Z822" s="60"/>
      <x:c r="AA822" s="58"/>
      <x:c r="AB822" s="47"/>
      <x:c r="AC822" s="60"/>
      <x:c r="AD822" s="58"/>
      <x:c r="AE822" s="47"/>
      <x:c r="AF822" s="60"/>
      <x:c r="AG822" s="58"/>
      <x:c r="AH822" s="47"/>
      <x:c r="AI822" s="60"/>
      <x:c r="AJ822" s="58"/>
      <x:c r="AK822" s="47"/>
      <x:c r="AL822" s="60"/>
      <x:c r="AM822" s="58"/>
      <x:c r="AN822" s="47"/>
      <x:c r="AO822" s="60"/>
      <x:c r="AP822" s="58"/>
      <x:c r="AQ822" s="47"/>
      <x:c r="AR822" s="60"/>
      <x:c r="AS822" s="58"/>
      <x:c r="AT822" s="47"/>
      <x:c r="AU822" s="60"/>
      <x:c r="AV822" s="58"/>
      <x:c r="AW822" s="47"/>
      <x:c r="AX822" s="60"/>
      <x:c r="AY822" s="58"/>
      <x:c r="AZ822" s="47"/>
      <x:c r="BA822" s="60"/>
      <x:c r="BB822" s="58"/>
      <x:c r="BC822" s="47"/>
      <x:c r="BD822" s="60"/>
      <x:c r="BE822" s="58"/>
      <x:c r="BF822" s="47"/>
      <x:c r="BG822" s="60"/>
      <x:c r="BH822" s="58"/>
      <x:c r="BI822" s="47"/>
      <x:c r="BJ822" s="60"/>
      <x:c r="BK822" s="58"/>
      <x:c r="BL822" s="47"/>
      <x:c r="BM822" s="60"/>
      <x:c r="BN822" s="58"/>
      <x:c r="BO822" s="47"/>
      <x:c r="BP822" s="60"/>
      <x:c r="BQ822" s="58"/>
      <x:c r="BR822" s="47"/>
      <x:c r="BS822" s="60"/>
      <x:c r="BT822" s="58"/>
      <x:c r="BU822" s="47"/>
      <x:c r="BV822" s="60"/>
      <x:c r="BW822" s="58"/>
      <x:c r="BX822" s="47"/>
      <x:c r="BY822" s="60"/>
      <x:c r="BZ822" s="58"/>
      <x:c r="CA822" s="47"/>
      <x:c r="CB822" s="60"/>
      <x:c r="CC822" s="58"/>
      <x:c r="CD822" s="47"/>
      <x:c r="CE822" s="60"/>
      <x:c r="CF822" s="58"/>
      <x:c r="CG822" s="47"/>
      <x:c r="CH822" s="60"/>
      <x:c r="CI822" s="58"/>
      <x:c r="CJ822" s="47"/>
      <x:c r="CK822" s="60"/>
      <x:c r="CL822" s="58"/>
      <x:c r="CM822" s="47"/>
      <x:c r="CN822" s="60"/>
      <x:c r="CO822" s="58"/>
      <x:c r="CP822" s="47"/>
      <x:c r="CQ822" s="60"/>
      <x:c r="CR822" s="58"/>
      <x:c r="CS822" s="47"/>
      <x:c r="CT822" s="60"/>
      <x:c r="CU822" s="58"/>
      <x:c r="CV822" s="47"/>
      <x:c r="CW822" s="60"/>
      <x:c r="CX822" s="58"/>
      <x:c r="CY822" s="47"/>
      <x:c r="CZ822" s="60"/>
      <x:c r="DA822" s="58"/>
      <x:c r="DB822" s="47"/>
      <x:c r="DC822" s="60"/>
      <x:c r="DD822" s="58"/>
      <x:c r="DE822" s="47"/>
      <x:c r="DF822" s="60"/>
      <x:c r="DG822" s="58"/>
      <x:c r="DH822" s="47"/>
      <x:c r="DI822" s="60"/>
      <x:c r="DJ822" s="58"/>
      <x:c r="DK822" s="47"/>
      <x:c r="DL822" s="60"/>
      <x:c r="DM822" s="58"/>
      <x:c r="DN822" s="11"/>
      <x:c r="DO822" s="61"/>
      <x:c r="DP822" s="62"/>
      <x:c r="DQ822" s="11"/>
      <x:c r="DR822" s="61"/>
      <x:c r="DS822" s="62"/>
      <x:c r="DT822" s="11"/>
      <x:c r="DU822" s="61"/>
      <x:c r="DV822" s="62"/>
    </x:row>
    <x:row r="823" spans="1:126" x14ac:dyDescent="0.3">
      <x:c r="A823" s="47"/>
      <x:c r="B823" s="70"/>
      <x:c r="C823" s="70"/>
      <x:c r="D823" s="70"/>
      <x:c r="E823" s="70"/>
      <x:c r="F823" s="70"/>
      <x:c r="G823" s="70"/>
      <x:c r="H823" s="70"/>
      <x:c r="I823" s="70"/>
      <x:c r="J823" s="70"/>
      <x:c r="K823" s="190"/>
      <x:c r="L823" s="195"/>
      <x:c r="M823" s="192"/>
      <x:c r="N823" s="192"/>
      <x:c r="O823" s="69"/>
      <x:c r="P823" s="47"/>
      <x:c r="Q823" s="60"/>
      <x:c r="R823" s="58"/>
      <x:c r="S823" s="47"/>
      <x:c r="T823" s="60"/>
      <x:c r="U823" s="58"/>
      <x:c r="V823" s="47"/>
      <x:c r="W823" s="60"/>
      <x:c r="X823" s="58"/>
      <x:c r="Y823" s="47"/>
      <x:c r="Z823" s="60"/>
      <x:c r="AA823" s="58"/>
      <x:c r="AB823" s="47"/>
      <x:c r="AC823" s="60"/>
      <x:c r="AD823" s="58"/>
      <x:c r="AE823" s="47"/>
      <x:c r="AF823" s="60"/>
      <x:c r="AG823" s="58"/>
      <x:c r="AH823" s="47"/>
      <x:c r="AI823" s="60"/>
      <x:c r="AJ823" s="58"/>
      <x:c r="AK823" s="47"/>
      <x:c r="AL823" s="60"/>
      <x:c r="AM823" s="58"/>
      <x:c r="AN823" s="47"/>
      <x:c r="AO823" s="60"/>
      <x:c r="AP823" s="58"/>
      <x:c r="AQ823" s="47"/>
      <x:c r="AR823" s="60"/>
      <x:c r="AS823" s="58"/>
      <x:c r="AT823" s="47"/>
      <x:c r="AU823" s="60"/>
      <x:c r="AV823" s="58"/>
      <x:c r="AW823" s="47"/>
      <x:c r="AX823" s="60"/>
      <x:c r="AY823" s="58"/>
      <x:c r="AZ823" s="47"/>
      <x:c r="BA823" s="60"/>
      <x:c r="BB823" s="58"/>
      <x:c r="BC823" s="47"/>
      <x:c r="BD823" s="60"/>
      <x:c r="BE823" s="58"/>
      <x:c r="BF823" s="47"/>
      <x:c r="BG823" s="60"/>
      <x:c r="BH823" s="58"/>
      <x:c r="BI823" s="47"/>
      <x:c r="BJ823" s="60"/>
      <x:c r="BK823" s="58"/>
      <x:c r="BL823" s="47"/>
      <x:c r="BM823" s="60"/>
      <x:c r="BN823" s="58"/>
      <x:c r="BO823" s="47"/>
      <x:c r="BP823" s="60"/>
      <x:c r="BQ823" s="58"/>
      <x:c r="BR823" s="47"/>
      <x:c r="BS823" s="60"/>
      <x:c r="BT823" s="58"/>
      <x:c r="BU823" s="47"/>
      <x:c r="BV823" s="60"/>
      <x:c r="BW823" s="58"/>
      <x:c r="BX823" s="47"/>
      <x:c r="BY823" s="60"/>
      <x:c r="BZ823" s="58"/>
      <x:c r="CA823" s="47"/>
      <x:c r="CB823" s="60"/>
      <x:c r="CC823" s="58"/>
      <x:c r="CD823" s="47"/>
      <x:c r="CE823" s="60"/>
      <x:c r="CF823" s="58"/>
      <x:c r="CG823" s="47"/>
      <x:c r="CH823" s="60"/>
      <x:c r="CI823" s="58"/>
      <x:c r="CJ823" s="47"/>
      <x:c r="CK823" s="60"/>
      <x:c r="CL823" s="58"/>
      <x:c r="CM823" s="47"/>
      <x:c r="CN823" s="60"/>
      <x:c r="CO823" s="58"/>
      <x:c r="CP823" s="47"/>
      <x:c r="CQ823" s="60"/>
      <x:c r="CR823" s="58"/>
      <x:c r="CS823" s="47"/>
      <x:c r="CT823" s="60"/>
      <x:c r="CU823" s="58"/>
      <x:c r="CV823" s="47"/>
      <x:c r="CW823" s="60"/>
      <x:c r="CX823" s="58"/>
      <x:c r="CY823" s="47"/>
      <x:c r="CZ823" s="60"/>
      <x:c r="DA823" s="58"/>
      <x:c r="DB823" s="47"/>
      <x:c r="DC823" s="60"/>
      <x:c r="DD823" s="58"/>
      <x:c r="DE823" s="47"/>
      <x:c r="DF823" s="60"/>
      <x:c r="DG823" s="58"/>
      <x:c r="DH823" s="47"/>
      <x:c r="DI823" s="60"/>
      <x:c r="DJ823" s="58"/>
      <x:c r="DK823" s="47"/>
      <x:c r="DL823" s="60"/>
      <x:c r="DM823" s="58"/>
      <x:c r="DN823" s="11"/>
      <x:c r="DO823" s="61"/>
      <x:c r="DP823" s="62"/>
      <x:c r="DQ823" s="11"/>
      <x:c r="DR823" s="61"/>
      <x:c r="DS823" s="62"/>
      <x:c r="DT823" s="11"/>
      <x:c r="DU823" s="61"/>
      <x:c r="DV823" s="62"/>
    </x:row>
    <x:row r="824" spans="1:126" x14ac:dyDescent="0.3">
      <x:c r="A824" s="47"/>
      <x:c r="B824" s="70"/>
      <x:c r="C824" s="70"/>
      <x:c r="D824" s="70"/>
      <x:c r="E824" s="70"/>
      <x:c r="F824" s="70"/>
      <x:c r="G824" s="70"/>
      <x:c r="H824" s="70"/>
      <x:c r="I824" s="70"/>
      <x:c r="J824" s="70"/>
      <x:c r="K824" s="190"/>
      <x:c r="L824" s="195"/>
      <x:c r="M824" s="192"/>
      <x:c r="N824" s="192"/>
      <x:c r="O824" s="69"/>
      <x:c r="P824" s="47"/>
      <x:c r="Q824" s="60"/>
      <x:c r="R824" s="58"/>
      <x:c r="S824" s="47"/>
      <x:c r="T824" s="60"/>
      <x:c r="U824" s="58"/>
      <x:c r="V824" s="47"/>
      <x:c r="W824" s="60"/>
      <x:c r="X824" s="58"/>
      <x:c r="Y824" s="47"/>
      <x:c r="Z824" s="60"/>
      <x:c r="AA824" s="58"/>
      <x:c r="AB824" s="47"/>
      <x:c r="AC824" s="60"/>
      <x:c r="AD824" s="58"/>
      <x:c r="AE824" s="47"/>
      <x:c r="AF824" s="60"/>
      <x:c r="AG824" s="58"/>
      <x:c r="AH824" s="47"/>
      <x:c r="AI824" s="60"/>
      <x:c r="AJ824" s="58"/>
      <x:c r="AK824" s="47"/>
      <x:c r="AL824" s="60"/>
      <x:c r="AM824" s="58"/>
      <x:c r="AN824" s="47"/>
      <x:c r="AO824" s="60"/>
      <x:c r="AP824" s="58"/>
      <x:c r="AQ824" s="47"/>
      <x:c r="AR824" s="60"/>
      <x:c r="AS824" s="58"/>
      <x:c r="AT824" s="47"/>
      <x:c r="AU824" s="60"/>
      <x:c r="AV824" s="58"/>
      <x:c r="AW824" s="47"/>
      <x:c r="AX824" s="60"/>
      <x:c r="AY824" s="58"/>
      <x:c r="AZ824" s="47"/>
      <x:c r="BA824" s="60"/>
      <x:c r="BB824" s="58"/>
      <x:c r="BC824" s="47"/>
      <x:c r="BD824" s="60"/>
      <x:c r="BE824" s="58"/>
      <x:c r="BF824" s="47"/>
      <x:c r="BG824" s="60"/>
      <x:c r="BH824" s="58"/>
      <x:c r="BI824" s="47"/>
      <x:c r="BJ824" s="60"/>
      <x:c r="BK824" s="58"/>
      <x:c r="BL824" s="47"/>
      <x:c r="BM824" s="60"/>
      <x:c r="BN824" s="58"/>
      <x:c r="BO824" s="47"/>
      <x:c r="BP824" s="60"/>
      <x:c r="BQ824" s="58"/>
      <x:c r="BR824" s="47"/>
      <x:c r="BS824" s="60"/>
      <x:c r="BT824" s="58"/>
      <x:c r="BU824" s="47"/>
      <x:c r="BV824" s="60"/>
      <x:c r="BW824" s="58"/>
      <x:c r="BX824" s="47"/>
      <x:c r="BY824" s="60"/>
      <x:c r="BZ824" s="58"/>
      <x:c r="CA824" s="47"/>
      <x:c r="CB824" s="60"/>
      <x:c r="CC824" s="58"/>
      <x:c r="CD824" s="47"/>
      <x:c r="CE824" s="60"/>
      <x:c r="CF824" s="58"/>
      <x:c r="CG824" s="47"/>
      <x:c r="CH824" s="60"/>
      <x:c r="CI824" s="58"/>
      <x:c r="CJ824" s="47"/>
      <x:c r="CK824" s="60"/>
      <x:c r="CL824" s="58"/>
      <x:c r="CM824" s="47"/>
      <x:c r="CN824" s="60"/>
      <x:c r="CO824" s="58"/>
      <x:c r="CP824" s="47"/>
      <x:c r="CQ824" s="60"/>
      <x:c r="CR824" s="58"/>
      <x:c r="CS824" s="47"/>
      <x:c r="CT824" s="60"/>
      <x:c r="CU824" s="58"/>
      <x:c r="CV824" s="47"/>
      <x:c r="CW824" s="60"/>
      <x:c r="CX824" s="58"/>
      <x:c r="CY824" s="47"/>
      <x:c r="CZ824" s="60"/>
      <x:c r="DA824" s="58"/>
      <x:c r="DB824" s="47"/>
      <x:c r="DC824" s="60"/>
      <x:c r="DD824" s="58"/>
      <x:c r="DE824" s="47"/>
      <x:c r="DF824" s="60"/>
      <x:c r="DG824" s="58"/>
      <x:c r="DH824" s="47"/>
      <x:c r="DI824" s="60"/>
      <x:c r="DJ824" s="58"/>
      <x:c r="DK824" s="47"/>
      <x:c r="DL824" s="60"/>
      <x:c r="DM824" s="58"/>
      <x:c r="DN824" s="11"/>
      <x:c r="DO824" s="61"/>
      <x:c r="DP824" s="62"/>
      <x:c r="DQ824" s="11"/>
      <x:c r="DR824" s="61"/>
      <x:c r="DS824" s="62"/>
      <x:c r="DT824" s="11"/>
      <x:c r="DU824" s="61"/>
      <x:c r="DV824" s="62"/>
    </x:row>
    <x:row r="825" spans="1:126" x14ac:dyDescent="0.3">
      <x:c r="A825" s="47"/>
      <x:c r="B825" s="70"/>
      <x:c r="C825" s="70"/>
      <x:c r="D825" s="70"/>
      <x:c r="E825" s="70"/>
      <x:c r="F825" s="70"/>
      <x:c r="G825" s="70"/>
      <x:c r="H825" s="70"/>
      <x:c r="I825" s="70"/>
      <x:c r="J825" s="70"/>
      <x:c r="K825" s="190"/>
      <x:c r="L825" s="195"/>
      <x:c r="M825" s="192"/>
      <x:c r="N825" s="192"/>
      <x:c r="O825" s="69"/>
      <x:c r="P825" s="47"/>
      <x:c r="Q825" s="60"/>
      <x:c r="R825" s="58"/>
      <x:c r="S825" s="47"/>
      <x:c r="T825" s="60"/>
      <x:c r="U825" s="58"/>
      <x:c r="V825" s="47"/>
      <x:c r="W825" s="60"/>
      <x:c r="X825" s="58"/>
      <x:c r="Y825" s="47"/>
      <x:c r="Z825" s="60"/>
      <x:c r="AA825" s="58"/>
      <x:c r="AB825" s="47"/>
      <x:c r="AC825" s="60"/>
      <x:c r="AD825" s="58"/>
      <x:c r="AE825" s="47"/>
      <x:c r="AF825" s="60"/>
      <x:c r="AG825" s="58"/>
      <x:c r="AH825" s="47"/>
      <x:c r="AI825" s="60"/>
      <x:c r="AJ825" s="58"/>
      <x:c r="AK825" s="47"/>
      <x:c r="AL825" s="60"/>
      <x:c r="AM825" s="58"/>
      <x:c r="AN825" s="47"/>
      <x:c r="AO825" s="60"/>
      <x:c r="AP825" s="58"/>
      <x:c r="AQ825" s="47"/>
      <x:c r="AR825" s="60"/>
      <x:c r="AS825" s="58"/>
      <x:c r="AT825" s="47"/>
      <x:c r="AU825" s="60"/>
      <x:c r="AV825" s="58"/>
      <x:c r="AW825" s="47"/>
      <x:c r="AX825" s="60"/>
      <x:c r="AY825" s="58"/>
      <x:c r="AZ825" s="47"/>
      <x:c r="BA825" s="60"/>
      <x:c r="BB825" s="58"/>
      <x:c r="BC825" s="47"/>
      <x:c r="BD825" s="60"/>
      <x:c r="BE825" s="58"/>
      <x:c r="BF825" s="47"/>
      <x:c r="BG825" s="60"/>
      <x:c r="BH825" s="58"/>
      <x:c r="BI825" s="47"/>
      <x:c r="BJ825" s="60"/>
      <x:c r="BK825" s="58"/>
      <x:c r="BL825" s="47"/>
      <x:c r="BM825" s="60"/>
      <x:c r="BN825" s="58"/>
      <x:c r="BO825" s="47"/>
      <x:c r="BP825" s="60"/>
      <x:c r="BQ825" s="58"/>
      <x:c r="BR825" s="47"/>
      <x:c r="BS825" s="60"/>
      <x:c r="BT825" s="58"/>
      <x:c r="BU825" s="47"/>
      <x:c r="BV825" s="60"/>
      <x:c r="BW825" s="58"/>
      <x:c r="BX825" s="47"/>
      <x:c r="BY825" s="60"/>
      <x:c r="BZ825" s="58"/>
      <x:c r="CA825" s="47"/>
      <x:c r="CB825" s="60"/>
      <x:c r="CC825" s="58"/>
      <x:c r="CD825" s="47"/>
      <x:c r="CE825" s="60"/>
      <x:c r="CF825" s="58"/>
      <x:c r="CG825" s="47"/>
      <x:c r="CH825" s="60"/>
      <x:c r="CI825" s="58"/>
      <x:c r="CJ825" s="47"/>
      <x:c r="CK825" s="60"/>
      <x:c r="CL825" s="58"/>
      <x:c r="CM825" s="47"/>
      <x:c r="CN825" s="60"/>
      <x:c r="CO825" s="58"/>
      <x:c r="CP825" s="47"/>
      <x:c r="CQ825" s="60"/>
      <x:c r="CR825" s="58"/>
      <x:c r="CS825" s="47"/>
      <x:c r="CT825" s="60"/>
      <x:c r="CU825" s="58"/>
      <x:c r="CV825" s="47"/>
      <x:c r="CW825" s="60"/>
      <x:c r="CX825" s="58"/>
      <x:c r="CY825" s="47"/>
      <x:c r="CZ825" s="60"/>
      <x:c r="DA825" s="58"/>
      <x:c r="DB825" s="47"/>
      <x:c r="DC825" s="60"/>
      <x:c r="DD825" s="58"/>
      <x:c r="DE825" s="47"/>
      <x:c r="DF825" s="60"/>
      <x:c r="DG825" s="58"/>
      <x:c r="DH825" s="47"/>
      <x:c r="DI825" s="60"/>
      <x:c r="DJ825" s="58"/>
      <x:c r="DK825" s="47"/>
      <x:c r="DL825" s="60"/>
      <x:c r="DM825" s="58"/>
      <x:c r="DN825" s="11"/>
      <x:c r="DO825" s="61"/>
      <x:c r="DP825" s="62"/>
      <x:c r="DQ825" s="11"/>
      <x:c r="DR825" s="61"/>
      <x:c r="DS825" s="62"/>
      <x:c r="DT825" s="11"/>
      <x:c r="DU825" s="61"/>
      <x:c r="DV825" s="62"/>
    </x:row>
    <x:row r="826" spans="1:126" x14ac:dyDescent="0.3">
      <x:c r="A826" s="47"/>
      <x:c r="B826" s="70"/>
      <x:c r="C826" s="70"/>
      <x:c r="D826" s="70"/>
      <x:c r="E826" s="70"/>
      <x:c r="F826" s="70"/>
      <x:c r="G826" s="70"/>
      <x:c r="H826" s="70"/>
      <x:c r="I826" s="70"/>
      <x:c r="J826" s="70"/>
      <x:c r="K826" s="190"/>
      <x:c r="L826" s="195"/>
      <x:c r="M826" s="192"/>
      <x:c r="N826" s="192"/>
      <x:c r="O826" s="69"/>
      <x:c r="P826" s="47"/>
      <x:c r="Q826" s="60"/>
      <x:c r="R826" s="58"/>
      <x:c r="S826" s="47"/>
      <x:c r="T826" s="60"/>
      <x:c r="U826" s="58"/>
      <x:c r="V826" s="47"/>
      <x:c r="W826" s="60"/>
      <x:c r="X826" s="58"/>
      <x:c r="Y826" s="47"/>
      <x:c r="Z826" s="60"/>
      <x:c r="AA826" s="58"/>
      <x:c r="AB826" s="47"/>
      <x:c r="AC826" s="60"/>
      <x:c r="AD826" s="58"/>
      <x:c r="AE826" s="47"/>
      <x:c r="AF826" s="60"/>
      <x:c r="AG826" s="58"/>
      <x:c r="AH826" s="47"/>
      <x:c r="AI826" s="60"/>
      <x:c r="AJ826" s="58"/>
      <x:c r="AK826" s="47"/>
      <x:c r="AL826" s="60"/>
      <x:c r="AM826" s="58"/>
      <x:c r="AN826" s="47"/>
      <x:c r="AO826" s="60"/>
      <x:c r="AP826" s="58"/>
      <x:c r="AQ826" s="47"/>
      <x:c r="AR826" s="60"/>
      <x:c r="AS826" s="58"/>
      <x:c r="AT826" s="47"/>
      <x:c r="AU826" s="60"/>
      <x:c r="AV826" s="58"/>
      <x:c r="AW826" s="47"/>
      <x:c r="AX826" s="60"/>
      <x:c r="AY826" s="58"/>
      <x:c r="AZ826" s="47"/>
      <x:c r="BA826" s="60"/>
      <x:c r="BB826" s="58"/>
      <x:c r="BC826" s="47"/>
      <x:c r="BD826" s="60"/>
      <x:c r="BE826" s="58"/>
      <x:c r="BF826" s="47"/>
      <x:c r="BG826" s="60"/>
      <x:c r="BH826" s="58"/>
      <x:c r="BI826" s="47"/>
      <x:c r="BJ826" s="60"/>
      <x:c r="BK826" s="58"/>
      <x:c r="BL826" s="47"/>
      <x:c r="BM826" s="60"/>
      <x:c r="BN826" s="58"/>
      <x:c r="BO826" s="47"/>
      <x:c r="BP826" s="60"/>
      <x:c r="BQ826" s="58"/>
      <x:c r="BR826" s="47"/>
      <x:c r="BS826" s="60"/>
      <x:c r="BT826" s="58"/>
      <x:c r="BU826" s="47"/>
      <x:c r="BV826" s="60"/>
      <x:c r="BW826" s="58"/>
      <x:c r="BX826" s="47"/>
      <x:c r="BY826" s="60"/>
      <x:c r="BZ826" s="58"/>
      <x:c r="CA826" s="47"/>
      <x:c r="CB826" s="60"/>
      <x:c r="CC826" s="58"/>
      <x:c r="CD826" s="47"/>
      <x:c r="CE826" s="60"/>
      <x:c r="CF826" s="58"/>
      <x:c r="CG826" s="47"/>
      <x:c r="CH826" s="60"/>
      <x:c r="CI826" s="58"/>
      <x:c r="CJ826" s="47"/>
      <x:c r="CK826" s="60"/>
      <x:c r="CL826" s="58"/>
      <x:c r="CM826" s="47"/>
      <x:c r="CN826" s="60"/>
      <x:c r="CO826" s="58"/>
      <x:c r="CP826" s="47"/>
      <x:c r="CQ826" s="60"/>
      <x:c r="CR826" s="58"/>
      <x:c r="CS826" s="47"/>
      <x:c r="CT826" s="60"/>
      <x:c r="CU826" s="58"/>
      <x:c r="CV826" s="47"/>
      <x:c r="CW826" s="60"/>
      <x:c r="CX826" s="58"/>
      <x:c r="CY826" s="47"/>
      <x:c r="CZ826" s="60"/>
      <x:c r="DA826" s="58"/>
      <x:c r="DB826" s="47"/>
      <x:c r="DC826" s="60"/>
      <x:c r="DD826" s="58"/>
      <x:c r="DE826" s="47"/>
      <x:c r="DF826" s="60"/>
      <x:c r="DG826" s="58"/>
      <x:c r="DH826" s="47"/>
      <x:c r="DI826" s="60"/>
      <x:c r="DJ826" s="58"/>
      <x:c r="DK826" s="47"/>
      <x:c r="DL826" s="60"/>
      <x:c r="DM826" s="58"/>
      <x:c r="DN826" s="11"/>
      <x:c r="DO826" s="61"/>
      <x:c r="DP826" s="62"/>
      <x:c r="DQ826" s="11"/>
      <x:c r="DR826" s="61"/>
      <x:c r="DS826" s="62"/>
      <x:c r="DT826" s="11"/>
      <x:c r="DU826" s="61"/>
      <x:c r="DV826" s="62"/>
    </x:row>
    <x:row r="827" spans="1:126" x14ac:dyDescent="0.3">
      <x:c r="A827" s="47"/>
      <x:c r="B827" s="70"/>
      <x:c r="C827" s="70"/>
      <x:c r="D827" s="70"/>
      <x:c r="E827" s="70"/>
      <x:c r="F827" s="70"/>
      <x:c r="G827" s="70"/>
      <x:c r="H827" s="70"/>
      <x:c r="I827" s="70"/>
      <x:c r="J827" s="70"/>
      <x:c r="K827" s="190"/>
      <x:c r="L827" s="195"/>
      <x:c r="M827" s="192"/>
      <x:c r="N827" s="192"/>
      <x:c r="O827" s="69"/>
      <x:c r="P827" s="47"/>
      <x:c r="Q827" s="60"/>
      <x:c r="R827" s="58"/>
      <x:c r="S827" s="47"/>
      <x:c r="T827" s="60"/>
      <x:c r="U827" s="58"/>
      <x:c r="V827" s="47"/>
      <x:c r="W827" s="60"/>
      <x:c r="X827" s="58"/>
      <x:c r="Y827" s="47"/>
      <x:c r="Z827" s="60"/>
      <x:c r="AA827" s="58"/>
      <x:c r="AB827" s="47"/>
      <x:c r="AC827" s="60"/>
      <x:c r="AD827" s="58"/>
      <x:c r="AE827" s="47"/>
      <x:c r="AF827" s="60"/>
      <x:c r="AG827" s="58"/>
      <x:c r="AH827" s="47"/>
      <x:c r="AI827" s="60"/>
      <x:c r="AJ827" s="58"/>
      <x:c r="AK827" s="47"/>
      <x:c r="AL827" s="60"/>
      <x:c r="AM827" s="58"/>
      <x:c r="AN827" s="47"/>
      <x:c r="AO827" s="60"/>
      <x:c r="AP827" s="58"/>
      <x:c r="AQ827" s="47"/>
      <x:c r="AR827" s="60"/>
      <x:c r="AS827" s="58"/>
      <x:c r="AT827" s="47"/>
      <x:c r="AU827" s="60"/>
      <x:c r="AV827" s="58"/>
      <x:c r="AW827" s="47"/>
      <x:c r="AX827" s="60"/>
      <x:c r="AY827" s="58"/>
      <x:c r="AZ827" s="47"/>
      <x:c r="BA827" s="60"/>
      <x:c r="BB827" s="58"/>
      <x:c r="BC827" s="47"/>
      <x:c r="BD827" s="60"/>
      <x:c r="BE827" s="58"/>
      <x:c r="BF827" s="47"/>
      <x:c r="BG827" s="60"/>
      <x:c r="BH827" s="58"/>
      <x:c r="BI827" s="47"/>
      <x:c r="BJ827" s="60"/>
      <x:c r="BK827" s="58"/>
      <x:c r="BL827" s="47"/>
      <x:c r="BM827" s="60"/>
      <x:c r="BN827" s="58"/>
      <x:c r="BO827" s="47"/>
      <x:c r="BP827" s="60"/>
      <x:c r="BQ827" s="58"/>
      <x:c r="BR827" s="47"/>
      <x:c r="BS827" s="60"/>
      <x:c r="BT827" s="58"/>
      <x:c r="BU827" s="47"/>
      <x:c r="BV827" s="60"/>
      <x:c r="BW827" s="58"/>
      <x:c r="BX827" s="47"/>
      <x:c r="BY827" s="60"/>
      <x:c r="BZ827" s="58"/>
      <x:c r="CA827" s="47"/>
      <x:c r="CB827" s="60"/>
      <x:c r="CC827" s="58"/>
      <x:c r="CD827" s="47"/>
      <x:c r="CE827" s="60"/>
      <x:c r="CF827" s="58"/>
      <x:c r="CG827" s="47"/>
      <x:c r="CH827" s="60"/>
      <x:c r="CI827" s="58"/>
      <x:c r="CJ827" s="47"/>
      <x:c r="CK827" s="60"/>
      <x:c r="CL827" s="58"/>
      <x:c r="CM827" s="47"/>
      <x:c r="CN827" s="60"/>
      <x:c r="CO827" s="58"/>
      <x:c r="CP827" s="47"/>
      <x:c r="CQ827" s="60"/>
      <x:c r="CR827" s="58"/>
      <x:c r="CS827" s="47"/>
      <x:c r="CT827" s="60"/>
      <x:c r="CU827" s="58"/>
      <x:c r="CV827" s="47"/>
      <x:c r="CW827" s="60"/>
      <x:c r="CX827" s="58"/>
      <x:c r="CY827" s="47"/>
      <x:c r="CZ827" s="60"/>
      <x:c r="DA827" s="58"/>
      <x:c r="DB827" s="47"/>
      <x:c r="DC827" s="60"/>
      <x:c r="DD827" s="58"/>
      <x:c r="DE827" s="47"/>
      <x:c r="DF827" s="60"/>
      <x:c r="DG827" s="58"/>
      <x:c r="DH827" s="47"/>
      <x:c r="DI827" s="60"/>
      <x:c r="DJ827" s="58"/>
      <x:c r="DK827" s="47"/>
      <x:c r="DL827" s="60"/>
      <x:c r="DM827" s="58"/>
      <x:c r="DN827" s="11"/>
      <x:c r="DO827" s="61"/>
      <x:c r="DP827" s="62"/>
      <x:c r="DQ827" s="11"/>
      <x:c r="DR827" s="61"/>
      <x:c r="DS827" s="62"/>
      <x:c r="DT827" s="11"/>
      <x:c r="DU827" s="61"/>
      <x:c r="DV827" s="62"/>
    </x:row>
    <x:row r="828" spans="1:126" x14ac:dyDescent="0.3">
      <x:c r="A828" s="47"/>
      <x:c r="B828" s="70"/>
      <x:c r="C828" s="70"/>
      <x:c r="D828" s="70"/>
      <x:c r="E828" s="70"/>
      <x:c r="F828" s="70"/>
      <x:c r="G828" s="70"/>
      <x:c r="H828" s="70"/>
      <x:c r="I828" s="70"/>
      <x:c r="J828" s="70"/>
      <x:c r="K828" s="190"/>
      <x:c r="L828" s="195"/>
      <x:c r="M828" s="192"/>
      <x:c r="N828" s="192"/>
      <x:c r="O828" s="69"/>
      <x:c r="P828" s="47"/>
      <x:c r="Q828" s="60"/>
      <x:c r="R828" s="58"/>
      <x:c r="S828" s="47"/>
      <x:c r="T828" s="60"/>
      <x:c r="U828" s="58"/>
      <x:c r="V828" s="47"/>
      <x:c r="W828" s="60"/>
      <x:c r="X828" s="58"/>
      <x:c r="Y828" s="47"/>
      <x:c r="Z828" s="60"/>
      <x:c r="AA828" s="58"/>
      <x:c r="AB828" s="47"/>
      <x:c r="AC828" s="60"/>
      <x:c r="AD828" s="58"/>
      <x:c r="AE828" s="47"/>
      <x:c r="AF828" s="60"/>
      <x:c r="AG828" s="58"/>
      <x:c r="AH828" s="47"/>
      <x:c r="AI828" s="60"/>
      <x:c r="AJ828" s="58"/>
      <x:c r="AK828" s="47"/>
      <x:c r="AL828" s="60"/>
      <x:c r="AM828" s="58"/>
      <x:c r="AN828" s="47"/>
      <x:c r="AO828" s="60"/>
      <x:c r="AP828" s="58"/>
      <x:c r="AQ828" s="47"/>
      <x:c r="AR828" s="60"/>
      <x:c r="AS828" s="58"/>
      <x:c r="AT828" s="47"/>
      <x:c r="AU828" s="60"/>
      <x:c r="AV828" s="58"/>
      <x:c r="AW828" s="47"/>
      <x:c r="AX828" s="60"/>
      <x:c r="AY828" s="58"/>
      <x:c r="AZ828" s="47"/>
      <x:c r="BA828" s="60"/>
      <x:c r="BB828" s="58"/>
      <x:c r="BC828" s="47"/>
      <x:c r="BD828" s="60"/>
      <x:c r="BE828" s="58"/>
      <x:c r="BF828" s="47"/>
      <x:c r="BG828" s="60"/>
      <x:c r="BH828" s="58"/>
      <x:c r="BI828" s="47"/>
      <x:c r="BJ828" s="60"/>
      <x:c r="BK828" s="58"/>
      <x:c r="BL828" s="47"/>
      <x:c r="BM828" s="60"/>
      <x:c r="BN828" s="58"/>
      <x:c r="BO828" s="47"/>
      <x:c r="BP828" s="60"/>
      <x:c r="BQ828" s="58"/>
      <x:c r="BR828" s="47"/>
      <x:c r="BS828" s="60"/>
      <x:c r="BT828" s="58"/>
      <x:c r="BU828" s="47"/>
      <x:c r="BV828" s="60"/>
      <x:c r="BW828" s="58"/>
      <x:c r="BX828" s="47"/>
      <x:c r="BY828" s="60"/>
      <x:c r="BZ828" s="58"/>
      <x:c r="CA828" s="47"/>
      <x:c r="CB828" s="60"/>
      <x:c r="CC828" s="58"/>
      <x:c r="CD828" s="47"/>
      <x:c r="CE828" s="60"/>
      <x:c r="CF828" s="58"/>
      <x:c r="CG828" s="47"/>
      <x:c r="CH828" s="60"/>
      <x:c r="CI828" s="58"/>
      <x:c r="CJ828" s="47"/>
      <x:c r="CK828" s="60"/>
      <x:c r="CL828" s="58"/>
      <x:c r="CM828" s="47"/>
      <x:c r="CN828" s="60"/>
      <x:c r="CO828" s="58"/>
      <x:c r="CP828" s="47"/>
      <x:c r="CQ828" s="60"/>
      <x:c r="CR828" s="58"/>
      <x:c r="CS828" s="47"/>
      <x:c r="CT828" s="60"/>
      <x:c r="CU828" s="58"/>
      <x:c r="CV828" s="47"/>
      <x:c r="CW828" s="60"/>
      <x:c r="CX828" s="58"/>
      <x:c r="CY828" s="47"/>
      <x:c r="CZ828" s="60"/>
      <x:c r="DA828" s="58"/>
      <x:c r="DB828" s="47"/>
      <x:c r="DC828" s="60"/>
      <x:c r="DD828" s="58"/>
      <x:c r="DE828" s="47"/>
      <x:c r="DF828" s="60"/>
      <x:c r="DG828" s="58"/>
      <x:c r="DH828" s="47"/>
      <x:c r="DI828" s="60"/>
      <x:c r="DJ828" s="58"/>
      <x:c r="DK828" s="47"/>
      <x:c r="DL828" s="60"/>
      <x:c r="DM828" s="58"/>
      <x:c r="DN828" s="11"/>
      <x:c r="DO828" s="61"/>
      <x:c r="DP828" s="62"/>
      <x:c r="DQ828" s="11"/>
      <x:c r="DR828" s="61"/>
      <x:c r="DS828" s="62"/>
      <x:c r="DT828" s="11"/>
      <x:c r="DU828" s="61"/>
      <x:c r="DV828" s="62"/>
    </x:row>
    <x:row r="829" spans="1:126" x14ac:dyDescent="0.3">
      <x:c r="A829" s="47"/>
      <x:c r="B829" s="70"/>
      <x:c r="C829" s="70"/>
      <x:c r="D829" s="70"/>
      <x:c r="E829" s="70"/>
      <x:c r="F829" s="70"/>
      <x:c r="G829" s="70"/>
      <x:c r="H829" s="70"/>
      <x:c r="I829" s="70"/>
      <x:c r="J829" s="70"/>
      <x:c r="K829" s="190"/>
      <x:c r="L829" s="195"/>
      <x:c r="M829" s="192"/>
      <x:c r="N829" s="192"/>
      <x:c r="O829" s="69"/>
      <x:c r="P829" s="47"/>
      <x:c r="Q829" s="60"/>
      <x:c r="R829" s="58"/>
      <x:c r="S829" s="47"/>
      <x:c r="T829" s="60"/>
      <x:c r="U829" s="58"/>
      <x:c r="V829" s="47"/>
      <x:c r="W829" s="60"/>
      <x:c r="X829" s="58"/>
      <x:c r="Y829" s="47"/>
      <x:c r="Z829" s="60"/>
      <x:c r="AA829" s="58"/>
      <x:c r="AB829" s="47"/>
      <x:c r="AC829" s="60"/>
      <x:c r="AD829" s="58"/>
      <x:c r="AE829" s="47"/>
      <x:c r="AF829" s="60"/>
      <x:c r="AG829" s="58"/>
      <x:c r="AH829" s="47"/>
      <x:c r="AI829" s="60"/>
      <x:c r="AJ829" s="58"/>
      <x:c r="AK829" s="47"/>
      <x:c r="AL829" s="60"/>
      <x:c r="AM829" s="58"/>
      <x:c r="AN829" s="47"/>
      <x:c r="AO829" s="60"/>
      <x:c r="AP829" s="58"/>
      <x:c r="AQ829" s="47"/>
      <x:c r="AR829" s="60"/>
      <x:c r="AS829" s="58"/>
      <x:c r="AT829" s="47"/>
      <x:c r="AU829" s="60"/>
      <x:c r="AV829" s="58"/>
      <x:c r="AW829" s="47"/>
      <x:c r="AX829" s="60"/>
      <x:c r="AY829" s="58"/>
      <x:c r="AZ829" s="47"/>
      <x:c r="BA829" s="60"/>
      <x:c r="BB829" s="58"/>
      <x:c r="BC829" s="47"/>
      <x:c r="BD829" s="60"/>
      <x:c r="BE829" s="58"/>
      <x:c r="BF829" s="47"/>
      <x:c r="BG829" s="60"/>
      <x:c r="BH829" s="58"/>
      <x:c r="BI829" s="47"/>
      <x:c r="BJ829" s="60"/>
      <x:c r="BK829" s="58"/>
      <x:c r="BL829" s="47"/>
      <x:c r="BM829" s="60"/>
      <x:c r="BN829" s="58"/>
      <x:c r="BO829" s="47"/>
      <x:c r="BP829" s="60"/>
      <x:c r="BQ829" s="58"/>
      <x:c r="BR829" s="47"/>
      <x:c r="BS829" s="60"/>
      <x:c r="BT829" s="58"/>
      <x:c r="BU829" s="47"/>
      <x:c r="BV829" s="60"/>
      <x:c r="BW829" s="58"/>
      <x:c r="BX829" s="47"/>
      <x:c r="BY829" s="60"/>
      <x:c r="BZ829" s="58"/>
      <x:c r="CA829" s="47"/>
      <x:c r="CB829" s="60"/>
      <x:c r="CC829" s="58"/>
      <x:c r="CD829" s="47"/>
      <x:c r="CE829" s="60"/>
      <x:c r="CF829" s="58"/>
      <x:c r="CG829" s="47"/>
      <x:c r="CH829" s="60"/>
      <x:c r="CI829" s="58"/>
      <x:c r="CJ829" s="47"/>
      <x:c r="CK829" s="60"/>
      <x:c r="CL829" s="58"/>
      <x:c r="CM829" s="47"/>
      <x:c r="CN829" s="60"/>
      <x:c r="CO829" s="58"/>
      <x:c r="CP829" s="47"/>
      <x:c r="CQ829" s="60"/>
      <x:c r="CR829" s="58"/>
      <x:c r="CS829" s="47"/>
      <x:c r="CT829" s="60"/>
      <x:c r="CU829" s="58"/>
      <x:c r="CV829" s="47"/>
      <x:c r="CW829" s="60"/>
      <x:c r="CX829" s="58"/>
      <x:c r="CY829" s="47"/>
      <x:c r="CZ829" s="60"/>
      <x:c r="DA829" s="58"/>
      <x:c r="DB829" s="47"/>
      <x:c r="DC829" s="60"/>
      <x:c r="DD829" s="58"/>
      <x:c r="DE829" s="47"/>
      <x:c r="DF829" s="60"/>
      <x:c r="DG829" s="58"/>
      <x:c r="DH829" s="47"/>
      <x:c r="DI829" s="60"/>
      <x:c r="DJ829" s="58"/>
      <x:c r="DK829" s="47"/>
      <x:c r="DL829" s="60"/>
      <x:c r="DM829" s="58"/>
      <x:c r="DN829" s="11"/>
      <x:c r="DO829" s="61"/>
      <x:c r="DP829" s="62"/>
      <x:c r="DQ829" s="11"/>
      <x:c r="DR829" s="61"/>
      <x:c r="DS829" s="62"/>
      <x:c r="DT829" s="11"/>
      <x:c r="DU829" s="61"/>
      <x:c r="DV829" s="62"/>
    </x:row>
    <x:row r="830" spans="1:126" x14ac:dyDescent="0.3">
      <x:c r="A830" s="47"/>
      <x:c r="B830" s="70"/>
      <x:c r="C830" s="70"/>
      <x:c r="D830" s="70"/>
      <x:c r="E830" s="70"/>
      <x:c r="F830" s="70"/>
      <x:c r="G830" s="70"/>
      <x:c r="H830" s="70"/>
      <x:c r="I830" s="70"/>
      <x:c r="J830" s="70"/>
      <x:c r="K830" s="190"/>
      <x:c r="L830" s="195"/>
      <x:c r="M830" s="192"/>
      <x:c r="N830" s="192"/>
      <x:c r="O830" s="69"/>
      <x:c r="P830" s="47"/>
      <x:c r="Q830" s="60"/>
      <x:c r="R830" s="58"/>
      <x:c r="S830" s="47"/>
      <x:c r="T830" s="60"/>
      <x:c r="U830" s="58"/>
      <x:c r="V830" s="47"/>
      <x:c r="W830" s="60"/>
      <x:c r="X830" s="58"/>
      <x:c r="Y830" s="47"/>
      <x:c r="Z830" s="60"/>
      <x:c r="AA830" s="58"/>
      <x:c r="AB830" s="47"/>
      <x:c r="AC830" s="60"/>
      <x:c r="AD830" s="58"/>
      <x:c r="AE830" s="47"/>
      <x:c r="AF830" s="60"/>
      <x:c r="AG830" s="58"/>
      <x:c r="AH830" s="47"/>
      <x:c r="AI830" s="60"/>
      <x:c r="AJ830" s="58"/>
      <x:c r="AK830" s="47"/>
      <x:c r="AL830" s="60"/>
      <x:c r="AM830" s="58"/>
      <x:c r="AN830" s="47"/>
      <x:c r="AO830" s="60"/>
      <x:c r="AP830" s="58"/>
      <x:c r="AQ830" s="47"/>
      <x:c r="AR830" s="60"/>
      <x:c r="AS830" s="58"/>
      <x:c r="AT830" s="47"/>
      <x:c r="AU830" s="60"/>
      <x:c r="AV830" s="58"/>
      <x:c r="AW830" s="47"/>
      <x:c r="AX830" s="60"/>
      <x:c r="AY830" s="58"/>
      <x:c r="AZ830" s="47"/>
      <x:c r="BA830" s="60"/>
      <x:c r="BB830" s="58"/>
      <x:c r="BC830" s="47"/>
      <x:c r="BD830" s="60"/>
      <x:c r="BE830" s="58"/>
      <x:c r="BF830" s="47"/>
      <x:c r="BG830" s="60"/>
      <x:c r="BH830" s="58"/>
      <x:c r="BI830" s="47"/>
      <x:c r="BJ830" s="60"/>
      <x:c r="BK830" s="58"/>
      <x:c r="BL830" s="47"/>
      <x:c r="BM830" s="60"/>
      <x:c r="BN830" s="58"/>
      <x:c r="BO830" s="47"/>
      <x:c r="BP830" s="60"/>
      <x:c r="BQ830" s="58"/>
      <x:c r="BR830" s="47"/>
      <x:c r="BS830" s="60"/>
      <x:c r="BT830" s="58"/>
      <x:c r="BU830" s="47"/>
      <x:c r="BV830" s="60"/>
      <x:c r="BW830" s="58"/>
      <x:c r="BX830" s="47"/>
      <x:c r="BY830" s="60"/>
      <x:c r="BZ830" s="58"/>
      <x:c r="CA830" s="47"/>
      <x:c r="CB830" s="60"/>
      <x:c r="CC830" s="58"/>
      <x:c r="CD830" s="47"/>
      <x:c r="CE830" s="60"/>
      <x:c r="CF830" s="58"/>
      <x:c r="CG830" s="47"/>
      <x:c r="CH830" s="60"/>
      <x:c r="CI830" s="58"/>
      <x:c r="CJ830" s="47"/>
      <x:c r="CK830" s="60"/>
      <x:c r="CL830" s="58"/>
      <x:c r="CM830" s="47"/>
      <x:c r="CN830" s="60"/>
      <x:c r="CO830" s="58"/>
      <x:c r="CP830" s="47"/>
      <x:c r="CQ830" s="60"/>
      <x:c r="CR830" s="58"/>
      <x:c r="CS830" s="47"/>
      <x:c r="CT830" s="60"/>
      <x:c r="CU830" s="58"/>
      <x:c r="CV830" s="47"/>
      <x:c r="CW830" s="60"/>
      <x:c r="CX830" s="58"/>
      <x:c r="CY830" s="47"/>
      <x:c r="CZ830" s="60"/>
      <x:c r="DA830" s="58"/>
      <x:c r="DB830" s="47"/>
      <x:c r="DC830" s="60"/>
      <x:c r="DD830" s="58"/>
      <x:c r="DE830" s="47"/>
      <x:c r="DF830" s="60"/>
      <x:c r="DG830" s="58"/>
      <x:c r="DH830" s="47"/>
      <x:c r="DI830" s="60"/>
      <x:c r="DJ830" s="58"/>
      <x:c r="DK830" s="47"/>
      <x:c r="DL830" s="60"/>
      <x:c r="DM830" s="58"/>
      <x:c r="DN830" s="11"/>
      <x:c r="DO830" s="61"/>
      <x:c r="DP830" s="62"/>
      <x:c r="DQ830" s="11"/>
      <x:c r="DR830" s="61"/>
      <x:c r="DS830" s="62"/>
      <x:c r="DT830" s="11"/>
      <x:c r="DU830" s="61"/>
      <x:c r="DV830" s="62"/>
    </x:row>
    <x:row r="831" spans="1:126" x14ac:dyDescent="0.3">
      <x:c r="A831" s="47"/>
      <x:c r="B831" s="70"/>
      <x:c r="C831" s="70"/>
      <x:c r="D831" s="70"/>
      <x:c r="E831" s="70"/>
      <x:c r="F831" s="70"/>
      <x:c r="G831" s="70"/>
      <x:c r="H831" s="70"/>
      <x:c r="I831" s="70"/>
      <x:c r="J831" s="70"/>
      <x:c r="K831" s="190"/>
      <x:c r="L831" s="195"/>
      <x:c r="M831" s="192"/>
      <x:c r="N831" s="192"/>
      <x:c r="O831" s="69"/>
      <x:c r="P831" s="47"/>
      <x:c r="Q831" s="60"/>
      <x:c r="R831" s="58"/>
      <x:c r="S831" s="47"/>
      <x:c r="T831" s="60"/>
      <x:c r="U831" s="58"/>
      <x:c r="V831" s="47"/>
      <x:c r="W831" s="60"/>
      <x:c r="X831" s="58"/>
      <x:c r="Y831" s="47"/>
      <x:c r="Z831" s="60"/>
      <x:c r="AA831" s="58"/>
      <x:c r="AB831" s="47"/>
      <x:c r="AC831" s="60"/>
      <x:c r="AD831" s="58"/>
      <x:c r="AE831" s="47"/>
      <x:c r="AF831" s="60"/>
      <x:c r="AG831" s="58"/>
      <x:c r="AH831" s="47"/>
      <x:c r="AI831" s="60"/>
      <x:c r="AJ831" s="58"/>
      <x:c r="AK831" s="47"/>
      <x:c r="AL831" s="60"/>
      <x:c r="AM831" s="58"/>
      <x:c r="AN831" s="47"/>
      <x:c r="AO831" s="60"/>
      <x:c r="AP831" s="58"/>
      <x:c r="AQ831" s="47"/>
      <x:c r="AR831" s="60"/>
      <x:c r="AS831" s="58"/>
      <x:c r="AT831" s="47"/>
      <x:c r="AU831" s="60"/>
      <x:c r="AV831" s="58"/>
      <x:c r="AW831" s="47"/>
      <x:c r="AX831" s="60"/>
      <x:c r="AY831" s="58"/>
      <x:c r="AZ831" s="47"/>
      <x:c r="BA831" s="60"/>
      <x:c r="BB831" s="58"/>
      <x:c r="BC831" s="47"/>
      <x:c r="BD831" s="60"/>
      <x:c r="BE831" s="58"/>
      <x:c r="BF831" s="47"/>
      <x:c r="BG831" s="60"/>
      <x:c r="BH831" s="58"/>
      <x:c r="BI831" s="47"/>
      <x:c r="BJ831" s="60"/>
      <x:c r="BK831" s="58"/>
      <x:c r="BL831" s="47"/>
      <x:c r="BM831" s="60"/>
      <x:c r="BN831" s="58"/>
      <x:c r="BO831" s="47"/>
      <x:c r="BP831" s="60"/>
      <x:c r="BQ831" s="58"/>
      <x:c r="BR831" s="47"/>
      <x:c r="BS831" s="60"/>
      <x:c r="BT831" s="58"/>
      <x:c r="BU831" s="47"/>
      <x:c r="BV831" s="60"/>
      <x:c r="BW831" s="58"/>
      <x:c r="BX831" s="47"/>
      <x:c r="BY831" s="60"/>
      <x:c r="BZ831" s="58"/>
      <x:c r="CA831" s="47"/>
      <x:c r="CB831" s="60"/>
      <x:c r="CC831" s="58"/>
      <x:c r="CD831" s="47"/>
      <x:c r="CE831" s="60"/>
      <x:c r="CF831" s="58"/>
      <x:c r="CG831" s="47"/>
      <x:c r="CH831" s="60"/>
      <x:c r="CI831" s="58"/>
      <x:c r="CJ831" s="47"/>
      <x:c r="CK831" s="60"/>
      <x:c r="CL831" s="58"/>
      <x:c r="CM831" s="47"/>
      <x:c r="CN831" s="60"/>
      <x:c r="CO831" s="58"/>
      <x:c r="CP831" s="47"/>
      <x:c r="CQ831" s="60"/>
      <x:c r="CR831" s="58"/>
      <x:c r="CS831" s="47"/>
      <x:c r="CT831" s="60"/>
      <x:c r="CU831" s="58"/>
      <x:c r="CV831" s="47"/>
      <x:c r="CW831" s="60"/>
      <x:c r="CX831" s="58"/>
      <x:c r="CY831" s="47"/>
      <x:c r="CZ831" s="60"/>
      <x:c r="DA831" s="58"/>
      <x:c r="DB831" s="47"/>
      <x:c r="DC831" s="60"/>
      <x:c r="DD831" s="58"/>
      <x:c r="DE831" s="47"/>
      <x:c r="DF831" s="60"/>
      <x:c r="DG831" s="58"/>
      <x:c r="DH831" s="47"/>
      <x:c r="DI831" s="60"/>
      <x:c r="DJ831" s="58"/>
      <x:c r="DK831" s="47"/>
      <x:c r="DL831" s="60"/>
      <x:c r="DM831" s="58"/>
      <x:c r="DN831" s="11"/>
      <x:c r="DO831" s="61"/>
      <x:c r="DP831" s="62"/>
      <x:c r="DQ831" s="11"/>
      <x:c r="DR831" s="61"/>
      <x:c r="DS831" s="62"/>
      <x:c r="DT831" s="11"/>
      <x:c r="DU831" s="61"/>
      <x:c r="DV831" s="62"/>
    </x:row>
    <x:row r="832" spans="1:126" x14ac:dyDescent="0.3">
      <x:c r="A832" s="47"/>
      <x:c r="B832" s="70"/>
      <x:c r="C832" s="70"/>
      <x:c r="D832" s="70"/>
      <x:c r="E832" s="70"/>
      <x:c r="F832" s="70"/>
      <x:c r="G832" s="70"/>
      <x:c r="H832" s="70"/>
      <x:c r="I832" s="70"/>
      <x:c r="J832" s="70"/>
      <x:c r="K832" s="190"/>
      <x:c r="L832" s="195"/>
      <x:c r="M832" s="192"/>
      <x:c r="N832" s="192"/>
      <x:c r="O832" s="69"/>
      <x:c r="P832" s="47"/>
      <x:c r="Q832" s="60"/>
      <x:c r="R832" s="58"/>
      <x:c r="S832" s="47"/>
      <x:c r="T832" s="60"/>
      <x:c r="U832" s="58"/>
      <x:c r="V832" s="47"/>
      <x:c r="W832" s="60"/>
      <x:c r="X832" s="58"/>
      <x:c r="Y832" s="47"/>
      <x:c r="Z832" s="60"/>
      <x:c r="AA832" s="58"/>
      <x:c r="AB832" s="47"/>
      <x:c r="AC832" s="60"/>
      <x:c r="AD832" s="58"/>
      <x:c r="AE832" s="47"/>
      <x:c r="AF832" s="60"/>
      <x:c r="AG832" s="58"/>
      <x:c r="AH832" s="47"/>
      <x:c r="AI832" s="60"/>
      <x:c r="AJ832" s="58"/>
      <x:c r="AK832" s="47"/>
      <x:c r="AL832" s="60"/>
      <x:c r="AM832" s="58"/>
      <x:c r="AN832" s="47"/>
      <x:c r="AO832" s="60"/>
      <x:c r="AP832" s="58"/>
      <x:c r="AQ832" s="47"/>
      <x:c r="AR832" s="60"/>
      <x:c r="AS832" s="58"/>
      <x:c r="AT832" s="47"/>
      <x:c r="AU832" s="60"/>
      <x:c r="AV832" s="58"/>
      <x:c r="AW832" s="47"/>
      <x:c r="AX832" s="60"/>
      <x:c r="AY832" s="58"/>
      <x:c r="AZ832" s="47"/>
      <x:c r="BA832" s="60"/>
      <x:c r="BB832" s="58"/>
      <x:c r="BC832" s="47"/>
      <x:c r="BD832" s="60"/>
      <x:c r="BE832" s="58"/>
      <x:c r="BF832" s="47"/>
      <x:c r="BG832" s="60"/>
      <x:c r="BH832" s="58"/>
      <x:c r="BI832" s="47"/>
      <x:c r="BJ832" s="60"/>
      <x:c r="BK832" s="58"/>
      <x:c r="BL832" s="47"/>
      <x:c r="BM832" s="60"/>
      <x:c r="BN832" s="58"/>
      <x:c r="BO832" s="47"/>
      <x:c r="BP832" s="60"/>
      <x:c r="BQ832" s="58"/>
      <x:c r="BR832" s="47"/>
      <x:c r="BS832" s="60"/>
      <x:c r="BT832" s="58"/>
      <x:c r="BU832" s="47"/>
      <x:c r="BV832" s="60"/>
      <x:c r="BW832" s="58"/>
      <x:c r="BX832" s="47"/>
      <x:c r="BY832" s="60"/>
      <x:c r="BZ832" s="58"/>
      <x:c r="CA832" s="47"/>
      <x:c r="CB832" s="60"/>
      <x:c r="CC832" s="58"/>
      <x:c r="CD832" s="47"/>
      <x:c r="CE832" s="60"/>
      <x:c r="CF832" s="58"/>
      <x:c r="CG832" s="47"/>
      <x:c r="CH832" s="60"/>
      <x:c r="CI832" s="58"/>
      <x:c r="CJ832" s="47"/>
      <x:c r="CK832" s="60"/>
      <x:c r="CL832" s="58"/>
      <x:c r="CM832" s="47"/>
      <x:c r="CN832" s="60"/>
      <x:c r="CO832" s="58"/>
      <x:c r="CP832" s="47"/>
      <x:c r="CQ832" s="60"/>
      <x:c r="CR832" s="58"/>
      <x:c r="CS832" s="47"/>
      <x:c r="CT832" s="60"/>
      <x:c r="CU832" s="58"/>
      <x:c r="CV832" s="47"/>
      <x:c r="CW832" s="60"/>
      <x:c r="CX832" s="58"/>
      <x:c r="CY832" s="47"/>
      <x:c r="CZ832" s="60"/>
      <x:c r="DA832" s="58"/>
      <x:c r="DB832" s="47"/>
      <x:c r="DC832" s="60"/>
      <x:c r="DD832" s="58"/>
      <x:c r="DE832" s="47"/>
      <x:c r="DF832" s="60"/>
      <x:c r="DG832" s="58"/>
      <x:c r="DH832" s="47"/>
      <x:c r="DI832" s="60"/>
      <x:c r="DJ832" s="58"/>
      <x:c r="DK832" s="47"/>
      <x:c r="DL832" s="60"/>
      <x:c r="DM832" s="58"/>
      <x:c r="DN832" s="11"/>
      <x:c r="DO832" s="61"/>
      <x:c r="DP832" s="62"/>
      <x:c r="DQ832" s="11"/>
      <x:c r="DR832" s="61"/>
      <x:c r="DS832" s="62"/>
      <x:c r="DT832" s="11"/>
      <x:c r="DU832" s="61"/>
      <x:c r="DV832" s="62"/>
    </x:row>
    <x:row r="833" spans="1:126" x14ac:dyDescent="0.3">
      <x:c r="A833" s="47"/>
      <x:c r="B833" s="70"/>
      <x:c r="C833" s="70"/>
      <x:c r="D833" s="70"/>
      <x:c r="E833" s="70"/>
      <x:c r="F833" s="70"/>
      <x:c r="G833" s="70"/>
      <x:c r="H833" s="70"/>
      <x:c r="I833" s="70"/>
      <x:c r="J833" s="70"/>
      <x:c r="K833" s="190"/>
      <x:c r="L833" s="195"/>
      <x:c r="M833" s="192"/>
      <x:c r="N833" s="192"/>
      <x:c r="O833" s="69"/>
      <x:c r="P833" s="47"/>
      <x:c r="Q833" s="60"/>
      <x:c r="R833" s="58"/>
      <x:c r="S833" s="47"/>
      <x:c r="T833" s="60"/>
      <x:c r="U833" s="58"/>
      <x:c r="V833" s="47"/>
      <x:c r="W833" s="60"/>
      <x:c r="X833" s="58"/>
      <x:c r="Y833" s="47"/>
      <x:c r="Z833" s="60"/>
      <x:c r="AA833" s="58"/>
      <x:c r="AB833" s="47"/>
      <x:c r="AC833" s="60"/>
      <x:c r="AD833" s="58"/>
      <x:c r="AE833" s="47"/>
      <x:c r="AF833" s="60"/>
      <x:c r="AG833" s="58"/>
      <x:c r="AH833" s="47"/>
      <x:c r="AI833" s="60"/>
      <x:c r="AJ833" s="58"/>
      <x:c r="AK833" s="47"/>
      <x:c r="AL833" s="60"/>
      <x:c r="AM833" s="58"/>
      <x:c r="AN833" s="47"/>
      <x:c r="AO833" s="60"/>
      <x:c r="AP833" s="58"/>
      <x:c r="AQ833" s="47"/>
      <x:c r="AR833" s="60"/>
      <x:c r="AS833" s="58"/>
      <x:c r="AT833" s="47"/>
      <x:c r="AU833" s="60"/>
      <x:c r="AV833" s="58"/>
      <x:c r="AW833" s="47"/>
      <x:c r="AX833" s="60"/>
      <x:c r="AY833" s="58"/>
      <x:c r="AZ833" s="47"/>
      <x:c r="BA833" s="60"/>
      <x:c r="BB833" s="58"/>
      <x:c r="BC833" s="47"/>
      <x:c r="BD833" s="60"/>
      <x:c r="BE833" s="58"/>
      <x:c r="BF833" s="47"/>
      <x:c r="BG833" s="60"/>
      <x:c r="BH833" s="58"/>
      <x:c r="BI833" s="47"/>
      <x:c r="BJ833" s="60"/>
      <x:c r="BK833" s="58"/>
      <x:c r="BL833" s="47"/>
      <x:c r="BM833" s="60"/>
      <x:c r="BN833" s="58"/>
      <x:c r="BO833" s="47"/>
      <x:c r="BP833" s="60"/>
      <x:c r="BQ833" s="58"/>
      <x:c r="BR833" s="47"/>
      <x:c r="BS833" s="60"/>
      <x:c r="BT833" s="58"/>
      <x:c r="BU833" s="47"/>
      <x:c r="BV833" s="60"/>
      <x:c r="BW833" s="58"/>
      <x:c r="BX833" s="47"/>
      <x:c r="BY833" s="60"/>
      <x:c r="BZ833" s="58"/>
      <x:c r="CA833" s="47"/>
      <x:c r="CB833" s="60"/>
      <x:c r="CC833" s="58"/>
      <x:c r="CD833" s="47"/>
      <x:c r="CE833" s="60"/>
      <x:c r="CF833" s="58"/>
      <x:c r="CG833" s="47"/>
      <x:c r="CH833" s="60"/>
      <x:c r="CI833" s="58"/>
      <x:c r="CJ833" s="47"/>
      <x:c r="CK833" s="60"/>
      <x:c r="CL833" s="58"/>
      <x:c r="CM833" s="47"/>
      <x:c r="CN833" s="60"/>
      <x:c r="CO833" s="58"/>
      <x:c r="CP833" s="47"/>
      <x:c r="CQ833" s="60"/>
      <x:c r="CR833" s="58"/>
      <x:c r="CS833" s="47"/>
      <x:c r="CT833" s="60"/>
      <x:c r="CU833" s="58"/>
      <x:c r="CV833" s="47"/>
      <x:c r="CW833" s="60"/>
      <x:c r="CX833" s="58"/>
      <x:c r="CY833" s="47"/>
      <x:c r="CZ833" s="60"/>
      <x:c r="DA833" s="58"/>
      <x:c r="DB833" s="47"/>
      <x:c r="DC833" s="60"/>
      <x:c r="DD833" s="58"/>
      <x:c r="DE833" s="47"/>
      <x:c r="DF833" s="60"/>
      <x:c r="DG833" s="58"/>
      <x:c r="DH833" s="47"/>
      <x:c r="DI833" s="60"/>
      <x:c r="DJ833" s="58"/>
      <x:c r="DK833" s="47"/>
      <x:c r="DL833" s="60"/>
      <x:c r="DM833" s="58"/>
      <x:c r="DN833" s="11"/>
      <x:c r="DO833" s="61"/>
      <x:c r="DP833" s="62"/>
      <x:c r="DQ833" s="11"/>
      <x:c r="DR833" s="61"/>
      <x:c r="DS833" s="62"/>
      <x:c r="DT833" s="11"/>
      <x:c r="DU833" s="61"/>
      <x:c r="DV833" s="62"/>
    </x:row>
    <x:row r="834" spans="1:126" x14ac:dyDescent="0.3">
      <x:c r="A834" s="47"/>
      <x:c r="B834" s="70"/>
      <x:c r="C834" s="70"/>
      <x:c r="D834" s="70"/>
      <x:c r="E834" s="70"/>
      <x:c r="F834" s="70"/>
      <x:c r="G834" s="70"/>
      <x:c r="H834" s="70"/>
      <x:c r="I834" s="70"/>
      <x:c r="J834" s="70"/>
      <x:c r="K834" s="190"/>
      <x:c r="L834" s="195"/>
      <x:c r="M834" s="192"/>
      <x:c r="N834" s="192"/>
      <x:c r="O834" s="69"/>
      <x:c r="P834" s="47"/>
      <x:c r="Q834" s="60"/>
      <x:c r="R834" s="58"/>
      <x:c r="S834" s="47"/>
      <x:c r="T834" s="60"/>
      <x:c r="U834" s="58"/>
      <x:c r="V834" s="47"/>
      <x:c r="W834" s="60"/>
      <x:c r="X834" s="58"/>
      <x:c r="Y834" s="47"/>
      <x:c r="Z834" s="60"/>
      <x:c r="AA834" s="58"/>
      <x:c r="AB834" s="47"/>
      <x:c r="AC834" s="60"/>
      <x:c r="AD834" s="58"/>
      <x:c r="AE834" s="47"/>
      <x:c r="AF834" s="60"/>
      <x:c r="AG834" s="58"/>
      <x:c r="AH834" s="47"/>
      <x:c r="AI834" s="60"/>
      <x:c r="AJ834" s="58"/>
      <x:c r="AK834" s="47"/>
      <x:c r="AL834" s="60"/>
      <x:c r="AM834" s="58"/>
      <x:c r="AN834" s="47"/>
      <x:c r="AO834" s="60"/>
      <x:c r="AP834" s="58"/>
      <x:c r="AQ834" s="47"/>
      <x:c r="AR834" s="60"/>
      <x:c r="AS834" s="58"/>
      <x:c r="AT834" s="47"/>
      <x:c r="AU834" s="60"/>
      <x:c r="AV834" s="58"/>
      <x:c r="AW834" s="47"/>
      <x:c r="AX834" s="60"/>
      <x:c r="AY834" s="58"/>
      <x:c r="AZ834" s="47"/>
      <x:c r="BA834" s="60"/>
      <x:c r="BB834" s="58"/>
      <x:c r="BC834" s="47"/>
      <x:c r="BD834" s="60"/>
      <x:c r="BE834" s="58"/>
      <x:c r="BF834" s="47"/>
      <x:c r="BG834" s="60"/>
      <x:c r="BH834" s="58"/>
      <x:c r="BI834" s="47"/>
      <x:c r="BJ834" s="60"/>
      <x:c r="BK834" s="58"/>
      <x:c r="BL834" s="47"/>
      <x:c r="BM834" s="60"/>
      <x:c r="BN834" s="58"/>
      <x:c r="BO834" s="47"/>
      <x:c r="BP834" s="60"/>
      <x:c r="BQ834" s="58"/>
      <x:c r="BR834" s="47"/>
      <x:c r="BS834" s="60"/>
      <x:c r="BT834" s="58"/>
      <x:c r="BU834" s="47"/>
      <x:c r="BV834" s="60"/>
      <x:c r="BW834" s="58"/>
      <x:c r="BX834" s="47"/>
      <x:c r="BY834" s="60"/>
      <x:c r="BZ834" s="58"/>
      <x:c r="CA834" s="47"/>
      <x:c r="CB834" s="60"/>
      <x:c r="CC834" s="58"/>
      <x:c r="CD834" s="47"/>
      <x:c r="CE834" s="60"/>
      <x:c r="CF834" s="58"/>
      <x:c r="CG834" s="47"/>
      <x:c r="CH834" s="60"/>
      <x:c r="CI834" s="58"/>
      <x:c r="CJ834" s="47"/>
      <x:c r="CK834" s="60"/>
      <x:c r="CL834" s="58"/>
      <x:c r="CM834" s="47"/>
      <x:c r="CN834" s="60"/>
      <x:c r="CO834" s="58"/>
      <x:c r="CP834" s="47"/>
      <x:c r="CQ834" s="60"/>
      <x:c r="CR834" s="58"/>
      <x:c r="CS834" s="47"/>
      <x:c r="CT834" s="60"/>
      <x:c r="CU834" s="58"/>
      <x:c r="CV834" s="47"/>
      <x:c r="CW834" s="60"/>
      <x:c r="CX834" s="58"/>
      <x:c r="CY834" s="47"/>
      <x:c r="CZ834" s="60"/>
      <x:c r="DA834" s="58"/>
      <x:c r="DB834" s="47"/>
      <x:c r="DC834" s="60"/>
      <x:c r="DD834" s="58"/>
      <x:c r="DE834" s="47"/>
      <x:c r="DF834" s="60"/>
      <x:c r="DG834" s="58"/>
      <x:c r="DH834" s="47"/>
      <x:c r="DI834" s="60"/>
      <x:c r="DJ834" s="58"/>
      <x:c r="DK834" s="47"/>
      <x:c r="DL834" s="60"/>
      <x:c r="DM834" s="58"/>
      <x:c r="DN834" s="11"/>
      <x:c r="DO834" s="61"/>
      <x:c r="DP834" s="62"/>
      <x:c r="DQ834" s="11"/>
      <x:c r="DR834" s="61"/>
      <x:c r="DS834" s="62"/>
      <x:c r="DT834" s="11"/>
      <x:c r="DU834" s="61"/>
      <x:c r="DV834" s="62"/>
    </x:row>
    <x:row r="835" spans="1:126" x14ac:dyDescent="0.3">
      <x:c r="A835" s="47"/>
      <x:c r="B835" s="70"/>
      <x:c r="C835" s="70"/>
      <x:c r="D835" s="70"/>
      <x:c r="E835" s="70"/>
      <x:c r="F835" s="70"/>
      <x:c r="G835" s="70"/>
      <x:c r="H835" s="70"/>
      <x:c r="I835" s="70"/>
      <x:c r="J835" s="70"/>
      <x:c r="K835" s="190"/>
      <x:c r="L835" s="195"/>
      <x:c r="M835" s="192"/>
      <x:c r="N835" s="192"/>
      <x:c r="O835" s="69"/>
      <x:c r="P835" s="47"/>
      <x:c r="Q835" s="60"/>
      <x:c r="R835" s="58"/>
      <x:c r="S835" s="47"/>
      <x:c r="T835" s="60"/>
      <x:c r="U835" s="58"/>
      <x:c r="V835" s="47"/>
      <x:c r="W835" s="60"/>
      <x:c r="X835" s="58"/>
      <x:c r="Y835" s="47"/>
      <x:c r="Z835" s="60"/>
      <x:c r="AA835" s="58"/>
      <x:c r="AB835" s="47"/>
      <x:c r="AC835" s="60"/>
      <x:c r="AD835" s="58"/>
      <x:c r="AE835" s="47"/>
      <x:c r="AF835" s="60"/>
      <x:c r="AG835" s="58"/>
      <x:c r="AH835" s="47"/>
      <x:c r="AI835" s="60"/>
      <x:c r="AJ835" s="58"/>
      <x:c r="AK835" s="47"/>
      <x:c r="AL835" s="60"/>
      <x:c r="AM835" s="58"/>
      <x:c r="AN835" s="47"/>
      <x:c r="AO835" s="60"/>
      <x:c r="AP835" s="58"/>
      <x:c r="AQ835" s="47"/>
      <x:c r="AR835" s="60"/>
      <x:c r="AS835" s="58"/>
      <x:c r="AT835" s="47"/>
      <x:c r="AU835" s="60"/>
      <x:c r="AV835" s="58"/>
      <x:c r="AW835" s="47"/>
      <x:c r="AX835" s="60"/>
      <x:c r="AY835" s="58"/>
      <x:c r="AZ835" s="47"/>
      <x:c r="BA835" s="60"/>
      <x:c r="BB835" s="58"/>
      <x:c r="BC835" s="47"/>
      <x:c r="BD835" s="60"/>
      <x:c r="BE835" s="58"/>
      <x:c r="BF835" s="47"/>
      <x:c r="BG835" s="60"/>
      <x:c r="BH835" s="58"/>
      <x:c r="BI835" s="47"/>
      <x:c r="BJ835" s="60"/>
      <x:c r="BK835" s="58"/>
      <x:c r="BL835" s="47"/>
      <x:c r="BM835" s="60"/>
      <x:c r="BN835" s="58"/>
      <x:c r="BO835" s="47"/>
      <x:c r="BP835" s="60"/>
      <x:c r="BQ835" s="58"/>
      <x:c r="BR835" s="47"/>
      <x:c r="BS835" s="60"/>
      <x:c r="BT835" s="58"/>
      <x:c r="BU835" s="47"/>
      <x:c r="BV835" s="60"/>
      <x:c r="BW835" s="58"/>
      <x:c r="BX835" s="47"/>
      <x:c r="BY835" s="60"/>
      <x:c r="BZ835" s="58"/>
      <x:c r="CA835" s="47"/>
      <x:c r="CB835" s="60"/>
      <x:c r="CC835" s="58"/>
      <x:c r="CD835" s="47"/>
      <x:c r="CE835" s="60"/>
      <x:c r="CF835" s="58"/>
      <x:c r="CG835" s="47"/>
      <x:c r="CH835" s="60"/>
      <x:c r="CI835" s="58"/>
      <x:c r="CJ835" s="47"/>
      <x:c r="CK835" s="60"/>
      <x:c r="CL835" s="58"/>
      <x:c r="CM835" s="47"/>
      <x:c r="CN835" s="60"/>
      <x:c r="CO835" s="58"/>
      <x:c r="CP835" s="47"/>
      <x:c r="CQ835" s="60"/>
      <x:c r="CR835" s="58"/>
      <x:c r="CS835" s="47"/>
      <x:c r="CT835" s="60"/>
      <x:c r="CU835" s="58"/>
      <x:c r="CV835" s="47"/>
      <x:c r="CW835" s="60"/>
      <x:c r="CX835" s="58"/>
      <x:c r="CY835" s="47"/>
      <x:c r="CZ835" s="60"/>
      <x:c r="DA835" s="58"/>
      <x:c r="DB835" s="47"/>
      <x:c r="DC835" s="60"/>
      <x:c r="DD835" s="58"/>
      <x:c r="DE835" s="47"/>
      <x:c r="DF835" s="60"/>
      <x:c r="DG835" s="58"/>
      <x:c r="DH835" s="47"/>
      <x:c r="DI835" s="60"/>
      <x:c r="DJ835" s="58"/>
      <x:c r="DK835" s="47"/>
      <x:c r="DL835" s="60"/>
      <x:c r="DM835" s="58"/>
      <x:c r="DN835" s="11"/>
      <x:c r="DO835" s="61"/>
      <x:c r="DP835" s="62"/>
      <x:c r="DQ835" s="11"/>
      <x:c r="DR835" s="61"/>
      <x:c r="DS835" s="62"/>
      <x:c r="DT835" s="11"/>
      <x:c r="DU835" s="61"/>
      <x:c r="DV835" s="62"/>
    </x:row>
    <x:row r="836" spans="1:126" x14ac:dyDescent="0.3">
      <x:c r="A836" s="47"/>
      <x:c r="B836" s="70"/>
      <x:c r="C836" s="70"/>
      <x:c r="D836" s="70"/>
      <x:c r="E836" s="70"/>
      <x:c r="F836" s="70"/>
      <x:c r="G836" s="70"/>
      <x:c r="H836" s="70"/>
      <x:c r="I836" s="70"/>
      <x:c r="J836" s="70"/>
      <x:c r="K836" s="190"/>
      <x:c r="L836" s="195"/>
      <x:c r="M836" s="192"/>
      <x:c r="N836" s="192"/>
      <x:c r="O836" s="69"/>
      <x:c r="P836" s="47"/>
      <x:c r="Q836" s="60"/>
      <x:c r="R836" s="58"/>
      <x:c r="S836" s="47"/>
      <x:c r="T836" s="60"/>
      <x:c r="U836" s="58"/>
      <x:c r="V836" s="47"/>
      <x:c r="W836" s="60"/>
      <x:c r="X836" s="58"/>
      <x:c r="Y836" s="47"/>
      <x:c r="Z836" s="60"/>
      <x:c r="AA836" s="58"/>
      <x:c r="AB836" s="47"/>
      <x:c r="AC836" s="60"/>
      <x:c r="AD836" s="58"/>
      <x:c r="AE836" s="47"/>
      <x:c r="AF836" s="60"/>
      <x:c r="AG836" s="58"/>
      <x:c r="AH836" s="47"/>
      <x:c r="AI836" s="60"/>
      <x:c r="AJ836" s="58"/>
      <x:c r="AK836" s="47"/>
      <x:c r="AL836" s="60"/>
      <x:c r="AM836" s="58"/>
      <x:c r="AN836" s="47"/>
      <x:c r="AO836" s="60"/>
      <x:c r="AP836" s="58"/>
      <x:c r="AQ836" s="47"/>
      <x:c r="AR836" s="60"/>
      <x:c r="AS836" s="58"/>
      <x:c r="AT836" s="47"/>
      <x:c r="AU836" s="60"/>
      <x:c r="AV836" s="58"/>
      <x:c r="AW836" s="47"/>
      <x:c r="AX836" s="60"/>
      <x:c r="AY836" s="58"/>
      <x:c r="AZ836" s="47"/>
      <x:c r="BA836" s="60"/>
      <x:c r="BB836" s="58"/>
      <x:c r="BC836" s="47"/>
      <x:c r="BD836" s="60"/>
      <x:c r="BE836" s="58"/>
      <x:c r="BF836" s="47"/>
      <x:c r="BG836" s="60"/>
      <x:c r="BH836" s="58"/>
      <x:c r="BI836" s="47"/>
      <x:c r="BJ836" s="60"/>
      <x:c r="BK836" s="58"/>
      <x:c r="BL836" s="47"/>
      <x:c r="BM836" s="60"/>
      <x:c r="BN836" s="58"/>
      <x:c r="BO836" s="47"/>
      <x:c r="BP836" s="60"/>
      <x:c r="BQ836" s="58"/>
      <x:c r="BR836" s="47"/>
      <x:c r="BS836" s="60"/>
      <x:c r="BT836" s="58"/>
      <x:c r="BU836" s="47"/>
      <x:c r="BV836" s="60"/>
      <x:c r="BW836" s="58"/>
      <x:c r="BX836" s="47"/>
      <x:c r="BY836" s="60"/>
      <x:c r="BZ836" s="58"/>
      <x:c r="CA836" s="47"/>
      <x:c r="CB836" s="60"/>
      <x:c r="CC836" s="58"/>
      <x:c r="CD836" s="47"/>
      <x:c r="CE836" s="60"/>
      <x:c r="CF836" s="58"/>
      <x:c r="CG836" s="47"/>
      <x:c r="CH836" s="60"/>
      <x:c r="CI836" s="58"/>
      <x:c r="CJ836" s="47"/>
      <x:c r="CK836" s="60"/>
      <x:c r="CL836" s="58"/>
      <x:c r="CM836" s="47"/>
      <x:c r="CN836" s="60"/>
      <x:c r="CO836" s="58"/>
      <x:c r="CP836" s="47"/>
      <x:c r="CQ836" s="60"/>
      <x:c r="CR836" s="58"/>
      <x:c r="CS836" s="47"/>
      <x:c r="CT836" s="60"/>
      <x:c r="CU836" s="58"/>
      <x:c r="CV836" s="47"/>
      <x:c r="CW836" s="60"/>
      <x:c r="CX836" s="58"/>
      <x:c r="CY836" s="47"/>
      <x:c r="CZ836" s="60"/>
      <x:c r="DA836" s="58"/>
      <x:c r="DB836" s="47"/>
      <x:c r="DC836" s="60"/>
      <x:c r="DD836" s="58"/>
      <x:c r="DE836" s="47"/>
      <x:c r="DF836" s="60"/>
      <x:c r="DG836" s="58"/>
      <x:c r="DH836" s="47"/>
      <x:c r="DI836" s="60"/>
      <x:c r="DJ836" s="58"/>
      <x:c r="DK836" s="47"/>
      <x:c r="DL836" s="60"/>
      <x:c r="DM836" s="58"/>
      <x:c r="DN836" s="11"/>
      <x:c r="DO836" s="61"/>
      <x:c r="DP836" s="62"/>
      <x:c r="DQ836" s="11"/>
      <x:c r="DR836" s="61"/>
      <x:c r="DS836" s="62"/>
      <x:c r="DT836" s="11"/>
      <x:c r="DU836" s="61"/>
      <x:c r="DV836" s="62"/>
    </x:row>
    <x:row r="837" spans="1:126" x14ac:dyDescent="0.3">
      <x:c r="A837" s="47"/>
      <x:c r="B837" s="70"/>
      <x:c r="C837" s="70"/>
      <x:c r="D837" s="70"/>
      <x:c r="E837" s="70"/>
      <x:c r="F837" s="70"/>
      <x:c r="G837" s="70"/>
      <x:c r="H837" s="70"/>
      <x:c r="I837" s="70"/>
      <x:c r="J837" s="70"/>
      <x:c r="K837" s="190"/>
      <x:c r="L837" s="195"/>
      <x:c r="M837" s="192"/>
      <x:c r="N837" s="192"/>
      <x:c r="O837" s="69"/>
      <x:c r="P837" s="47"/>
      <x:c r="Q837" s="60"/>
      <x:c r="R837" s="58"/>
      <x:c r="S837" s="47"/>
      <x:c r="T837" s="60"/>
      <x:c r="U837" s="58"/>
      <x:c r="V837" s="47"/>
      <x:c r="W837" s="60"/>
      <x:c r="X837" s="58"/>
      <x:c r="Y837" s="47"/>
      <x:c r="Z837" s="60"/>
      <x:c r="AA837" s="58"/>
      <x:c r="AB837" s="47"/>
      <x:c r="AC837" s="60"/>
      <x:c r="AD837" s="58"/>
      <x:c r="AE837" s="47"/>
      <x:c r="AF837" s="60"/>
      <x:c r="AG837" s="58"/>
      <x:c r="AH837" s="47"/>
      <x:c r="AI837" s="60"/>
      <x:c r="AJ837" s="58"/>
      <x:c r="AK837" s="47"/>
      <x:c r="AL837" s="60"/>
      <x:c r="AM837" s="58"/>
      <x:c r="AN837" s="47"/>
      <x:c r="AO837" s="60"/>
      <x:c r="AP837" s="58"/>
      <x:c r="AQ837" s="47"/>
      <x:c r="AR837" s="60"/>
      <x:c r="AS837" s="58"/>
      <x:c r="AT837" s="47"/>
      <x:c r="AU837" s="60"/>
      <x:c r="AV837" s="58"/>
      <x:c r="AW837" s="47"/>
      <x:c r="AX837" s="60"/>
      <x:c r="AY837" s="58"/>
      <x:c r="AZ837" s="47"/>
      <x:c r="BA837" s="60"/>
      <x:c r="BB837" s="58"/>
      <x:c r="BC837" s="47"/>
      <x:c r="BD837" s="60"/>
      <x:c r="BE837" s="58"/>
      <x:c r="BF837" s="47"/>
      <x:c r="BG837" s="60"/>
      <x:c r="BH837" s="58"/>
      <x:c r="BI837" s="47"/>
      <x:c r="BJ837" s="60"/>
      <x:c r="BK837" s="58"/>
      <x:c r="BL837" s="47"/>
      <x:c r="BM837" s="60"/>
      <x:c r="BN837" s="58"/>
      <x:c r="BO837" s="47"/>
      <x:c r="BP837" s="60"/>
      <x:c r="BQ837" s="58"/>
      <x:c r="BR837" s="47"/>
      <x:c r="BS837" s="60"/>
      <x:c r="BT837" s="58"/>
      <x:c r="BU837" s="47"/>
      <x:c r="BV837" s="60"/>
      <x:c r="BW837" s="58"/>
      <x:c r="BX837" s="47"/>
      <x:c r="BY837" s="60"/>
      <x:c r="BZ837" s="58"/>
      <x:c r="CA837" s="47"/>
      <x:c r="CB837" s="60"/>
      <x:c r="CC837" s="58"/>
      <x:c r="CD837" s="47"/>
      <x:c r="CE837" s="60"/>
      <x:c r="CF837" s="58"/>
      <x:c r="CG837" s="47"/>
      <x:c r="CH837" s="60"/>
      <x:c r="CI837" s="58"/>
      <x:c r="CJ837" s="47"/>
      <x:c r="CK837" s="60"/>
      <x:c r="CL837" s="58"/>
      <x:c r="CM837" s="47"/>
      <x:c r="CN837" s="60"/>
      <x:c r="CO837" s="58"/>
      <x:c r="CP837" s="47"/>
      <x:c r="CQ837" s="60"/>
      <x:c r="CR837" s="58"/>
      <x:c r="CS837" s="47"/>
      <x:c r="CT837" s="60"/>
      <x:c r="CU837" s="58"/>
      <x:c r="CV837" s="47"/>
      <x:c r="CW837" s="60"/>
      <x:c r="CX837" s="58"/>
      <x:c r="CY837" s="47"/>
      <x:c r="CZ837" s="60"/>
      <x:c r="DA837" s="58"/>
      <x:c r="DB837" s="47"/>
      <x:c r="DC837" s="60"/>
      <x:c r="DD837" s="58"/>
      <x:c r="DE837" s="47"/>
      <x:c r="DF837" s="60"/>
      <x:c r="DG837" s="58"/>
      <x:c r="DH837" s="47"/>
      <x:c r="DI837" s="60"/>
      <x:c r="DJ837" s="58"/>
      <x:c r="DK837" s="47"/>
      <x:c r="DL837" s="60"/>
      <x:c r="DM837" s="58"/>
      <x:c r="DN837" s="11"/>
      <x:c r="DO837" s="61"/>
      <x:c r="DP837" s="62"/>
      <x:c r="DQ837" s="11"/>
      <x:c r="DR837" s="61"/>
      <x:c r="DS837" s="62"/>
      <x:c r="DT837" s="11"/>
      <x:c r="DU837" s="61"/>
      <x:c r="DV837" s="62"/>
    </x:row>
    <x:row r="838" spans="1:126" x14ac:dyDescent="0.3">
      <x:c r="A838" s="47"/>
      <x:c r="B838" s="70"/>
      <x:c r="C838" s="70"/>
      <x:c r="D838" s="70"/>
      <x:c r="E838" s="70"/>
      <x:c r="F838" s="70"/>
      <x:c r="G838" s="70"/>
      <x:c r="H838" s="70"/>
      <x:c r="I838" s="70"/>
      <x:c r="J838" s="70"/>
      <x:c r="K838" s="190"/>
      <x:c r="L838" s="195"/>
      <x:c r="M838" s="192"/>
      <x:c r="N838" s="192"/>
      <x:c r="O838" s="69"/>
      <x:c r="P838" s="47"/>
      <x:c r="Q838" s="60"/>
      <x:c r="R838" s="58"/>
      <x:c r="S838" s="47"/>
      <x:c r="T838" s="60"/>
      <x:c r="U838" s="58"/>
      <x:c r="V838" s="47"/>
      <x:c r="W838" s="60"/>
      <x:c r="X838" s="58"/>
      <x:c r="Y838" s="47"/>
      <x:c r="Z838" s="60"/>
      <x:c r="AA838" s="58"/>
      <x:c r="AB838" s="47"/>
      <x:c r="AC838" s="60"/>
      <x:c r="AD838" s="58"/>
      <x:c r="AE838" s="47"/>
      <x:c r="AF838" s="60"/>
      <x:c r="AG838" s="58"/>
      <x:c r="AH838" s="47"/>
      <x:c r="AI838" s="60"/>
      <x:c r="AJ838" s="58"/>
      <x:c r="AK838" s="47"/>
      <x:c r="AL838" s="60"/>
      <x:c r="AM838" s="58"/>
      <x:c r="AN838" s="47"/>
      <x:c r="AO838" s="60"/>
      <x:c r="AP838" s="58"/>
      <x:c r="AQ838" s="47"/>
      <x:c r="AR838" s="60"/>
      <x:c r="AS838" s="58"/>
      <x:c r="AT838" s="47"/>
      <x:c r="AU838" s="60"/>
      <x:c r="AV838" s="58"/>
      <x:c r="AW838" s="47"/>
      <x:c r="AX838" s="60"/>
      <x:c r="AY838" s="58"/>
      <x:c r="AZ838" s="47"/>
      <x:c r="BA838" s="60"/>
      <x:c r="BB838" s="58"/>
      <x:c r="BC838" s="47"/>
      <x:c r="BD838" s="60"/>
      <x:c r="BE838" s="58"/>
      <x:c r="BF838" s="47"/>
      <x:c r="BG838" s="60"/>
      <x:c r="BH838" s="58"/>
      <x:c r="BI838" s="47"/>
      <x:c r="BJ838" s="60"/>
      <x:c r="BK838" s="58"/>
      <x:c r="BL838" s="47"/>
      <x:c r="BM838" s="60"/>
      <x:c r="BN838" s="58"/>
      <x:c r="BO838" s="47"/>
      <x:c r="BP838" s="60"/>
      <x:c r="BQ838" s="58"/>
      <x:c r="BR838" s="47"/>
      <x:c r="BS838" s="60"/>
      <x:c r="BT838" s="58"/>
      <x:c r="BU838" s="47"/>
      <x:c r="BV838" s="60"/>
      <x:c r="BW838" s="58"/>
      <x:c r="BX838" s="47"/>
      <x:c r="BY838" s="60"/>
      <x:c r="BZ838" s="58"/>
      <x:c r="CA838" s="47"/>
      <x:c r="CB838" s="60"/>
      <x:c r="CC838" s="58"/>
      <x:c r="CD838" s="47"/>
      <x:c r="CE838" s="60"/>
      <x:c r="CF838" s="58"/>
      <x:c r="CG838" s="47"/>
      <x:c r="CH838" s="60"/>
      <x:c r="CI838" s="58"/>
      <x:c r="CJ838" s="47"/>
      <x:c r="CK838" s="60"/>
      <x:c r="CL838" s="58"/>
      <x:c r="CM838" s="47"/>
      <x:c r="CN838" s="60"/>
      <x:c r="CO838" s="58"/>
      <x:c r="CP838" s="47"/>
      <x:c r="CQ838" s="60"/>
      <x:c r="CR838" s="58"/>
      <x:c r="CS838" s="47"/>
      <x:c r="CT838" s="60"/>
      <x:c r="CU838" s="58"/>
      <x:c r="CV838" s="47"/>
      <x:c r="CW838" s="60"/>
      <x:c r="CX838" s="58"/>
      <x:c r="CY838" s="47"/>
      <x:c r="CZ838" s="60"/>
      <x:c r="DA838" s="58"/>
      <x:c r="DB838" s="47"/>
      <x:c r="DC838" s="60"/>
      <x:c r="DD838" s="58"/>
      <x:c r="DE838" s="47"/>
      <x:c r="DF838" s="60"/>
      <x:c r="DG838" s="58"/>
      <x:c r="DH838" s="47"/>
      <x:c r="DI838" s="60"/>
      <x:c r="DJ838" s="58"/>
      <x:c r="DK838" s="47"/>
      <x:c r="DL838" s="60"/>
      <x:c r="DM838" s="58"/>
      <x:c r="DN838" s="11"/>
      <x:c r="DO838" s="61"/>
      <x:c r="DP838" s="62"/>
      <x:c r="DQ838" s="11"/>
      <x:c r="DR838" s="61"/>
      <x:c r="DS838" s="62"/>
      <x:c r="DT838" s="11"/>
      <x:c r="DU838" s="61"/>
      <x:c r="DV838" s="62"/>
    </x:row>
    <x:row r="839" spans="1:126" x14ac:dyDescent="0.3">
      <x:c r="A839" s="47"/>
      <x:c r="B839" s="70"/>
      <x:c r="C839" s="70"/>
      <x:c r="D839" s="70"/>
      <x:c r="E839" s="70"/>
      <x:c r="F839" s="70"/>
      <x:c r="G839" s="70"/>
      <x:c r="H839" s="70"/>
      <x:c r="I839" s="70"/>
      <x:c r="J839" s="70"/>
      <x:c r="K839" s="190"/>
      <x:c r="L839" s="195"/>
      <x:c r="M839" s="192"/>
      <x:c r="N839" s="192"/>
      <x:c r="O839" s="69"/>
      <x:c r="P839" s="47"/>
      <x:c r="Q839" s="60"/>
      <x:c r="R839" s="58"/>
      <x:c r="S839" s="47"/>
      <x:c r="T839" s="60"/>
      <x:c r="U839" s="58"/>
      <x:c r="V839" s="47"/>
      <x:c r="W839" s="60"/>
      <x:c r="X839" s="58"/>
      <x:c r="Y839" s="47"/>
      <x:c r="Z839" s="60"/>
      <x:c r="AA839" s="58"/>
      <x:c r="AB839" s="47"/>
      <x:c r="AC839" s="60"/>
      <x:c r="AD839" s="58"/>
      <x:c r="AE839" s="47"/>
      <x:c r="AF839" s="60"/>
      <x:c r="AG839" s="58"/>
      <x:c r="AH839" s="47"/>
      <x:c r="AI839" s="60"/>
      <x:c r="AJ839" s="58"/>
      <x:c r="AK839" s="47"/>
      <x:c r="AL839" s="60"/>
      <x:c r="AM839" s="58"/>
      <x:c r="AN839" s="47"/>
      <x:c r="AO839" s="60"/>
      <x:c r="AP839" s="58"/>
      <x:c r="AQ839" s="47"/>
      <x:c r="AR839" s="60"/>
      <x:c r="AS839" s="58"/>
      <x:c r="AT839" s="47"/>
      <x:c r="AU839" s="60"/>
      <x:c r="AV839" s="58"/>
      <x:c r="AW839" s="47"/>
      <x:c r="AX839" s="60"/>
      <x:c r="AY839" s="58"/>
      <x:c r="AZ839" s="47"/>
      <x:c r="BA839" s="60"/>
      <x:c r="BB839" s="58"/>
      <x:c r="BC839" s="47"/>
      <x:c r="BD839" s="60"/>
      <x:c r="BE839" s="58"/>
      <x:c r="BF839" s="47"/>
      <x:c r="BG839" s="60"/>
      <x:c r="BH839" s="58"/>
      <x:c r="BI839" s="47"/>
      <x:c r="BJ839" s="60"/>
      <x:c r="BK839" s="58"/>
      <x:c r="BL839" s="47"/>
      <x:c r="BM839" s="60"/>
      <x:c r="BN839" s="58"/>
      <x:c r="BO839" s="47"/>
      <x:c r="BP839" s="60"/>
      <x:c r="BQ839" s="58"/>
      <x:c r="BR839" s="47"/>
      <x:c r="BS839" s="60"/>
      <x:c r="BT839" s="58"/>
      <x:c r="BU839" s="47"/>
      <x:c r="BV839" s="60"/>
      <x:c r="BW839" s="58"/>
      <x:c r="BX839" s="47"/>
      <x:c r="BY839" s="60"/>
      <x:c r="BZ839" s="58"/>
      <x:c r="CA839" s="47"/>
      <x:c r="CB839" s="60"/>
      <x:c r="CC839" s="58"/>
      <x:c r="CD839" s="47"/>
      <x:c r="CE839" s="60"/>
      <x:c r="CF839" s="58"/>
      <x:c r="CG839" s="47"/>
      <x:c r="CH839" s="60"/>
      <x:c r="CI839" s="58"/>
      <x:c r="CJ839" s="47"/>
      <x:c r="CK839" s="60"/>
      <x:c r="CL839" s="58"/>
      <x:c r="CM839" s="47"/>
      <x:c r="CN839" s="60"/>
      <x:c r="CO839" s="58"/>
      <x:c r="CP839" s="47"/>
      <x:c r="CQ839" s="60"/>
      <x:c r="CR839" s="58"/>
      <x:c r="CS839" s="47"/>
      <x:c r="CT839" s="60"/>
      <x:c r="CU839" s="58"/>
      <x:c r="CV839" s="47"/>
      <x:c r="CW839" s="60"/>
      <x:c r="CX839" s="58"/>
      <x:c r="CY839" s="47"/>
      <x:c r="CZ839" s="60"/>
      <x:c r="DA839" s="58"/>
      <x:c r="DB839" s="47"/>
      <x:c r="DC839" s="60"/>
      <x:c r="DD839" s="58"/>
      <x:c r="DE839" s="47"/>
      <x:c r="DF839" s="60"/>
      <x:c r="DG839" s="58"/>
      <x:c r="DH839" s="47"/>
      <x:c r="DI839" s="60"/>
      <x:c r="DJ839" s="58"/>
      <x:c r="DK839" s="47"/>
      <x:c r="DL839" s="60"/>
      <x:c r="DM839" s="58"/>
      <x:c r="DN839" s="11"/>
      <x:c r="DO839" s="61"/>
      <x:c r="DP839" s="62"/>
      <x:c r="DQ839" s="11"/>
      <x:c r="DR839" s="61"/>
      <x:c r="DS839" s="62"/>
      <x:c r="DT839" s="11"/>
      <x:c r="DU839" s="61"/>
      <x:c r="DV839" s="62"/>
    </x:row>
    <x:row r="840" spans="1:126" x14ac:dyDescent="0.3">
      <x:c r="A840" s="47"/>
      <x:c r="B840" s="70"/>
      <x:c r="C840" s="70"/>
      <x:c r="D840" s="70"/>
      <x:c r="E840" s="70"/>
      <x:c r="F840" s="70"/>
      <x:c r="G840" s="70"/>
      <x:c r="H840" s="70"/>
      <x:c r="I840" s="70"/>
      <x:c r="J840" s="70"/>
      <x:c r="K840" s="190"/>
      <x:c r="L840" s="195"/>
      <x:c r="M840" s="192"/>
      <x:c r="N840" s="192"/>
      <x:c r="O840" s="69"/>
      <x:c r="P840" s="47"/>
      <x:c r="Q840" s="60"/>
      <x:c r="R840" s="58"/>
      <x:c r="S840" s="47"/>
      <x:c r="T840" s="60"/>
      <x:c r="U840" s="58"/>
      <x:c r="V840" s="47"/>
      <x:c r="W840" s="60"/>
      <x:c r="X840" s="58"/>
      <x:c r="Y840" s="47"/>
      <x:c r="Z840" s="60"/>
      <x:c r="AA840" s="58"/>
      <x:c r="AB840" s="47"/>
      <x:c r="AC840" s="60"/>
      <x:c r="AD840" s="58"/>
      <x:c r="AE840" s="47"/>
      <x:c r="AF840" s="60"/>
      <x:c r="AG840" s="58"/>
      <x:c r="AH840" s="47"/>
      <x:c r="AI840" s="60"/>
      <x:c r="AJ840" s="58"/>
      <x:c r="AK840" s="47"/>
      <x:c r="AL840" s="60"/>
      <x:c r="AM840" s="58"/>
      <x:c r="AN840" s="47"/>
      <x:c r="AO840" s="60"/>
      <x:c r="AP840" s="58"/>
      <x:c r="AQ840" s="47"/>
      <x:c r="AR840" s="60"/>
      <x:c r="AS840" s="58"/>
      <x:c r="AT840" s="47"/>
      <x:c r="AU840" s="60"/>
      <x:c r="AV840" s="58"/>
      <x:c r="AW840" s="47"/>
      <x:c r="AX840" s="60"/>
      <x:c r="AY840" s="58"/>
      <x:c r="AZ840" s="47"/>
      <x:c r="BA840" s="60"/>
      <x:c r="BB840" s="58"/>
      <x:c r="BC840" s="47"/>
      <x:c r="BD840" s="60"/>
      <x:c r="BE840" s="58"/>
      <x:c r="BF840" s="47"/>
      <x:c r="BG840" s="60"/>
      <x:c r="BH840" s="58"/>
      <x:c r="BI840" s="47"/>
      <x:c r="BJ840" s="60"/>
      <x:c r="BK840" s="58"/>
      <x:c r="BL840" s="47"/>
      <x:c r="BM840" s="60"/>
      <x:c r="BN840" s="58"/>
      <x:c r="BO840" s="47"/>
      <x:c r="BP840" s="60"/>
      <x:c r="BQ840" s="58"/>
      <x:c r="BR840" s="47"/>
      <x:c r="BS840" s="60"/>
      <x:c r="BT840" s="58"/>
      <x:c r="BU840" s="47"/>
      <x:c r="BV840" s="60"/>
      <x:c r="BW840" s="58"/>
      <x:c r="BX840" s="47"/>
      <x:c r="BY840" s="60"/>
      <x:c r="BZ840" s="58"/>
      <x:c r="CA840" s="47"/>
      <x:c r="CB840" s="60"/>
      <x:c r="CC840" s="58"/>
      <x:c r="CD840" s="47"/>
      <x:c r="CE840" s="60"/>
      <x:c r="CF840" s="58"/>
      <x:c r="CG840" s="47"/>
      <x:c r="CH840" s="60"/>
      <x:c r="CI840" s="58"/>
      <x:c r="CJ840" s="47"/>
      <x:c r="CK840" s="60"/>
      <x:c r="CL840" s="58"/>
      <x:c r="CM840" s="47"/>
      <x:c r="CN840" s="60"/>
      <x:c r="CO840" s="58"/>
      <x:c r="CP840" s="47"/>
      <x:c r="CQ840" s="60"/>
      <x:c r="CR840" s="58"/>
      <x:c r="CS840" s="47"/>
      <x:c r="CT840" s="60"/>
      <x:c r="CU840" s="58"/>
      <x:c r="CV840" s="47"/>
      <x:c r="CW840" s="60"/>
      <x:c r="CX840" s="58"/>
      <x:c r="CY840" s="47"/>
      <x:c r="CZ840" s="60"/>
      <x:c r="DA840" s="58"/>
      <x:c r="DB840" s="47"/>
      <x:c r="DC840" s="60"/>
      <x:c r="DD840" s="58"/>
      <x:c r="DE840" s="47"/>
      <x:c r="DF840" s="60"/>
      <x:c r="DG840" s="58"/>
      <x:c r="DH840" s="47"/>
      <x:c r="DI840" s="60"/>
      <x:c r="DJ840" s="58"/>
      <x:c r="DK840" s="47"/>
      <x:c r="DL840" s="60"/>
      <x:c r="DM840" s="58"/>
      <x:c r="DN840" s="11"/>
      <x:c r="DO840" s="61"/>
      <x:c r="DP840" s="62"/>
      <x:c r="DQ840" s="11"/>
      <x:c r="DR840" s="61"/>
      <x:c r="DS840" s="62"/>
      <x:c r="DT840" s="11"/>
      <x:c r="DU840" s="61"/>
      <x:c r="DV840" s="62"/>
    </x:row>
    <x:row r="841" spans="1:126" x14ac:dyDescent="0.3">
      <x:c r="A841" s="47"/>
      <x:c r="B841" s="70"/>
      <x:c r="C841" s="70"/>
      <x:c r="D841" s="70"/>
      <x:c r="E841" s="70"/>
      <x:c r="F841" s="70"/>
      <x:c r="G841" s="70"/>
      <x:c r="H841" s="70"/>
      <x:c r="I841" s="70"/>
      <x:c r="J841" s="70"/>
      <x:c r="K841" s="190"/>
      <x:c r="L841" s="195"/>
      <x:c r="M841" s="192"/>
      <x:c r="N841" s="192"/>
      <x:c r="O841" s="69"/>
      <x:c r="P841" s="47"/>
      <x:c r="Q841" s="60"/>
      <x:c r="R841" s="58"/>
      <x:c r="S841" s="47"/>
      <x:c r="T841" s="60"/>
      <x:c r="U841" s="58"/>
      <x:c r="V841" s="47"/>
      <x:c r="W841" s="60"/>
      <x:c r="X841" s="58"/>
      <x:c r="Y841" s="47"/>
      <x:c r="Z841" s="60"/>
      <x:c r="AA841" s="58"/>
      <x:c r="AB841" s="47"/>
      <x:c r="AC841" s="60"/>
      <x:c r="AD841" s="58"/>
      <x:c r="AE841" s="47"/>
      <x:c r="AF841" s="60"/>
      <x:c r="AG841" s="58"/>
      <x:c r="AH841" s="47"/>
      <x:c r="AI841" s="60"/>
      <x:c r="AJ841" s="58"/>
      <x:c r="AK841" s="47"/>
      <x:c r="AL841" s="60"/>
      <x:c r="AM841" s="58"/>
      <x:c r="AN841" s="47"/>
      <x:c r="AO841" s="60"/>
      <x:c r="AP841" s="58"/>
      <x:c r="AQ841" s="47"/>
      <x:c r="AR841" s="60"/>
      <x:c r="AS841" s="58"/>
      <x:c r="AT841" s="47"/>
      <x:c r="AU841" s="60"/>
      <x:c r="AV841" s="58"/>
      <x:c r="AW841" s="47"/>
      <x:c r="AX841" s="60"/>
      <x:c r="AY841" s="58"/>
      <x:c r="AZ841" s="47"/>
      <x:c r="BA841" s="60"/>
      <x:c r="BB841" s="58"/>
      <x:c r="BC841" s="47"/>
      <x:c r="BD841" s="60"/>
      <x:c r="BE841" s="58"/>
      <x:c r="BF841" s="47"/>
      <x:c r="BG841" s="60"/>
      <x:c r="BH841" s="58"/>
      <x:c r="BI841" s="47"/>
      <x:c r="BJ841" s="60"/>
      <x:c r="BK841" s="58"/>
      <x:c r="BL841" s="47"/>
      <x:c r="BM841" s="60"/>
      <x:c r="BN841" s="58"/>
      <x:c r="BO841" s="47"/>
      <x:c r="BP841" s="60"/>
      <x:c r="BQ841" s="58"/>
      <x:c r="BR841" s="47"/>
      <x:c r="BS841" s="60"/>
      <x:c r="BT841" s="58"/>
      <x:c r="BU841" s="47"/>
      <x:c r="BV841" s="60"/>
      <x:c r="BW841" s="58"/>
      <x:c r="BX841" s="47"/>
      <x:c r="BY841" s="60"/>
      <x:c r="BZ841" s="58"/>
      <x:c r="CA841" s="47"/>
      <x:c r="CB841" s="60"/>
      <x:c r="CC841" s="58"/>
      <x:c r="CD841" s="47"/>
      <x:c r="CE841" s="60"/>
      <x:c r="CF841" s="58"/>
      <x:c r="CG841" s="47"/>
      <x:c r="CH841" s="60"/>
      <x:c r="CI841" s="58"/>
      <x:c r="CJ841" s="47"/>
      <x:c r="CK841" s="60"/>
      <x:c r="CL841" s="58"/>
      <x:c r="CM841" s="47"/>
      <x:c r="CN841" s="60"/>
      <x:c r="CO841" s="58"/>
      <x:c r="CP841" s="47"/>
      <x:c r="CQ841" s="60"/>
      <x:c r="CR841" s="58"/>
      <x:c r="CS841" s="47"/>
      <x:c r="CT841" s="60"/>
      <x:c r="CU841" s="58"/>
      <x:c r="CV841" s="47"/>
      <x:c r="CW841" s="60"/>
      <x:c r="CX841" s="58"/>
      <x:c r="CY841" s="47"/>
      <x:c r="CZ841" s="60"/>
      <x:c r="DA841" s="58"/>
      <x:c r="DB841" s="47"/>
      <x:c r="DC841" s="60"/>
      <x:c r="DD841" s="58"/>
      <x:c r="DE841" s="47"/>
      <x:c r="DF841" s="60"/>
      <x:c r="DG841" s="58"/>
      <x:c r="DH841" s="47"/>
      <x:c r="DI841" s="60"/>
      <x:c r="DJ841" s="58"/>
      <x:c r="DK841" s="47"/>
      <x:c r="DL841" s="60"/>
      <x:c r="DM841" s="58"/>
      <x:c r="DN841" s="11"/>
      <x:c r="DO841" s="61"/>
      <x:c r="DP841" s="62"/>
      <x:c r="DQ841" s="11"/>
      <x:c r="DR841" s="61"/>
      <x:c r="DS841" s="62"/>
      <x:c r="DT841" s="11"/>
      <x:c r="DU841" s="61"/>
      <x:c r="DV841" s="62"/>
    </x:row>
    <x:row r="842" spans="1:126" x14ac:dyDescent="0.3">
      <x:c r="A842" s="47"/>
      <x:c r="B842" s="70"/>
      <x:c r="C842" s="70"/>
      <x:c r="D842" s="70"/>
      <x:c r="E842" s="70"/>
      <x:c r="F842" s="70"/>
      <x:c r="G842" s="70"/>
      <x:c r="H842" s="70"/>
      <x:c r="I842" s="70"/>
      <x:c r="J842" s="70"/>
      <x:c r="K842" s="190"/>
      <x:c r="L842" s="195"/>
      <x:c r="M842" s="192"/>
      <x:c r="N842" s="192"/>
      <x:c r="O842" s="69"/>
      <x:c r="P842" s="47"/>
      <x:c r="Q842" s="60"/>
      <x:c r="R842" s="58"/>
      <x:c r="S842" s="47"/>
      <x:c r="T842" s="60"/>
      <x:c r="U842" s="58"/>
      <x:c r="V842" s="47"/>
      <x:c r="W842" s="60"/>
      <x:c r="X842" s="58"/>
      <x:c r="Y842" s="47"/>
      <x:c r="Z842" s="60"/>
      <x:c r="AA842" s="58"/>
      <x:c r="AB842" s="47"/>
      <x:c r="AC842" s="60"/>
      <x:c r="AD842" s="58"/>
      <x:c r="AE842" s="47"/>
      <x:c r="AF842" s="60"/>
      <x:c r="AG842" s="58"/>
      <x:c r="AH842" s="47"/>
      <x:c r="AI842" s="60"/>
      <x:c r="AJ842" s="58"/>
      <x:c r="AK842" s="47"/>
      <x:c r="AL842" s="60"/>
      <x:c r="AM842" s="58"/>
      <x:c r="AN842" s="47"/>
      <x:c r="AO842" s="60"/>
      <x:c r="AP842" s="58"/>
      <x:c r="AQ842" s="47"/>
      <x:c r="AR842" s="60"/>
      <x:c r="AS842" s="58"/>
      <x:c r="AT842" s="47"/>
      <x:c r="AU842" s="60"/>
      <x:c r="AV842" s="58"/>
      <x:c r="AW842" s="47"/>
      <x:c r="AX842" s="60"/>
      <x:c r="AY842" s="58"/>
      <x:c r="AZ842" s="47"/>
      <x:c r="BA842" s="60"/>
      <x:c r="BB842" s="58"/>
      <x:c r="BC842" s="47"/>
      <x:c r="BD842" s="60"/>
      <x:c r="BE842" s="58"/>
      <x:c r="BF842" s="47"/>
      <x:c r="BG842" s="60"/>
      <x:c r="BH842" s="58"/>
      <x:c r="BI842" s="47"/>
      <x:c r="BJ842" s="60"/>
      <x:c r="BK842" s="58"/>
      <x:c r="BL842" s="47"/>
      <x:c r="BM842" s="60"/>
      <x:c r="BN842" s="58"/>
      <x:c r="BO842" s="47"/>
      <x:c r="BP842" s="60"/>
      <x:c r="BQ842" s="58"/>
      <x:c r="BR842" s="47"/>
      <x:c r="BS842" s="60"/>
      <x:c r="BT842" s="58"/>
      <x:c r="BU842" s="47"/>
      <x:c r="BV842" s="60"/>
      <x:c r="BW842" s="58"/>
      <x:c r="BX842" s="47"/>
      <x:c r="BY842" s="60"/>
      <x:c r="BZ842" s="58"/>
      <x:c r="CA842" s="47"/>
      <x:c r="CB842" s="60"/>
      <x:c r="CC842" s="58"/>
      <x:c r="CD842" s="47"/>
      <x:c r="CE842" s="60"/>
      <x:c r="CF842" s="58"/>
      <x:c r="CG842" s="47"/>
      <x:c r="CH842" s="60"/>
      <x:c r="CI842" s="58"/>
      <x:c r="CJ842" s="47"/>
      <x:c r="CK842" s="60"/>
      <x:c r="CL842" s="58"/>
      <x:c r="CM842" s="47"/>
      <x:c r="CN842" s="60"/>
      <x:c r="CO842" s="58"/>
      <x:c r="CP842" s="47"/>
      <x:c r="CQ842" s="60"/>
      <x:c r="CR842" s="58"/>
      <x:c r="CS842" s="47"/>
      <x:c r="CT842" s="60"/>
      <x:c r="CU842" s="58"/>
      <x:c r="CV842" s="47"/>
      <x:c r="CW842" s="60"/>
      <x:c r="CX842" s="58"/>
      <x:c r="CY842" s="47"/>
      <x:c r="CZ842" s="60"/>
      <x:c r="DA842" s="58"/>
      <x:c r="DB842" s="47"/>
      <x:c r="DC842" s="60"/>
      <x:c r="DD842" s="58"/>
      <x:c r="DE842" s="47"/>
      <x:c r="DF842" s="60"/>
      <x:c r="DG842" s="58"/>
      <x:c r="DH842" s="47"/>
      <x:c r="DI842" s="60"/>
      <x:c r="DJ842" s="58"/>
      <x:c r="DK842" s="47"/>
      <x:c r="DL842" s="60"/>
      <x:c r="DM842" s="58"/>
      <x:c r="DN842" s="11"/>
      <x:c r="DO842" s="61"/>
      <x:c r="DP842" s="62"/>
      <x:c r="DQ842" s="11"/>
      <x:c r="DR842" s="61"/>
      <x:c r="DS842" s="62"/>
      <x:c r="DT842" s="11"/>
      <x:c r="DU842" s="61"/>
      <x:c r="DV842" s="62"/>
    </x:row>
    <x:row r="843" spans="1:126" x14ac:dyDescent="0.3">
      <x:c r="A843" s="47"/>
      <x:c r="B843" s="70"/>
      <x:c r="C843" s="70"/>
      <x:c r="D843" s="70"/>
      <x:c r="E843" s="70"/>
      <x:c r="F843" s="70"/>
      <x:c r="G843" s="70"/>
      <x:c r="H843" s="70"/>
      <x:c r="I843" s="70"/>
      <x:c r="J843" s="70"/>
      <x:c r="K843" s="190"/>
      <x:c r="L843" s="195"/>
      <x:c r="M843" s="192"/>
      <x:c r="N843" s="192"/>
      <x:c r="O843" s="69"/>
      <x:c r="P843" s="47"/>
      <x:c r="Q843" s="60"/>
      <x:c r="R843" s="58"/>
      <x:c r="S843" s="47"/>
      <x:c r="T843" s="60"/>
      <x:c r="U843" s="58"/>
      <x:c r="V843" s="47"/>
      <x:c r="W843" s="60"/>
      <x:c r="X843" s="58"/>
      <x:c r="Y843" s="47"/>
      <x:c r="Z843" s="60"/>
      <x:c r="AA843" s="58"/>
      <x:c r="AB843" s="47"/>
      <x:c r="AC843" s="60"/>
      <x:c r="AD843" s="58"/>
      <x:c r="AE843" s="47"/>
      <x:c r="AF843" s="60"/>
      <x:c r="AG843" s="58"/>
      <x:c r="AH843" s="47"/>
      <x:c r="AI843" s="60"/>
      <x:c r="AJ843" s="58"/>
      <x:c r="AK843" s="47"/>
      <x:c r="AL843" s="60"/>
      <x:c r="AM843" s="58"/>
      <x:c r="AN843" s="47"/>
      <x:c r="AO843" s="60"/>
      <x:c r="AP843" s="58"/>
      <x:c r="AQ843" s="47"/>
      <x:c r="AR843" s="60"/>
      <x:c r="AS843" s="58"/>
      <x:c r="AT843" s="47"/>
      <x:c r="AU843" s="60"/>
      <x:c r="AV843" s="58"/>
      <x:c r="AW843" s="47"/>
      <x:c r="AX843" s="60"/>
      <x:c r="AY843" s="58"/>
      <x:c r="AZ843" s="47"/>
      <x:c r="BA843" s="60"/>
      <x:c r="BB843" s="58"/>
      <x:c r="BC843" s="47"/>
      <x:c r="BD843" s="60"/>
      <x:c r="BE843" s="58"/>
      <x:c r="BF843" s="47"/>
      <x:c r="BG843" s="60"/>
      <x:c r="BH843" s="58"/>
      <x:c r="BI843" s="47"/>
      <x:c r="BJ843" s="60"/>
      <x:c r="BK843" s="58"/>
      <x:c r="BL843" s="47"/>
      <x:c r="BM843" s="60"/>
      <x:c r="BN843" s="58"/>
      <x:c r="BO843" s="47"/>
      <x:c r="BP843" s="60"/>
      <x:c r="BQ843" s="58"/>
      <x:c r="BR843" s="47"/>
      <x:c r="BS843" s="60"/>
      <x:c r="BT843" s="58"/>
      <x:c r="BU843" s="47"/>
      <x:c r="BV843" s="60"/>
      <x:c r="BW843" s="58"/>
      <x:c r="BX843" s="47"/>
      <x:c r="BY843" s="60"/>
      <x:c r="BZ843" s="58"/>
      <x:c r="CA843" s="47"/>
      <x:c r="CB843" s="60"/>
      <x:c r="CC843" s="58"/>
      <x:c r="CD843" s="47"/>
      <x:c r="CE843" s="60"/>
      <x:c r="CF843" s="58"/>
      <x:c r="CG843" s="47"/>
      <x:c r="CH843" s="60"/>
      <x:c r="CI843" s="58"/>
      <x:c r="CJ843" s="47"/>
      <x:c r="CK843" s="60"/>
      <x:c r="CL843" s="58"/>
      <x:c r="CM843" s="47"/>
      <x:c r="CN843" s="60"/>
      <x:c r="CO843" s="58"/>
      <x:c r="CP843" s="47"/>
      <x:c r="CQ843" s="60"/>
      <x:c r="CR843" s="58"/>
      <x:c r="CS843" s="47"/>
      <x:c r="CT843" s="60"/>
      <x:c r="CU843" s="58"/>
      <x:c r="CV843" s="47"/>
      <x:c r="CW843" s="60"/>
      <x:c r="CX843" s="58"/>
      <x:c r="CY843" s="47"/>
      <x:c r="CZ843" s="60"/>
      <x:c r="DA843" s="58"/>
      <x:c r="DB843" s="47"/>
      <x:c r="DC843" s="60"/>
      <x:c r="DD843" s="58"/>
      <x:c r="DE843" s="47"/>
      <x:c r="DF843" s="60"/>
      <x:c r="DG843" s="58"/>
      <x:c r="DH843" s="47"/>
      <x:c r="DI843" s="60"/>
      <x:c r="DJ843" s="58"/>
      <x:c r="DK843" s="47"/>
      <x:c r="DL843" s="60"/>
      <x:c r="DM843" s="58"/>
      <x:c r="DN843" s="11"/>
      <x:c r="DO843" s="61"/>
      <x:c r="DP843" s="62"/>
      <x:c r="DQ843" s="11"/>
      <x:c r="DR843" s="61"/>
      <x:c r="DS843" s="62"/>
      <x:c r="DT843" s="11"/>
      <x:c r="DU843" s="61"/>
      <x:c r="DV843" s="62"/>
    </x:row>
    <x:row r="844" spans="1:126" x14ac:dyDescent="0.3">
      <x:c r="A844" s="47"/>
      <x:c r="B844" s="70"/>
      <x:c r="C844" s="70"/>
      <x:c r="D844" s="70"/>
      <x:c r="E844" s="70"/>
      <x:c r="F844" s="70"/>
      <x:c r="G844" s="70"/>
      <x:c r="H844" s="70"/>
      <x:c r="I844" s="70"/>
      <x:c r="J844" s="70"/>
      <x:c r="K844" s="190"/>
      <x:c r="L844" s="195"/>
      <x:c r="M844" s="192"/>
      <x:c r="N844" s="192"/>
      <x:c r="O844" s="69"/>
      <x:c r="P844" s="47"/>
      <x:c r="Q844" s="60"/>
      <x:c r="R844" s="58"/>
      <x:c r="S844" s="47"/>
      <x:c r="T844" s="60"/>
      <x:c r="U844" s="58"/>
      <x:c r="V844" s="47"/>
      <x:c r="W844" s="60"/>
      <x:c r="X844" s="58"/>
      <x:c r="Y844" s="47"/>
      <x:c r="Z844" s="60"/>
      <x:c r="AA844" s="58"/>
      <x:c r="AB844" s="47"/>
      <x:c r="AC844" s="60"/>
      <x:c r="AD844" s="58"/>
      <x:c r="AE844" s="47"/>
      <x:c r="AF844" s="60"/>
      <x:c r="AG844" s="58"/>
      <x:c r="AH844" s="47"/>
      <x:c r="AI844" s="60"/>
      <x:c r="AJ844" s="58"/>
      <x:c r="AK844" s="47"/>
      <x:c r="AL844" s="60"/>
      <x:c r="AM844" s="58"/>
      <x:c r="AN844" s="47"/>
      <x:c r="AO844" s="60"/>
      <x:c r="AP844" s="58"/>
      <x:c r="AQ844" s="47"/>
      <x:c r="AR844" s="60"/>
      <x:c r="AS844" s="58"/>
      <x:c r="AT844" s="47"/>
      <x:c r="AU844" s="60"/>
      <x:c r="AV844" s="58"/>
      <x:c r="AW844" s="47"/>
      <x:c r="AX844" s="60"/>
      <x:c r="AY844" s="58"/>
      <x:c r="AZ844" s="47"/>
      <x:c r="BA844" s="60"/>
      <x:c r="BB844" s="58"/>
      <x:c r="BC844" s="47"/>
      <x:c r="BD844" s="60"/>
      <x:c r="BE844" s="58"/>
      <x:c r="BF844" s="47"/>
      <x:c r="BG844" s="60"/>
      <x:c r="BH844" s="58"/>
      <x:c r="BI844" s="47"/>
      <x:c r="BJ844" s="60"/>
      <x:c r="BK844" s="58"/>
      <x:c r="BL844" s="47"/>
      <x:c r="BM844" s="60"/>
      <x:c r="BN844" s="58"/>
      <x:c r="BO844" s="47"/>
      <x:c r="BP844" s="60"/>
      <x:c r="BQ844" s="58"/>
      <x:c r="BR844" s="47"/>
      <x:c r="BS844" s="60"/>
      <x:c r="BT844" s="58"/>
      <x:c r="BU844" s="47"/>
      <x:c r="BV844" s="60"/>
      <x:c r="BW844" s="58"/>
      <x:c r="BX844" s="47"/>
      <x:c r="BY844" s="60"/>
      <x:c r="BZ844" s="58"/>
      <x:c r="CA844" s="47"/>
      <x:c r="CB844" s="60"/>
      <x:c r="CC844" s="58"/>
      <x:c r="CD844" s="47"/>
      <x:c r="CE844" s="60"/>
      <x:c r="CF844" s="58"/>
      <x:c r="CG844" s="47"/>
      <x:c r="CH844" s="60"/>
      <x:c r="CI844" s="58"/>
      <x:c r="CJ844" s="47"/>
      <x:c r="CK844" s="60"/>
      <x:c r="CL844" s="58"/>
      <x:c r="CM844" s="47"/>
      <x:c r="CN844" s="60"/>
      <x:c r="CO844" s="58"/>
      <x:c r="CP844" s="47"/>
      <x:c r="CQ844" s="60"/>
      <x:c r="CR844" s="58"/>
      <x:c r="CS844" s="47"/>
      <x:c r="CT844" s="60"/>
      <x:c r="CU844" s="58"/>
      <x:c r="CV844" s="47"/>
      <x:c r="CW844" s="60"/>
      <x:c r="CX844" s="58"/>
      <x:c r="CY844" s="47"/>
      <x:c r="CZ844" s="60"/>
      <x:c r="DA844" s="58"/>
      <x:c r="DB844" s="47"/>
      <x:c r="DC844" s="60"/>
      <x:c r="DD844" s="58"/>
      <x:c r="DE844" s="47"/>
      <x:c r="DF844" s="60"/>
      <x:c r="DG844" s="58"/>
      <x:c r="DH844" s="47"/>
      <x:c r="DI844" s="60"/>
      <x:c r="DJ844" s="58"/>
      <x:c r="DK844" s="47"/>
      <x:c r="DL844" s="60"/>
      <x:c r="DM844" s="58"/>
      <x:c r="DN844" s="11"/>
      <x:c r="DO844" s="61"/>
      <x:c r="DP844" s="62"/>
      <x:c r="DQ844" s="11"/>
      <x:c r="DR844" s="61"/>
      <x:c r="DS844" s="62"/>
      <x:c r="DT844" s="11"/>
      <x:c r="DU844" s="61"/>
      <x:c r="DV844" s="62"/>
    </x:row>
    <x:row r="845" spans="1:126" x14ac:dyDescent="0.3">
      <x:c r="A845" s="47"/>
      <x:c r="B845" s="70"/>
      <x:c r="C845" s="70"/>
      <x:c r="D845" s="70"/>
      <x:c r="E845" s="70"/>
      <x:c r="F845" s="70"/>
      <x:c r="G845" s="70"/>
      <x:c r="H845" s="70"/>
      <x:c r="I845" s="70"/>
      <x:c r="J845" s="70"/>
      <x:c r="K845" s="190"/>
      <x:c r="L845" s="195"/>
      <x:c r="M845" s="192"/>
      <x:c r="N845" s="192"/>
      <x:c r="O845" s="69"/>
      <x:c r="P845" s="47"/>
      <x:c r="Q845" s="60"/>
      <x:c r="R845" s="58"/>
      <x:c r="S845" s="47"/>
      <x:c r="T845" s="60"/>
      <x:c r="U845" s="58"/>
      <x:c r="V845" s="47"/>
      <x:c r="W845" s="60"/>
      <x:c r="X845" s="58"/>
      <x:c r="Y845" s="47"/>
      <x:c r="Z845" s="60"/>
      <x:c r="AA845" s="58"/>
      <x:c r="AB845" s="47"/>
      <x:c r="AC845" s="60"/>
      <x:c r="AD845" s="58"/>
      <x:c r="AE845" s="47"/>
      <x:c r="AF845" s="60"/>
      <x:c r="AG845" s="58"/>
      <x:c r="AH845" s="47"/>
      <x:c r="AI845" s="60"/>
      <x:c r="AJ845" s="58"/>
      <x:c r="AK845" s="47"/>
      <x:c r="AL845" s="60"/>
      <x:c r="AM845" s="58"/>
      <x:c r="AN845" s="47"/>
      <x:c r="AO845" s="60"/>
      <x:c r="AP845" s="58"/>
      <x:c r="AQ845" s="47"/>
      <x:c r="AR845" s="60"/>
      <x:c r="AS845" s="58"/>
      <x:c r="AT845" s="47"/>
      <x:c r="AU845" s="60"/>
      <x:c r="AV845" s="58"/>
      <x:c r="AW845" s="47"/>
      <x:c r="AX845" s="60"/>
      <x:c r="AY845" s="58"/>
      <x:c r="AZ845" s="47"/>
      <x:c r="BA845" s="60"/>
      <x:c r="BB845" s="58"/>
      <x:c r="BC845" s="47"/>
      <x:c r="BD845" s="60"/>
      <x:c r="BE845" s="58"/>
      <x:c r="BF845" s="47"/>
      <x:c r="BG845" s="60"/>
      <x:c r="BH845" s="58"/>
      <x:c r="BI845" s="47"/>
      <x:c r="BJ845" s="60"/>
      <x:c r="BK845" s="58"/>
      <x:c r="BL845" s="47"/>
      <x:c r="BM845" s="60"/>
      <x:c r="BN845" s="58"/>
      <x:c r="BO845" s="47"/>
      <x:c r="BP845" s="60"/>
      <x:c r="BQ845" s="58"/>
      <x:c r="BR845" s="47"/>
      <x:c r="BS845" s="60"/>
      <x:c r="BT845" s="58"/>
      <x:c r="BU845" s="47"/>
      <x:c r="BV845" s="60"/>
      <x:c r="BW845" s="58"/>
      <x:c r="BX845" s="47"/>
      <x:c r="BY845" s="60"/>
      <x:c r="BZ845" s="58"/>
      <x:c r="CA845" s="47"/>
      <x:c r="CB845" s="60"/>
      <x:c r="CC845" s="58"/>
      <x:c r="CD845" s="47"/>
      <x:c r="CE845" s="60"/>
      <x:c r="CF845" s="58"/>
      <x:c r="CG845" s="47"/>
      <x:c r="CH845" s="60"/>
      <x:c r="CI845" s="58"/>
      <x:c r="CJ845" s="47"/>
      <x:c r="CK845" s="60"/>
      <x:c r="CL845" s="58"/>
      <x:c r="CM845" s="47"/>
      <x:c r="CN845" s="60"/>
      <x:c r="CO845" s="58"/>
      <x:c r="CP845" s="47"/>
      <x:c r="CQ845" s="60"/>
      <x:c r="CR845" s="58"/>
      <x:c r="CS845" s="47"/>
      <x:c r="CT845" s="60"/>
      <x:c r="CU845" s="58"/>
      <x:c r="CV845" s="47"/>
      <x:c r="CW845" s="60"/>
      <x:c r="CX845" s="58"/>
      <x:c r="CY845" s="47"/>
      <x:c r="CZ845" s="60"/>
      <x:c r="DA845" s="58"/>
      <x:c r="DB845" s="47"/>
      <x:c r="DC845" s="60"/>
      <x:c r="DD845" s="58"/>
      <x:c r="DE845" s="47"/>
      <x:c r="DF845" s="60"/>
      <x:c r="DG845" s="58"/>
      <x:c r="DH845" s="47"/>
      <x:c r="DI845" s="60"/>
      <x:c r="DJ845" s="58"/>
      <x:c r="DK845" s="47"/>
      <x:c r="DL845" s="60"/>
      <x:c r="DM845" s="58"/>
      <x:c r="DN845" s="11"/>
      <x:c r="DO845" s="61"/>
      <x:c r="DP845" s="62"/>
      <x:c r="DQ845" s="11"/>
      <x:c r="DR845" s="61"/>
      <x:c r="DS845" s="62"/>
      <x:c r="DT845" s="11"/>
      <x:c r="DU845" s="61"/>
      <x:c r="DV845" s="62"/>
    </x:row>
    <x:row r="846" spans="1:126" x14ac:dyDescent="0.3">
      <x:c r="A846" s="47"/>
      <x:c r="B846" s="70"/>
      <x:c r="C846" s="70"/>
      <x:c r="D846" s="70"/>
      <x:c r="E846" s="70"/>
      <x:c r="F846" s="70"/>
      <x:c r="G846" s="70"/>
      <x:c r="H846" s="70"/>
      <x:c r="I846" s="70"/>
      <x:c r="J846" s="70"/>
      <x:c r="K846" s="190"/>
      <x:c r="L846" s="195"/>
      <x:c r="M846" s="192"/>
      <x:c r="N846" s="192"/>
      <x:c r="O846" s="69"/>
      <x:c r="P846" s="47"/>
      <x:c r="Q846" s="60"/>
      <x:c r="R846" s="58"/>
      <x:c r="S846" s="47"/>
      <x:c r="T846" s="60"/>
      <x:c r="U846" s="58"/>
      <x:c r="V846" s="47"/>
      <x:c r="W846" s="60"/>
      <x:c r="X846" s="58"/>
      <x:c r="Y846" s="47"/>
      <x:c r="Z846" s="60"/>
      <x:c r="AA846" s="58"/>
      <x:c r="AB846" s="47"/>
      <x:c r="AC846" s="60"/>
      <x:c r="AD846" s="58"/>
      <x:c r="AE846" s="47"/>
      <x:c r="AF846" s="60"/>
      <x:c r="AG846" s="58"/>
      <x:c r="AH846" s="47"/>
      <x:c r="AI846" s="60"/>
      <x:c r="AJ846" s="58"/>
      <x:c r="AK846" s="47"/>
      <x:c r="AL846" s="60"/>
      <x:c r="AM846" s="58"/>
      <x:c r="AN846" s="47"/>
      <x:c r="AO846" s="60"/>
      <x:c r="AP846" s="58"/>
      <x:c r="AQ846" s="47"/>
      <x:c r="AR846" s="60"/>
      <x:c r="AS846" s="58"/>
      <x:c r="AT846" s="47"/>
      <x:c r="AU846" s="60"/>
      <x:c r="AV846" s="58"/>
      <x:c r="AW846" s="47"/>
      <x:c r="AX846" s="60"/>
      <x:c r="AY846" s="58"/>
      <x:c r="AZ846" s="47"/>
      <x:c r="BA846" s="60"/>
      <x:c r="BB846" s="58"/>
      <x:c r="BC846" s="47"/>
      <x:c r="BD846" s="60"/>
      <x:c r="BE846" s="58"/>
      <x:c r="BF846" s="47"/>
      <x:c r="BG846" s="60"/>
      <x:c r="BH846" s="58"/>
      <x:c r="BI846" s="47"/>
      <x:c r="BJ846" s="60"/>
      <x:c r="BK846" s="58"/>
      <x:c r="BL846" s="47"/>
      <x:c r="BM846" s="60"/>
      <x:c r="BN846" s="58"/>
      <x:c r="BO846" s="47"/>
      <x:c r="BP846" s="60"/>
      <x:c r="BQ846" s="58"/>
      <x:c r="BR846" s="47"/>
      <x:c r="BS846" s="60"/>
      <x:c r="BT846" s="58"/>
      <x:c r="BU846" s="47"/>
      <x:c r="BV846" s="60"/>
      <x:c r="BW846" s="58"/>
      <x:c r="BX846" s="47"/>
      <x:c r="BY846" s="60"/>
      <x:c r="BZ846" s="58"/>
      <x:c r="CA846" s="47"/>
      <x:c r="CB846" s="60"/>
      <x:c r="CC846" s="58"/>
      <x:c r="CD846" s="47"/>
      <x:c r="CE846" s="60"/>
      <x:c r="CF846" s="58"/>
      <x:c r="CG846" s="47"/>
      <x:c r="CH846" s="60"/>
      <x:c r="CI846" s="58"/>
      <x:c r="CJ846" s="47"/>
      <x:c r="CK846" s="60"/>
      <x:c r="CL846" s="58"/>
      <x:c r="CM846" s="47"/>
      <x:c r="CN846" s="60"/>
      <x:c r="CO846" s="58"/>
      <x:c r="CP846" s="47"/>
      <x:c r="CQ846" s="60"/>
      <x:c r="CR846" s="58"/>
      <x:c r="CS846" s="47"/>
      <x:c r="CT846" s="60"/>
      <x:c r="CU846" s="58"/>
      <x:c r="CV846" s="47"/>
      <x:c r="CW846" s="60"/>
      <x:c r="CX846" s="58"/>
      <x:c r="CY846" s="47"/>
      <x:c r="CZ846" s="60"/>
      <x:c r="DA846" s="58"/>
      <x:c r="DB846" s="47"/>
      <x:c r="DC846" s="60"/>
      <x:c r="DD846" s="58"/>
      <x:c r="DE846" s="47"/>
      <x:c r="DF846" s="60"/>
      <x:c r="DG846" s="58"/>
      <x:c r="DH846" s="47"/>
      <x:c r="DI846" s="60"/>
      <x:c r="DJ846" s="58"/>
      <x:c r="DK846" s="47"/>
      <x:c r="DL846" s="60"/>
      <x:c r="DM846" s="58"/>
      <x:c r="DN846" s="11"/>
      <x:c r="DO846" s="61"/>
      <x:c r="DP846" s="62"/>
      <x:c r="DQ846" s="11"/>
      <x:c r="DR846" s="61"/>
      <x:c r="DS846" s="62"/>
      <x:c r="DT846" s="11"/>
      <x:c r="DU846" s="61"/>
      <x:c r="DV846" s="62"/>
    </x:row>
    <x:row r="847" spans="1:126" x14ac:dyDescent="0.3">
      <x:c r="A847" s="47"/>
      <x:c r="B847" s="70"/>
      <x:c r="C847" s="70"/>
      <x:c r="D847" s="70"/>
      <x:c r="E847" s="70"/>
      <x:c r="F847" s="70"/>
      <x:c r="G847" s="70"/>
      <x:c r="H847" s="70"/>
      <x:c r="I847" s="70"/>
      <x:c r="J847" s="70"/>
      <x:c r="K847" s="190"/>
      <x:c r="L847" s="195"/>
      <x:c r="M847" s="192"/>
      <x:c r="N847" s="192"/>
      <x:c r="O847" s="69"/>
      <x:c r="P847" s="47"/>
      <x:c r="Q847" s="60"/>
      <x:c r="R847" s="58"/>
      <x:c r="S847" s="47"/>
      <x:c r="T847" s="60"/>
      <x:c r="U847" s="58"/>
      <x:c r="V847" s="47"/>
      <x:c r="W847" s="60"/>
      <x:c r="X847" s="58"/>
      <x:c r="Y847" s="47"/>
      <x:c r="Z847" s="60"/>
      <x:c r="AA847" s="58"/>
      <x:c r="AB847" s="47"/>
      <x:c r="AC847" s="60"/>
      <x:c r="AD847" s="58"/>
      <x:c r="AE847" s="47"/>
      <x:c r="AF847" s="60"/>
      <x:c r="AG847" s="58"/>
      <x:c r="AH847" s="47"/>
      <x:c r="AI847" s="60"/>
      <x:c r="AJ847" s="58"/>
      <x:c r="AK847" s="47"/>
      <x:c r="AL847" s="60"/>
      <x:c r="AM847" s="58"/>
      <x:c r="AN847" s="47"/>
      <x:c r="AO847" s="60"/>
      <x:c r="AP847" s="58"/>
      <x:c r="AQ847" s="47"/>
      <x:c r="AR847" s="60"/>
      <x:c r="AS847" s="58"/>
      <x:c r="AT847" s="47"/>
      <x:c r="AU847" s="60"/>
      <x:c r="AV847" s="58"/>
      <x:c r="AW847" s="47"/>
      <x:c r="AX847" s="60"/>
      <x:c r="AY847" s="58"/>
      <x:c r="AZ847" s="47"/>
      <x:c r="BA847" s="60"/>
      <x:c r="BB847" s="58"/>
      <x:c r="BC847" s="47"/>
      <x:c r="BD847" s="60"/>
      <x:c r="BE847" s="58"/>
      <x:c r="BF847" s="47"/>
      <x:c r="BG847" s="60"/>
      <x:c r="BH847" s="58"/>
      <x:c r="BI847" s="47"/>
      <x:c r="BJ847" s="60"/>
      <x:c r="BK847" s="58"/>
      <x:c r="BL847" s="47"/>
      <x:c r="BM847" s="60"/>
      <x:c r="BN847" s="58"/>
      <x:c r="BO847" s="47"/>
      <x:c r="BP847" s="60"/>
      <x:c r="BQ847" s="58"/>
      <x:c r="BR847" s="47"/>
      <x:c r="BS847" s="60"/>
      <x:c r="BT847" s="58"/>
      <x:c r="BU847" s="47"/>
      <x:c r="BV847" s="60"/>
      <x:c r="BW847" s="58"/>
      <x:c r="BX847" s="47"/>
      <x:c r="BY847" s="60"/>
      <x:c r="BZ847" s="58"/>
      <x:c r="CA847" s="47"/>
      <x:c r="CB847" s="60"/>
      <x:c r="CC847" s="58"/>
      <x:c r="CD847" s="47"/>
      <x:c r="CE847" s="60"/>
      <x:c r="CF847" s="58"/>
      <x:c r="CG847" s="47"/>
      <x:c r="CH847" s="60"/>
      <x:c r="CI847" s="58"/>
      <x:c r="CJ847" s="47"/>
      <x:c r="CK847" s="60"/>
      <x:c r="CL847" s="58"/>
      <x:c r="CM847" s="47"/>
      <x:c r="CN847" s="60"/>
      <x:c r="CO847" s="58"/>
      <x:c r="CP847" s="47"/>
      <x:c r="CQ847" s="60"/>
      <x:c r="CR847" s="58"/>
      <x:c r="CS847" s="47"/>
      <x:c r="CT847" s="60"/>
      <x:c r="CU847" s="58"/>
      <x:c r="CV847" s="47"/>
      <x:c r="CW847" s="60"/>
      <x:c r="CX847" s="58"/>
      <x:c r="CY847" s="47"/>
      <x:c r="CZ847" s="60"/>
      <x:c r="DA847" s="58"/>
      <x:c r="DB847" s="47"/>
      <x:c r="DC847" s="60"/>
      <x:c r="DD847" s="58"/>
      <x:c r="DE847" s="47"/>
      <x:c r="DF847" s="60"/>
      <x:c r="DG847" s="58"/>
      <x:c r="DH847" s="47"/>
      <x:c r="DI847" s="60"/>
      <x:c r="DJ847" s="58"/>
      <x:c r="DK847" s="47"/>
      <x:c r="DL847" s="60"/>
      <x:c r="DM847" s="58"/>
      <x:c r="DN847" s="11"/>
      <x:c r="DO847" s="61"/>
      <x:c r="DP847" s="62"/>
      <x:c r="DQ847" s="11"/>
      <x:c r="DR847" s="61"/>
      <x:c r="DS847" s="62"/>
      <x:c r="DT847" s="11"/>
      <x:c r="DU847" s="61"/>
      <x:c r="DV847" s="62"/>
    </x:row>
    <x:row r="848" spans="1:126" x14ac:dyDescent="0.3">
      <x:c r="A848" s="47"/>
      <x:c r="B848" s="70"/>
      <x:c r="C848" s="70"/>
      <x:c r="D848" s="70"/>
      <x:c r="E848" s="70"/>
      <x:c r="F848" s="70"/>
      <x:c r="G848" s="70"/>
      <x:c r="H848" s="70"/>
      <x:c r="I848" s="70"/>
      <x:c r="J848" s="70"/>
      <x:c r="K848" s="190"/>
      <x:c r="L848" s="195"/>
      <x:c r="M848" s="192"/>
      <x:c r="N848" s="192"/>
      <x:c r="O848" s="69"/>
      <x:c r="P848" s="47"/>
      <x:c r="Q848" s="60"/>
      <x:c r="R848" s="58"/>
      <x:c r="S848" s="47"/>
      <x:c r="T848" s="60"/>
      <x:c r="U848" s="58"/>
      <x:c r="V848" s="47"/>
      <x:c r="W848" s="60"/>
      <x:c r="X848" s="58"/>
      <x:c r="Y848" s="47"/>
      <x:c r="Z848" s="60"/>
      <x:c r="AA848" s="58"/>
      <x:c r="AB848" s="47"/>
      <x:c r="AC848" s="60"/>
      <x:c r="AD848" s="58"/>
      <x:c r="AE848" s="47"/>
      <x:c r="AF848" s="60"/>
      <x:c r="AG848" s="58"/>
      <x:c r="AH848" s="47"/>
      <x:c r="AI848" s="60"/>
      <x:c r="AJ848" s="58"/>
      <x:c r="AK848" s="47"/>
      <x:c r="AL848" s="60"/>
      <x:c r="AM848" s="58"/>
      <x:c r="AN848" s="47"/>
      <x:c r="AO848" s="60"/>
      <x:c r="AP848" s="58"/>
      <x:c r="AQ848" s="47"/>
      <x:c r="AR848" s="60"/>
      <x:c r="AS848" s="58"/>
      <x:c r="AT848" s="47"/>
      <x:c r="AU848" s="60"/>
      <x:c r="AV848" s="58"/>
      <x:c r="AW848" s="47"/>
      <x:c r="AX848" s="60"/>
      <x:c r="AY848" s="58"/>
      <x:c r="AZ848" s="47"/>
      <x:c r="BA848" s="60"/>
      <x:c r="BB848" s="58"/>
      <x:c r="BC848" s="47"/>
      <x:c r="BD848" s="60"/>
      <x:c r="BE848" s="58"/>
      <x:c r="BF848" s="47"/>
      <x:c r="BG848" s="60"/>
      <x:c r="BH848" s="58"/>
      <x:c r="BI848" s="47"/>
      <x:c r="BJ848" s="60"/>
      <x:c r="BK848" s="58"/>
      <x:c r="BL848" s="47"/>
      <x:c r="BM848" s="60"/>
      <x:c r="BN848" s="58"/>
      <x:c r="BO848" s="47"/>
      <x:c r="BP848" s="60"/>
      <x:c r="BQ848" s="58"/>
      <x:c r="BR848" s="47"/>
      <x:c r="BS848" s="60"/>
      <x:c r="BT848" s="58"/>
      <x:c r="BU848" s="47"/>
      <x:c r="BV848" s="60"/>
      <x:c r="BW848" s="58"/>
      <x:c r="BX848" s="47"/>
      <x:c r="BY848" s="60"/>
      <x:c r="BZ848" s="58"/>
      <x:c r="CA848" s="47"/>
      <x:c r="CB848" s="60"/>
      <x:c r="CC848" s="58"/>
      <x:c r="CD848" s="47"/>
      <x:c r="CE848" s="60"/>
      <x:c r="CF848" s="58"/>
      <x:c r="CG848" s="47"/>
      <x:c r="CH848" s="60"/>
      <x:c r="CI848" s="58"/>
      <x:c r="CJ848" s="47"/>
      <x:c r="CK848" s="60"/>
      <x:c r="CL848" s="58"/>
      <x:c r="CM848" s="47"/>
      <x:c r="CN848" s="60"/>
      <x:c r="CO848" s="58"/>
      <x:c r="CP848" s="47"/>
      <x:c r="CQ848" s="60"/>
      <x:c r="CR848" s="58"/>
      <x:c r="CS848" s="47"/>
      <x:c r="CT848" s="60"/>
      <x:c r="CU848" s="58"/>
      <x:c r="CV848" s="47"/>
      <x:c r="CW848" s="60"/>
      <x:c r="CX848" s="58"/>
      <x:c r="CY848" s="47"/>
      <x:c r="CZ848" s="60"/>
      <x:c r="DA848" s="58"/>
      <x:c r="DB848" s="47"/>
      <x:c r="DC848" s="60"/>
      <x:c r="DD848" s="58"/>
      <x:c r="DE848" s="47"/>
      <x:c r="DF848" s="60"/>
      <x:c r="DG848" s="58"/>
      <x:c r="DH848" s="47"/>
      <x:c r="DI848" s="60"/>
      <x:c r="DJ848" s="58"/>
      <x:c r="DK848" s="47"/>
      <x:c r="DL848" s="60"/>
      <x:c r="DM848" s="58"/>
      <x:c r="DN848" s="11"/>
      <x:c r="DO848" s="61"/>
      <x:c r="DP848" s="62"/>
      <x:c r="DQ848" s="11"/>
      <x:c r="DR848" s="61"/>
      <x:c r="DS848" s="62"/>
      <x:c r="DT848" s="11"/>
      <x:c r="DU848" s="61"/>
      <x:c r="DV848" s="62"/>
    </x:row>
    <x:row r="849" spans="1:126" x14ac:dyDescent="0.3">
      <x:c r="A849" s="47"/>
      <x:c r="B849" s="70"/>
      <x:c r="C849" s="70"/>
      <x:c r="D849" s="70"/>
      <x:c r="E849" s="70"/>
      <x:c r="F849" s="70"/>
      <x:c r="G849" s="70"/>
      <x:c r="H849" s="70"/>
      <x:c r="I849" s="70"/>
      <x:c r="J849" s="70"/>
      <x:c r="K849" s="190"/>
      <x:c r="L849" s="195"/>
      <x:c r="M849" s="192"/>
      <x:c r="N849" s="192"/>
      <x:c r="O849" s="69"/>
      <x:c r="P849" s="47"/>
      <x:c r="Q849" s="60"/>
      <x:c r="R849" s="58"/>
      <x:c r="S849" s="47"/>
      <x:c r="T849" s="60"/>
      <x:c r="U849" s="58"/>
      <x:c r="V849" s="47"/>
      <x:c r="W849" s="60"/>
      <x:c r="X849" s="58"/>
      <x:c r="Y849" s="47"/>
      <x:c r="Z849" s="60"/>
      <x:c r="AA849" s="58"/>
      <x:c r="AB849" s="47"/>
      <x:c r="AC849" s="60"/>
      <x:c r="AD849" s="58"/>
      <x:c r="AE849" s="47"/>
      <x:c r="AF849" s="60"/>
      <x:c r="AG849" s="58"/>
      <x:c r="AH849" s="47"/>
      <x:c r="AI849" s="60"/>
      <x:c r="AJ849" s="58"/>
      <x:c r="AK849" s="47"/>
      <x:c r="AL849" s="60"/>
      <x:c r="AM849" s="58"/>
      <x:c r="AN849" s="47"/>
      <x:c r="AO849" s="60"/>
      <x:c r="AP849" s="58"/>
      <x:c r="AQ849" s="47"/>
      <x:c r="AR849" s="60"/>
      <x:c r="AS849" s="58"/>
      <x:c r="AT849" s="47"/>
      <x:c r="AU849" s="60"/>
      <x:c r="AV849" s="58"/>
      <x:c r="AW849" s="47"/>
      <x:c r="AX849" s="60"/>
      <x:c r="AY849" s="58"/>
      <x:c r="AZ849" s="47"/>
      <x:c r="BA849" s="60"/>
      <x:c r="BB849" s="58"/>
      <x:c r="BC849" s="47"/>
      <x:c r="BD849" s="60"/>
      <x:c r="BE849" s="58"/>
      <x:c r="BF849" s="47"/>
      <x:c r="BG849" s="60"/>
      <x:c r="BH849" s="58"/>
      <x:c r="BI849" s="47"/>
      <x:c r="BJ849" s="60"/>
      <x:c r="BK849" s="58"/>
      <x:c r="BL849" s="47"/>
      <x:c r="BM849" s="60"/>
      <x:c r="BN849" s="58"/>
      <x:c r="BO849" s="47"/>
      <x:c r="BP849" s="60"/>
      <x:c r="BQ849" s="58"/>
      <x:c r="BR849" s="47"/>
      <x:c r="BS849" s="60"/>
      <x:c r="BT849" s="58"/>
      <x:c r="BU849" s="47"/>
      <x:c r="BV849" s="60"/>
      <x:c r="BW849" s="58"/>
      <x:c r="BX849" s="47"/>
      <x:c r="BY849" s="60"/>
      <x:c r="BZ849" s="58"/>
      <x:c r="CA849" s="47"/>
      <x:c r="CB849" s="60"/>
      <x:c r="CC849" s="58"/>
      <x:c r="CD849" s="47"/>
      <x:c r="CE849" s="60"/>
      <x:c r="CF849" s="58"/>
      <x:c r="CG849" s="47"/>
      <x:c r="CH849" s="60"/>
      <x:c r="CI849" s="58"/>
      <x:c r="CJ849" s="47"/>
      <x:c r="CK849" s="60"/>
      <x:c r="CL849" s="58"/>
      <x:c r="CM849" s="47"/>
      <x:c r="CN849" s="60"/>
      <x:c r="CO849" s="58"/>
      <x:c r="CP849" s="47"/>
      <x:c r="CQ849" s="60"/>
      <x:c r="CR849" s="58"/>
      <x:c r="CS849" s="47"/>
      <x:c r="CT849" s="60"/>
      <x:c r="CU849" s="58"/>
      <x:c r="CV849" s="47"/>
      <x:c r="CW849" s="60"/>
      <x:c r="CX849" s="58"/>
      <x:c r="CY849" s="47"/>
      <x:c r="CZ849" s="60"/>
      <x:c r="DA849" s="58"/>
      <x:c r="DB849" s="47"/>
      <x:c r="DC849" s="60"/>
      <x:c r="DD849" s="58"/>
      <x:c r="DE849" s="47"/>
      <x:c r="DF849" s="60"/>
      <x:c r="DG849" s="58"/>
      <x:c r="DH849" s="47"/>
      <x:c r="DI849" s="60"/>
      <x:c r="DJ849" s="58"/>
      <x:c r="DK849" s="47"/>
      <x:c r="DL849" s="60"/>
      <x:c r="DM849" s="58"/>
      <x:c r="DN849" s="11"/>
      <x:c r="DO849" s="61"/>
      <x:c r="DP849" s="62"/>
      <x:c r="DQ849" s="11"/>
      <x:c r="DR849" s="61"/>
      <x:c r="DS849" s="62"/>
      <x:c r="DT849" s="11"/>
      <x:c r="DU849" s="61"/>
      <x:c r="DV849" s="62"/>
    </x:row>
    <x:row r="850" spans="1:126" x14ac:dyDescent="0.3">
      <x:c r="A850" s="47"/>
      <x:c r="B850" s="70"/>
      <x:c r="C850" s="70"/>
      <x:c r="D850" s="70"/>
      <x:c r="E850" s="70"/>
      <x:c r="F850" s="70"/>
      <x:c r="G850" s="70"/>
      <x:c r="H850" s="70"/>
      <x:c r="I850" s="70"/>
      <x:c r="J850" s="70"/>
      <x:c r="K850" s="190"/>
      <x:c r="L850" s="195"/>
      <x:c r="M850" s="192"/>
      <x:c r="N850" s="192"/>
      <x:c r="O850" s="69"/>
      <x:c r="P850" s="47"/>
      <x:c r="Q850" s="60"/>
      <x:c r="R850" s="58"/>
      <x:c r="S850" s="47"/>
      <x:c r="T850" s="60"/>
      <x:c r="U850" s="58"/>
      <x:c r="V850" s="47"/>
      <x:c r="W850" s="60"/>
      <x:c r="X850" s="58"/>
      <x:c r="Y850" s="47"/>
      <x:c r="Z850" s="60"/>
      <x:c r="AA850" s="58"/>
      <x:c r="AB850" s="47"/>
      <x:c r="AC850" s="60"/>
      <x:c r="AD850" s="58"/>
      <x:c r="AE850" s="47"/>
      <x:c r="AF850" s="60"/>
      <x:c r="AG850" s="58"/>
      <x:c r="AH850" s="47"/>
      <x:c r="AI850" s="60"/>
      <x:c r="AJ850" s="58"/>
      <x:c r="AK850" s="47"/>
      <x:c r="AL850" s="60"/>
      <x:c r="AM850" s="58"/>
      <x:c r="AN850" s="47"/>
      <x:c r="AO850" s="60"/>
      <x:c r="AP850" s="58"/>
      <x:c r="AQ850" s="47"/>
      <x:c r="AR850" s="60"/>
      <x:c r="AS850" s="58"/>
      <x:c r="AT850" s="47"/>
      <x:c r="AU850" s="60"/>
      <x:c r="AV850" s="58"/>
      <x:c r="AW850" s="47"/>
      <x:c r="AX850" s="60"/>
      <x:c r="AY850" s="58"/>
      <x:c r="AZ850" s="47"/>
      <x:c r="BA850" s="60"/>
      <x:c r="BB850" s="58"/>
      <x:c r="BC850" s="47"/>
      <x:c r="BD850" s="60"/>
      <x:c r="BE850" s="58"/>
      <x:c r="BF850" s="47"/>
      <x:c r="BG850" s="60"/>
      <x:c r="BH850" s="58"/>
      <x:c r="BI850" s="47"/>
      <x:c r="BJ850" s="60"/>
      <x:c r="BK850" s="58"/>
      <x:c r="BL850" s="47"/>
      <x:c r="BM850" s="60"/>
      <x:c r="BN850" s="58"/>
      <x:c r="BO850" s="47"/>
      <x:c r="BP850" s="60"/>
      <x:c r="BQ850" s="58"/>
      <x:c r="BR850" s="47"/>
      <x:c r="BS850" s="60"/>
      <x:c r="BT850" s="58"/>
      <x:c r="BU850" s="47"/>
      <x:c r="BV850" s="60"/>
      <x:c r="BW850" s="58"/>
      <x:c r="BX850" s="47"/>
      <x:c r="BY850" s="60"/>
      <x:c r="BZ850" s="58"/>
      <x:c r="CA850" s="47"/>
      <x:c r="CB850" s="60"/>
      <x:c r="CC850" s="58"/>
      <x:c r="CD850" s="47"/>
      <x:c r="CE850" s="60"/>
      <x:c r="CF850" s="58"/>
      <x:c r="CG850" s="47"/>
      <x:c r="CH850" s="60"/>
      <x:c r="CI850" s="58"/>
      <x:c r="CJ850" s="47"/>
      <x:c r="CK850" s="60"/>
      <x:c r="CL850" s="58"/>
      <x:c r="CM850" s="47"/>
      <x:c r="CN850" s="60"/>
      <x:c r="CO850" s="58"/>
      <x:c r="CP850" s="47"/>
      <x:c r="CQ850" s="60"/>
      <x:c r="CR850" s="58"/>
      <x:c r="CS850" s="47"/>
      <x:c r="CT850" s="60"/>
      <x:c r="CU850" s="58"/>
      <x:c r="CV850" s="47"/>
      <x:c r="CW850" s="60"/>
      <x:c r="CX850" s="58"/>
      <x:c r="CY850" s="47"/>
      <x:c r="CZ850" s="60"/>
      <x:c r="DA850" s="58"/>
      <x:c r="DB850" s="47"/>
      <x:c r="DC850" s="60"/>
      <x:c r="DD850" s="58"/>
      <x:c r="DE850" s="47"/>
      <x:c r="DF850" s="60"/>
      <x:c r="DG850" s="58"/>
      <x:c r="DH850" s="47"/>
      <x:c r="DI850" s="60"/>
      <x:c r="DJ850" s="58"/>
      <x:c r="DK850" s="47"/>
      <x:c r="DL850" s="60"/>
      <x:c r="DM850" s="58"/>
      <x:c r="DN850" s="11"/>
      <x:c r="DO850" s="61"/>
      <x:c r="DP850" s="62"/>
      <x:c r="DQ850" s="11"/>
      <x:c r="DR850" s="61"/>
      <x:c r="DS850" s="62"/>
      <x:c r="DT850" s="11"/>
      <x:c r="DU850" s="61"/>
      <x:c r="DV850" s="62"/>
    </x:row>
    <x:row r="851" spans="1:126" x14ac:dyDescent="0.3">
      <x:c r="A851" s="47"/>
      <x:c r="B851" s="70"/>
      <x:c r="C851" s="70"/>
      <x:c r="D851" s="70"/>
      <x:c r="E851" s="70"/>
      <x:c r="F851" s="70"/>
      <x:c r="G851" s="70"/>
      <x:c r="H851" s="70"/>
      <x:c r="I851" s="70"/>
      <x:c r="J851" s="70"/>
      <x:c r="K851" s="190"/>
      <x:c r="L851" s="195"/>
      <x:c r="M851" s="192"/>
      <x:c r="N851" s="192"/>
      <x:c r="O851" s="69"/>
      <x:c r="P851" s="47"/>
      <x:c r="Q851" s="60"/>
      <x:c r="R851" s="58"/>
      <x:c r="S851" s="47"/>
      <x:c r="T851" s="60"/>
      <x:c r="U851" s="58"/>
      <x:c r="V851" s="47"/>
      <x:c r="W851" s="60"/>
      <x:c r="X851" s="58"/>
      <x:c r="Y851" s="47"/>
      <x:c r="Z851" s="60"/>
      <x:c r="AA851" s="58"/>
      <x:c r="AB851" s="47"/>
      <x:c r="AC851" s="60"/>
      <x:c r="AD851" s="58"/>
      <x:c r="AE851" s="47"/>
      <x:c r="AF851" s="60"/>
      <x:c r="AG851" s="58"/>
      <x:c r="AH851" s="47"/>
      <x:c r="AI851" s="60"/>
      <x:c r="AJ851" s="58"/>
      <x:c r="AK851" s="47"/>
      <x:c r="AL851" s="60"/>
      <x:c r="AM851" s="58"/>
      <x:c r="AN851" s="47"/>
      <x:c r="AO851" s="60"/>
      <x:c r="AP851" s="58"/>
      <x:c r="AQ851" s="47"/>
      <x:c r="AR851" s="60"/>
      <x:c r="AS851" s="58"/>
      <x:c r="AT851" s="47"/>
      <x:c r="AU851" s="60"/>
      <x:c r="AV851" s="58"/>
      <x:c r="AW851" s="47"/>
      <x:c r="AX851" s="60"/>
      <x:c r="AY851" s="58"/>
      <x:c r="AZ851" s="47"/>
      <x:c r="BA851" s="60"/>
      <x:c r="BB851" s="58"/>
      <x:c r="BC851" s="47"/>
      <x:c r="BD851" s="60"/>
      <x:c r="BE851" s="58"/>
      <x:c r="BF851" s="47"/>
      <x:c r="BG851" s="60"/>
      <x:c r="BH851" s="58"/>
      <x:c r="BI851" s="47"/>
      <x:c r="BJ851" s="60"/>
      <x:c r="BK851" s="58"/>
      <x:c r="BL851" s="47"/>
      <x:c r="BM851" s="60"/>
      <x:c r="BN851" s="58"/>
      <x:c r="BO851" s="47"/>
      <x:c r="BP851" s="60"/>
      <x:c r="BQ851" s="58"/>
      <x:c r="BR851" s="47"/>
      <x:c r="BS851" s="60"/>
      <x:c r="BT851" s="58"/>
      <x:c r="BU851" s="47"/>
      <x:c r="BV851" s="60"/>
      <x:c r="BW851" s="58"/>
      <x:c r="BX851" s="47"/>
      <x:c r="BY851" s="60"/>
      <x:c r="BZ851" s="58"/>
      <x:c r="CA851" s="47"/>
      <x:c r="CB851" s="60"/>
      <x:c r="CC851" s="58"/>
      <x:c r="CD851" s="47"/>
      <x:c r="CE851" s="60"/>
      <x:c r="CF851" s="58"/>
      <x:c r="CG851" s="47"/>
      <x:c r="CH851" s="60"/>
      <x:c r="CI851" s="58"/>
      <x:c r="CJ851" s="47"/>
      <x:c r="CK851" s="60"/>
      <x:c r="CL851" s="58"/>
      <x:c r="CM851" s="47"/>
      <x:c r="CN851" s="60"/>
      <x:c r="CO851" s="58"/>
      <x:c r="CP851" s="47"/>
      <x:c r="CQ851" s="60"/>
      <x:c r="CR851" s="58"/>
      <x:c r="CS851" s="47"/>
      <x:c r="CT851" s="60"/>
      <x:c r="CU851" s="58"/>
      <x:c r="CV851" s="47"/>
      <x:c r="CW851" s="60"/>
      <x:c r="CX851" s="58"/>
      <x:c r="CY851" s="47"/>
      <x:c r="CZ851" s="60"/>
      <x:c r="DA851" s="58"/>
      <x:c r="DB851" s="47"/>
      <x:c r="DC851" s="60"/>
      <x:c r="DD851" s="58"/>
      <x:c r="DE851" s="47"/>
      <x:c r="DF851" s="60"/>
      <x:c r="DG851" s="58"/>
      <x:c r="DH851" s="47"/>
      <x:c r="DI851" s="60"/>
      <x:c r="DJ851" s="58"/>
      <x:c r="DK851" s="47"/>
      <x:c r="DL851" s="60"/>
      <x:c r="DM851" s="58"/>
      <x:c r="DN851" s="11"/>
      <x:c r="DO851" s="61"/>
      <x:c r="DP851" s="62"/>
      <x:c r="DQ851" s="11"/>
      <x:c r="DR851" s="61"/>
      <x:c r="DS851" s="62"/>
      <x:c r="DT851" s="11"/>
      <x:c r="DU851" s="61"/>
      <x:c r="DV851" s="62"/>
    </x:row>
    <x:row r="852" spans="1:126" x14ac:dyDescent="0.3">
      <x:c r="A852" s="47"/>
      <x:c r="B852" s="70"/>
      <x:c r="C852" s="70"/>
      <x:c r="D852" s="70"/>
      <x:c r="E852" s="70"/>
      <x:c r="F852" s="70"/>
      <x:c r="G852" s="70"/>
      <x:c r="H852" s="70"/>
      <x:c r="I852" s="70"/>
      <x:c r="J852" s="70"/>
      <x:c r="K852" s="190"/>
      <x:c r="L852" s="195"/>
      <x:c r="M852" s="192"/>
      <x:c r="N852" s="192"/>
      <x:c r="O852" s="69"/>
      <x:c r="P852" s="47"/>
      <x:c r="Q852" s="60"/>
      <x:c r="R852" s="58"/>
      <x:c r="S852" s="47"/>
      <x:c r="T852" s="60"/>
      <x:c r="U852" s="58"/>
      <x:c r="V852" s="47"/>
      <x:c r="W852" s="60"/>
      <x:c r="X852" s="58"/>
      <x:c r="Y852" s="47"/>
      <x:c r="Z852" s="60"/>
      <x:c r="AA852" s="58"/>
      <x:c r="AB852" s="47"/>
      <x:c r="AC852" s="60"/>
      <x:c r="AD852" s="58"/>
      <x:c r="AE852" s="47"/>
      <x:c r="AF852" s="60"/>
      <x:c r="AG852" s="58"/>
      <x:c r="AH852" s="47"/>
      <x:c r="AI852" s="60"/>
      <x:c r="AJ852" s="58"/>
      <x:c r="AK852" s="47"/>
      <x:c r="AL852" s="60"/>
      <x:c r="AM852" s="58"/>
      <x:c r="AN852" s="47"/>
      <x:c r="AO852" s="60"/>
      <x:c r="AP852" s="58"/>
      <x:c r="AQ852" s="47"/>
      <x:c r="AR852" s="60"/>
      <x:c r="AS852" s="58"/>
      <x:c r="AT852" s="47"/>
      <x:c r="AU852" s="60"/>
      <x:c r="AV852" s="58"/>
      <x:c r="AW852" s="47"/>
      <x:c r="AX852" s="60"/>
      <x:c r="AY852" s="58"/>
      <x:c r="AZ852" s="47"/>
      <x:c r="BA852" s="60"/>
      <x:c r="BB852" s="58"/>
      <x:c r="BC852" s="47"/>
      <x:c r="BD852" s="60"/>
      <x:c r="BE852" s="58"/>
      <x:c r="BF852" s="47"/>
      <x:c r="BG852" s="60"/>
      <x:c r="BH852" s="58"/>
      <x:c r="BI852" s="47"/>
      <x:c r="BJ852" s="60"/>
      <x:c r="BK852" s="58"/>
      <x:c r="BL852" s="47"/>
      <x:c r="BM852" s="60"/>
      <x:c r="BN852" s="58"/>
      <x:c r="BO852" s="47"/>
      <x:c r="BP852" s="60"/>
      <x:c r="BQ852" s="58"/>
      <x:c r="BR852" s="47"/>
      <x:c r="BS852" s="60"/>
      <x:c r="BT852" s="58"/>
      <x:c r="BU852" s="47"/>
      <x:c r="BV852" s="60"/>
      <x:c r="BW852" s="58"/>
      <x:c r="BX852" s="47"/>
      <x:c r="BY852" s="60"/>
      <x:c r="BZ852" s="58"/>
      <x:c r="CA852" s="47"/>
      <x:c r="CB852" s="60"/>
      <x:c r="CC852" s="58"/>
      <x:c r="CD852" s="47"/>
      <x:c r="CE852" s="60"/>
      <x:c r="CF852" s="58"/>
      <x:c r="CG852" s="47"/>
      <x:c r="CH852" s="60"/>
      <x:c r="CI852" s="58"/>
      <x:c r="CJ852" s="47"/>
      <x:c r="CK852" s="60"/>
      <x:c r="CL852" s="58"/>
      <x:c r="CM852" s="47"/>
      <x:c r="CN852" s="60"/>
      <x:c r="CO852" s="58"/>
      <x:c r="CP852" s="47"/>
      <x:c r="CQ852" s="60"/>
      <x:c r="CR852" s="58"/>
      <x:c r="CS852" s="47"/>
      <x:c r="CT852" s="60"/>
      <x:c r="CU852" s="58"/>
      <x:c r="CV852" s="47"/>
      <x:c r="CW852" s="60"/>
      <x:c r="CX852" s="58"/>
      <x:c r="CY852" s="47"/>
      <x:c r="CZ852" s="60"/>
      <x:c r="DA852" s="58"/>
      <x:c r="DB852" s="47"/>
      <x:c r="DC852" s="60"/>
      <x:c r="DD852" s="58"/>
      <x:c r="DE852" s="47"/>
      <x:c r="DF852" s="60"/>
      <x:c r="DG852" s="58"/>
      <x:c r="DH852" s="47"/>
      <x:c r="DI852" s="60"/>
      <x:c r="DJ852" s="58"/>
      <x:c r="DK852" s="47"/>
      <x:c r="DL852" s="60"/>
      <x:c r="DM852" s="58"/>
      <x:c r="DN852" s="11"/>
      <x:c r="DO852" s="61"/>
      <x:c r="DP852" s="62"/>
      <x:c r="DQ852" s="11"/>
      <x:c r="DR852" s="61"/>
      <x:c r="DS852" s="62"/>
      <x:c r="DT852" s="11"/>
      <x:c r="DU852" s="61"/>
      <x:c r="DV852" s="62"/>
    </x:row>
    <x:row r="853" spans="1:126" x14ac:dyDescent="0.3">
      <x:c r="A853" s="47"/>
      <x:c r="B853" s="70"/>
      <x:c r="C853" s="70"/>
      <x:c r="D853" s="70"/>
      <x:c r="E853" s="70"/>
      <x:c r="F853" s="70"/>
      <x:c r="G853" s="70"/>
      <x:c r="H853" s="70"/>
      <x:c r="I853" s="70"/>
      <x:c r="J853" s="70"/>
      <x:c r="K853" s="190"/>
      <x:c r="L853" s="195"/>
      <x:c r="M853" s="192"/>
      <x:c r="N853" s="192"/>
      <x:c r="O853" s="69"/>
      <x:c r="P853" s="47"/>
      <x:c r="Q853" s="60"/>
      <x:c r="R853" s="58"/>
      <x:c r="S853" s="47"/>
      <x:c r="T853" s="60"/>
      <x:c r="U853" s="58"/>
      <x:c r="V853" s="47"/>
      <x:c r="W853" s="60"/>
      <x:c r="X853" s="58"/>
      <x:c r="Y853" s="47"/>
      <x:c r="Z853" s="60"/>
      <x:c r="AA853" s="58"/>
      <x:c r="AB853" s="47"/>
      <x:c r="AC853" s="60"/>
      <x:c r="AD853" s="58"/>
      <x:c r="AE853" s="47"/>
      <x:c r="AF853" s="60"/>
      <x:c r="AG853" s="58"/>
      <x:c r="AH853" s="47"/>
      <x:c r="AI853" s="60"/>
      <x:c r="AJ853" s="58"/>
      <x:c r="AK853" s="47"/>
      <x:c r="AL853" s="60"/>
      <x:c r="AM853" s="58"/>
      <x:c r="AN853" s="47"/>
      <x:c r="AO853" s="60"/>
      <x:c r="AP853" s="58"/>
      <x:c r="AQ853" s="47"/>
      <x:c r="AR853" s="60"/>
      <x:c r="AS853" s="58"/>
      <x:c r="AT853" s="47"/>
      <x:c r="AU853" s="60"/>
      <x:c r="AV853" s="58"/>
      <x:c r="AW853" s="47"/>
      <x:c r="AX853" s="60"/>
      <x:c r="AY853" s="58"/>
      <x:c r="AZ853" s="47"/>
      <x:c r="BA853" s="60"/>
      <x:c r="BB853" s="58"/>
      <x:c r="BC853" s="47"/>
      <x:c r="BD853" s="60"/>
      <x:c r="BE853" s="58"/>
      <x:c r="BF853" s="47"/>
      <x:c r="BG853" s="60"/>
      <x:c r="BH853" s="58"/>
      <x:c r="BI853" s="47"/>
      <x:c r="BJ853" s="60"/>
      <x:c r="BK853" s="58"/>
      <x:c r="BL853" s="47"/>
      <x:c r="BM853" s="60"/>
      <x:c r="BN853" s="58"/>
      <x:c r="BO853" s="47"/>
      <x:c r="BP853" s="60"/>
      <x:c r="BQ853" s="58"/>
      <x:c r="BR853" s="47"/>
      <x:c r="BS853" s="60"/>
      <x:c r="BT853" s="58"/>
      <x:c r="BU853" s="47"/>
      <x:c r="BV853" s="60"/>
      <x:c r="BW853" s="58"/>
      <x:c r="BX853" s="47"/>
      <x:c r="BY853" s="60"/>
      <x:c r="BZ853" s="58"/>
      <x:c r="CA853" s="47"/>
      <x:c r="CB853" s="60"/>
      <x:c r="CC853" s="58"/>
      <x:c r="CD853" s="47"/>
      <x:c r="CE853" s="60"/>
      <x:c r="CF853" s="58"/>
      <x:c r="CG853" s="47"/>
      <x:c r="CH853" s="60"/>
      <x:c r="CI853" s="58"/>
      <x:c r="CJ853" s="47"/>
      <x:c r="CK853" s="60"/>
      <x:c r="CL853" s="58"/>
      <x:c r="CM853" s="47"/>
      <x:c r="CN853" s="60"/>
      <x:c r="CO853" s="58"/>
      <x:c r="CP853" s="47"/>
      <x:c r="CQ853" s="60"/>
      <x:c r="CR853" s="58"/>
      <x:c r="CS853" s="47"/>
      <x:c r="CT853" s="60"/>
      <x:c r="CU853" s="58"/>
      <x:c r="CV853" s="47"/>
      <x:c r="CW853" s="60"/>
      <x:c r="CX853" s="58"/>
      <x:c r="CY853" s="47"/>
      <x:c r="CZ853" s="60"/>
      <x:c r="DA853" s="58"/>
      <x:c r="DB853" s="47"/>
      <x:c r="DC853" s="60"/>
      <x:c r="DD853" s="58"/>
      <x:c r="DE853" s="47"/>
      <x:c r="DF853" s="60"/>
      <x:c r="DG853" s="58"/>
      <x:c r="DH853" s="47"/>
      <x:c r="DI853" s="60"/>
      <x:c r="DJ853" s="58"/>
      <x:c r="DK853" s="47"/>
      <x:c r="DL853" s="60"/>
      <x:c r="DM853" s="58"/>
      <x:c r="DN853" s="11"/>
      <x:c r="DO853" s="61"/>
      <x:c r="DP853" s="62"/>
      <x:c r="DQ853" s="11"/>
      <x:c r="DR853" s="61"/>
      <x:c r="DS853" s="62"/>
      <x:c r="DT853" s="11"/>
      <x:c r="DU853" s="61"/>
      <x:c r="DV853" s="62"/>
    </x:row>
    <x:row r="854" spans="1:126" x14ac:dyDescent="0.3">
      <x:c r="A854" s="47"/>
      <x:c r="B854" s="70"/>
      <x:c r="C854" s="70"/>
      <x:c r="D854" s="70"/>
      <x:c r="E854" s="70"/>
      <x:c r="F854" s="70"/>
      <x:c r="G854" s="70"/>
      <x:c r="H854" s="70"/>
      <x:c r="I854" s="70"/>
      <x:c r="J854" s="70"/>
      <x:c r="K854" s="190"/>
      <x:c r="L854" s="195"/>
      <x:c r="M854" s="192"/>
      <x:c r="N854" s="192"/>
      <x:c r="O854" s="69"/>
      <x:c r="P854" s="47"/>
      <x:c r="Q854" s="60"/>
      <x:c r="R854" s="58"/>
      <x:c r="S854" s="47"/>
      <x:c r="T854" s="60"/>
      <x:c r="U854" s="58"/>
      <x:c r="V854" s="47"/>
      <x:c r="W854" s="60"/>
      <x:c r="X854" s="58"/>
      <x:c r="Y854" s="47"/>
      <x:c r="Z854" s="60"/>
      <x:c r="AA854" s="58"/>
      <x:c r="AB854" s="47"/>
      <x:c r="AC854" s="60"/>
      <x:c r="AD854" s="58"/>
      <x:c r="AE854" s="47"/>
      <x:c r="AF854" s="60"/>
      <x:c r="AG854" s="58"/>
      <x:c r="AH854" s="47"/>
      <x:c r="AI854" s="60"/>
      <x:c r="AJ854" s="58"/>
      <x:c r="AK854" s="47"/>
      <x:c r="AL854" s="60"/>
      <x:c r="AM854" s="58"/>
      <x:c r="AN854" s="47"/>
      <x:c r="AO854" s="60"/>
      <x:c r="AP854" s="58"/>
      <x:c r="AQ854" s="47"/>
      <x:c r="AR854" s="60"/>
      <x:c r="AS854" s="58"/>
      <x:c r="AT854" s="47"/>
      <x:c r="AU854" s="60"/>
      <x:c r="AV854" s="58"/>
      <x:c r="AW854" s="47"/>
      <x:c r="AX854" s="60"/>
      <x:c r="AY854" s="58"/>
      <x:c r="AZ854" s="47"/>
      <x:c r="BA854" s="60"/>
      <x:c r="BB854" s="58"/>
      <x:c r="BC854" s="47"/>
      <x:c r="BD854" s="60"/>
      <x:c r="BE854" s="58"/>
      <x:c r="BF854" s="47"/>
      <x:c r="BG854" s="60"/>
      <x:c r="BH854" s="58"/>
      <x:c r="BI854" s="47"/>
      <x:c r="BJ854" s="60"/>
      <x:c r="BK854" s="58"/>
      <x:c r="BL854" s="47"/>
      <x:c r="BM854" s="60"/>
      <x:c r="BN854" s="58"/>
      <x:c r="BO854" s="47"/>
      <x:c r="BP854" s="60"/>
      <x:c r="BQ854" s="58"/>
      <x:c r="BR854" s="47"/>
      <x:c r="BS854" s="60"/>
      <x:c r="BT854" s="58"/>
      <x:c r="BU854" s="47"/>
      <x:c r="BV854" s="60"/>
      <x:c r="BW854" s="58"/>
      <x:c r="BX854" s="47"/>
      <x:c r="BY854" s="60"/>
      <x:c r="BZ854" s="58"/>
      <x:c r="CA854" s="47"/>
      <x:c r="CB854" s="60"/>
      <x:c r="CC854" s="58"/>
      <x:c r="CD854" s="47"/>
      <x:c r="CE854" s="60"/>
      <x:c r="CF854" s="58"/>
      <x:c r="CG854" s="47"/>
      <x:c r="CH854" s="60"/>
      <x:c r="CI854" s="58"/>
      <x:c r="CJ854" s="47"/>
      <x:c r="CK854" s="60"/>
      <x:c r="CL854" s="58"/>
      <x:c r="CM854" s="47"/>
      <x:c r="CN854" s="60"/>
      <x:c r="CO854" s="58"/>
      <x:c r="CP854" s="47"/>
      <x:c r="CQ854" s="60"/>
      <x:c r="CR854" s="58"/>
      <x:c r="CS854" s="47"/>
      <x:c r="CT854" s="60"/>
      <x:c r="CU854" s="58"/>
      <x:c r="CV854" s="47"/>
      <x:c r="CW854" s="60"/>
      <x:c r="CX854" s="58"/>
      <x:c r="CY854" s="47"/>
      <x:c r="CZ854" s="60"/>
      <x:c r="DA854" s="58"/>
      <x:c r="DB854" s="47"/>
      <x:c r="DC854" s="60"/>
      <x:c r="DD854" s="58"/>
      <x:c r="DE854" s="47"/>
      <x:c r="DF854" s="60"/>
      <x:c r="DG854" s="58"/>
      <x:c r="DH854" s="47"/>
      <x:c r="DI854" s="60"/>
      <x:c r="DJ854" s="58"/>
      <x:c r="DK854" s="47"/>
      <x:c r="DL854" s="60"/>
      <x:c r="DM854" s="58"/>
      <x:c r="DN854" s="11"/>
      <x:c r="DO854" s="61"/>
      <x:c r="DP854" s="62"/>
      <x:c r="DQ854" s="11"/>
      <x:c r="DR854" s="61"/>
      <x:c r="DS854" s="62"/>
      <x:c r="DT854" s="11"/>
      <x:c r="DU854" s="61"/>
      <x:c r="DV854" s="62"/>
    </x:row>
    <x:row r="855" spans="1:126" x14ac:dyDescent="0.3">
      <x:c r="A855" s="47"/>
      <x:c r="B855" s="70"/>
      <x:c r="C855" s="70"/>
      <x:c r="D855" s="70"/>
      <x:c r="E855" s="70"/>
      <x:c r="F855" s="70"/>
      <x:c r="G855" s="70"/>
      <x:c r="H855" s="70"/>
      <x:c r="I855" s="70"/>
      <x:c r="J855" s="70"/>
      <x:c r="K855" s="190"/>
      <x:c r="L855" s="195"/>
      <x:c r="M855" s="192"/>
      <x:c r="N855" s="192"/>
      <x:c r="O855" s="69"/>
      <x:c r="P855" s="47"/>
      <x:c r="Q855" s="60"/>
      <x:c r="R855" s="58"/>
      <x:c r="S855" s="47"/>
      <x:c r="T855" s="60"/>
      <x:c r="U855" s="58"/>
      <x:c r="V855" s="47"/>
      <x:c r="W855" s="60"/>
      <x:c r="X855" s="58"/>
      <x:c r="Y855" s="47"/>
      <x:c r="Z855" s="60"/>
      <x:c r="AA855" s="58"/>
      <x:c r="AB855" s="47"/>
      <x:c r="AC855" s="60"/>
      <x:c r="AD855" s="58"/>
      <x:c r="AE855" s="47"/>
      <x:c r="AF855" s="60"/>
      <x:c r="AG855" s="58"/>
      <x:c r="AH855" s="47"/>
      <x:c r="AI855" s="60"/>
      <x:c r="AJ855" s="58"/>
      <x:c r="AK855" s="47"/>
      <x:c r="AL855" s="60"/>
      <x:c r="AM855" s="58"/>
      <x:c r="AN855" s="47"/>
      <x:c r="AO855" s="60"/>
      <x:c r="AP855" s="58"/>
      <x:c r="AQ855" s="47"/>
      <x:c r="AR855" s="60"/>
      <x:c r="AS855" s="58"/>
      <x:c r="AT855" s="47"/>
      <x:c r="AU855" s="60"/>
      <x:c r="AV855" s="58"/>
      <x:c r="AW855" s="47"/>
      <x:c r="AX855" s="60"/>
      <x:c r="AY855" s="58"/>
      <x:c r="AZ855" s="47"/>
      <x:c r="BA855" s="60"/>
      <x:c r="BB855" s="58"/>
      <x:c r="BC855" s="47"/>
      <x:c r="BD855" s="60"/>
      <x:c r="BE855" s="58"/>
      <x:c r="BF855" s="47"/>
      <x:c r="BG855" s="60"/>
      <x:c r="BH855" s="58"/>
      <x:c r="BI855" s="47"/>
      <x:c r="BJ855" s="60"/>
      <x:c r="BK855" s="58"/>
      <x:c r="BL855" s="47"/>
      <x:c r="BM855" s="60"/>
      <x:c r="BN855" s="58"/>
      <x:c r="BO855" s="47"/>
      <x:c r="BP855" s="60"/>
      <x:c r="BQ855" s="58"/>
      <x:c r="BR855" s="47"/>
      <x:c r="BS855" s="60"/>
      <x:c r="BT855" s="58"/>
      <x:c r="BU855" s="47"/>
      <x:c r="BV855" s="60"/>
      <x:c r="BW855" s="58"/>
      <x:c r="BX855" s="47"/>
      <x:c r="BY855" s="60"/>
      <x:c r="BZ855" s="58"/>
      <x:c r="CA855" s="47"/>
      <x:c r="CB855" s="60"/>
      <x:c r="CC855" s="58"/>
      <x:c r="CD855" s="47"/>
      <x:c r="CE855" s="60"/>
      <x:c r="CF855" s="58"/>
      <x:c r="CG855" s="47"/>
      <x:c r="CH855" s="60"/>
      <x:c r="CI855" s="58"/>
      <x:c r="CJ855" s="47"/>
      <x:c r="CK855" s="60"/>
      <x:c r="CL855" s="58"/>
      <x:c r="CM855" s="47"/>
      <x:c r="CN855" s="60"/>
      <x:c r="CO855" s="58"/>
      <x:c r="CP855" s="47"/>
      <x:c r="CQ855" s="60"/>
      <x:c r="CR855" s="58"/>
      <x:c r="CS855" s="47"/>
      <x:c r="CT855" s="60"/>
      <x:c r="CU855" s="58"/>
      <x:c r="CV855" s="47"/>
      <x:c r="CW855" s="60"/>
      <x:c r="CX855" s="58"/>
      <x:c r="CY855" s="47"/>
      <x:c r="CZ855" s="60"/>
      <x:c r="DA855" s="58"/>
      <x:c r="DB855" s="47"/>
      <x:c r="DC855" s="60"/>
      <x:c r="DD855" s="58"/>
      <x:c r="DE855" s="47"/>
      <x:c r="DF855" s="60"/>
      <x:c r="DG855" s="58"/>
      <x:c r="DH855" s="47"/>
      <x:c r="DI855" s="60"/>
      <x:c r="DJ855" s="58"/>
      <x:c r="DK855" s="47"/>
      <x:c r="DL855" s="60"/>
      <x:c r="DM855" s="58"/>
      <x:c r="DN855" s="11"/>
      <x:c r="DO855" s="61"/>
      <x:c r="DP855" s="62"/>
      <x:c r="DQ855" s="11"/>
      <x:c r="DR855" s="61"/>
      <x:c r="DS855" s="62"/>
      <x:c r="DT855" s="11"/>
      <x:c r="DU855" s="61"/>
      <x:c r="DV855" s="62"/>
    </x:row>
    <x:row r="856" spans="1:126" x14ac:dyDescent="0.3">
      <x:c r="A856" s="47"/>
      <x:c r="B856" s="70"/>
      <x:c r="C856" s="70"/>
      <x:c r="D856" s="70"/>
      <x:c r="E856" s="70"/>
      <x:c r="F856" s="70"/>
      <x:c r="G856" s="70"/>
      <x:c r="H856" s="70"/>
      <x:c r="I856" s="70"/>
      <x:c r="J856" s="70"/>
      <x:c r="K856" s="190"/>
      <x:c r="L856" s="195"/>
      <x:c r="M856" s="192"/>
      <x:c r="N856" s="192"/>
      <x:c r="O856" s="69"/>
      <x:c r="P856" s="47"/>
      <x:c r="Q856" s="60"/>
      <x:c r="R856" s="58"/>
      <x:c r="S856" s="47"/>
      <x:c r="T856" s="60"/>
      <x:c r="U856" s="58"/>
      <x:c r="V856" s="47"/>
      <x:c r="W856" s="60"/>
      <x:c r="X856" s="58"/>
      <x:c r="Y856" s="47"/>
      <x:c r="Z856" s="60"/>
      <x:c r="AA856" s="58"/>
      <x:c r="AB856" s="47"/>
      <x:c r="AC856" s="60"/>
      <x:c r="AD856" s="58"/>
      <x:c r="AE856" s="47"/>
      <x:c r="AF856" s="60"/>
      <x:c r="AG856" s="58"/>
      <x:c r="AH856" s="47"/>
      <x:c r="AI856" s="60"/>
      <x:c r="AJ856" s="58"/>
      <x:c r="AK856" s="47"/>
      <x:c r="AL856" s="60"/>
      <x:c r="AM856" s="58"/>
      <x:c r="AN856" s="47"/>
      <x:c r="AO856" s="60"/>
      <x:c r="AP856" s="58"/>
      <x:c r="AQ856" s="47"/>
      <x:c r="AR856" s="60"/>
      <x:c r="AS856" s="58"/>
      <x:c r="AT856" s="47"/>
      <x:c r="AU856" s="60"/>
      <x:c r="AV856" s="58"/>
      <x:c r="AW856" s="47"/>
      <x:c r="AX856" s="60"/>
      <x:c r="AY856" s="58"/>
      <x:c r="AZ856" s="47"/>
      <x:c r="BA856" s="60"/>
      <x:c r="BB856" s="58"/>
      <x:c r="BC856" s="47"/>
      <x:c r="BD856" s="60"/>
      <x:c r="BE856" s="58"/>
      <x:c r="BF856" s="47"/>
      <x:c r="BG856" s="60"/>
      <x:c r="BH856" s="58"/>
      <x:c r="BI856" s="47"/>
      <x:c r="BJ856" s="60"/>
      <x:c r="BK856" s="58"/>
      <x:c r="BL856" s="47"/>
      <x:c r="BM856" s="60"/>
      <x:c r="BN856" s="58"/>
      <x:c r="BO856" s="47"/>
      <x:c r="BP856" s="60"/>
      <x:c r="BQ856" s="58"/>
      <x:c r="BR856" s="47"/>
      <x:c r="BS856" s="60"/>
      <x:c r="BT856" s="58"/>
      <x:c r="BU856" s="47"/>
      <x:c r="BV856" s="60"/>
      <x:c r="BW856" s="58"/>
      <x:c r="BX856" s="47"/>
      <x:c r="BY856" s="60"/>
      <x:c r="BZ856" s="58"/>
      <x:c r="CA856" s="47"/>
      <x:c r="CB856" s="60"/>
      <x:c r="CC856" s="58"/>
      <x:c r="CD856" s="47"/>
      <x:c r="CE856" s="60"/>
      <x:c r="CF856" s="58"/>
      <x:c r="CG856" s="47"/>
      <x:c r="CH856" s="60"/>
      <x:c r="CI856" s="58"/>
      <x:c r="CJ856" s="47"/>
      <x:c r="CK856" s="60"/>
      <x:c r="CL856" s="58"/>
      <x:c r="CM856" s="47"/>
      <x:c r="CN856" s="60"/>
      <x:c r="CO856" s="58"/>
      <x:c r="CP856" s="47"/>
      <x:c r="CQ856" s="60"/>
      <x:c r="CR856" s="58"/>
      <x:c r="CS856" s="47"/>
      <x:c r="CT856" s="60"/>
      <x:c r="CU856" s="58"/>
      <x:c r="CV856" s="47"/>
      <x:c r="CW856" s="60"/>
      <x:c r="CX856" s="58"/>
      <x:c r="CY856" s="47"/>
      <x:c r="CZ856" s="60"/>
      <x:c r="DA856" s="58"/>
      <x:c r="DB856" s="47"/>
      <x:c r="DC856" s="60"/>
      <x:c r="DD856" s="58"/>
      <x:c r="DE856" s="47"/>
      <x:c r="DF856" s="60"/>
      <x:c r="DG856" s="58"/>
      <x:c r="DH856" s="47"/>
      <x:c r="DI856" s="60"/>
      <x:c r="DJ856" s="58"/>
      <x:c r="DK856" s="47"/>
      <x:c r="DL856" s="60"/>
      <x:c r="DM856" s="58"/>
      <x:c r="DN856" s="11"/>
      <x:c r="DO856" s="61"/>
      <x:c r="DP856" s="62"/>
      <x:c r="DQ856" s="11"/>
      <x:c r="DR856" s="61"/>
      <x:c r="DS856" s="62"/>
      <x:c r="DT856" s="11"/>
      <x:c r="DU856" s="61"/>
      <x:c r="DV856" s="62"/>
    </x:row>
    <x:row r="857" spans="1:126" x14ac:dyDescent="0.3">
      <x:c r="A857" s="47"/>
      <x:c r="B857" s="70"/>
      <x:c r="C857" s="70"/>
      <x:c r="D857" s="70"/>
      <x:c r="E857" s="70"/>
      <x:c r="F857" s="70"/>
      <x:c r="G857" s="70"/>
      <x:c r="H857" s="70"/>
      <x:c r="I857" s="70"/>
      <x:c r="J857" s="70"/>
      <x:c r="K857" s="190"/>
      <x:c r="L857" s="195"/>
      <x:c r="M857" s="192"/>
      <x:c r="N857" s="192"/>
      <x:c r="O857" s="69"/>
      <x:c r="P857" s="47"/>
      <x:c r="Q857" s="60"/>
      <x:c r="R857" s="58"/>
      <x:c r="S857" s="47"/>
      <x:c r="T857" s="60"/>
      <x:c r="U857" s="58"/>
      <x:c r="V857" s="47"/>
      <x:c r="W857" s="60"/>
      <x:c r="X857" s="58"/>
      <x:c r="Y857" s="47"/>
      <x:c r="Z857" s="60"/>
      <x:c r="AA857" s="58"/>
      <x:c r="AB857" s="47"/>
      <x:c r="AC857" s="60"/>
      <x:c r="AD857" s="58"/>
      <x:c r="AE857" s="47"/>
      <x:c r="AF857" s="60"/>
      <x:c r="AG857" s="58"/>
      <x:c r="AH857" s="47"/>
      <x:c r="AI857" s="60"/>
      <x:c r="AJ857" s="58"/>
      <x:c r="AK857" s="47"/>
      <x:c r="AL857" s="60"/>
      <x:c r="AM857" s="58"/>
      <x:c r="AN857" s="47"/>
      <x:c r="AO857" s="60"/>
      <x:c r="AP857" s="58"/>
      <x:c r="AQ857" s="47"/>
      <x:c r="AR857" s="60"/>
      <x:c r="AS857" s="58"/>
      <x:c r="AT857" s="47"/>
      <x:c r="AU857" s="60"/>
      <x:c r="AV857" s="58"/>
      <x:c r="AW857" s="47"/>
      <x:c r="AX857" s="60"/>
      <x:c r="AY857" s="58"/>
      <x:c r="AZ857" s="47"/>
      <x:c r="BA857" s="60"/>
      <x:c r="BB857" s="58"/>
      <x:c r="BC857" s="47"/>
      <x:c r="BD857" s="60"/>
      <x:c r="BE857" s="58"/>
      <x:c r="BF857" s="47"/>
      <x:c r="BG857" s="60"/>
      <x:c r="BH857" s="58"/>
      <x:c r="BI857" s="47"/>
      <x:c r="BJ857" s="60"/>
      <x:c r="BK857" s="58"/>
      <x:c r="BL857" s="47"/>
      <x:c r="BM857" s="60"/>
      <x:c r="BN857" s="58"/>
      <x:c r="BO857" s="47"/>
      <x:c r="BP857" s="60"/>
      <x:c r="BQ857" s="58"/>
      <x:c r="BR857" s="47"/>
      <x:c r="BS857" s="60"/>
      <x:c r="BT857" s="58"/>
      <x:c r="BU857" s="47"/>
      <x:c r="BV857" s="60"/>
      <x:c r="BW857" s="58"/>
      <x:c r="BX857" s="47"/>
      <x:c r="BY857" s="60"/>
      <x:c r="BZ857" s="58"/>
      <x:c r="CA857" s="47"/>
      <x:c r="CB857" s="60"/>
      <x:c r="CC857" s="58"/>
      <x:c r="CD857" s="47"/>
      <x:c r="CE857" s="60"/>
      <x:c r="CF857" s="58"/>
      <x:c r="CG857" s="47"/>
      <x:c r="CH857" s="60"/>
      <x:c r="CI857" s="58"/>
      <x:c r="CJ857" s="47"/>
      <x:c r="CK857" s="60"/>
      <x:c r="CL857" s="58"/>
      <x:c r="CM857" s="47"/>
      <x:c r="CN857" s="60"/>
      <x:c r="CO857" s="58"/>
      <x:c r="CP857" s="47"/>
      <x:c r="CQ857" s="60"/>
      <x:c r="CR857" s="58"/>
      <x:c r="CS857" s="47"/>
      <x:c r="CT857" s="60"/>
      <x:c r="CU857" s="58"/>
      <x:c r="CV857" s="47"/>
      <x:c r="CW857" s="60"/>
      <x:c r="CX857" s="58"/>
      <x:c r="CY857" s="47"/>
      <x:c r="CZ857" s="60"/>
      <x:c r="DA857" s="58"/>
      <x:c r="DB857" s="47"/>
      <x:c r="DC857" s="60"/>
      <x:c r="DD857" s="58"/>
      <x:c r="DE857" s="47"/>
      <x:c r="DF857" s="60"/>
      <x:c r="DG857" s="58"/>
      <x:c r="DH857" s="47"/>
      <x:c r="DI857" s="60"/>
      <x:c r="DJ857" s="58"/>
      <x:c r="DK857" s="47"/>
      <x:c r="DL857" s="60"/>
      <x:c r="DM857" s="58"/>
      <x:c r="DN857" s="11"/>
      <x:c r="DO857" s="61"/>
      <x:c r="DP857" s="62"/>
      <x:c r="DQ857" s="11"/>
      <x:c r="DR857" s="61"/>
      <x:c r="DS857" s="62"/>
      <x:c r="DT857" s="11"/>
      <x:c r="DU857" s="61"/>
      <x:c r="DV857" s="62"/>
    </x:row>
    <x:row r="858" spans="1:126" x14ac:dyDescent="0.3">
      <x:c r="A858" s="47"/>
      <x:c r="B858" s="70"/>
      <x:c r="C858" s="70"/>
      <x:c r="D858" s="70"/>
      <x:c r="E858" s="70"/>
      <x:c r="F858" s="70"/>
      <x:c r="G858" s="70"/>
      <x:c r="H858" s="70"/>
      <x:c r="I858" s="70"/>
      <x:c r="J858" s="70"/>
      <x:c r="K858" s="190"/>
      <x:c r="L858" s="195"/>
      <x:c r="M858" s="192"/>
      <x:c r="N858" s="192"/>
      <x:c r="O858" s="69"/>
      <x:c r="P858" s="47"/>
      <x:c r="Q858" s="60"/>
      <x:c r="R858" s="58"/>
      <x:c r="S858" s="47"/>
      <x:c r="T858" s="60"/>
      <x:c r="U858" s="58"/>
      <x:c r="V858" s="47"/>
      <x:c r="W858" s="60"/>
      <x:c r="X858" s="58"/>
      <x:c r="Y858" s="47"/>
      <x:c r="Z858" s="60"/>
      <x:c r="AA858" s="58"/>
      <x:c r="AB858" s="47"/>
      <x:c r="AC858" s="60"/>
      <x:c r="AD858" s="58"/>
      <x:c r="AE858" s="47"/>
      <x:c r="AF858" s="60"/>
      <x:c r="AG858" s="58"/>
      <x:c r="AH858" s="47"/>
      <x:c r="AI858" s="60"/>
      <x:c r="AJ858" s="58"/>
      <x:c r="AK858" s="47"/>
      <x:c r="AL858" s="60"/>
      <x:c r="AM858" s="58"/>
      <x:c r="AN858" s="47"/>
      <x:c r="AO858" s="60"/>
      <x:c r="AP858" s="58"/>
      <x:c r="AQ858" s="47"/>
      <x:c r="AR858" s="60"/>
      <x:c r="AS858" s="58"/>
      <x:c r="AT858" s="47"/>
      <x:c r="AU858" s="60"/>
      <x:c r="AV858" s="58"/>
      <x:c r="AW858" s="47"/>
      <x:c r="AX858" s="60"/>
      <x:c r="AY858" s="58"/>
      <x:c r="AZ858" s="47"/>
      <x:c r="BA858" s="60"/>
      <x:c r="BB858" s="58"/>
      <x:c r="BC858" s="47"/>
      <x:c r="BD858" s="60"/>
      <x:c r="BE858" s="58"/>
      <x:c r="BF858" s="47"/>
      <x:c r="BG858" s="60"/>
      <x:c r="BH858" s="58"/>
      <x:c r="BI858" s="47"/>
      <x:c r="BJ858" s="60"/>
      <x:c r="BK858" s="58"/>
      <x:c r="BL858" s="47"/>
      <x:c r="BM858" s="60"/>
      <x:c r="BN858" s="58"/>
      <x:c r="BO858" s="47"/>
      <x:c r="BP858" s="60"/>
      <x:c r="BQ858" s="58"/>
      <x:c r="BR858" s="47"/>
      <x:c r="BS858" s="60"/>
      <x:c r="BT858" s="58"/>
      <x:c r="BU858" s="47"/>
      <x:c r="BV858" s="60"/>
      <x:c r="BW858" s="58"/>
      <x:c r="BX858" s="47"/>
      <x:c r="BY858" s="60"/>
      <x:c r="BZ858" s="58"/>
      <x:c r="CA858" s="47"/>
      <x:c r="CB858" s="60"/>
      <x:c r="CC858" s="58"/>
      <x:c r="CD858" s="47"/>
      <x:c r="CE858" s="60"/>
      <x:c r="CF858" s="58"/>
      <x:c r="CG858" s="47"/>
      <x:c r="CH858" s="60"/>
      <x:c r="CI858" s="58"/>
      <x:c r="CJ858" s="47"/>
      <x:c r="CK858" s="60"/>
      <x:c r="CL858" s="58"/>
      <x:c r="CM858" s="47"/>
      <x:c r="CN858" s="60"/>
      <x:c r="CO858" s="58"/>
      <x:c r="CP858" s="47"/>
      <x:c r="CQ858" s="60"/>
      <x:c r="CR858" s="58"/>
      <x:c r="CS858" s="47"/>
      <x:c r="CT858" s="60"/>
      <x:c r="CU858" s="58"/>
      <x:c r="CV858" s="47"/>
      <x:c r="CW858" s="60"/>
      <x:c r="CX858" s="58"/>
      <x:c r="CY858" s="47"/>
      <x:c r="CZ858" s="60"/>
      <x:c r="DA858" s="58"/>
      <x:c r="DB858" s="47"/>
      <x:c r="DC858" s="60"/>
      <x:c r="DD858" s="58"/>
      <x:c r="DE858" s="47"/>
      <x:c r="DF858" s="60"/>
      <x:c r="DG858" s="58"/>
      <x:c r="DH858" s="47"/>
      <x:c r="DI858" s="60"/>
      <x:c r="DJ858" s="58"/>
      <x:c r="DK858" s="47"/>
      <x:c r="DL858" s="60"/>
      <x:c r="DM858" s="58"/>
      <x:c r="DN858" s="11"/>
      <x:c r="DO858" s="61"/>
      <x:c r="DP858" s="62"/>
      <x:c r="DQ858" s="11"/>
      <x:c r="DR858" s="61"/>
      <x:c r="DS858" s="62"/>
      <x:c r="DT858" s="11"/>
      <x:c r="DU858" s="61"/>
      <x:c r="DV858" s="62"/>
    </x:row>
    <x:row r="859" spans="1:126" x14ac:dyDescent="0.3">
      <x:c r="A859" s="47"/>
      <x:c r="B859" s="70"/>
      <x:c r="C859" s="70"/>
      <x:c r="D859" s="70"/>
      <x:c r="E859" s="70"/>
      <x:c r="F859" s="70"/>
      <x:c r="G859" s="70"/>
      <x:c r="H859" s="70"/>
      <x:c r="I859" s="70"/>
      <x:c r="J859" s="70"/>
      <x:c r="K859" s="190"/>
      <x:c r="L859" s="195"/>
      <x:c r="M859" s="192"/>
      <x:c r="N859" s="192"/>
      <x:c r="O859" s="69"/>
      <x:c r="P859" s="47"/>
      <x:c r="Q859" s="60"/>
      <x:c r="R859" s="58"/>
      <x:c r="S859" s="47"/>
      <x:c r="T859" s="60"/>
      <x:c r="U859" s="58"/>
      <x:c r="V859" s="47"/>
      <x:c r="W859" s="60"/>
      <x:c r="X859" s="58"/>
      <x:c r="Y859" s="47"/>
      <x:c r="Z859" s="60"/>
      <x:c r="AA859" s="58"/>
      <x:c r="AB859" s="47"/>
      <x:c r="AC859" s="60"/>
      <x:c r="AD859" s="58"/>
      <x:c r="AE859" s="47"/>
      <x:c r="AF859" s="60"/>
      <x:c r="AG859" s="58"/>
      <x:c r="AH859" s="47"/>
      <x:c r="AI859" s="60"/>
      <x:c r="AJ859" s="58"/>
      <x:c r="AK859" s="47"/>
      <x:c r="AL859" s="60"/>
      <x:c r="AM859" s="58"/>
      <x:c r="AN859" s="47"/>
      <x:c r="AO859" s="60"/>
      <x:c r="AP859" s="58"/>
      <x:c r="AQ859" s="47"/>
      <x:c r="AR859" s="60"/>
      <x:c r="AS859" s="58"/>
      <x:c r="AT859" s="47"/>
      <x:c r="AU859" s="60"/>
      <x:c r="AV859" s="58"/>
      <x:c r="AW859" s="47"/>
      <x:c r="AX859" s="60"/>
      <x:c r="AY859" s="58"/>
      <x:c r="AZ859" s="47"/>
      <x:c r="BA859" s="60"/>
      <x:c r="BB859" s="58"/>
      <x:c r="BC859" s="47"/>
      <x:c r="BD859" s="60"/>
      <x:c r="BE859" s="58"/>
      <x:c r="BF859" s="47"/>
      <x:c r="BG859" s="60"/>
      <x:c r="BH859" s="58"/>
      <x:c r="BI859" s="47"/>
      <x:c r="BJ859" s="60"/>
      <x:c r="BK859" s="58"/>
      <x:c r="BL859" s="47"/>
      <x:c r="BM859" s="60"/>
      <x:c r="BN859" s="58"/>
      <x:c r="BO859" s="47"/>
      <x:c r="BP859" s="60"/>
      <x:c r="BQ859" s="58"/>
      <x:c r="BR859" s="47"/>
      <x:c r="BS859" s="60"/>
      <x:c r="BT859" s="58"/>
      <x:c r="BU859" s="47"/>
      <x:c r="BV859" s="60"/>
      <x:c r="BW859" s="58"/>
      <x:c r="BX859" s="47"/>
      <x:c r="BY859" s="60"/>
      <x:c r="BZ859" s="58"/>
      <x:c r="CA859" s="47"/>
      <x:c r="CB859" s="60"/>
      <x:c r="CC859" s="58"/>
      <x:c r="CD859" s="47"/>
      <x:c r="CE859" s="60"/>
      <x:c r="CF859" s="58"/>
      <x:c r="CG859" s="47"/>
      <x:c r="CH859" s="60"/>
      <x:c r="CI859" s="58"/>
      <x:c r="CJ859" s="47"/>
      <x:c r="CK859" s="60"/>
      <x:c r="CL859" s="58"/>
      <x:c r="CM859" s="47"/>
      <x:c r="CN859" s="60"/>
      <x:c r="CO859" s="58"/>
      <x:c r="CP859" s="47"/>
      <x:c r="CQ859" s="60"/>
      <x:c r="CR859" s="58"/>
      <x:c r="CS859" s="47"/>
      <x:c r="CT859" s="60"/>
      <x:c r="CU859" s="58"/>
      <x:c r="CV859" s="47"/>
      <x:c r="CW859" s="60"/>
      <x:c r="CX859" s="58"/>
      <x:c r="CY859" s="47"/>
      <x:c r="CZ859" s="60"/>
      <x:c r="DA859" s="58"/>
      <x:c r="DB859" s="47"/>
      <x:c r="DC859" s="60"/>
      <x:c r="DD859" s="58"/>
      <x:c r="DE859" s="47"/>
      <x:c r="DF859" s="60"/>
      <x:c r="DG859" s="58"/>
      <x:c r="DH859" s="47"/>
      <x:c r="DI859" s="60"/>
      <x:c r="DJ859" s="58"/>
      <x:c r="DK859" s="47"/>
      <x:c r="DL859" s="60"/>
      <x:c r="DM859" s="58"/>
      <x:c r="DN859" s="11"/>
      <x:c r="DO859" s="61"/>
      <x:c r="DP859" s="62"/>
      <x:c r="DQ859" s="11"/>
      <x:c r="DR859" s="61"/>
      <x:c r="DS859" s="62"/>
      <x:c r="DT859" s="11"/>
      <x:c r="DU859" s="61"/>
      <x:c r="DV859" s="62"/>
    </x:row>
    <x:row r="860" spans="1:126" x14ac:dyDescent="0.3">
      <x:c r="A860" s="47"/>
      <x:c r="B860" s="70"/>
      <x:c r="C860" s="70"/>
      <x:c r="D860" s="70"/>
      <x:c r="E860" s="70"/>
      <x:c r="F860" s="70"/>
      <x:c r="G860" s="70"/>
      <x:c r="H860" s="70"/>
      <x:c r="I860" s="70"/>
      <x:c r="J860" s="70"/>
      <x:c r="K860" s="190"/>
      <x:c r="L860" s="195"/>
      <x:c r="M860" s="192"/>
      <x:c r="N860" s="192"/>
      <x:c r="O860" s="69"/>
      <x:c r="P860" s="47"/>
      <x:c r="Q860" s="60"/>
      <x:c r="R860" s="58"/>
      <x:c r="S860" s="47"/>
      <x:c r="T860" s="60"/>
      <x:c r="U860" s="58"/>
      <x:c r="V860" s="47"/>
      <x:c r="W860" s="60"/>
      <x:c r="X860" s="58"/>
      <x:c r="Y860" s="47"/>
      <x:c r="Z860" s="60"/>
      <x:c r="AA860" s="58"/>
      <x:c r="AB860" s="47"/>
      <x:c r="AC860" s="60"/>
      <x:c r="AD860" s="58"/>
      <x:c r="AE860" s="47"/>
      <x:c r="AF860" s="60"/>
      <x:c r="AG860" s="58"/>
      <x:c r="AH860" s="47"/>
      <x:c r="AI860" s="60"/>
      <x:c r="AJ860" s="58"/>
      <x:c r="AK860" s="47"/>
      <x:c r="AL860" s="60"/>
      <x:c r="AM860" s="58"/>
      <x:c r="AN860" s="47"/>
      <x:c r="AO860" s="60"/>
      <x:c r="AP860" s="58"/>
      <x:c r="AQ860" s="47"/>
      <x:c r="AR860" s="60"/>
      <x:c r="AS860" s="58"/>
      <x:c r="AT860" s="47"/>
      <x:c r="AU860" s="60"/>
      <x:c r="AV860" s="58"/>
      <x:c r="AW860" s="47"/>
      <x:c r="AX860" s="60"/>
      <x:c r="AY860" s="58"/>
      <x:c r="AZ860" s="47"/>
      <x:c r="BA860" s="60"/>
      <x:c r="BB860" s="58"/>
      <x:c r="BC860" s="47"/>
      <x:c r="BD860" s="60"/>
      <x:c r="BE860" s="58"/>
      <x:c r="BF860" s="47"/>
      <x:c r="BG860" s="60"/>
      <x:c r="BH860" s="58"/>
      <x:c r="BI860" s="47"/>
      <x:c r="BJ860" s="60"/>
      <x:c r="BK860" s="58"/>
      <x:c r="BL860" s="47"/>
      <x:c r="BM860" s="60"/>
      <x:c r="BN860" s="58"/>
      <x:c r="BO860" s="47"/>
      <x:c r="BP860" s="60"/>
      <x:c r="BQ860" s="58"/>
      <x:c r="BR860" s="47"/>
      <x:c r="BS860" s="60"/>
      <x:c r="BT860" s="58"/>
      <x:c r="BU860" s="47"/>
      <x:c r="BV860" s="60"/>
      <x:c r="BW860" s="58"/>
      <x:c r="BX860" s="47"/>
      <x:c r="BY860" s="60"/>
      <x:c r="BZ860" s="58"/>
      <x:c r="CA860" s="47"/>
      <x:c r="CB860" s="60"/>
      <x:c r="CC860" s="58"/>
      <x:c r="CD860" s="47"/>
      <x:c r="CE860" s="60"/>
      <x:c r="CF860" s="58"/>
      <x:c r="CG860" s="47"/>
      <x:c r="CH860" s="60"/>
      <x:c r="CI860" s="58"/>
      <x:c r="CJ860" s="47"/>
      <x:c r="CK860" s="60"/>
      <x:c r="CL860" s="58"/>
      <x:c r="CM860" s="47"/>
      <x:c r="CN860" s="60"/>
      <x:c r="CO860" s="58"/>
      <x:c r="CP860" s="47"/>
      <x:c r="CQ860" s="60"/>
      <x:c r="CR860" s="58"/>
      <x:c r="CS860" s="47"/>
      <x:c r="CT860" s="60"/>
      <x:c r="CU860" s="58"/>
      <x:c r="CV860" s="47"/>
      <x:c r="CW860" s="60"/>
      <x:c r="CX860" s="58"/>
      <x:c r="CY860" s="47"/>
      <x:c r="CZ860" s="60"/>
      <x:c r="DA860" s="58"/>
      <x:c r="DB860" s="47"/>
      <x:c r="DC860" s="60"/>
      <x:c r="DD860" s="58"/>
      <x:c r="DE860" s="47"/>
      <x:c r="DF860" s="60"/>
      <x:c r="DG860" s="58"/>
      <x:c r="DH860" s="47"/>
      <x:c r="DI860" s="60"/>
      <x:c r="DJ860" s="58"/>
      <x:c r="DK860" s="47"/>
      <x:c r="DL860" s="60"/>
      <x:c r="DM860" s="58"/>
      <x:c r="DN860" s="11"/>
      <x:c r="DO860" s="61"/>
      <x:c r="DP860" s="62"/>
      <x:c r="DQ860" s="11"/>
      <x:c r="DR860" s="61"/>
      <x:c r="DS860" s="62"/>
      <x:c r="DT860" s="11"/>
      <x:c r="DU860" s="61"/>
      <x:c r="DV860" s="62"/>
    </x:row>
    <x:row r="861" spans="1:126" x14ac:dyDescent="0.3">
      <x:c r="A861" s="47"/>
      <x:c r="B861" s="70"/>
      <x:c r="C861" s="70"/>
      <x:c r="D861" s="70"/>
      <x:c r="E861" s="70"/>
      <x:c r="F861" s="70"/>
      <x:c r="G861" s="70"/>
      <x:c r="H861" s="70"/>
      <x:c r="I861" s="70"/>
      <x:c r="J861" s="70"/>
      <x:c r="K861" s="190"/>
      <x:c r="L861" s="195"/>
      <x:c r="M861" s="192"/>
      <x:c r="N861" s="192"/>
      <x:c r="O861" s="69"/>
      <x:c r="P861" s="47"/>
      <x:c r="Q861" s="60"/>
      <x:c r="R861" s="58"/>
      <x:c r="S861" s="47"/>
      <x:c r="T861" s="60"/>
      <x:c r="U861" s="58"/>
      <x:c r="V861" s="47"/>
      <x:c r="W861" s="60"/>
      <x:c r="X861" s="58"/>
      <x:c r="Y861" s="47"/>
      <x:c r="Z861" s="60"/>
      <x:c r="AA861" s="58"/>
      <x:c r="AB861" s="47"/>
      <x:c r="AC861" s="60"/>
      <x:c r="AD861" s="58"/>
      <x:c r="AE861" s="47"/>
      <x:c r="AF861" s="60"/>
      <x:c r="AG861" s="58"/>
      <x:c r="AH861" s="47"/>
      <x:c r="AI861" s="60"/>
      <x:c r="AJ861" s="58"/>
      <x:c r="AK861" s="47"/>
      <x:c r="AL861" s="60"/>
      <x:c r="AM861" s="58"/>
      <x:c r="AN861" s="47"/>
      <x:c r="AO861" s="60"/>
      <x:c r="AP861" s="58"/>
      <x:c r="AQ861" s="47"/>
      <x:c r="AR861" s="60"/>
      <x:c r="AS861" s="58"/>
      <x:c r="AT861" s="47"/>
      <x:c r="AU861" s="60"/>
      <x:c r="AV861" s="58"/>
      <x:c r="AW861" s="47"/>
      <x:c r="AX861" s="60"/>
      <x:c r="AY861" s="58"/>
      <x:c r="AZ861" s="47"/>
      <x:c r="BA861" s="60"/>
      <x:c r="BB861" s="58"/>
      <x:c r="BC861" s="47"/>
      <x:c r="BD861" s="60"/>
      <x:c r="BE861" s="58"/>
      <x:c r="BF861" s="47"/>
      <x:c r="BG861" s="60"/>
      <x:c r="BH861" s="58"/>
      <x:c r="BI861" s="47"/>
      <x:c r="BJ861" s="60"/>
      <x:c r="BK861" s="58"/>
      <x:c r="BL861" s="47"/>
      <x:c r="BM861" s="60"/>
      <x:c r="BN861" s="58"/>
      <x:c r="BO861" s="47"/>
      <x:c r="BP861" s="60"/>
      <x:c r="BQ861" s="58"/>
      <x:c r="BR861" s="47"/>
      <x:c r="BS861" s="60"/>
      <x:c r="BT861" s="58"/>
      <x:c r="BU861" s="47"/>
      <x:c r="BV861" s="60"/>
      <x:c r="BW861" s="58"/>
      <x:c r="BX861" s="47"/>
      <x:c r="BY861" s="60"/>
      <x:c r="BZ861" s="58"/>
      <x:c r="CA861" s="47"/>
      <x:c r="CB861" s="60"/>
      <x:c r="CC861" s="58"/>
      <x:c r="CD861" s="47"/>
      <x:c r="CE861" s="60"/>
      <x:c r="CF861" s="58"/>
      <x:c r="CG861" s="47"/>
      <x:c r="CH861" s="60"/>
      <x:c r="CI861" s="58"/>
      <x:c r="CJ861" s="47"/>
      <x:c r="CK861" s="60"/>
      <x:c r="CL861" s="58"/>
      <x:c r="CM861" s="47"/>
      <x:c r="CN861" s="60"/>
      <x:c r="CO861" s="58"/>
      <x:c r="CP861" s="47"/>
      <x:c r="CQ861" s="60"/>
      <x:c r="CR861" s="58"/>
      <x:c r="CS861" s="47"/>
      <x:c r="CT861" s="60"/>
      <x:c r="CU861" s="58"/>
      <x:c r="CV861" s="47"/>
      <x:c r="CW861" s="60"/>
      <x:c r="CX861" s="58"/>
      <x:c r="CY861" s="47"/>
      <x:c r="CZ861" s="60"/>
      <x:c r="DA861" s="58"/>
      <x:c r="DB861" s="47"/>
      <x:c r="DC861" s="60"/>
      <x:c r="DD861" s="58"/>
      <x:c r="DE861" s="47"/>
      <x:c r="DF861" s="60"/>
      <x:c r="DG861" s="58"/>
      <x:c r="DH861" s="47"/>
      <x:c r="DI861" s="60"/>
      <x:c r="DJ861" s="58"/>
      <x:c r="DK861" s="47"/>
      <x:c r="DL861" s="60"/>
      <x:c r="DM861" s="58"/>
      <x:c r="DN861" s="11"/>
      <x:c r="DO861" s="61"/>
      <x:c r="DP861" s="62"/>
      <x:c r="DQ861" s="11"/>
      <x:c r="DR861" s="61"/>
      <x:c r="DS861" s="62"/>
      <x:c r="DT861" s="11"/>
      <x:c r="DU861" s="61"/>
      <x:c r="DV861" s="62"/>
    </x:row>
    <x:row r="862" spans="1:126" x14ac:dyDescent="0.3">
      <x:c r="A862" s="47"/>
      <x:c r="B862" s="70"/>
      <x:c r="C862" s="70"/>
      <x:c r="D862" s="70"/>
      <x:c r="E862" s="70"/>
      <x:c r="F862" s="70"/>
      <x:c r="G862" s="70"/>
      <x:c r="H862" s="70"/>
      <x:c r="I862" s="70"/>
      <x:c r="J862" s="70"/>
      <x:c r="K862" s="190"/>
      <x:c r="L862" s="195"/>
      <x:c r="M862" s="192"/>
      <x:c r="N862" s="192"/>
      <x:c r="O862" s="69"/>
      <x:c r="P862" s="47"/>
      <x:c r="Q862" s="60"/>
      <x:c r="R862" s="58"/>
      <x:c r="S862" s="47"/>
      <x:c r="T862" s="60"/>
      <x:c r="U862" s="58"/>
      <x:c r="V862" s="47"/>
      <x:c r="W862" s="60"/>
      <x:c r="X862" s="58"/>
      <x:c r="Y862" s="47"/>
      <x:c r="Z862" s="60"/>
      <x:c r="AA862" s="58"/>
      <x:c r="AB862" s="47"/>
      <x:c r="AC862" s="60"/>
      <x:c r="AD862" s="58"/>
      <x:c r="AE862" s="47"/>
      <x:c r="AF862" s="60"/>
      <x:c r="AG862" s="58"/>
      <x:c r="AH862" s="47"/>
      <x:c r="AI862" s="60"/>
      <x:c r="AJ862" s="58"/>
      <x:c r="AK862" s="47"/>
      <x:c r="AL862" s="60"/>
      <x:c r="AM862" s="58"/>
      <x:c r="AN862" s="47"/>
      <x:c r="AO862" s="60"/>
      <x:c r="AP862" s="58"/>
      <x:c r="AQ862" s="47"/>
      <x:c r="AR862" s="60"/>
      <x:c r="AS862" s="58"/>
      <x:c r="AT862" s="47"/>
      <x:c r="AU862" s="60"/>
      <x:c r="AV862" s="58"/>
      <x:c r="AW862" s="47"/>
      <x:c r="AX862" s="60"/>
      <x:c r="AY862" s="58"/>
      <x:c r="AZ862" s="47"/>
      <x:c r="BA862" s="60"/>
      <x:c r="BB862" s="58"/>
      <x:c r="BC862" s="47"/>
      <x:c r="BD862" s="60"/>
      <x:c r="BE862" s="58"/>
      <x:c r="BF862" s="47"/>
      <x:c r="BG862" s="60"/>
      <x:c r="BH862" s="58"/>
      <x:c r="BI862" s="47"/>
      <x:c r="BJ862" s="60"/>
      <x:c r="BK862" s="58"/>
      <x:c r="BL862" s="47"/>
      <x:c r="BM862" s="60"/>
      <x:c r="BN862" s="58"/>
      <x:c r="BO862" s="47"/>
      <x:c r="BP862" s="60"/>
      <x:c r="BQ862" s="58"/>
      <x:c r="BR862" s="47"/>
      <x:c r="BS862" s="60"/>
      <x:c r="BT862" s="58"/>
      <x:c r="BU862" s="47"/>
      <x:c r="BV862" s="60"/>
      <x:c r="BW862" s="58"/>
      <x:c r="BX862" s="47"/>
      <x:c r="BY862" s="60"/>
      <x:c r="BZ862" s="58"/>
      <x:c r="CA862" s="47"/>
      <x:c r="CB862" s="60"/>
      <x:c r="CC862" s="58"/>
      <x:c r="CD862" s="47"/>
      <x:c r="CE862" s="60"/>
      <x:c r="CF862" s="58"/>
      <x:c r="CG862" s="47"/>
      <x:c r="CH862" s="60"/>
      <x:c r="CI862" s="58"/>
      <x:c r="CJ862" s="47"/>
      <x:c r="CK862" s="60"/>
      <x:c r="CL862" s="58"/>
      <x:c r="CM862" s="47"/>
      <x:c r="CN862" s="60"/>
      <x:c r="CO862" s="58"/>
      <x:c r="CP862" s="47"/>
      <x:c r="CQ862" s="60"/>
      <x:c r="CR862" s="58"/>
      <x:c r="CS862" s="47"/>
      <x:c r="CT862" s="60"/>
      <x:c r="CU862" s="58"/>
      <x:c r="CV862" s="47"/>
      <x:c r="CW862" s="60"/>
      <x:c r="CX862" s="58"/>
      <x:c r="CY862" s="47"/>
      <x:c r="CZ862" s="60"/>
      <x:c r="DA862" s="58"/>
      <x:c r="DB862" s="47"/>
      <x:c r="DC862" s="60"/>
      <x:c r="DD862" s="58"/>
      <x:c r="DE862" s="47"/>
      <x:c r="DF862" s="60"/>
      <x:c r="DG862" s="58"/>
      <x:c r="DH862" s="47"/>
      <x:c r="DI862" s="60"/>
      <x:c r="DJ862" s="58"/>
      <x:c r="DK862" s="47"/>
      <x:c r="DL862" s="60"/>
      <x:c r="DM862" s="58"/>
      <x:c r="DN862" s="11"/>
      <x:c r="DO862" s="61"/>
      <x:c r="DP862" s="62"/>
      <x:c r="DQ862" s="11"/>
      <x:c r="DR862" s="61"/>
      <x:c r="DS862" s="62"/>
      <x:c r="DT862" s="11"/>
      <x:c r="DU862" s="61"/>
      <x:c r="DV862" s="62"/>
    </x:row>
    <x:row r="863" spans="1:126" x14ac:dyDescent="0.3">
      <x:c r="A863" s="47"/>
      <x:c r="B863" s="70"/>
      <x:c r="C863" s="70"/>
      <x:c r="D863" s="70"/>
      <x:c r="E863" s="70"/>
      <x:c r="F863" s="70"/>
      <x:c r="G863" s="70"/>
      <x:c r="H863" s="70"/>
      <x:c r="I863" s="70"/>
      <x:c r="J863" s="70"/>
      <x:c r="K863" s="190"/>
      <x:c r="L863" s="195"/>
      <x:c r="M863" s="192"/>
      <x:c r="N863" s="192"/>
      <x:c r="O863" s="69"/>
      <x:c r="P863" s="47"/>
      <x:c r="Q863" s="60"/>
      <x:c r="R863" s="58"/>
      <x:c r="S863" s="47"/>
      <x:c r="T863" s="60"/>
      <x:c r="U863" s="58"/>
      <x:c r="V863" s="47"/>
      <x:c r="W863" s="60"/>
      <x:c r="X863" s="58"/>
      <x:c r="Y863" s="47"/>
      <x:c r="Z863" s="60"/>
      <x:c r="AA863" s="58"/>
      <x:c r="AB863" s="47"/>
      <x:c r="AC863" s="60"/>
      <x:c r="AD863" s="58"/>
      <x:c r="AE863" s="47"/>
      <x:c r="AF863" s="60"/>
      <x:c r="AG863" s="58"/>
      <x:c r="AH863" s="47"/>
      <x:c r="AI863" s="60"/>
      <x:c r="AJ863" s="58"/>
      <x:c r="AK863" s="47"/>
      <x:c r="AL863" s="60"/>
      <x:c r="AM863" s="58"/>
      <x:c r="AN863" s="47"/>
      <x:c r="AO863" s="60"/>
      <x:c r="AP863" s="58"/>
      <x:c r="AQ863" s="47"/>
      <x:c r="AR863" s="60"/>
      <x:c r="AS863" s="58"/>
      <x:c r="AT863" s="47"/>
      <x:c r="AU863" s="60"/>
      <x:c r="AV863" s="58"/>
      <x:c r="AW863" s="47"/>
      <x:c r="AX863" s="60"/>
      <x:c r="AY863" s="58"/>
      <x:c r="AZ863" s="47"/>
      <x:c r="BA863" s="60"/>
      <x:c r="BB863" s="58"/>
      <x:c r="BC863" s="47"/>
      <x:c r="BD863" s="60"/>
      <x:c r="BE863" s="58"/>
      <x:c r="BF863" s="47"/>
      <x:c r="BG863" s="60"/>
      <x:c r="BH863" s="58"/>
      <x:c r="BI863" s="47"/>
      <x:c r="BJ863" s="60"/>
      <x:c r="BK863" s="58"/>
      <x:c r="BL863" s="47"/>
      <x:c r="BM863" s="60"/>
      <x:c r="BN863" s="58"/>
      <x:c r="BO863" s="47"/>
      <x:c r="BP863" s="60"/>
      <x:c r="BQ863" s="58"/>
      <x:c r="BR863" s="47"/>
      <x:c r="BS863" s="60"/>
      <x:c r="BT863" s="58"/>
      <x:c r="BU863" s="47"/>
      <x:c r="BV863" s="60"/>
      <x:c r="BW863" s="58"/>
      <x:c r="BX863" s="47"/>
      <x:c r="BY863" s="60"/>
      <x:c r="BZ863" s="58"/>
      <x:c r="CA863" s="47"/>
      <x:c r="CB863" s="60"/>
      <x:c r="CC863" s="58"/>
      <x:c r="CD863" s="47"/>
      <x:c r="CE863" s="60"/>
      <x:c r="CF863" s="58"/>
      <x:c r="CG863" s="47"/>
      <x:c r="CH863" s="60"/>
      <x:c r="CI863" s="58"/>
      <x:c r="CJ863" s="47"/>
      <x:c r="CK863" s="60"/>
      <x:c r="CL863" s="58"/>
      <x:c r="CM863" s="47"/>
      <x:c r="CN863" s="60"/>
      <x:c r="CO863" s="58"/>
      <x:c r="CP863" s="47"/>
      <x:c r="CQ863" s="60"/>
      <x:c r="CR863" s="58"/>
      <x:c r="CS863" s="47"/>
      <x:c r="CT863" s="60"/>
      <x:c r="CU863" s="58"/>
      <x:c r="CV863" s="47"/>
      <x:c r="CW863" s="60"/>
      <x:c r="CX863" s="58"/>
      <x:c r="CY863" s="47"/>
      <x:c r="CZ863" s="60"/>
      <x:c r="DA863" s="58"/>
      <x:c r="DB863" s="47"/>
      <x:c r="DC863" s="60"/>
      <x:c r="DD863" s="58"/>
      <x:c r="DE863" s="47"/>
      <x:c r="DF863" s="60"/>
      <x:c r="DG863" s="58"/>
      <x:c r="DH863" s="47"/>
      <x:c r="DI863" s="60"/>
      <x:c r="DJ863" s="58"/>
      <x:c r="DK863" s="47"/>
      <x:c r="DL863" s="60"/>
      <x:c r="DM863" s="58"/>
      <x:c r="DN863" s="11"/>
      <x:c r="DO863" s="61"/>
      <x:c r="DP863" s="62"/>
      <x:c r="DQ863" s="11"/>
      <x:c r="DR863" s="61"/>
      <x:c r="DS863" s="62"/>
      <x:c r="DT863" s="11"/>
      <x:c r="DU863" s="61"/>
      <x:c r="DV863" s="62"/>
    </x:row>
    <x:row r="864" spans="1:126" x14ac:dyDescent="0.3">
      <x:c r="A864" s="47"/>
      <x:c r="B864" s="70"/>
      <x:c r="C864" s="70"/>
      <x:c r="D864" s="70"/>
      <x:c r="E864" s="70"/>
      <x:c r="F864" s="70"/>
      <x:c r="G864" s="70"/>
      <x:c r="H864" s="70"/>
      <x:c r="I864" s="70"/>
      <x:c r="J864" s="70"/>
      <x:c r="K864" s="190"/>
      <x:c r="L864" s="195"/>
      <x:c r="M864" s="192"/>
      <x:c r="N864" s="192"/>
      <x:c r="O864" s="69"/>
      <x:c r="P864" s="47"/>
      <x:c r="Q864" s="60"/>
      <x:c r="R864" s="58"/>
      <x:c r="S864" s="47"/>
      <x:c r="T864" s="60"/>
      <x:c r="U864" s="58"/>
      <x:c r="V864" s="47"/>
      <x:c r="W864" s="60"/>
      <x:c r="X864" s="58"/>
      <x:c r="Y864" s="47"/>
      <x:c r="Z864" s="60"/>
      <x:c r="AA864" s="58"/>
      <x:c r="AB864" s="47"/>
      <x:c r="AC864" s="60"/>
      <x:c r="AD864" s="58"/>
      <x:c r="AE864" s="47"/>
      <x:c r="AF864" s="60"/>
      <x:c r="AG864" s="58"/>
      <x:c r="AH864" s="47"/>
      <x:c r="AI864" s="60"/>
      <x:c r="AJ864" s="58"/>
      <x:c r="AK864" s="47"/>
      <x:c r="AL864" s="60"/>
      <x:c r="AM864" s="58"/>
      <x:c r="AN864" s="47"/>
      <x:c r="AO864" s="60"/>
      <x:c r="AP864" s="58"/>
      <x:c r="AQ864" s="47"/>
      <x:c r="AR864" s="60"/>
      <x:c r="AS864" s="58"/>
      <x:c r="AT864" s="47"/>
      <x:c r="AU864" s="60"/>
      <x:c r="AV864" s="58"/>
      <x:c r="AW864" s="47"/>
      <x:c r="AX864" s="60"/>
      <x:c r="AY864" s="58"/>
      <x:c r="AZ864" s="47"/>
      <x:c r="BA864" s="60"/>
      <x:c r="BB864" s="58"/>
      <x:c r="BC864" s="47"/>
      <x:c r="BD864" s="60"/>
      <x:c r="BE864" s="58"/>
      <x:c r="BF864" s="47"/>
      <x:c r="BG864" s="60"/>
      <x:c r="BH864" s="58"/>
      <x:c r="BI864" s="47"/>
      <x:c r="BJ864" s="60"/>
      <x:c r="BK864" s="58"/>
      <x:c r="BL864" s="47"/>
      <x:c r="BM864" s="60"/>
      <x:c r="BN864" s="58"/>
      <x:c r="BO864" s="47"/>
      <x:c r="BP864" s="60"/>
      <x:c r="BQ864" s="58"/>
      <x:c r="BR864" s="47"/>
      <x:c r="BS864" s="60"/>
      <x:c r="BT864" s="58"/>
      <x:c r="BU864" s="47"/>
      <x:c r="BV864" s="60"/>
      <x:c r="BW864" s="58"/>
      <x:c r="BX864" s="47"/>
      <x:c r="BY864" s="60"/>
      <x:c r="BZ864" s="58"/>
      <x:c r="CA864" s="47"/>
      <x:c r="CB864" s="60"/>
      <x:c r="CC864" s="58"/>
      <x:c r="CD864" s="47"/>
      <x:c r="CE864" s="60"/>
      <x:c r="CF864" s="58"/>
      <x:c r="CG864" s="47"/>
      <x:c r="CH864" s="60"/>
      <x:c r="CI864" s="58"/>
      <x:c r="CJ864" s="47"/>
      <x:c r="CK864" s="60"/>
      <x:c r="CL864" s="58"/>
      <x:c r="CM864" s="47"/>
      <x:c r="CN864" s="60"/>
      <x:c r="CO864" s="58"/>
      <x:c r="CP864" s="47"/>
      <x:c r="CQ864" s="60"/>
      <x:c r="CR864" s="58"/>
      <x:c r="CS864" s="47"/>
      <x:c r="CT864" s="60"/>
      <x:c r="CU864" s="58"/>
      <x:c r="CV864" s="47"/>
      <x:c r="CW864" s="60"/>
      <x:c r="CX864" s="58"/>
      <x:c r="CY864" s="47"/>
      <x:c r="CZ864" s="60"/>
      <x:c r="DA864" s="58"/>
      <x:c r="DB864" s="47"/>
      <x:c r="DC864" s="60"/>
      <x:c r="DD864" s="58"/>
      <x:c r="DE864" s="47"/>
      <x:c r="DF864" s="60"/>
      <x:c r="DG864" s="58"/>
      <x:c r="DH864" s="47"/>
      <x:c r="DI864" s="60"/>
      <x:c r="DJ864" s="58"/>
      <x:c r="DK864" s="47"/>
      <x:c r="DL864" s="60"/>
      <x:c r="DM864" s="58"/>
      <x:c r="DN864" s="11"/>
      <x:c r="DO864" s="61"/>
      <x:c r="DP864" s="62"/>
      <x:c r="DQ864" s="11"/>
      <x:c r="DR864" s="61"/>
      <x:c r="DS864" s="62"/>
      <x:c r="DT864" s="11"/>
      <x:c r="DU864" s="61"/>
      <x:c r="DV864" s="62"/>
    </x:row>
    <x:row r="865" spans="1:126" x14ac:dyDescent="0.3">
      <x:c r="A865" s="47"/>
      <x:c r="B865" s="70"/>
      <x:c r="C865" s="70"/>
      <x:c r="D865" s="70"/>
      <x:c r="E865" s="70"/>
      <x:c r="F865" s="70"/>
      <x:c r="G865" s="70"/>
      <x:c r="H865" s="70"/>
      <x:c r="I865" s="70"/>
      <x:c r="J865" s="70"/>
      <x:c r="K865" s="190"/>
      <x:c r="L865" s="195"/>
      <x:c r="M865" s="192"/>
      <x:c r="N865" s="192"/>
      <x:c r="O865" s="69"/>
      <x:c r="P865" s="47"/>
      <x:c r="Q865" s="60"/>
      <x:c r="R865" s="58"/>
      <x:c r="S865" s="47"/>
      <x:c r="T865" s="60"/>
      <x:c r="U865" s="58"/>
      <x:c r="V865" s="47"/>
      <x:c r="W865" s="60"/>
      <x:c r="X865" s="58"/>
      <x:c r="Y865" s="47"/>
      <x:c r="Z865" s="60"/>
      <x:c r="AA865" s="58"/>
      <x:c r="AB865" s="47"/>
      <x:c r="AC865" s="60"/>
      <x:c r="AD865" s="58"/>
      <x:c r="AE865" s="47"/>
      <x:c r="AF865" s="60"/>
      <x:c r="AG865" s="58"/>
      <x:c r="AH865" s="47"/>
      <x:c r="AI865" s="60"/>
      <x:c r="AJ865" s="58"/>
      <x:c r="AK865" s="47"/>
      <x:c r="AL865" s="60"/>
      <x:c r="AM865" s="58"/>
      <x:c r="AN865" s="47"/>
      <x:c r="AO865" s="60"/>
      <x:c r="AP865" s="58"/>
      <x:c r="AQ865" s="47"/>
      <x:c r="AR865" s="60"/>
      <x:c r="AS865" s="58"/>
      <x:c r="AT865" s="47"/>
      <x:c r="AU865" s="60"/>
      <x:c r="AV865" s="58"/>
      <x:c r="AW865" s="47"/>
      <x:c r="AX865" s="60"/>
      <x:c r="AY865" s="58"/>
      <x:c r="AZ865" s="47"/>
      <x:c r="BA865" s="60"/>
      <x:c r="BB865" s="58"/>
      <x:c r="BC865" s="47"/>
      <x:c r="BD865" s="60"/>
      <x:c r="BE865" s="58"/>
      <x:c r="BF865" s="47"/>
      <x:c r="BG865" s="60"/>
      <x:c r="BH865" s="58"/>
      <x:c r="BI865" s="47"/>
      <x:c r="BJ865" s="60"/>
      <x:c r="BK865" s="58"/>
      <x:c r="BL865" s="47"/>
      <x:c r="BM865" s="60"/>
      <x:c r="BN865" s="58"/>
      <x:c r="BO865" s="47"/>
      <x:c r="BP865" s="60"/>
      <x:c r="BQ865" s="58"/>
      <x:c r="BR865" s="47"/>
      <x:c r="BS865" s="60"/>
      <x:c r="BT865" s="58"/>
      <x:c r="BU865" s="47"/>
      <x:c r="BV865" s="60"/>
      <x:c r="BW865" s="58"/>
      <x:c r="BX865" s="47"/>
      <x:c r="BY865" s="60"/>
      <x:c r="BZ865" s="58"/>
      <x:c r="CA865" s="47"/>
      <x:c r="CB865" s="60"/>
      <x:c r="CC865" s="58"/>
      <x:c r="CD865" s="47"/>
      <x:c r="CE865" s="60"/>
      <x:c r="CF865" s="58"/>
      <x:c r="CG865" s="47"/>
      <x:c r="CH865" s="60"/>
      <x:c r="CI865" s="58"/>
      <x:c r="CJ865" s="47"/>
      <x:c r="CK865" s="60"/>
      <x:c r="CL865" s="58"/>
      <x:c r="CM865" s="47"/>
      <x:c r="CN865" s="60"/>
      <x:c r="CO865" s="58"/>
      <x:c r="CP865" s="47"/>
      <x:c r="CQ865" s="60"/>
      <x:c r="CR865" s="58"/>
      <x:c r="CS865" s="47"/>
      <x:c r="CT865" s="60"/>
      <x:c r="CU865" s="58"/>
      <x:c r="CV865" s="47"/>
      <x:c r="CW865" s="60"/>
      <x:c r="CX865" s="58"/>
      <x:c r="CY865" s="47"/>
      <x:c r="CZ865" s="60"/>
      <x:c r="DA865" s="58"/>
      <x:c r="DB865" s="47"/>
      <x:c r="DC865" s="60"/>
      <x:c r="DD865" s="58"/>
      <x:c r="DE865" s="47"/>
      <x:c r="DF865" s="60"/>
      <x:c r="DG865" s="58"/>
      <x:c r="DH865" s="47"/>
      <x:c r="DI865" s="60"/>
      <x:c r="DJ865" s="58"/>
      <x:c r="DK865" s="47"/>
      <x:c r="DL865" s="60"/>
      <x:c r="DM865" s="58"/>
      <x:c r="DN865" s="11"/>
      <x:c r="DO865" s="61"/>
      <x:c r="DP865" s="62"/>
      <x:c r="DQ865" s="11"/>
      <x:c r="DR865" s="61"/>
      <x:c r="DS865" s="62"/>
      <x:c r="DT865" s="11"/>
      <x:c r="DU865" s="61"/>
      <x:c r="DV865" s="62"/>
    </x:row>
    <x:row r="866" spans="1:126" x14ac:dyDescent="0.3">
      <x:c r="A866" s="47"/>
      <x:c r="B866" s="70"/>
      <x:c r="C866" s="70"/>
      <x:c r="D866" s="70"/>
      <x:c r="E866" s="70"/>
      <x:c r="F866" s="70"/>
      <x:c r="G866" s="70"/>
      <x:c r="H866" s="70"/>
      <x:c r="I866" s="70"/>
      <x:c r="J866" s="70"/>
      <x:c r="K866" s="190"/>
      <x:c r="L866" s="195"/>
      <x:c r="M866" s="192"/>
      <x:c r="N866" s="192"/>
      <x:c r="O866" s="69"/>
      <x:c r="P866" s="47"/>
      <x:c r="Q866" s="60"/>
      <x:c r="R866" s="58"/>
      <x:c r="S866" s="47"/>
      <x:c r="T866" s="60"/>
      <x:c r="U866" s="58"/>
      <x:c r="V866" s="47"/>
      <x:c r="W866" s="60"/>
      <x:c r="X866" s="58"/>
      <x:c r="Y866" s="47"/>
      <x:c r="Z866" s="60"/>
      <x:c r="AA866" s="58"/>
      <x:c r="AB866" s="47"/>
      <x:c r="AC866" s="60"/>
      <x:c r="AD866" s="58"/>
      <x:c r="AE866" s="47"/>
      <x:c r="AF866" s="60"/>
      <x:c r="AG866" s="58"/>
      <x:c r="AH866" s="47"/>
      <x:c r="AI866" s="60"/>
      <x:c r="AJ866" s="58"/>
      <x:c r="AK866" s="47"/>
      <x:c r="AL866" s="60"/>
      <x:c r="AM866" s="58"/>
      <x:c r="AN866" s="47"/>
      <x:c r="AO866" s="60"/>
      <x:c r="AP866" s="58"/>
      <x:c r="AQ866" s="47"/>
      <x:c r="AR866" s="60"/>
      <x:c r="AS866" s="58"/>
      <x:c r="AT866" s="47"/>
      <x:c r="AU866" s="60"/>
      <x:c r="AV866" s="58"/>
      <x:c r="AW866" s="47"/>
      <x:c r="AX866" s="60"/>
      <x:c r="AY866" s="58"/>
      <x:c r="AZ866" s="47"/>
      <x:c r="BA866" s="60"/>
      <x:c r="BB866" s="58"/>
      <x:c r="BC866" s="47"/>
      <x:c r="BD866" s="60"/>
      <x:c r="BE866" s="58"/>
      <x:c r="BF866" s="47"/>
      <x:c r="BG866" s="60"/>
      <x:c r="BH866" s="58"/>
      <x:c r="BI866" s="47"/>
      <x:c r="BJ866" s="60"/>
      <x:c r="BK866" s="58"/>
      <x:c r="BL866" s="47"/>
      <x:c r="BM866" s="60"/>
      <x:c r="BN866" s="58"/>
      <x:c r="BO866" s="47"/>
      <x:c r="BP866" s="60"/>
      <x:c r="BQ866" s="58"/>
      <x:c r="BR866" s="47"/>
      <x:c r="BS866" s="60"/>
      <x:c r="BT866" s="58"/>
      <x:c r="BU866" s="47"/>
      <x:c r="BV866" s="60"/>
      <x:c r="BW866" s="58"/>
      <x:c r="BX866" s="47"/>
      <x:c r="BY866" s="60"/>
      <x:c r="BZ866" s="58"/>
      <x:c r="CA866" s="47"/>
      <x:c r="CB866" s="60"/>
      <x:c r="CC866" s="58"/>
      <x:c r="CD866" s="47"/>
      <x:c r="CE866" s="60"/>
      <x:c r="CF866" s="58"/>
      <x:c r="CG866" s="47"/>
      <x:c r="CH866" s="60"/>
      <x:c r="CI866" s="58"/>
      <x:c r="CJ866" s="47"/>
      <x:c r="CK866" s="60"/>
      <x:c r="CL866" s="58"/>
      <x:c r="CM866" s="47"/>
      <x:c r="CN866" s="60"/>
      <x:c r="CO866" s="58"/>
      <x:c r="CP866" s="47"/>
      <x:c r="CQ866" s="60"/>
      <x:c r="CR866" s="58"/>
      <x:c r="CS866" s="47"/>
      <x:c r="CT866" s="60"/>
      <x:c r="CU866" s="58"/>
      <x:c r="CV866" s="47"/>
      <x:c r="CW866" s="60"/>
      <x:c r="CX866" s="58"/>
      <x:c r="CY866" s="47"/>
      <x:c r="CZ866" s="60"/>
      <x:c r="DA866" s="58"/>
      <x:c r="DB866" s="47"/>
      <x:c r="DC866" s="60"/>
      <x:c r="DD866" s="58"/>
      <x:c r="DE866" s="47"/>
      <x:c r="DF866" s="60"/>
      <x:c r="DG866" s="58"/>
      <x:c r="DH866" s="47"/>
      <x:c r="DI866" s="60"/>
      <x:c r="DJ866" s="58"/>
      <x:c r="DK866" s="47"/>
      <x:c r="DL866" s="60"/>
      <x:c r="DM866" s="58"/>
      <x:c r="DN866" s="11"/>
      <x:c r="DO866" s="61"/>
      <x:c r="DP866" s="62"/>
      <x:c r="DQ866" s="11"/>
      <x:c r="DR866" s="61"/>
      <x:c r="DS866" s="62"/>
      <x:c r="DT866" s="11"/>
      <x:c r="DU866" s="61"/>
      <x:c r="DV866" s="62"/>
    </x:row>
    <x:row r="867" spans="1:126" x14ac:dyDescent="0.3">
      <x:c r="A867" s="47"/>
      <x:c r="B867" s="70"/>
      <x:c r="C867" s="70"/>
      <x:c r="D867" s="70"/>
      <x:c r="E867" s="70"/>
      <x:c r="F867" s="70"/>
      <x:c r="G867" s="70"/>
      <x:c r="H867" s="70"/>
      <x:c r="I867" s="70"/>
      <x:c r="J867" s="70"/>
      <x:c r="K867" s="190"/>
      <x:c r="L867" s="195"/>
      <x:c r="M867" s="192"/>
      <x:c r="N867" s="192"/>
      <x:c r="O867" s="69"/>
      <x:c r="P867" s="47"/>
      <x:c r="Q867" s="60"/>
      <x:c r="R867" s="58"/>
      <x:c r="S867" s="47"/>
      <x:c r="T867" s="60"/>
      <x:c r="U867" s="58"/>
      <x:c r="V867" s="47"/>
      <x:c r="W867" s="60"/>
      <x:c r="X867" s="58"/>
      <x:c r="Y867" s="47"/>
      <x:c r="Z867" s="60"/>
      <x:c r="AA867" s="58"/>
      <x:c r="AB867" s="47"/>
      <x:c r="AC867" s="60"/>
      <x:c r="AD867" s="58"/>
      <x:c r="AE867" s="47"/>
      <x:c r="AF867" s="60"/>
      <x:c r="AG867" s="58"/>
      <x:c r="AH867" s="47"/>
      <x:c r="AI867" s="60"/>
      <x:c r="AJ867" s="58"/>
      <x:c r="AK867" s="47"/>
      <x:c r="AL867" s="60"/>
      <x:c r="AM867" s="58"/>
      <x:c r="AN867" s="47"/>
      <x:c r="AO867" s="60"/>
      <x:c r="AP867" s="58"/>
      <x:c r="AQ867" s="47"/>
      <x:c r="AR867" s="60"/>
      <x:c r="AS867" s="58"/>
      <x:c r="AT867" s="47"/>
      <x:c r="AU867" s="60"/>
      <x:c r="AV867" s="58"/>
      <x:c r="AW867" s="47"/>
      <x:c r="AX867" s="60"/>
      <x:c r="AY867" s="58"/>
      <x:c r="AZ867" s="47"/>
      <x:c r="BA867" s="60"/>
      <x:c r="BB867" s="58"/>
      <x:c r="BC867" s="47"/>
      <x:c r="BD867" s="60"/>
      <x:c r="BE867" s="58"/>
      <x:c r="BF867" s="47"/>
      <x:c r="BG867" s="60"/>
      <x:c r="BH867" s="58"/>
      <x:c r="BI867" s="47"/>
      <x:c r="BJ867" s="60"/>
      <x:c r="BK867" s="58"/>
      <x:c r="BL867" s="47"/>
      <x:c r="BM867" s="60"/>
      <x:c r="BN867" s="58"/>
      <x:c r="BO867" s="47"/>
      <x:c r="BP867" s="60"/>
      <x:c r="BQ867" s="58"/>
      <x:c r="BR867" s="47"/>
      <x:c r="BS867" s="60"/>
      <x:c r="BT867" s="58"/>
      <x:c r="BU867" s="47"/>
      <x:c r="BV867" s="60"/>
      <x:c r="BW867" s="58"/>
      <x:c r="BX867" s="47"/>
      <x:c r="BY867" s="60"/>
      <x:c r="BZ867" s="58"/>
      <x:c r="CA867" s="47"/>
      <x:c r="CB867" s="60"/>
      <x:c r="CC867" s="58"/>
      <x:c r="CD867" s="47"/>
      <x:c r="CE867" s="60"/>
      <x:c r="CF867" s="58"/>
      <x:c r="CG867" s="47"/>
      <x:c r="CH867" s="60"/>
      <x:c r="CI867" s="58"/>
      <x:c r="CJ867" s="47"/>
      <x:c r="CK867" s="60"/>
      <x:c r="CL867" s="58"/>
      <x:c r="CM867" s="47"/>
      <x:c r="CN867" s="60"/>
      <x:c r="CO867" s="58"/>
      <x:c r="CP867" s="47"/>
      <x:c r="CQ867" s="60"/>
      <x:c r="CR867" s="58"/>
      <x:c r="CS867" s="47"/>
      <x:c r="CT867" s="60"/>
      <x:c r="CU867" s="58"/>
      <x:c r="CV867" s="47"/>
      <x:c r="CW867" s="60"/>
      <x:c r="CX867" s="58"/>
      <x:c r="CY867" s="47"/>
      <x:c r="CZ867" s="60"/>
      <x:c r="DA867" s="58"/>
      <x:c r="DB867" s="47"/>
      <x:c r="DC867" s="60"/>
      <x:c r="DD867" s="58"/>
      <x:c r="DE867" s="47"/>
      <x:c r="DF867" s="60"/>
      <x:c r="DG867" s="58"/>
      <x:c r="DH867" s="47"/>
      <x:c r="DI867" s="60"/>
      <x:c r="DJ867" s="58"/>
      <x:c r="DK867" s="47"/>
      <x:c r="DL867" s="60"/>
      <x:c r="DM867" s="58"/>
      <x:c r="DN867" s="11"/>
      <x:c r="DO867" s="61"/>
      <x:c r="DP867" s="62"/>
      <x:c r="DQ867" s="11"/>
      <x:c r="DR867" s="61"/>
      <x:c r="DS867" s="62"/>
      <x:c r="DT867" s="11"/>
      <x:c r="DU867" s="61"/>
      <x:c r="DV867" s="62"/>
    </x:row>
    <x:row r="868" spans="1:126" x14ac:dyDescent="0.3">
      <x:c r="A868" s="47"/>
      <x:c r="B868" s="70"/>
      <x:c r="C868" s="70"/>
      <x:c r="D868" s="70"/>
      <x:c r="E868" s="70"/>
      <x:c r="F868" s="70"/>
      <x:c r="G868" s="70"/>
      <x:c r="H868" s="70"/>
      <x:c r="I868" s="70"/>
      <x:c r="J868" s="70"/>
      <x:c r="K868" s="190"/>
      <x:c r="L868" s="195"/>
      <x:c r="M868" s="192"/>
      <x:c r="N868" s="192"/>
      <x:c r="O868" s="69"/>
      <x:c r="P868" s="47"/>
      <x:c r="Q868" s="60"/>
      <x:c r="R868" s="58"/>
      <x:c r="S868" s="47"/>
      <x:c r="T868" s="60"/>
      <x:c r="U868" s="58"/>
      <x:c r="V868" s="47"/>
      <x:c r="W868" s="60"/>
      <x:c r="X868" s="58"/>
      <x:c r="Y868" s="47"/>
      <x:c r="Z868" s="60"/>
      <x:c r="AA868" s="58"/>
      <x:c r="AB868" s="47"/>
      <x:c r="AC868" s="60"/>
      <x:c r="AD868" s="58"/>
      <x:c r="AE868" s="47"/>
      <x:c r="AF868" s="60"/>
      <x:c r="AG868" s="58"/>
      <x:c r="AH868" s="47"/>
      <x:c r="AI868" s="60"/>
      <x:c r="AJ868" s="58"/>
      <x:c r="AK868" s="47"/>
      <x:c r="AL868" s="60"/>
      <x:c r="AM868" s="58"/>
      <x:c r="AN868" s="47"/>
      <x:c r="AO868" s="60"/>
      <x:c r="AP868" s="58"/>
      <x:c r="AQ868" s="47"/>
      <x:c r="AR868" s="60"/>
      <x:c r="AS868" s="58"/>
      <x:c r="AT868" s="47"/>
      <x:c r="AU868" s="60"/>
      <x:c r="AV868" s="58"/>
      <x:c r="AW868" s="47"/>
      <x:c r="AX868" s="60"/>
      <x:c r="AY868" s="58"/>
      <x:c r="AZ868" s="47"/>
      <x:c r="BA868" s="60"/>
      <x:c r="BB868" s="58"/>
      <x:c r="BC868" s="47"/>
      <x:c r="BD868" s="60"/>
      <x:c r="BE868" s="58"/>
      <x:c r="BF868" s="47"/>
      <x:c r="BG868" s="60"/>
      <x:c r="BH868" s="58"/>
      <x:c r="BI868" s="47"/>
      <x:c r="BJ868" s="60"/>
      <x:c r="BK868" s="58"/>
      <x:c r="BL868" s="47"/>
      <x:c r="BM868" s="60"/>
      <x:c r="BN868" s="58"/>
      <x:c r="BO868" s="47"/>
      <x:c r="BP868" s="60"/>
      <x:c r="BQ868" s="58"/>
      <x:c r="BR868" s="47"/>
      <x:c r="BS868" s="60"/>
      <x:c r="BT868" s="58"/>
      <x:c r="BU868" s="47"/>
      <x:c r="BV868" s="60"/>
      <x:c r="BW868" s="58"/>
      <x:c r="BX868" s="47"/>
      <x:c r="BY868" s="60"/>
      <x:c r="BZ868" s="58"/>
      <x:c r="CA868" s="47"/>
      <x:c r="CB868" s="60"/>
      <x:c r="CC868" s="58"/>
      <x:c r="CD868" s="47"/>
      <x:c r="CE868" s="60"/>
      <x:c r="CF868" s="58"/>
      <x:c r="CG868" s="47"/>
      <x:c r="CH868" s="60"/>
      <x:c r="CI868" s="58"/>
      <x:c r="CJ868" s="47"/>
      <x:c r="CK868" s="60"/>
      <x:c r="CL868" s="58"/>
      <x:c r="CM868" s="47"/>
      <x:c r="CN868" s="60"/>
      <x:c r="CO868" s="58"/>
      <x:c r="CP868" s="47"/>
      <x:c r="CQ868" s="60"/>
      <x:c r="CR868" s="58"/>
      <x:c r="CS868" s="47"/>
      <x:c r="CT868" s="60"/>
      <x:c r="CU868" s="58"/>
      <x:c r="CV868" s="47"/>
      <x:c r="CW868" s="60"/>
      <x:c r="CX868" s="58"/>
      <x:c r="CY868" s="47"/>
      <x:c r="CZ868" s="60"/>
      <x:c r="DA868" s="58"/>
      <x:c r="DB868" s="47"/>
      <x:c r="DC868" s="60"/>
      <x:c r="DD868" s="58"/>
      <x:c r="DE868" s="47"/>
      <x:c r="DF868" s="60"/>
      <x:c r="DG868" s="58"/>
      <x:c r="DH868" s="47"/>
      <x:c r="DI868" s="60"/>
      <x:c r="DJ868" s="58"/>
      <x:c r="DK868" s="47"/>
      <x:c r="DL868" s="60"/>
      <x:c r="DM868" s="58"/>
      <x:c r="DN868" s="11"/>
      <x:c r="DO868" s="61"/>
      <x:c r="DP868" s="62"/>
      <x:c r="DQ868" s="11"/>
      <x:c r="DR868" s="61"/>
      <x:c r="DS868" s="62"/>
      <x:c r="DT868" s="11"/>
      <x:c r="DU868" s="61"/>
      <x:c r="DV868" s="62"/>
    </x:row>
    <x:row r="869" spans="1:126" x14ac:dyDescent="0.3">
      <x:c r="A869" s="47"/>
      <x:c r="B869" s="70"/>
      <x:c r="C869" s="70"/>
      <x:c r="D869" s="70"/>
      <x:c r="E869" s="70"/>
      <x:c r="F869" s="70"/>
      <x:c r="G869" s="70"/>
      <x:c r="H869" s="70"/>
      <x:c r="I869" s="70"/>
      <x:c r="J869" s="70"/>
      <x:c r="K869" s="190"/>
      <x:c r="L869" s="195"/>
      <x:c r="M869" s="192"/>
      <x:c r="N869" s="192"/>
      <x:c r="O869" s="69"/>
      <x:c r="P869" s="47"/>
      <x:c r="Q869" s="60"/>
      <x:c r="R869" s="58"/>
      <x:c r="S869" s="47"/>
      <x:c r="T869" s="60"/>
      <x:c r="U869" s="58"/>
      <x:c r="V869" s="47"/>
      <x:c r="W869" s="60"/>
      <x:c r="X869" s="58"/>
      <x:c r="Y869" s="47"/>
      <x:c r="Z869" s="60"/>
      <x:c r="AA869" s="58"/>
      <x:c r="AB869" s="47"/>
      <x:c r="AC869" s="60"/>
      <x:c r="AD869" s="58"/>
      <x:c r="AE869" s="47"/>
      <x:c r="AF869" s="60"/>
      <x:c r="AG869" s="58"/>
      <x:c r="AH869" s="47"/>
      <x:c r="AI869" s="60"/>
      <x:c r="AJ869" s="58"/>
      <x:c r="AK869" s="47"/>
      <x:c r="AL869" s="60"/>
      <x:c r="AM869" s="58"/>
      <x:c r="AN869" s="47"/>
      <x:c r="AO869" s="60"/>
      <x:c r="AP869" s="58"/>
      <x:c r="AQ869" s="47"/>
      <x:c r="AR869" s="60"/>
      <x:c r="AS869" s="58"/>
      <x:c r="AT869" s="47"/>
      <x:c r="AU869" s="60"/>
      <x:c r="AV869" s="58"/>
      <x:c r="AW869" s="47"/>
      <x:c r="AX869" s="60"/>
      <x:c r="AY869" s="58"/>
      <x:c r="AZ869" s="47"/>
      <x:c r="BA869" s="60"/>
      <x:c r="BB869" s="58"/>
      <x:c r="BC869" s="47"/>
      <x:c r="BD869" s="60"/>
      <x:c r="BE869" s="58"/>
      <x:c r="BF869" s="47"/>
      <x:c r="BG869" s="60"/>
      <x:c r="BH869" s="58"/>
      <x:c r="BI869" s="47"/>
      <x:c r="BJ869" s="60"/>
      <x:c r="BK869" s="58"/>
      <x:c r="BL869" s="47"/>
      <x:c r="BM869" s="60"/>
      <x:c r="BN869" s="58"/>
      <x:c r="BO869" s="47"/>
      <x:c r="BP869" s="60"/>
      <x:c r="BQ869" s="58"/>
      <x:c r="BR869" s="47"/>
      <x:c r="BS869" s="60"/>
      <x:c r="BT869" s="58"/>
      <x:c r="BU869" s="47"/>
      <x:c r="BV869" s="60"/>
      <x:c r="BW869" s="58"/>
      <x:c r="BX869" s="47"/>
      <x:c r="BY869" s="60"/>
      <x:c r="BZ869" s="58"/>
      <x:c r="CA869" s="47"/>
      <x:c r="CB869" s="60"/>
      <x:c r="CC869" s="58"/>
      <x:c r="CD869" s="47"/>
      <x:c r="CE869" s="60"/>
      <x:c r="CF869" s="58"/>
      <x:c r="CG869" s="47"/>
      <x:c r="CH869" s="60"/>
      <x:c r="CI869" s="58"/>
      <x:c r="CJ869" s="47"/>
      <x:c r="CK869" s="60"/>
      <x:c r="CL869" s="58"/>
      <x:c r="CM869" s="47"/>
      <x:c r="CN869" s="60"/>
      <x:c r="CO869" s="58"/>
      <x:c r="CP869" s="47"/>
      <x:c r="CQ869" s="60"/>
      <x:c r="CR869" s="58"/>
      <x:c r="CS869" s="47"/>
      <x:c r="CT869" s="60"/>
      <x:c r="CU869" s="58"/>
      <x:c r="CV869" s="47"/>
      <x:c r="CW869" s="60"/>
      <x:c r="CX869" s="58"/>
      <x:c r="CY869" s="47"/>
      <x:c r="CZ869" s="60"/>
      <x:c r="DA869" s="58"/>
      <x:c r="DB869" s="47"/>
      <x:c r="DC869" s="60"/>
      <x:c r="DD869" s="58"/>
      <x:c r="DE869" s="47"/>
      <x:c r="DF869" s="60"/>
      <x:c r="DG869" s="58"/>
      <x:c r="DH869" s="47"/>
      <x:c r="DI869" s="60"/>
      <x:c r="DJ869" s="58"/>
      <x:c r="DK869" s="47"/>
      <x:c r="DL869" s="60"/>
      <x:c r="DM869" s="58"/>
      <x:c r="DN869" s="11"/>
      <x:c r="DO869" s="61"/>
      <x:c r="DP869" s="62"/>
      <x:c r="DQ869" s="11"/>
      <x:c r="DR869" s="61"/>
      <x:c r="DS869" s="62"/>
      <x:c r="DT869" s="11"/>
      <x:c r="DU869" s="61"/>
      <x:c r="DV869" s="62"/>
    </x:row>
    <x:row r="870" spans="1:126" x14ac:dyDescent="0.3">
      <x:c r="A870" s="47"/>
      <x:c r="B870" s="70"/>
      <x:c r="C870" s="70"/>
      <x:c r="D870" s="70"/>
      <x:c r="E870" s="70"/>
      <x:c r="F870" s="70"/>
      <x:c r="G870" s="70"/>
      <x:c r="H870" s="70"/>
      <x:c r="I870" s="70"/>
      <x:c r="J870" s="70"/>
      <x:c r="K870" s="190"/>
      <x:c r="L870" s="195"/>
      <x:c r="M870" s="192"/>
      <x:c r="N870" s="192"/>
      <x:c r="O870" s="69"/>
      <x:c r="P870" s="47"/>
      <x:c r="Q870" s="60"/>
      <x:c r="R870" s="58"/>
      <x:c r="S870" s="47"/>
      <x:c r="T870" s="60"/>
      <x:c r="U870" s="58"/>
      <x:c r="V870" s="47"/>
      <x:c r="W870" s="60"/>
      <x:c r="X870" s="58"/>
      <x:c r="Y870" s="47"/>
      <x:c r="Z870" s="60"/>
      <x:c r="AA870" s="58"/>
      <x:c r="AB870" s="47"/>
      <x:c r="AC870" s="60"/>
      <x:c r="AD870" s="58"/>
      <x:c r="AE870" s="47"/>
      <x:c r="AF870" s="60"/>
      <x:c r="AG870" s="58"/>
      <x:c r="AH870" s="47"/>
      <x:c r="AI870" s="60"/>
      <x:c r="AJ870" s="58"/>
      <x:c r="AK870" s="47"/>
      <x:c r="AL870" s="60"/>
      <x:c r="AM870" s="58"/>
      <x:c r="AN870" s="47"/>
      <x:c r="AO870" s="60"/>
      <x:c r="AP870" s="58"/>
      <x:c r="AQ870" s="47"/>
      <x:c r="AR870" s="60"/>
      <x:c r="AS870" s="58"/>
      <x:c r="AT870" s="47"/>
      <x:c r="AU870" s="60"/>
      <x:c r="AV870" s="58"/>
      <x:c r="AW870" s="47"/>
      <x:c r="AX870" s="60"/>
      <x:c r="AY870" s="58"/>
      <x:c r="AZ870" s="47"/>
      <x:c r="BA870" s="60"/>
      <x:c r="BB870" s="58"/>
      <x:c r="BC870" s="47"/>
      <x:c r="BD870" s="60"/>
      <x:c r="BE870" s="58"/>
      <x:c r="BF870" s="47"/>
      <x:c r="BG870" s="60"/>
      <x:c r="BH870" s="58"/>
      <x:c r="BI870" s="47"/>
      <x:c r="BJ870" s="60"/>
      <x:c r="BK870" s="58"/>
      <x:c r="BL870" s="47"/>
      <x:c r="BM870" s="60"/>
      <x:c r="BN870" s="58"/>
      <x:c r="BO870" s="47"/>
      <x:c r="BP870" s="60"/>
      <x:c r="BQ870" s="58"/>
      <x:c r="BR870" s="47"/>
      <x:c r="BS870" s="60"/>
      <x:c r="BT870" s="58"/>
      <x:c r="BU870" s="47"/>
      <x:c r="BV870" s="60"/>
      <x:c r="BW870" s="58"/>
      <x:c r="BX870" s="47"/>
      <x:c r="BY870" s="60"/>
      <x:c r="BZ870" s="58"/>
      <x:c r="CA870" s="47"/>
      <x:c r="CB870" s="60"/>
      <x:c r="CC870" s="58"/>
      <x:c r="CD870" s="47"/>
      <x:c r="CE870" s="60"/>
      <x:c r="CF870" s="58"/>
      <x:c r="CG870" s="47"/>
      <x:c r="CH870" s="60"/>
      <x:c r="CI870" s="58"/>
      <x:c r="CJ870" s="47"/>
      <x:c r="CK870" s="60"/>
      <x:c r="CL870" s="58"/>
      <x:c r="CM870" s="47"/>
      <x:c r="CN870" s="60"/>
      <x:c r="CO870" s="58"/>
      <x:c r="CP870" s="47"/>
      <x:c r="CQ870" s="60"/>
      <x:c r="CR870" s="58"/>
      <x:c r="CS870" s="47"/>
      <x:c r="CT870" s="60"/>
      <x:c r="CU870" s="58"/>
      <x:c r="CV870" s="47"/>
      <x:c r="CW870" s="60"/>
      <x:c r="CX870" s="58"/>
      <x:c r="CY870" s="47"/>
      <x:c r="CZ870" s="60"/>
      <x:c r="DA870" s="58"/>
      <x:c r="DB870" s="47"/>
      <x:c r="DC870" s="60"/>
      <x:c r="DD870" s="58"/>
      <x:c r="DE870" s="47"/>
      <x:c r="DF870" s="60"/>
      <x:c r="DG870" s="58"/>
      <x:c r="DH870" s="47"/>
      <x:c r="DI870" s="60"/>
      <x:c r="DJ870" s="58"/>
      <x:c r="DK870" s="47"/>
      <x:c r="DL870" s="60"/>
      <x:c r="DM870" s="58"/>
      <x:c r="DN870" s="11"/>
      <x:c r="DO870" s="61"/>
      <x:c r="DP870" s="62"/>
      <x:c r="DQ870" s="11"/>
      <x:c r="DR870" s="61"/>
      <x:c r="DS870" s="62"/>
      <x:c r="DT870" s="11"/>
      <x:c r="DU870" s="61"/>
      <x:c r="DV870" s="62"/>
    </x:row>
    <x:row r="871" spans="1:126" x14ac:dyDescent="0.3">
      <x:c r="A871" s="47"/>
      <x:c r="B871" s="70"/>
      <x:c r="C871" s="70"/>
      <x:c r="D871" s="70"/>
      <x:c r="E871" s="70"/>
      <x:c r="F871" s="70"/>
      <x:c r="G871" s="70"/>
      <x:c r="H871" s="70"/>
      <x:c r="I871" s="70"/>
      <x:c r="J871" s="70"/>
      <x:c r="K871" s="190"/>
      <x:c r="L871" s="195"/>
      <x:c r="M871" s="192"/>
      <x:c r="N871" s="192"/>
      <x:c r="O871" s="69"/>
      <x:c r="P871" s="47"/>
      <x:c r="Q871" s="60"/>
      <x:c r="R871" s="58"/>
      <x:c r="S871" s="47"/>
      <x:c r="T871" s="60"/>
      <x:c r="U871" s="58"/>
      <x:c r="V871" s="47"/>
      <x:c r="W871" s="60"/>
      <x:c r="X871" s="58"/>
      <x:c r="Y871" s="47"/>
      <x:c r="Z871" s="60"/>
      <x:c r="AA871" s="58"/>
      <x:c r="AB871" s="47"/>
      <x:c r="AC871" s="60"/>
      <x:c r="AD871" s="58"/>
      <x:c r="AE871" s="47"/>
      <x:c r="AF871" s="60"/>
      <x:c r="AG871" s="58"/>
      <x:c r="AH871" s="47"/>
      <x:c r="AI871" s="60"/>
      <x:c r="AJ871" s="58"/>
      <x:c r="AK871" s="47"/>
      <x:c r="AL871" s="60"/>
      <x:c r="AM871" s="58"/>
      <x:c r="AN871" s="47"/>
      <x:c r="AO871" s="60"/>
      <x:c r="AP871" s="58"/>
      <x:c r="AQ871" s="47"/>
      <x:c r="AR871" s="60"/>
      <x:c r="AS871" s="58"/>
      <x:c r="AT871" s="47"/>
      <x:c r="AU871" s="60"/>
      <x:c r="AV871" s="58"/>
      <x:c r="AW871" s="47"/>
      <x:c r="AX871" s="60"/>
      <x:c r="AY871" s="58"/>
      <x:c r="AZ871" s="47"/>
      <x:c r="BA871" s="60"/>
      <x:c r="BB871" s="58"/>
      <x:c r="BC871" s="47"/>
      <x:c r="BD871" s="60"/>
      <x:c r="BE871" s="58"/>
      <x:c r="BF871" s="47"/>
      <x:c r="BG871" s="60"/>
      <x:c r="BH871" s="58"/>
      <x:c r="BI871" s="47"/>
      <x:c r="BJ871" s="60"/>
      <x:c r="BK871" s="58"/>
      <x:c r="BL871" s="47"/>
      <x:c r="BM871" s="60"/>
      <x:c r="BN871" s="58"/>
      <x:c r="BO871" s="47"/>
      <x:c r="BP871" s="60"/>
      <x:c r="BQ871" s="58"/>
      <x:c r="BR871" s="47"/>
      <x:c r="BS871" s="60"/>
      <x:c r="BT871" s="58"/>
      <x:c r="BU871" s="47"/>
      <x:c r="BV871" s="60"/>
      <x:c r="BW871" s="58"/>
      <x:c r="BX871" s="47"/>
      <x:c r="BY871" s="60"/>
      <x:c r="BZ871" s="58"/>
      <x:c r="CA871" s="47"/>
      <x:c r="CB871" s="60"/>
      <x:c r="CC871" s="58"/>
      <x:c r="CD871" s="47"/>
      <x:c r="CE871" s="60"/>
      <x:c r="CF871" s="58"/>
      <x:c r="CG871" s="47"/>
      <x:c r="CH871" s="60"/>
      <x:c r="CI871" s="58"/>
      <x:c r="CJ871" s="47"/>
      <x:c r="CK871" s="60"/>
      <x:c r="CL871" s="58"/>
      <x:c r="CM871" s="47"/>
      <x:c r="CN871" s="60"/>
      <x:c r="CO871" s="58"/>
      <x:c r="CP871" s="47"/>
      <x:c r="CQ871" s="60"/>
      <x:c r="CR871" s="58"/>
      <x:c r="CS871" s="47"/>
      <x:c r="CT871" s="60"/>
      <x:c r="CU871" s="58"/>
      <x:c r="CV871" s="47"/>
      <x:c r="CW871" s="60"/>
      <x:c r="CX871" s="58"/>
      <x:c r="CY871" s="47"/>
      <x:c r="CZ871" s="60"/>
      <x:c r="DA871" s="58"/>
      <x:c r="DB871" s="47"/>
      <x:c r="DC871" s="60"/>
      <x:c r="DD871" s="58"/>
      <x:c r="DE871" s="47"/>
      <x:c r="DF871" s="60"/>
      <x:c r="DG871" s="58"/>
      <x:c r="DH871" s="47"/>
      <x:c r="DI871" s="60"/>
      <x:c r="DJ871" s="58"/>
      <x:c r="DK871" s="47"/>
      <x:c r="DL871" s="60"/>
      <x:c r="DM871" s="58"/>
      <x:c r="DN871" s="11"/>
      <x:c r="DO871" s="61"/>
      <x:c r="DP871" s="62"/>
      <x:c r="DQ871" s="11"/>
      <x:c r="DR871" s="61"/>
      <x:c r="DS871" s="62"/>
      <x:c r="DT871" s="11"/>
      <x:c r="DU871" s="61"/>
      <x:c r="DV871" s="62"/>
    </x:row>
    <x:row r="872" spans="1:126" x14ac:dyDescent="0.3">
      <x:c r="A872" s="47"/>
      <x:c r="B872" s="70"/>
      <x:c r="C872" s="70"/>
      <x:c r="D872" s="70"/>
      <x:c r="E872" s="70"/>
      <x:c r="F872" s="70"/>
      <x:c r="G872" s="70"/>
      <x:c r="H872" s="70"/>
      <x:c r="I872" s="70"/>
      <x:c r="J872" s="70"/>
      <x:c r="K872" s="190"/>
      <x:c r="L872" s="195"/>
      <x:c r="M872" s="192"/>
      <x:c r="N872" s="192"/>
      <x:c r="O872" s="69"/>
      <x:c r="P872" s="47"/>
      <x:c r="Q872" s="60"/>
      <x:c r="R872" s="58"/>
      <x:c r="S872" s="47"/>
      <x:c r="T872" s="60"/>
      <x:c r="U872" s="58"/>
      <x:c r="V872" s="47"/>
      <x:c r="W872" s="60"/>
      <x:c r="X872" s="58"/>
      <x:c r="Y872" s="47"/>
      <x:c r="Z872" s="60"/>
      <x:c r="AA872" s="58"/>
      <x:c r="AB872" s="47"/>
      <x:c r="AC872" s="60"/>
      <x:c r="AD872" s="58"/>
      <x:c r="AE872" s="47"/>
      <x:c r="AF872" s="60"/>
      <x:c r="AG872" s="58"/>
      <x:c r="AH872" s="47"/>
      <x:c r="AI872" s="60"/>
      <x:c r="AJ872" s="58"/>
      <x:c r="AK872" s="47"/>
      <x:c r="AL872" s="60"/>
      <x:c r="AM872" s="58"/>
      <x:c r="AN872" s="47"/>
      <x:c r="AO872" s="60"/>
      <x:c r="AP872" s="58"/>
      <x:c r="AQ872" s="47"/>
      <x:c r="AR872" s="60"/>
      <x:c r="AS872" s="58"/>
      <x:c r="AT872" s="47"/>
      <x:c r="AU872" s="60"/>
      <x:c r="AV872" s="58"/>
      <x:c r="AW872" s="47"/>
      <x:c r="AX872" s="60"/>
      <x:c r="AY872" s="58"/>
      <x:c r="AZ872" s="47"/>
      <x:c r="BA872" s="60"/>
      <x:c r="BB872" s="58"/>
      <x:c r="BC872" s="47"/>
      <x:c r="BD872" s="60"/>
      <x:c r="BE872" s="58"/>
      <x:c r="BF872" s="47"/>
      <x:c r="BG872" s="60"/>
      <x:c r="BH872" s="58"/>
      <x:c r="BI872" s="47"/>
      <x:c r="BJ872" s="60"/>
      <x:c r="BK872" s="58"/>
      <x:c r="BL872" s="47"/>
      <x:c r="BM872" s="60"/>
      <x:c r="BN872" s="58"/>
      <x:c r="BO872" s="47"/>
      <x:c r="BP872" s="60"/>
      <x:c r="BQ872" s="58"/>
      <x:c r="BR872" s="47"/>
      <x:c r="BS872" s="60"/>
      <x:c r="BT872" s="58"/>
      <x:c r="BU872" s="47"/>
      <x:c r="BV872" s="60"/>
      <x:c r="BW872" s="58"/>
      <x:c r="BX872" s="47"/>
      <x:c r="BY872" s="60"/>
      <x:c r="BZ872" s="58"/>
      <x:c r="CA872" s="47"/>
      <x:c r="CB872" s="60"/>
      <x:c r="CC872" s="58"/>
      <x:c r="CD872" s="47"/>
      <x:c r="CE872" s="60"/>
      <x:c r="CF872" s="58"/>
      <x:c r="CG872" s="47"/>
      <x:c r="CH872" s="60"/>
      <x:c r="CI872" s="58"/>
      <x:c r="CJ872" s="47"/>
      <x:c r="CK872" s="60"/>
      <x:c r="CL872" s="58"/>
      <x:c r="CM872" s="47"/>
      <x:c r="CN872" s="60"/>
      <x:c r="CO872" s="58"/>
      <x:c r="CP872" s="47"/>
      <x:c r="CQ872" s="60"/>
      <x:c r="CR872" s="58"/>
      <x:c r="CS872" s="47"/>
      <x:c r="CT872" s="60"/>
      <x:c r="CU872" s="58"/>
      <x:c r="CV872" s="47"/>
      <x:c r="CW872" s="60"/>
      <x:c r="CX872" s="58"/>
      <x:c r="CY872" s="47"/>
      <x:c r="CZ872" s="60"/>
      <x:c r="DA872" s="58"/>
      <x:c r="DB872" s="47"/>
      <x:c r="DC872" s="60"/>
      <x:c r="DD872" s="58"/>
      <x:c r="DE872" s="47"/>
      <x:c r="DF872" s="60"/>
      <x:c r="DG872" s="58"/>
      <x:c r="DH872" s="47"/>
      <x:c r="DI872" s="60"/>
      <x:c r="DJ872" s="58"/>
      <x:c r="DK872" s="47"/>
      <x:c r="DL872" s="60"/>
      <x:c r="DM872" s="58"/>
      <x:c r="DN872" s="11"/>
      <x:c r="DO872" s="61"/>
      <x:c r="DP872" s="62"/>
      <x:c r="DQ872" s="11"/>
      <x:c r="DR872" s="61"/>
      <x:c r="DS872" s="62"/>
      <x:c r="DT872" s="11"/>
      <x:c r="DU872" s="61"/>
      <x:c r="DV872" s="62"/>
    </x:row>
    <x:row r="873" spans="1:126" x14ac:dyDescent="0.3">
      <x:c r="A873" s="47"/>
      <x:c r="B873" s="70"/>
      <x:c r="C873" s="70"/>
      <x:c r="D873" s="70"/>
      <x:c r="E873" s="70"/>
      <x:c r="F873" s="70"/>
      <x:c r="G873" s="70"/>
      <x:c r="H873" s="70"/>
      <x:c r="I873" s="70"/>
      <x:c r="J873" s="70"/>
      <x:c r="K873" s="190"/>
      <x:c r="L873" s="195"/>
      <x:c r="M873" s="192"/>
      <x:c r="N873" s="192"/>
      <x:c r="O873" s="69"/>
      <x:c r="P873" s="47"/>
      <x:c r="Q873" s="60"/>
      <x:c r="R873" s="58"/>
      <x:c r="S873" s="47"/>
      <x:c r="T873" s="60"/>
      <x:c r="U873" s="58"/>
      <x:c r="V873" s="47"/>
      <x:c r="W873" s="60"/>
      <x:c r="X873" s="58"/>
      <x:c r="Y873" s="47"/>
      <x:c r="Z873" s="60"/>
      <x:c r="AA873" s="58"/>
      <x:c r="AB873" s="47"/>
      <x:c r="AC873" s="60"/>
      <x:c r="AD873" s="58"/>
      <x:c r="AE873" s="47"/>
      <x:c r="AF873" s="60"/>
      <x:c r="AG873" s="58"/>
      <x:c r="AH873" s="47"/>
      <x:c r="AI873" s="60"/>
      <x:c r="AJ873" s="58"/>
      <x:c r="AK873" s="47"/>
      <x:c r="AL873" s="60"/>
      <x:c r="AM873" s="58"/>
      <x:c r="AN873" s="47"/>
      <x:c r="AO873" s="60"/>
      <x:c r="AP873" s="58"/>
      <x:c r="AQ873" s="47"/>
      <x:c r="AR873" s="60"/>
      <x:c r="AS873" s="58"/>
      <x:c r="AT873" s="47"/>
      <x:c r="AU873" s="60"/>
      <x:c r="AV873" s="58"/>
      <x:c r="AW873" s="47"/>
      <x:c r="AX873" s="60"/>
      <x:c r="AY873" s="58"/>
      <x:c r="AZ873" s="47"/>
      <x:c r="BA873" s="60"/>
      <x:c r="BB873" s="58"/>
      <x:c r="BC873" s="47"/>
      <x:c r="BD873" s="60"/>
      <x:c r="BE873" s="58"/>
      <x:c r="BF873" s="47"/>
      <x:c r="BG873" s="60"/>
      <x:c r="BH873" s="58"/>
      <x:c r="BI873" s="47"/>
      <x:c r="BJ873" s="60"/>
      <x:c r="BK873" s="58"/>
      <x:c r="BL873" s="47"/>
      <x:c r="BM873" s="60"/>
      <x:c r="BN873" s="58"/>
      <x:c r="BO873" s="47"/>
      <x:c r="BP873" s="60"/>
      <x:c r="BQ873" s="58"/>
      <x:c r="BR873" s="47"/>
      <x:c r="BS873" s="60"/>
      <x:c r="BT873" s="58"/>
      <x:c r="BU873" s="47"/>
      <x:c r="BV873" s="60"/>
      <x:c r="BW873" s="58"/>
      <x:c r="BX873" s="47"/>
      <x:c r="BY873" s="60"/>
      <x:c r="BZ873" s="58"/>
      <x:c r="CA873" s="47"/>
      <x:c r="CB873" s="60"/>
      <x:c r="CC873" s="58"/>
      <x:c r="CD873" s="47"/>
      <x:c r="CE873" s="60"/>
      <x:c r="CF873" s="58"/>
      <x:c r="CG873" s="47"/>
      <x:c r="CH873" s="60"/>
      <x:c r="CI873" s="58"/>
      <x:c r="CJ873" s="47"/>
      <x:c r="CK873" s="60"/>
      <x:c r="CL873" s="58"/>
      <x:c r="CM873" s="47"/>
      <x:c r="CN873" s="60"/>
      <x:c r="CO873" s="58"/>
      <x:c r="CP873" s="47"/>
      <x:c r="CQ873" s="60"/>
      <x:c r="CR873" s="58"/>
      <x:c r="CS873" s="47"/>
      <x:c r="CT873" s="60"/>
      <x:c r="CU873" s="58"/>
      <x:c r="CV873" s="47"/>
      <x:c r="CW873" s="60"/>
      <x:c r="CX873" s="58"/>
      <x:c r="CY873" s="47"/>
      <x:c r="CZ873" s="60"/>
      <x:c r="DA873" s="58"/>
      <x:c r="DB873" s="47"/>
      <x:c r="DC873" s="60"/>
      <x:c r="DD873" s="58"/>
      <x:c r="DE873" s="47"/>
      <x:c r="DF873" s="60"/>
      <x:c r="DG873" s="58"/>
      <x:c r="DH873" s="47"/>
      <x:c r="DI873" s="60"/>
      <x:c r="DJ873" s="58"/>
      <x:c r="DK873" s="47"/>
      <x:c r="DL873" s="60"/>
      <x:c r="DM873" s="58"/>
      <x:c r="DN873" s="11"/>
      <x:c r="DO873" s="61"/>
      <x:c r="DP873" s="62"/>
      <x:c r="DQ873" s="11"/>
      <x:c r="DR873" s="61"/>
      <x:c r="DS873" s="62"/>
      <x:c r="DT873" s="11"/>
      <x:c r="DU873" s="61"/>
      <x:c r="DV873" s="62"/>
    </x:row>
    <x:row r="874" spans="1:126" x14ac:dyDescent="0.3">
      <x:c r="A874" s="47"/>
      <x:c r="B874" s="70"/>
      <x:c r="C874" s="70"/>
      <x:c r="D874" s="70"/>
      <x:c r="E874" s="70"/>
      <x:c r="F874" s="70"/>
      <x:c r="G874" s="70"/>
      <x:c r="H874" s="70"/>
      <x:c r="I874" s="70"/>
      <x:c r="J874" s="70"/>
      <x:c r="K874" s="190"/>
      <x:c r="L874" s="195"/>
      <x:c r="M874" s="192"/>
      <x:c r="N874" s="192"/>
      <x:c r="O874" s="69"/>
      <x:c r="P874" s="47"/>
      <x:c r="Q874" s="60"/>
      <x:c r="R874" s="58"/>
      <x:c r="S874" s="47"/>
      <x:c r="T874" s="60"/>
      <x:c r="U874" s="58"/>
      <x:c r="V874" s="47"/>
      <x:c r="W874" s="60"/>
      <x:c r="X874" s="58"/>
      <x:c r="Y874" s="47"/>
      <x:c r="Z874" s="60"/>
      <x:c r="AA874" s="58"/>
      <x:c r="AB874" s="47"/>
      <x:c r="AC874" s="60"/>
      <x:c r="AD874" s="58"/>
      <x:c r="AE874" s="47"/>
      <x:c r="AF874" s="60"/>
      <x:c r="AG874" s="58"/>
      <x:c r="AH874" s="47"/>
      <x:c r="AI874" s="60"/>
      <x:c r="AJ874" s="58"/>
      <x:c r="AK874" s="47"/>
      <x:c r="AL874" s="60"/>
      <x:c r="AM874" s="58"/>
      <x:c r="AN874" s="47"/>
      <x:c r="AO874" s="60"/>
      <x:c r="AP874" s="58"/>
      <x:c r="AQ874" s="47"/>
      <x:c r="AR874" s="60"/>
      <x:c r="AS874" s="58"/>
      <x:c r="AT874" s="47"/>
      <x:c r="AU874" s="60"/>
      <x:c r="AV874" s="58"/>
      <x:c r="AW874" s="47"/>
      <x:c r="AX874" s="60"/>
      <x:c r="AY874" s="58"/>
      <x:c r="AZ874" s="47"/>
      <x:c r="BA874" s="60"/>
      <x:c r="BB874" s="58"/>
      <x:c r="BC874" s="47"/>
      <x:c r="BD874" s="60"/>
      <x:c r="BE874" s="58"/>
      <x:c r="BF874" s="47"/>
      <x:c r="BG874" s="60"/>
      <x:c r="BH874" s="58"/>
      <x:c r="BI874" s="47"/>
      <x:c r="BJ874" s="60"/>
      <x:c r="BK874" s="58"/>
      <x:c r="BL874" s="47"/>
      <x:c r="BM874" s="60"/>
      <x:c r="BN874" s="58"/>
      <x:c r="BO874" s="47"/>
      <x:c r="BP874" s="60"/>
      <x:c r="BQ874" s="58"/>
      <x:c r="BR874" s="47"/>
      <x:c r="BS874" s="60"/>
      <x:c r="BT874" s="58"/>
      <x:c r="BU874" s="47"/>
      <x:c r="BV874" s="60"/>
      <x:c r="BW874" s="58"/>
      <x:c r="BX874" s="47"/>
      <x:c r="BY874" s="60"/>
      <x:c r="BZ874" s="58"/>
      <x:c r="CA874" s="47"/>
      <x:c r="CB874" s="60"/>
      <x:c r="CC874" s="58"/>
      <x:c r="CD874" s="47"/>
      <x:c r="CE874" s="60"/>
      <x:c r="CF874" s="58"/>
      <x:c r="CG874" s="47"/>
      <x:c r="CH874" s="60"/>
      <x:c r="CI874" s="58"/>
      <x:c r="CJ874" s="47"/>
      <x:c r="CK874" s="60"/>
      <x:c r="CL874" s="58"/>
      <x:c r="CM874" s="47"/>
      <x:c r="CN874" s="60"/>
      <x:c r="CO874" s="58"/>
      <x:c r="CP874" s="47"/>
      <x:c r="CQ874" s="60"/>
      <x:c r="CR874" s="58"/>
      <x:c r="CS874" s="47"/>
      <x:c r="CT874" s="60"/>
      <x:c r="CU874" s="58"/>
      <x:c r="CV874" s="47"/>
      <x:c r="CW874" s="60"/>
      <x:c r="CX874" s="58"/>
      <x:c r="CY874" s="47"/>
      <x:c r="CZ874" s="60"/>
      <x:c r="DA874" s="58"/>
      <x:c r="DB874" s="47"/>
      <x:c r="DC874" s="60"/>
      <x:c r="DD874" s="58"/>
      <x:c r="DE874" s="47"/>
      <x:c r="DF874" s="60"/>
      <x:c r="DG874" s="58"/>
      <x:c r="DH874" s="47"/>
      <x:c r="DI874" s="60"/>
      <x:c r="DJ874" s="58"/>
      <x:c r="DK874" s="47"/>
      <x:c r="DL874" s="60"/>
      <x:c r="DM874" s="58"/>
      <x:c r="DN874" s="11"/>
      <x:c r="DO874" s="61"/>
      <x:c r="DP874" s="62"/>
      <x:c r="DQ874" s="11"/>
      <x:c r="DR874" s="61"/>
      <x:c r="DS874" s="62"/>
      <x:c r="DT874" s="11"/>
      <x:c r="DU874" s="61"/>
      <x:c r="DV874" s="62"/>
    </x:row>
    <x:row r="875" spans="1:126" x14ac:dyDescent="0.3">
      <x:c r="A875" s="47"/>
      <x:c r="B875" s="70"/>
      <x:c r="C875" s="70"/>
      <x:c r="D875" s="70"/>
      <x:c r="E875" s="70"/>
      <x:c r="F875" s="70"/>
      <x:c r="G875" s="70"/>
      <x:c r="H875" s="70"/>
      <x:c r="I875" s="70"/>
      <x:c r="J875" s="70"/>
      <x:c r="K875" s="190"/>
      <x:c r="L875" s="195"/>
      <x:c r="M875" s="192"/>
      <x:c r="N875" s="192"/>
      <x:c r="O875" s="69"/>
      <x:c r="P875" s="47"/>
      <x:c r="Q875" s="60"/>
      <x:c r="R875" s="58"/>
      <x:c r="S875" s="47"/>
      <x:c r="T875" s="60"/>
      <x:c r="U875" s="58"/>
      <x:c r="V875" s="47"/>
      <x:c r="W875" s="60"/>
      <x:c r="X875" s="58"/>
      <x:c r="Y875" s="47"/>
      <x:c r="Z875" s="60"/>
      <x:c r="AA875" s="58"/>
      <x:c r="AB875" s="47"/>
      <x:c r="AC875" s="60"/>
      <x:c r="AD875" s="58"/>
      <x:c r="AE875" s="47"/>
      <x:c r="AF875" s="60"/>
      <x:c r="AG875" s="58"/>
      <x:c r="AH875" s="47"/>
      <x:c r="AI875" s="60"/>
      <x:c r="AJ875" s="58"/>
      <x:c r="AK875" s="47"/>
      <x:c r="AL875" s="60"/>
      <x:c r="AM875" s="58"/>
      <x:c r="AN875" s="47"/>
      <x:c r="AO875" s="60"/>
      <x:c r="AP875" s="58"/>
      <x:c r="AQ875" s="47"/>
      <x:c r="AR875" s="60"/>
      <x:c r="AS875" s="58"/>
      <x:c r="AT875" s="47"/>
      <x:c r="AU875" s="60"/>
      <x:c r="AV875" s="58"/>
      <x:c r="AW875" s="47"/>
      <x:c r="AX875" s="60"/>
      <x:c r="AY875" s="58"/>
      <x:c r="AZ875" s="47"/>
      <x:c r="BA875" s="60"/>
      <x:c r="BB875" s="58"/>
      <x:c r="BC875" s="47"/>
      <x:c r="BD875" s="60"/>
      <x:c r="BE875" s="58"/>
      <x:c r="BF875" s="47"/>
      <x:c r="BG875" s="60"/>
      <x:c r="BH875" s="58"/>
      <x:c r="BI875" s="47"/>
      <x:c r="BJ875" s="60"/>
      <x:c r="BK875" s="58"/>
      <x:c r="BL875" s="47"/>
      <x:c r="BM875" s="60"/>
      <x:c r="BN875" s="58"/>
      <x:c r="BO875" s="47"/>
      <x:c r="BP875" s="60"/>
      <x:c r="BQ875" s="58"/>
      <x:c r="BR875" s="47"/>
      <x:c r="BS875" s="60"/>
      <x:c r="BT875" s="58"/>
      <x:c r="BU875" s="47"/>
      <x:c r="BV875" s="60"/>
      <x:c r="BW875" s="58"/>
      <x:c r="BX875" s="47"/>
      <x:c r="BY875" s="60"/>
      <x:c r="BZ875" s="58"/>
      <x:c r="CA875" s="47"/>
      <x:c r="CB875" s="60"/>
      <x:c r="CC875" s="58"/>
      <x:c r="CD875" s="47"/>
      <x:c r="CE875" s="60"/>
      <x:c r="CF875" s="58"/>
      <x:c r="CG875" s="47"/>
      <x:c r="CH875" s="60"/>
      <x:c r="CI875" s="58"/>
      <x:c r="CJ875" s="47"/>
      <x:c r="CK875" s="60"/>
      <x:c r="CL875" s="58"/>
      <x:c r="CM875" s="47"/>
      <x:c r="CN875" s="60"/>
      <x:c r="CO875" s="58"/>
      <x:c r="CP875" s="47"/>
      <x:c r="CQ875" s="60"/>
      <x:c r="CR875" s="58"/>
      <x:c r="CS875" s="47"/>
      <x:c r="CT875" s="60"/>
      <x:c r="CU875" s="58"/>
      <x:c r="CV875" s="47"/>
      <x:c r="CW875" s="60"/>
      <x:c r="CX875" s="58"/>
      <x:c r="CY875" s="47"/>
      <x:c r="CZ875" s="60"/>
      <x:c r="DA875" s="58"/>
      <x:c r="DB875" s="47"/>
      <x:c r="DC875" s="60"/>
      <x:c r="DD875" s="58"/>
      <x:c r="DE875" s="47"/>
      <x:c r="DF875" s="60"/>
      <x:c r="DG875" s="58"/>
      <x:c r="DH875" s="47"/>
      <x:c r="DI875" s="60"/>
      <x:c r="DJ875" s="58"/>
      <x:c r="DK875" s="47"/>
      <x:c r="DL875" s="60"/>
      <x:c r="DM875" s="58"/>
      <x:c r="DN875" s="11"/>
      <x:c r="DO875" s="61"/>
      <x:c r="DP875" s="62"/>
      <x:c r="DQ875" s="11"/>
      <x:c r="DR875" s="61"/>
      <x:c r="DS875" s="62"/>
      <x:c r="DT875" s="11"/>
      <x:c r="DU875" s="61"/>
      <x:c r="DV875" s="62"/>
    </x:row>
    <x:row r="876" spans="1:126" x14ac:dyDescent="0.3">
      <x:c r="A876" s="47"/>
      <x:c r="B876" s="70"/>
      <x:c r="C876" s="70"/>
      <x:c r="D876" s="70"/>
      <x:c r="E876" s="70"/>
      <x:c r="F876" s="70"/>
      <x:c r="G876" s="70"/>
      <x:c r="H876" s="70"/>
      <x:c r="I876" s="70"/>
      <x:c r="J876" s="70"/>
      <x:c r="K876" s="190"/>
      <x:c r="L876" s="195"/>
      <x:c r="M876" s="192"/>
      <x:c r="N876" s="192"/>
      <x:c r="O876" s="69"/>
      <x:c r="P876" s="47"/>
      <x:c r="Q876" s="60"/>
      <x:c r="R876" s="58"/>
      <x:c r="S876" s="47"/>
      <x:c r="T876" s="60"/>
      <x:c r="U876" s="58"/>
      <x:c r="V876" s="47"/>
      <x:c r="W876" s="60"/>
      <x:c r="X876" s="58"/>
      <x:c r="Y876" s="47"/>
      <x:c r="Z876" s="60"/>
      <x:c r="AA876" s="58"/>
      <x:c r="AB876" s="47"/>
      <x:c r="AC876" s="60"/>
      <x:c r="AD876" s="58"/>
      <x:c r="AE876" s="47"/>
      <x:c r="AF876" s="60"/>
      <x:c r="AG876" s="58"/>
      <x:c r="AH876" s="47"/>
      <x:c r="AI876" s="60"/>
      <x:c r="AJ876" s="58"/>
      <x:c r="AK876" s="47"/>
      <x:c r="AL876" s="60"/>
      <x:c r="AM876" s="58"/>
      <x:c r="AN876" s="47"/>
      <x:c r="AO876" s="60"/>
      <x:c r="AP876" s="58"/>
      <x:c r="AQ876" s="47"/>
      <x:c r="AR876" s="60"/>
      <x:c r="AS876" s="58"/>
      <x:c r="AT876" s="47"/>
      <x:c r="AU876" s="60"/>
      <x:c r="AV876" s="58"/>
      <x:c r="AW876" s="47"/>
      <x:c r="AX876" s="60"/>
      <x:c r="AY876" s="58"/>
      <x:c r="AZ876" s="47"/>
      <x:c r="BA876" s="60"/>
      <x:c r="BB876" s="58"/>
      <x:c r="BC876" s="47"/>
      <x:c r="BD876" s="60"/>
      <x:c r="BE876" s="58"/>
      <x:c r="BF876" s="47"/>
      <x:c r="BG876" s="60"/>
      <x:c r="BH876" s="58"/>
      <x:c r="BI876" s="47"/>
      <x:c r="BJ876" s="60"/>
      <x:c r="BK876" s="58"/>
      <x:c r="BL876" s="47"/>
      <x:c r="BM876" s="60"/>
      <x:c r="BN876" s="58"/>
      <x:c r="BO876" s="47"/>
      <x:c r="BP876" s="60"/>
      <x:c r="BQ876" s="58"/>
      <x:c r="BR876" s="47"/>
      <x:c r="BS876" s="60"/>
      <x:c r="BT876" s="58"/>
      <x:c r="BU876" s="47"/>
      <x:c r="BV876" s="60"/>
      <x:c r="BW876" s="58"/>
      <x:c r="BX876" s="47"/>
      <x:c r="BY876" s="60"/>
      <x:c r="BZ876" s="58"/>
      <x:c r="CA876" s="47"/>
      <x:c r="CB876" s="60"/>
      <x:c r="CC876" s="58"/>
      <x:c r="CD876" s="47"/>
      <x:c r="CE876" s="60"/>
      <x:c r="CF876" s="58"/>
      <x:c r="CG876" s="47"/>
      <x:c r="CH876" s="60"/>
      <x:c r="CI876" s="58"/>
      <x:c r="CJ876" s="47"/>
      <x:c r="CK876" s="60"/>
      <x:c r="CL876" s="58"/>
      <x:c r="CM876" s="47"/>
      <x:c r="CN876" s="60"/>
      <x:c r="CO876" s="58"/>
      <x:c r="CP876" s="47"/>
      <x:c r="CQ876" s="60"/>
      <x:c r="CR876" s="58"/>
      <x:c r="CS876" s="47"/>
      <x:c r="CT876" s="60"/>
      <x:c r="CU876" s="58"/>
      <x:c r="CV876" s="47"/>
      <x:c r="CW876" s="60"/>
      <x:c r="CX876" s="58"/>
      <x:c r="CY876" s="47"/>
      <x:c r="CZ876" s="60"/>
      <x:c r="DA876" s="58"/>
      <x:c r="DB876" s="47"/>
      <x:c r="DC876" s="60"/>
      <x:c r="DD876" s="58"/>
      <x:c r="DE876" s="47"/>
      <x:c r="DF876" s="60"/>
      <x:c r="DG876" s="58"/>
      <x:c r="DH876" s="47"/>
      <x:c r="DI876" s="60"/>
      <x:c r="DJ876" s="58"/>
      <x:c r="DK876" s="47"/>
      <x:c r="DL876" s="60"/>
      <x:c r="DM876" s="58"/>
      <x:c r="DN876" s="11"/>
      <x:c r="DO876" s="61"/>
      <x:c r="DP876" s="62"/>
      <x:c r="DQ876" s="11"/>
      <x:c r="DR876" s="61"/>
      <x:c r="DS876" s="62"/>
      <x:c r="DT876" s="11"/>
      <x:c r="DU876" s="61"/>
      <x:c r="DV876" s="62"/>
    </x:row>
    <x:row r="877" spans="1:126" x14ac:dyDescent="0.3">
      <x:c r="A877" s="47"/>
      <x:c r="B877" s="70"/>
      <x:c r="C877" s="70"/>
      <x:c r="D877" s="70"/>
      <x:c r="E877" s="70"/>
      <x:c r="F877" s="70"/>
      <x:c r="G877" s="70"/>
      <x:c r="H877" s="70"/>
      <x:c r="I877" s="70"/>
      <x:c r="J877" s="70"/>
      <x:c r="K877" s="190"/>
      <x:c r="L877" s="195"/>
      <x:c r="M877" s="192"/>
      <x:c r="N877" s="192"/>
      <x:c r="O877" s="69"/>
      <x:c r="P877" s="47"/>
      <x:c r="Q877" s="60"/>
      <x:c r="R877" s="58"/>
      <x:c r="S877" s="47"/>
      <x:c r="T877" s="60"/>
      <x:c r="U877" s="58"/>
      <x:c r="V877" s="47"/>
      <x:c r="W877" s="60"/>
      <x:c r="X877" s="58"/>
      <x:c r="Y877" s="47"/>
      <x:c r="Z877" s="60"/>
      <x:c r="AA877" s="58"/>
      <x:c r="AB877" s="47"/>
      <x:c r="AC877" s="60"/>
      <x:c r="AD877" s="58"/>
      <x:c r="AE877" s="47"/>
      <x:c r="AF877" s="60"/>
      <x:c r="AG877" s="58"/>
      <x:c r="AH877" s="47"/>
      <x:c r="AI877" s="60"/>
      <x:c r="AJ877" s="58"/>
      <x:c r="AK877" s="47"/>
      <x:c r="AL877" s="60"/>
      <x:c r="AM877" s="58"/>
      <x:c r="AN877" s="47"/>
      <x:c r="AO877" s="60"/>
      <x:c r="AP877" s="58"/>
      <x:c r="AQ877" s="47"/>
      <x:c r="AR877" s="60"/>
      <x:c r="AS877" s="58"/>
      <x:c r="AT877" s="47"/>
      <x:c r="AU877" s="60"/>
      <x:c r="AV877" s="58"/>
      <x:c r="AW877" s="47"/>
      <x:c r="AX877" s="60"/>
      <x:c r="AY877" s="58"/>
      <x:c r="AZ877" s="47"/>
      <x:c r="BA877" s="60"/>
      <x:c r="BB877" s="58"/>
      <x:c r="BC877" s="47"/>
      <x:c r="BD877" s="60"/>
      <x:c r="BE877" s="58"/>
      <x:c r="BF877" s="47"/>
      <x:c r="BG877" s="60"/>
      <x:c r="BH877" s="58"/>
      <x:c r="BI877" s="47"/>
      <x:c r="BJ877" s="60"/>
      <x:c r="BK877" s="58"/>
      <x:c r="BL877" s="47"/>
      <x:c r="BM877" s="60"/>
      <x:c r="BN877" s="58"/>
      <x:c r="BO877" s="47"/>
      <x:c r="BP877" s="60"/>
      <x:c r="BQ877" s="58"/>
      <x:c r="BR877" s="47"/>
      <x:c r="BS877" s="60"/>
      <x:c r="BT877" s="58"/>
      <x:c r="BU877" s="47"/>
      <x:c r="BV877" s="60"/>
      <x:c r="BW877" s="58"/>
      <x:c r="BX877" s="47"/>
      <x:c r="BY877" s="60"/>
      <x:c r="BZ877" s="58"/>
      <x:c r="CA877" s="47"/>
      <x:c r="CB877" s="60"/>
      <x:c r="CC877" s="58"/>
      <x:c r="CD877" s="47"/>
      <x:c r="CE877" s="60"/>
      <x:c r="CF877" s="58"/>
      <x:c r="CG877" s="47"/>
      <x:c r="CH877" s="60"/>
      <x:c r="CI877" s="58"/>
      <x:c r="CJ877" s="47"/>
      <x:c r="CK877" s="60"/>
      <x:c r="CL877" s="58"/>
      <x:c r="CM877" s="47"/>
      <x:c r="CN877" s="60"/>
      <x:c r="CO877" s="58"/>
      <x:c r="CP877" s="47"/>
      <x:c r="CQ877" s="60"/>
      <x:c r="CR877" s="58"/>
      <x:c r="CS877" s="47"/>
      <x:c r="CT877" s="60"/>
      <x:c r="CU877" s="58"/>
      <x:c r="CV877" s="47"/>
      <x:c r="CW877" s="60"/>
      <x:c r="CX877" s="58"/>
      <x:c r="CY877" s="47"/>
      <x:c r="CZ877" s="60"/>
      <x:c r="DA877" s="58"/>
      <x:c r="DB877" s="47"/>
      <x:c r="DC877" s="60"/>
      <x:c r="DD877" s="58"/>
      <x:c r="DE877" s="47"/>
      <x:c r="DF877" s="60"/>
      <x:c r="DG877" s="58"/>
      <x:c r="DH877" s="47"/>
      <x:c r="DI877" s="60"/>
      <x:c r="DJ877" s="58"/>
      <x:c r="DK877" s="47"/>
      <x:c r="DL877" s="60"/>
      <x:c r="DM877" s="58"/>
      <x:c r="DN877" s="11"/>
      <x:c r="DO877" s="61"/>
      <x:c r="DP877" s="62"/>
      <x:c r="DQ877" s="11"/>
      <x:c r="DR877" s="61"/>
      <x:c r="DS877" s="62"/>
      <x:c r="DT877" s="11"/>
      <x:c r="DU877" s="61"/>
      <x:c r="DV877" s="62"/>
    </x:row>
    <x:row r="878" spans="1:126" x14ac:dyDescent="0.3">
      <x:c r="A878" s="47"/>
      <x:c r="B878" s="70"/>
      <x:c r="C878" s="70"/>
      <x:c r="D878" s="70"/>
      <x:c r="E878" s="70"/>
      <x:c r="F878" s="70"/>
      <x:c r="G878" s="70"/>
      <x:c r="H878" s="70"/>
      <x:c r="I878" s="70"/>
      <x:c r="J878" s="70"/>
      <x:c r="K878" s="190"/>
      <x:c r="L878" s="195"/>
      <x:c r="M878" s="192"/>
      <x:c r="N878" s="192"/>
      <x:c r="O878" s="69"/>
      <x:c r="P878" s="47"/>
      <x:c r="Q878" s="60"/>
      <x:c r="R878" s="58"/>
      <x:c r="S878" s="47"/>
      <x:c r="T878" s="60"/>
      <x:c r="U878" s="58"/>
      <x:c r="V878" s="47"/>
      <x:c r="W878" s="60"/>
      <x:c r="X878" s="58"/>
      <x:c r="Y878" s="47"/>
      <x:c r="Z878" s="60"/>
      <x:c r="AA878" s="58"/>
      <x:c r="AB878" s="47"/>
      <x:c r="AC878" s="60"/>
      <x:c r="AD878" s="58"/>
      <x:c r="AE878" s="47"/>
      <x:c r="AF878" s="60"/>
      <x:c r="AG878" s="58"/>
      <x:c r="AH878" s="47"/>
      <x:c r="AI878" s="60"/>
      <x:c r="AJ878" s="58"/>
      <x:c r="AK878" s="47"/>
      <x:c r="AL878" s="60"/>
      <x:c r="AM878" s="58"/>
      <x:c r="AN878" s="47"/>
      <x:c r="AO878" s="60"/>
      <x:c r="AP878" s="58"/>
      <x:c r="AQ878" s="47"/>
      <x:c r="AR878" s="60"/>
      <x:c r="AS878" s="58"/>
      <x:c r="AT878" s="47"/>
      <x:c r="AU878" s="60"/>
      <x:c r="AV878" s="58"/>
      <x:c r="AW878" s="47"/>
      <x:c r="AX878" s="60"/>
      <x:c r="AY878" s="58"/>
      <x:c r="AZ878" s="47"/>
      <x:c r="BA878" s="60"/>
      <x:c r="BB878" s="58"/>
      <x:c r="BC878" s="47"/>
      <x:c r="BD878" s="60"/>
      <x:c r="BE878" s="58"/>
      <x:c r="BF878" s="47"/>
      <x:c r="BG878" s="60"/>
      <x:c r="BH878" s="58"/>
      <x:c r="BI878" s="47"/>
      <x:c r="BJ878" s="60"/>
      <x:c r="BK878" s="58"/>
      <x:c r="BL878" s="47"/>
      <x:c r="BM878" s="60"/>
      <x:c r="BN878" s="58"/>
      <x:c r="BO878" s="47"/>
      <x:c r="BP878" s="60"/>
      <x:c r="BQ878" s="58"/>
      <x:c r="BR878" s="47"/>
      <x:c r="BS878" s="60"/>
      <x:c r="BT878" s="58"/>
      <x:c r="BU878" s="47"/>
      <x:c r="BV878" s="60"/>
      <x:c r="BW878" s="58"/>
      <x:c r="BX878" s="47"/>
      <x:c r="BY878" s="60"/>
      <x:c r="BZ878" s="58"/>
      <x:c r="CA878" s="47"/>
      <x:c r="CB878" s="60"/>
      <x:c r="CC878" s="58"/>
      <x:c r="CD878" s="47"/>
      <x:c r="CE878" s="60"/>
      <x:c r="CF878" s="58"/>
      <x:c r="CG878" s="47"/>
      <x:c r="CH878" s="60"/>
      <x:c r="CI878" s="58"/>
      <x:c r="CJ878" s="47"/>
      <x:c r="CK878" s="60"/>
      <x:c r="CL878" s="58"/>
      <x:c r="CM878" s="47"/>
      <x:c r="CN878" s="60"/>
      <x:c r="CO878" s="58"/>
      <x:c r="CP878" s="47"/>
      <x:c r="CQ878" s="60"/>
      <x:c r="CR878" s="58"/>
      <x:c r="CS878" s="47"/>
      <x:c r="CT878" s="60"/>
      <x:c r="CU878" s="58"/>
      <x:c r="CV878" s="47"/>
      <x:c r="CW878" s="60"/>
      <x:c r="CX878" s="58"/>
      <x:c r="CY878" s="47"/>
      <x:c r="CZ878" s="60"/>
      <x:c r="DA878" s="58"/>
      <x:c r="DB878" s="47"/>
      <x:c r="DC878" s="60"/>
      <x:c r="DD878" s="58"/>
      <x:c r="DE878" s="47"/>
      <x:c r="DF878" s="60"/>
      <x:c r="DG878" s="58"/>
      <x:c r="DH878" s="47"/>
      <x:c r="DI878" s="60"/>
      <x:c r="DJ878" s="58"/>
      <x:c r="DK878" s="47"/>
      <x:c r="DL878" s="60"/>
      <x:c r="DM878" s="58"/>
      <x:c r="DN878" s="11"/>
      <x:c r="DO878" s="61"/>
      <x:c r="DP878" s="62"/>
      <x:c r="DQ878" s="11"/>
      <x:c r="DR878" s="61"/>
      <x:c r="DS878" s="62"/>
      <x:c r="DT878" s="11"/>
      <x:c r="DU878" s="61"/>
      <x:c r="DV878" s="62"/>
    </x:row>
    <x:row r="879" spans="1:126" x14ac:dyDescent="0.3">
      <x:c r="A879" s="47"/>
      <x:c r="B879" s="70"/>
      <x:c r="C879" s="70"/>
      <x:c r="D879" s="70"/>
      <x:c r="E879" s="70"/>
      <x:c r="F879" s="70"/>
      <x:c r="G879" s="70"/>
      <x:c r="H879" s="70"/>
      <x:c r="I879" s="70"/>
      <x:c r="J879" s="70"/>
      <x:c r="K879" s="190"/>
      <x:c r="L879" s="195"/>
      <x:c r="M879" s="192"/>
      <x:c r="N879" s="192"/>
      <x:c r="O879" s="69"/>
      <x:c r="P879" s="47"/>
      <x:c r="Q879" s="60"/>
      <x:c r="R879" s="58"/>
      <x:c r="S879" s="47"/>
      <x:c r="T879" s="60"/>
      <x:c r="U879" s="58"/>
      <x:c r="V879" s="47"/>
      <x:c r="W879" s="60"/>
      <x:c r="X879" s="58"/>
      <x:c r="Y879" s="47"/>
      <x:c r="Z879" s="60"/>
      <x:c r="AA879" s="58"/>
      <x:c r="AB879" s="47"/>
      <x:c r="AC879" s="60"/>
      <x:c r="AD879" s="58"/>
      <x:c r="AE879" s="47"/>
      <x:c r="AF879" s="60"/>
      <x:c r="AG879" s="58"/>
      <x:c r="AH879" s="47"/>
      <x:c r="AI879" s="60"/>
      <x:c r="AJ879" s="58"/>
      <x:c r="AK879" s="47"/>
      <x:c r="AL879" s="60"/>
      <x:c r="AM879" s="58"/>
      <x:c r="AN879" s="47"/>
      <x:c r="AO879" s="60"/>
      <x:c r="AP879" s="58"/>
      <x:c r="AQ879" s="47"/>
      <x:c r="AR879" s="60"/>
      <x:c r="AS879" s="58"/>
      <x:c r="AT879" s="47"/>
      <x:c r="AU879" s="60"/>
      <x:c r="AV879" s="58"/>
      <x:c r="AW879" s="47"/>
      <x:c r="AX879" s="60"/>
      <x:c r="AY879" s="58"/>
      <x:c r="AZ879" s="47"/>
      <x:c r="BA879" s="60"/>
      <x:c r="BB879" s="58"/>
      <x:c r="BC879" s="47"/>
      <x:c r="BD879" s="60"/>
      <x:c r="BE879" s="58"/>
      <x:c r="BF879" s="47"/>
      <x:c r="BG879" s="60"/>
      <x:c r="BH879" s="58"/>
      <x:c r="BI879" s="47"/>
      <x:c r="BJ879" s="60"/>
      <x:c r="BK879" s="58"/>
      <x:c r="BL879" s="47"/>
      <x:c r="BM879" s="60"/>
      <x:c r="BN879" s="58"/>
      <x:c r="BO879" s="47"/>
      <x:c r="BP879" s="60"/>
      <x:c r="BQ879" s="58"/>
      <x:c r="BR879" s="47"/>
      <x:c r="BS879" s="60"/>
      <x:c r="BT879" s="58"/>
      <x:c r="BU879" s="47"/>
      <x:c r="BV879" s="60"/>
      <x:c r="BW879" s="58"/>
      <x:c r="BX879" s="47"/>
      <x:c r="BY879" s="60"/>
      <x:c r="BZ879" s="58"/>
      <x:c r="CA879" s="47"/>
      <x:c r="CB879" s="60"/>
      <x:c r="CC879" s="58"/>
      <x:c r="CD879" s="47"/>
      <x:c r="CE879" s="60"/>
      <x:c r="CF879" s="58"/>
      <x:c r="CG879" s="47"/>
      <x:c r="CH879" s="60"/>
      <x:c r="CI879" s="58"/>
      <x:c r="CJ879" s="47"/>
      <x:c r="CK879" s="60"/>
      <x:c r="CL879" s="58"/>
      <x:c r="CM879" s="47"/>
      <x:c r="CN879" s="60"/>
      <x:c r="CO879" s="58"/>
      <x:c r="CP879" s="47"/>
      <x:c r="CQ879" s="60"/>
      <x:c r="CR879" s="58"/>
      <x:c r="CS879" s="47"/>
      <x:c r="CT879" s="60"/>
      <x:c r="CU879" s="58"/>
      <x:c r="CV879" s="47"/>
      <x:c r="CW879" s="60"/>
      <x:c r="CX879" s="58"/>
      <x:c r="CY879" s="47"/>
      <x:c r="CZ879" s="60"/>
      <x:c r="DA879" s="58"/>
      <x:c r="DB879" s="47"/>
      <x:c r="DC879" s="60"/>
      <x:c r="DD879" s="58"/>
      <x:c r="DE879" s="47"/>
      <x:c r="DF879" s="60"/>
      <x:c r="DG879" s="58"/>
      <x:c r="DH879" s="47"/>
      <x:c r="DI879" s="60"/>
      <x:c r="DJ879" s="58"/>
      <x:c r="DK879" s="47"/>
      <x:c r="DL879" s="60"/>
      <x:c r="DM879" s="58"/>
      <x:c r="DN879" s="11"/>
      <x:c r="DO879" s="61"/>
      <x:c r="DP879" s="62"/>
      <x:c r="DQ879" s="11"/>
      <x:c r="DR879" s="61"/>
      <x:c r="DS879" s="62"/>
      <x:c r="DT879" s="11"/>
      <x:c r="DU879" s="61"/>
      <x:c r="DV879" s="62"/>
    </x:row>
    <x:row r="880" spans="1:126" x14ac:dyDescent="0.3">
      <x:c r="A880" s="47"/>
      <x:c r="B880" s="70"/>
      <x:c r="C880" s="70"/>
      <x:c r="D880" s="70"/>
      <x:c r="E880" s="70"/>
      <x:c r="F880" s="70"/>
      <x:c r="G880" s="70"/>
      <x:c r="H880" s="70"/>
      <x:c r="I880" s="70"/>
      <x:c r="J880" s="70"/>
      <x:c r="K880" s="190"/>
      <x:c r="L880" s="195"/>
      <x:c r="M880" s="192"/>
      <x:c r="N880" s="192"/>
      <x:c r="O880" s="69"/>
      <x:c r="P880" s="47"/>
      <x:c r="Q880" s="60"/>
      <x:c r="R880" s="58"/>
      <x:c r="S880" s="47"/>
      <x:c r="T880" s="60"/>
      <x:c r="U880" s="58"/>
      <x:c r="V880" s="47"/>
      <x:c r="W880" s="60"/>
      <x:c r="X880" s="58"/>
      <x:c r="Y880" s="47"/>
      <x:c r="Z880" s="60"/>
      <x:c r="AA880" s="58"/>
      <x:c r="AB880" s="47"/>
      <x:c r="AC880" s="60"/>
      <x:c r="AD880" s="58"/>
      <x:c r="AE880" s="47"/>
      <x:c r="AF880" s="60"/>
      <x:c r="AG880" s="58"/>
      <x:c r="AH880" s="47"/>
      <x:c r="AI880" s="60"/>
      <x:c r="AJ880" s="58"/>
      <x:c r="AK880" s="47"/>
      <x:c r="AL880" s="60"/>
      <x:c r="AM880" s="58"/>
      <x:c r="AN880" s="47"/>
      <x:c r="AO880" s="60"/>
      <x:c r="AP880" s="58"/>
      <x:c r="AQ880" s="47"/>
      <x:c r="AR880" s="60"/>
      <x:c r="AS880" s="58"/>
      <x:c r="AT880" s="47"/>
      <x:c r="AU880" s="60"/>
      <x:c r="AV880" s="58"/>
      <x:c r="AW880" s="47"/>
      <x:c r="AX880" s="60"/>
      <x:c r="AY880" s="58"/>
      <x:c r="AZ880" s="47"/>
      <x:c r="BA880" s="60"/>
      <x:c r="BB880" s="58"/>
      <x:c r="BC880" s="47"/>
      <x:c r="BD880" s="60"/>
      <x:c r="BE880" s="58"/>
      <x:c r="BF880" s="47"/>
      <x:c r="BG880" s="60"/>
      <x:c r="BH880" s="58"/>
      <x:c r="BI880" s="47"/>
      <x:c r="BJ880" s="60"/>
      <x:c r="BK880" s="58"/>
      <x:c r="BL880" s="47"/>
      <x:c r="BM880" s="60"/>
      <x:c r="BN880" s="58"/>
      <x:c r="BO880" s="47"/>
      <x:c r="BP880" s="60"/>
      <x:c r="BQ880" s="58"/>
      <x:c r="BR880" s="47"/>
      <x:c r="BS880" s="60"/>
      <x:c r="BT880" s="58"/>
      <x:c r="BU880" s="47"/>
      <x:c r="BV880" s="60"/>
      <x:c r="BW880" s="58"/>
      <x:c r="BX880" s="47"/>
      <x:c r="BY880" s="60"/>
      <x:c r="BZ880" s="58"/>
      <x:c r="CA880" s="47"/>
      <x:c r="CB880" s="60"/>
      <x:c r="CC880" s="58"/>
      <x:c r="CD880" s="47"/>
      <x:c r="CE880" s="60"/>
      <x:c r="CF880" s="58"/>
      <x:c r="CG880" s="47"/>
      <x:c r="CH880" s="60"/>
      <x:c r="CI880" s="58"/>
      <x:c r="CJ880" s="47"/>
      <x:c r="CK880" s="60"/>
      <x:c r="CL880" s="58"/>
      <x:c r="CM880" s="47"/>
      <x:c r="CN880" s="60"/>
      <x:c r="CO880" s="58"/>
      <x:c r="CP880" s="47"/>
      <x:c r="CQ880" s="60"/>
      <x:c r="CR880" s="58"/>
      <x:c r="CS880" s="47"/>
      <x:c r="CT880" s="60"/>
      <x:c r="CU880" s="58"/>
      <x:c r="CV880" s="47"/>
      <x:c r="CW880" s="60"/>
      <x:c r="CX880" s="58"/>
      <x:c r="CY880" s="47"/>
      <x:c r="CZ880" s="60"/>
      <x:c r="DA880" s="58"/>
      <x:c r="DB880" s="47"/>
      <x:c r="DC880" s="60"/>
      <x:c r="DD880" s="58"/>
      <x:c r="DE880" s="47"/>
      <x:c r="DF880" s="60"/>
      <x:c r="DG880" s="58"/>
      <x:c r="DH880" s="47"/>
      <x:c r="DI880" s="60"/>
      <x:c r="DJ880" s="58"/>
      <x:c r="DK880" s="47"/>
      <x:c r="DL880" s="60"/>
      <x:c r="DM880" s="58"/>
      <x:c r="DN880" s="11"/>
      <x:c r="DO880" s="61"/>
      <x:c r="DP880" s="62"/>
      <x:c r="DQ880" s="11"/>
      <x:c r="DR880" s="61"/>
      <x:c r="DS880" s="62"/>
      <x:c r="DT880" s="11"/>
      <x:c r="DU880" s="61"/>
      <x:c r="DV880" s="62"/>
    </x:row>
    <x:row r="881" spans="1:126" x14ac:dyDescent="0.3">
      <x:c r="A881" s="47"/>
      <x:c r="B881" s="70"/>
      <x:c r="C881" s="70"/>
      <x:c r="D881" s="70"/>
      <x:c r="E881" s="70"/>
      <x:c r="F881" s="70"/>
      <x:c r="G881" s="70"/>
      <x:c r="H881" s="70"/>
      <x:c r="I881" s="70"/>
      <x:c r="J881" s="70"/>
      <x:c r="K881" s="190"/>
      <x:c r="L881" s="195"/>
      <x:c r="M881" s="192"/>
      <x:c r="N881" s="192"/>
      <x:c r="O881" s="69"/>
      <x:c r="P881" s="47"/>
      <x:c r="Q881" s="60"/>
      <x:c r="R881" s="58"/>
      <x:c r="S881" s="47"/>
      <x:c r="T881" s="60"/>
      <x:c r="U881" s="58"/>
      <x:c r="V881" s="47"/>
      <x:c r="W881" s="60"/>
      <x:c r="X881" s="58"/>
      <x:c r="Y881" s="47"/>
      <x:c r="Z881" s="60"/>
      <x:c r="AA881" s="58"/>
      <x:c r="AB881" s="47"/>
      <x:c r="AC881" s="60"/>
      <x:c r="AD881" s="58"/>
      <x:c r="AE881" s="47"/>
      <x:c r="AF881" s="60"/>
      <x:c r="AG881" s="58"/>
      <x:c r="AH881" s="47"/>
      <x:c r="AI881" s="60"/>
      <x:c r="AJ881" s="58"/>
      <x:c r="AK881" s="47"/>
      <x:c r="AL881" s="60"/>
      <x:c r="AM881" s="58"/>
      <x:c r="AN881" s="47"/>
      <x:c r="AO881" s="60"/>
      <x:c r="AP881" s="58"/>
      <x:c r="AQ881" s="47"/>
      <x:c r="AR881" s="60"/>
      <x:c r="AS881" s="58"/>
      <x:c r="AT881" s="47"/>
      <x:c r="AU881" s="60"/>
      <x:c r="AV881" s="58"/>
      <x:c r="AW881" s="47"/>
      <x:c r="AX881" s="60"/>
      <x:c r="AY881" s="58"/>
      <x:c r="AZ881" s="47"/>
      <x:c r="BA881" s="60"/>
      <x:c r="BB881" s="58"/>
      <x:c r="BC881" s="47"/>
      <x:c r="BD881" s="60"/>
      <x:c r="BE881" s="58"/>
      <x:c r="BF881" s="47"/>
      <x:c r="BG881" s="60"/>
      <x:c r="BH881" s="58"/>
      <x:c r="BI881" s="47"/>
      <x:c r="BJ881" s="60"/>
      <x:c r="BK881" s="58"/>
      <x:c r="BL881" s="47"/>
      <x:c r="BM881" s="60"/>
      <x:c r="BN881" s="58"/>
      <x:c r="BO881" s="47"/>
      <x:c r="BP881" s="60"/>
      <x:c r="BQ881" s="58"/>
      <x:c r="BR881" s="47"/>
      <x:c r="BS881" s="60"/>
      <x:c r="BT881" s="58"/>
      <x:c r="BU881" s="47"/>
      <x:c r="BV881" s="60"/>
      <x:c r="BW881" s="58"/>
      <x:c r="BX881" s="47"/>
      <x:c r="BY881" s="60"/>
      <x:c r="BZ881" s="58"/>
      <x:c r="CA881" s="47"/>
      <x:c r="CB881" s="60"/>
      <x:c r="CC881" s="58"/>
      <x:c r="CD881" s="47"/>
      <x:c r="CE881" s="60"/>
      <x:c r="CF881" s="58"/>
      <x:c r="CG881" s="47"/>
      <x:c r="CH881" s="60"/>
      <x:c r="CI881" s="58"/>
      <x:c r="CJ881" s="47"/>
      <x:c r="CK881" s="60"/>
      <x:c r="CL881" s="58"/>
      <x:c r="CM881" s="47"/>
      <x:c r="CN881" s="60"/>
      <x:c r="CO881" s="58"/>
      <x:c r="CP881" s="47"/>
      <x:c r="CQ881" s="60"/>
      <x:c r="CR881" s="58"/>
      <x:c r="CS881" s="47"/>
      <x:c r="CT881" s="60"/>
      <x:c r="CU881" s="58"/>
      <x:c r="CV881" s="47"/>
      <x:c r="CW881" s="60"/>
      <x:c r="CX881" s="58"/>
      <x:c r="CY881" s="47"/>
      <x:c r="CZ881" s="60"/>
      <x:c r="DA881" s="58"/>
      <x:c r="DB881" s="47"/>
      <x:c r="DC881" s="60"/>
      <x:c r="DD881" s="58"/>
      <x:c r="DE881" s="47"/>
      <x:c r="DF881" s="60"/>
      <x:c r="DG881" s="58"/>
      <x:c r="DH881" s="47"/>
      <x:c r="DI881" s="60"/>
      <x:c r="DJ881" s="58"/>
      <x:c r="DK881" s="47"/>
      <x:c r="DL881" s="60"/>
      <x:c r="DM881" s="58"/>
      <x:c r="DN881" s="11"/>
      <x:c r="DO881" s="61"/>
      <x:c r="DP881" s="62"/>
      <x:c r="DQ881" s="11"/>
      <x:c r="DR881" s="61"/>
      <x:c r="DS881" s="62"/>
      <x:c r="DT881" s="11"/>
      <x:c r="DU881" s="61"/>
      <x:c r="DV881" s="62"/>
    </x:row>
    <x:row r="882" spans="1:126" x14ac:dyDescent="0.3">
      <x:c r="A882" s="47"/>
      <x:c r="B882" s="70"/>
      <x:c r="C882" s="70"/>
      <x:c r="D882" s="70"/>
      <x:c r="E882" s="70"/>
      <x:c r="F882" s="70"/>
      <x:c r="G882" s="70"/>
      <x:c r="H882" s="70"/>
      <x:c r="I882" s="70"/>
      <x:c r="J882" s="70"/>
      <x:c r="K882" s="190"/>
      <x:c r="L882" s="195"/>
      <x:c r="M882" s="192"/>
      <x:c r="N882" s="192"/>
      <x:c r="O882" s="69"/>
      <x:c r="P882" s="47"/>
      <x:c r="Q882" s="60"/>
      <x:c r="R882" s="58"/>
      <x:c r="S882" s="47"/>
      <x:c r="T882" s="60"/>
      <x:c r="U882" s="58"/>
      <x:c r="V882" s="47"/>
      <x:c r="W882" s="60"/>
      <x:c r="X882" s="58"/>
      <x:c r="Y882" s="47"/>
      <x:c r="Z882" s="60"/>
      <x:c r="AA882" s="58"/>
      <x:c r="AB882" s="47"/>
      <x:c r="AC882" s="60"/>
      <x:c r="AD882" s="58"/>
      <x:c r="AE882" s="47"/>
      <x:c r="AF882" s="60"/>
      <x:c r="AG882" s="58"/>
      <x:c r="AH882" s="47"/>
      <x:c r="AI882" s="60"/>
      <x:c r="AJ882" s="58"/>
      <x:c r="AK882" s="47"/>
      <x:c r="AL882" s="60"/>
      <x:c r="AM882" s="58"/>
      <x:c r="AN882" s="47"/>
      <x:c r="AO882" s="60"/>
      <x:c r="AP882" s="58"/>
      <x:c r="AQ882" s="47"/>
      <x:c r="AR882" s="60"/>
      <x:c r="AS882" s="58"/>
      <x:c r="AT882" s="47"/>
      <x:c r="AU882" s="60"/>
      <x:c r="AV882" s="58"/>
      <x:c r="AW882" s="47"/>
      <x:c r="AX882" s="60"/>
      <x:c r="AY882" s="58"/>
      <x:c r="AZ882" s="47"/>
      <x:c r="BA882" s="60"/>
      <x:c r="BB882" s="58"/>
      <x:c r="BC882" s="47"/>
      <x:c r="BD882" s="60"/>
      <x:c r="BE882" s="58"/>
      <x:c r="BF882" s="47"/>
      <x:c r="BG882" s="60"/>
      <x:c r="BH882" s="58"/>
      <x:c r="BI882" s="47"/>
      <x:c r="BJ882" s="60"/>
      <x:c r="BK882" s="58"/>
      <x:c r="BL882" s="47"/>
      <x:c r="BM882" s="60"/>
      <x:c r="BN882" s="58"/>
      <x:c r="BO882" s="47"/>
      <x:c r="BP882" s="60"/>
      <x:c r="BQ882" s="58"/>
      <x:c r="BR882" s="47"/>
      <x:c r="BS882" s="60"/>
      <x:c r="BT882" s="58"/>
      <x:c r="BU882" s="47"/>
      <x:c r="BV882" s="60"/>
      <x:c r="BW882" s="58"/>
      <x:c r="BX882" s="47"/>
      <x:c r="BY882" s="60"/>
      <x:c r="BZ882" s="58"/>
      <x:c r="CA882" s="47"/>
      <x:c r="CB882" s="60"/>
      <x:c r="CC882" s="58"/>
      <x:c r="CD882" s="47"/>
      <x:c r="CE882" s="60"/>
      <x:c r="CF882" s="58"/>
      <x:c r="CG882" s="47"/>
      <x:c r="CH882" s="60"/>
      <x:c r="CI882" s="58"/>
      <x:c r="CJ882" s="47"/>
      <x:c r="CK882" s="60"/>
      <x:c r="CL882" s="58"/>
      <x:c r="CM882" s="47"/>
      <x:c r="CN882" s="60"/>
      <x:c r="CO882" s="58"/>
      <x:c r="CP882" s="47"/>
      <x:c r="CQ882" s="60"/>
      <x:c r="CR882" s="58"/>
      <x:c r="CS882" s="47"/>
      <x:c r="CT882" s="60"/>
      <x:c r="CU882" s="58"/>
      <x:c r="CV882" s="47"/>
      <x:c r="CW882" s="60"/>
      <x:c r="CX882" s="58"/>
      <x:c r="CY882" s="47"/>
      <x:c r="CZ882" s="60"/>
      <x:c r="DA882" s="58"/>
      <x:c r="DB882" s="47"/>
      <x:c r="DC882" s="60"/>
      <x:c r="DD882" s="58"/>
      <x:c r="DE882" s="47"/>
      <x:c r="DF882" s="60"/>
      <x:c r="DG882" s="58"/>
      <x:c r="DH882" s="47"/>
      <x:c r="DI882" s="60"/>
      <x:c r="DJ882" s="58"/>
      <x:c r="DK882" s="47"/>
      <x:c r="DL882" s="60"/>
      <x:c r="DM882" s="58"/>
      <x:c r="DN882" s="11"/>
      <x:c r="DO882" s="61"/>
      <x:c r="DP882" s="62"/>
      <x:c r="DQ882" s="11"/>
      <x:c r="DR882" s="61"/>
      <x:c r="DS882" s="62"/>
      <x:c r="DT882" s="11"/>
      <x:c r="DU882" s="61"/>
      <x:c r="DV882" s="62"/>
    </x:row>
    <x:row r="883" spans="1:126" x14ac:dyDescent="0.3">
      <x:c r="A883" s="47"/>
      <x:c r="B883" s="70"/>
      <x:c r="C883" s="70"/>
      <x:c r="D883" s="70"/>
      <x:c r="E883" s="70"/>
      <x:c r="F883" s="70"/>
      <x:c r="G883" s="70"/>
      <x:c r="H883" s="70"/>
      <x:c r="I883" s="70"/>
      <x:c r="J883" s="70"/>
      <x:c r="K883" s="190"/>
      <x:c r="L883" s="195"/>
      <x:c r="M883" s="192"/>
      <x:c r="N883" s="192"/>
      <x:c r="O883" s="69"/>
      <x:c r="P883" s="47"/>
      <x:c r="Q883" s="60"/>
      <x:c r="R883" s="58"/>
      <x:c r="S883" s="47"/>
      <x:c r="T883" s="60"/>
      <x:c r="U883" s="58"/>
      <x:c r="V883" s="47"/>
      <x:c r="W883" s="60"/>
      <x:c r="X883" s="58"/>
      <x:c r="Y883" s="47"/>
      <x:c r="Z883" s="60"/>
      <x:c r="AA883" s="58"/>
      <x:c r="AB883" s="47"/>
      <x:c r="AC883" s="60"/>
      <x:c r="AD883" s="58"/>
      <x:c r="AE883" s="47"/>
      <x:c r="AF883" s="60"/>
      <x:c r="AG883" s="58"/>
      <x:c r="AH883" s="47"/>
      <x:c r="AI883" s="60"/>
      <x:c r="AJ883" s="58"/>
      <x:c r="AK883" s="47"/>
      <x:c r="AL883" s="60"/>
      <x:c r="AM883" s="58"/>
      <x:c r="AN883" s="47"/>
      <x:c r="AO883" s="60"/>
      <x:c r="AP883" s="58"/>
      <x:c r="AQ883" s="47"/>
      <x:c r="AR883" s="60"/>
      <x:c r="AS883" s="58"/>
      <x:c r="AT883" s="47"/>
      <x:c r="AU883" s="60"/>
      <x:c r="AV883" s="58"/>
      <x:c r="AW883" s="47"/>
      <x:c r="AX883" s="60"/>
      <x:c r="AY883" s="58"/>
      <x:c r="AZ883" s="47"/>
      <x:c r="BA883" s="60"/>
      <x:c r="BB883" s="58"/>
      <x:c r="BC883" s="47"/>
      <x:c r="BD883" s="60"/>
      <x:c r="BE883" s="58"/>
      <x:c r="BF883" s="47"/>
      <x:c r="BG883" s="60"/>
      <x:c r="BH883" s="58"/>
      <x:c r="BI883" s="47"/>
      <x:c r="BJ883" s="60"/>
      <x:c r="BK883" s="58"/>
      <x:c r="BL883" s="47"/>
      <x:c r="BM883" s="60"/>
      <x:c r="BN883" s="58"/>
      <x:c r="BO883" s="47"/>
      <x:c r="BP883" s="60"/>
      <x:c r="BQ883" s="58"/>
      <x:c r="BR883" s="47"/>
      <x:c r="BS883" s="60"/>
      <x:c r="BT883" s="58"/>
      <x:c r="BU883" s="47"/>
      <x:c r="BV883" s="60"/>
      <x:c r="BW883" s="58"/>
      <x:c r="BX883" s="47"/>
      <x:c r="BY883" s="60"/>
      <x:c r="BZ883" s="58"/>
      <x:c r="CA883" s="47"/>
      <x:c r="CB883" s="60"/>
      <x:c r="CC883" s="58"/>
      <x:c r="CD883" s="47"/>
      <x:c r="CE883" s="60"/>
      <x:c r="CF883" s="58"/>
      <x:c r="CG883" s="47"/>
      <x:c r="CH883" s="60"/>
      <x:c r="CI883" s="58"/>
      <x:c r="CJ883" s="47"/>
      <x:c r="CK883" s="60"/>
      <x:c r="CL883" s="58"/>
      <x:c r="CM883" s="47"/>
      <x:c r="CN883" s="60"/>
      <x:c r="CO883" s="58"/>
      <x:c r="CP883" s="47"/>
      <x:c r="CQ883" s="60"/>
      <x:c r="CR883" s="58"/>
      <x:c r="CS883" s="47"/>
      <x:c r="CT883" s="60"/>
      <x:c r="CU883" s="58"/>
      <x:c r="CV883" s="47"/>
      <x:c r="CW883" s="60"/>
      <x:c r="CX883" s="58"/>
      <x:c r="CY883" s="47"/>
      <x:c r="CZ883" s="60"/>
      <x:c r="DA883" s="58"/>
      <x:c r="DB883" s="47"/>
      <x:c r="DC883" s="60"/>
      <x:c r="DD883" s="58"/>
      <x:c r="DE883" s="47"/>
      <x:c r="DF883" s="60"/>
      <x:c r="DG883" s="58"/>
      <x:c r="DH883" s="47"/>
      <x:c r="DI883" s="60"/>
      <x:c r="DJ883" s="58"/>
      <x:c r="DK883" s="47"/>
      <x:c r="DL883" s="60"/>
      <x:c r="DM883" s="58"/>
      <x:c r="DN883" s="11"/>
      <x:c r="DO883" s="61"/>
      <x:c r="DP883" s="62"/>
      <x:c r="DQ883" s="11"/>
      <x:c r="DR883" s="61"/>
      <x:c r="DS883" s="62"/>
      <x:c r="DT883" s="11"/>
      <x:c r="DU883" s="61"/>
      <x:c r="DV883" s="62"/>
    </x:row>
    <x:row r="884" spans="1:126" x14ac:dyDescent="0.3">
      <x:c r="A884" s="47"/>
      <x:c r="B884" s="70"/>
      <x:c r="C884" s="70"/>
      <x:c r="D884" s="70"/>
      <x:c r="E884" s="70"/>
      <x:c r="F884" s="70"/>
      <x:c r="G884" s="70"/>
      <x:c r="H884" s="70"/>
      <x:c r="I884" s="70"/>
      <x:c r="J884" s="70"/>
      <x:c r="K884" s="190"/>
      <x:c r="L884" s="195"/>
      <x:c r="M884" s="192"/>
      <x:c r="N884" s="192"/>
      <x:c r="O884" s="69"/>
      <x:c r="P884" s="47"/>
      <x:c r="Q884" s="60"/>
      <x:c r="R884" s="58"/>
      <x:c r="S884" s="47"/>
      <x:c r="T884" s="60"/>
      <x:c r="U884" s="58"/>
      <x:c r="V884" s="47"/>
      <x:c r="W884" s="60"/>
      <x:c r="X884" s="58"/>
      <x:c r="Y884" s="47"/>
      <x:c r="Z884" s="60"/>
      <x:c r="AA884" s="58"/>
      <x:c r="AB884" s="47"/>
      <x:c r="AC884" s="60"/>
      <x:c r="AD884" s="58"/>
      <x:c r="AE884" s="47"/>
      <x:c r="AF884" s="60"/>
      <x:c r="AG884" s="58"/>
      <x:c r="AH884" s="47"/>
      <x:c r="AI884" s="60"/>
      <x:c r="AJ884" s="58"/>
      <x:c r="AK884" s="47"/>
      <x:c r="AL884" s="60"/>
      <x:c r="AM884" s="58"/>
      <x:c r="AN884" s="47"/>
      <x:c r="AO884" s="60"/>
      <x:c r="AP884" s="58"/>
      <x:c r="AQ884" s="47"/>
      <x:c r="AR884" s="60"/>
      <x:c r="AS884" s="58"/>
      <x:c r="AT884" s="47"/>
      <x:c r="AU884" s="60"/>
      <x:c r="AV884" s="58"/>
      <x:c r="AW884" s="47"/>
      <x:c r="AX884" s="60"/>
      <x:c r="AY884" s="58"/>
      <x:c r="AZ884" s="47"/>
      <x:c r="BA884" s="60"/>
      <x:c r="BB884" s="58"/>
      <x:c r="BC884" s="47"/>
      <x:c r="BD884" s="60"/>
      <x:c r="BE884" s="58"/>
      <x:c r="BF884" s="47"/>
      <x:c r="BG884" s="60"/>
      <x:c r="BH884" s="58"/>
      <x:c r="BI884" s="47"/>
      <x:c r="BJ884" s="60"/>
      <x:c r="BK884" s="58"/>
      <x:c r="BL884" s="47"/>
      <x:c r="BM884" s="60"/>
      <x:c r="BN884" s="58"/>
      <x:c r="BO884" s="47"/>
      <x:c r="BP884" s="60"/>
      <x:c r="BQ884" s="58"/>
      <x:c r="BR884" s="47"/>
      <x:c r="BS884" s="60"/>
      <x:c r="BT884" s="58"/>
      <x:c r="BU884" s="47"/>
      <x:c r="BV884" s="60"/>
      <x:c r="BW884" s="58"/>
      <x:c r="BX884" s="47"/>
      <x:c r="BY884" s="60"/>
      <x:c r="BZ884" s="58"/>
      <x:c r="CA884" s="47"/>
      <x:c r="CB884" s="60"/>
      <x:c r="CC884" s="58"/>
      <x:c r="CD884" s="47"/>
      <x:c r="CE884" s="60"/>
      <x:c r="CF884" s="58"/>
      <x:c r="CG884" s="47"/>
      <x:c r="CH884" s="60"/>
      <x:c r="CI884" s="58"/>
      <x:c r="CJ884" s="47"/>
      <x:c r="CK884" s="60"/>
      <x:c r="CL884" s="58"/>
      <x:c r="CM884" s="47"/>
      <x:c r="CN884" s="60"/>
      <x:c r="CO884" s="58"/>
      <x:c r="CP884" s="47"/>
      <x:c r="CQ884" s="60"/>
      <x:c r="CR884" s="58"/>
      <x:c r="CS884" s="47"/>
      <x:c r="CT884" s="60"/>
      <x:c r="CU884" s="58"/>
      <x:c r="CV884" s="47"/>
      <x:c r="CW884" s="60"/>
      <x:c r="CX884" s="58"/>
      <x:c r="CY884" s="47"/>
      <x:c r="CZ884" s="60"/>
      <x:c r="DA884" s="58"/>
      <x:c r="DB884" s="47"/>
      <x:c r="DC884" s="60"/>
      <x:c r="DD884" s="58"/>
      <x:c r="DE884" s="47"/>
      <x:c r="DF884" s="60"/>
      <x:c r="DG884" s="58"/>
      <x:c r="DH884" s="47"/>
      <x:c r="DI884" s="60"/>
      <x:c r="DJ884" s="58"/>
      <x:c r="DK884" s="47"/>
      <x:c r="DL884" s="60"/>
      <x:c r="DM884" s="58"/>
      <x:c r="DN884" s="11"/>
      <x:c r="DO884" s="61"/>
      <x:c r="DP884" s="62"/>
      <x:c r="DQ884" s="11"/>
      <x:c r="DR884" s="61"/>
      <x:c r="DS884" s="62"/>
      <x:c r="DT884" s="11"/>
      <x:c r="DU884" s="61"/>
      <x:c r="DV884" s="62"/>
    </x:row>
    <x:row r="885" spans="1:126" x14ac:dyDescent="0.3">
      <x:c r="A885" s="47"/>
      <x:c r="B885" s="70"/>
      <x:c r="C885" s="70"/>
      <x:c r="D885" s="70"/>
      <x:c r="E885" s="70"/>
      <x:c r="F885" s="70"/>
      <x:c r="G885" s="70"/>
      <x:c r="H885" s="70"/>
      <x:c r="I885" s="70"/>
      <x:c r="J885" s="70"/>
      <x:c r="K885" s="190"/>
      <x:c r="L885" s="195"/>
      <x:c r="M885" s="192"/>
      <x:c r="N885" s="192"/>
      <x:c r="O885" s="69"/>
      <x:c r="P885" s="47"/>
      <x:c r="Q885" s="60"/>
      <x:c r="R885" s="58"/>
      <x:c r="S885" s="47"/>
      <x:c r="T885" s="60"/>
      <x:c r="U885" s="58"/>
      <x:c r="V885" s="47"/>
      <x:c r="W885" s="60"/>
      <x:c r="X885" s="58"/>
      <x:c r="Y885" s="47"/>
      <x:c r="Z885" s="60"/>
      <x:c r="AA885" s="58"/>
      <x:c r="AB885" s="47"/>
      <x:c r="AC885" s="60"/>
      <x:c r="AD885" s="58"/>
      <x:c r="AE885" s="47"/>
      <x:c r="AF885" s="60"/>
      <x:c r="AG885" s="58"/>
      <x:c r="AH885" s="47"/>
      <x:c r="AI885" s="60"/>
      <x:c r="AJ885" s="58"/>
      <x:c r="AK885" s="47"/>
      <x:c r="AL885" s="60"/>
      <x:c r="AM885" s="58"/>
      <x:c r="AN885" s="47"/>
      <x:c r="AO885" s="60"/>
      <x:c r="AP885" s="58"/>
      <x:c r="AQ885" s="47"/>
      <x:c r="AR885" s="60"/>
      <x:c r="AS885" s="58"/>
      <x:c r="AT885" s="47"/>
      <x:c r="AU885" s="60"/>
      <x:c r="AV885" s="58"/>
      <x:c r="AW885" s="47"/>
      <x:c r="AX885" s="60"/>
      <x:c r="AY885" s="58"/>
      <x:c r="AZ885" s="47"/>
      <x:c r="BA885" s="60"/>
      <x:c r="BB885" s="58"/>
      <x:c r="BC885" s="47"/>
      <x:c r="BD885" s="60"/>
      <x:c r="BE885" s="58"/>
      <x:c r="BF885" s="47"/>
      <x:c r="BG885" s="60"/>
      <x:c r="BH885" s="58"/>
      <x:c r="BI885" s="47"/>
      <x:c r="BJ885" s="60"/>
      <x:c r="BK885" s="58"/>
      <x:c r="BL885" s="47"/>
      <x:c r="BM885" s="60"/>
      <x:c r="BN885" s="58"/>
      <x:c r="BO885" s="47"/>
      <x:c r="BP885" s="60"/>
      <x:c r="BQ885" s="58"/>
      <x:c r="BR885" s="47"/>
      <x:c r="BS885" s="60"/>
      <x:c r="BT885" s="58"/>
      <x:c r="BU885" s="47"/>
      <x:c r="BV885" s="60"/>
      <x:c r="BW885" s="58"/>
      <x:c r="BX885" s="47"/>
      <x:c r="BY885" s="60"/>
      <x:c r="BZ885" s="58"/>
      <x:c r="CA885" s="47"/>
      <x:c r="CB885" s="60"/>
      <x:c r="CC885" s="58"/>
      <x:c r="CD885" s="47"/>
      <x:c r="CE885" s="60"/>
      <x:c r="CF885" s="58"/>
      <x:c r="CG885" s="47"/>
      <x:c r="CH885" s="60"/>
      <x:c r="CI885" s="58"/>
      <x:c r="CJ885" s="47"/>
      <x:c r="CK885" s="60"/>
      <x:c r="CL885" s="58"/>
      <x:c r="CM885" s="47"/>
      <x:c r="CN885" s="60"/>
      <x:c r="CO885" s="58"/>
      <x:c r="CP885" s="47"/>
      <x:c r="CQ885" s="60"/>
      <x:c r="CR885" s="58"/>
      <x:c r="CS885" s="47"/>
      <x:c r="CT885" s="60"/>
      <x:c r="CU885" s="58"/>
      <x:c r="CV885" s="47"/>
      <x:c r="CW885" s="60"/>
      <x:c r="CX885" s="58"/>
      <x:c r="CY885" s="47"/>
      <x:c r="CZ885" s="60"/>
      <x:c r="DA885" s="58"/>
      <x:c r="DB885" s="47"/>
      <x:c r="DC885" s="60"/>
      <x:c r="DD885" s="58"/>
      <x:c r="DE885" s="47"/>
      <x:c r="DF885" s="60"/>
      <x:c r="DG885" s="58"/>
      <x:c r="DH885" s="47"/>
      <x:c r="DI885" s="60"/>
      <x:c r="DJ885" s="58"/>
      <x:c r="DK885" s="47"/>
      <x:c r="DL885" s="60"/>
      <x:c r="DM885" s="58"/>
      <x:c r="DN885" s="11"/>
      <x:c r="DO885" s="61"/>
      <x:c r="DP885" s="62"/>
      <x:c r="DQ885" s="11"/>
      <x:c r="DR885" s="61"/>
      <x:c r="DS885" s="62"/>
      <x:c r="DT885" s="11"/>
      <x:c r="DU885" s="61"/>
      <x:c r="DV885" s="62"/>
    </x:row>
    <x:row r="886" spans="1:126" x14ac:dyDescent="0.3">
      <x:c r="A886" s="47"/>
      <x:c r="B886" s="70"/>
      <x:c r="C886" s="70"/>
      <x:c r="D886" s="70"/>
      <x:c r="E886" s="70"/>
      <x:c r="F886" s="70"/>
      <x:c r="G886" s="70"/>
      <x:c r="H886" s="70"/>
      <x:c r="I886" s="70"/>
      <x:c r="J886" s="70"/>
      <x:c r="K886" s="190"/>
      <x:c r="L886" s="195"/>
      <x:c r="M886" s="192"/>
      <x:c r="N886" s="192"/>
      <x:c r="O886" s="69"/>
      <x:c r="P886" s="47"/>
      <x:c r="Q886" s="60"/>
      <x:c r="R886" s="58"/>
      <x:c r="S886" s="47"/>
      <x:c r="T886" s="60"/>
      <x:c r="U886" s="58"/>
      <x:c r="V886" s="47"/>
      <x:c r="W886" s="60"/>
      <x:c r="X886" s="58"/>
      <x:c r="Y886" s="47"/>
      <x:c r="Z886" s="60"/>
      <x:c r="AA886" s="58"/>
      <x:c r="AB886" s="47"/>
      <x:c r="AC886" s="60"/>
      <x:c r="AD886" s="58"/>
      <x:c r="AE886" s="47"/>
      <x:c r="AF886" s="60"/>
      <x:c r="AG886" s="58"/>
      <x:c r="AH886" s="47"/>
      <x:c r="AI886" s="60"/>
      <x:c r="AJ886" s="58"/>
      <x:c r="AK886" s="47"/>
      <x:c r="AL886" s="60"/>
      <x:c r="AM886" s="58"/>
      <x:c r="AN886" s="47"/>
      <x:c r="AO886" s="60"/>
      <x:c r="AP886" s="58"/>
      <x:c r="AQ886" s="47"/>
      <x:c r="AR886" s="60"/>
      <x:c r="AS886" s="58"/>
      <x:c r="AT886" s="47"/>
      <x:c r="AU886" s="60"/>
      <x:c r="AV886" s="58"/>
      <x:c r="AW886" s="47"/>
      <x:c r="AX886" s="60"/>
      <x:c r="AY886" s="58"/>
      <x:c r="AZ886" s="47"/>
      <x:c r="BA886" s="60"/>
      <x:c r="BB886" s="58"/>
      <x:c r="BC886" s="47"/>
      <x:c r="BD886" s="60"/>
      <x:c r="BE886" s="58"/>
      <x:c r="BF886" s="47"/>
      <x:c r="BG886" s="60"/>
      <x:c r="BH886" s="58"/>
      <x:c r="BI886" s="47"/>
      <x:c r="BJ886" s="60"/>
      <x:c r="BK886" s="58"/>
      <x:c r="BL886" s="47"/>
      <x:c r="BM886" s="60"/>
      <x:c r="BN886" s="58"/>
      <x:c r="BO886" s="47"/>
      <x:c r="BP886" s="60"/>
      <x:c r="BQ886" s="58"/>
      <x:c r="BR886" s="47"/>
      <x:c r="BS886" s="60"/>
      <x:c r="BT886" s="58"/>
      <x:c r="BU886" s="47"/>
      <x:c r="BV886" s="60"/>
      <x:c r="BW886" s="58"/>
      <x:c r="BX886" s="47"/>
      <x:c r="BY886" s="60"/>
      <x:c r="BZ886" s="58"/>
      <x:c r="CA886" s="47"/>
      <x:c r="CB886" s="60"/>
      <x:c r="CC886" s="58"/>
      <x:c r="CD886" s="47"/>
      <x:c r="CE886" s="60"/>
      <x:c r="CF886" s="58"/>
      <x:c r="CG886" s="47"/>
      <x:c r="CH886" s="60"/>
      <x:c r="CI886" s="58"/>
      <x:c r="CJ886" s="47"/>
      <x:c r="CK886" s="60"/>
      <x:c r="CL886" s="58"/>
      <x:c r="CM886" s="47"/>
      <x:c r="CN886" s="60"/>
      <x:c r="CO886" s="58"/>
      <x:c r="CP886" s="47"/>
      <x:c r="CQ886" s="60"/>
      <x:c r="CR886" s="58"/>
      <x:c r="CS886" s="47"/>
      <x:c r="CT886" s="60"/>
      <x:c r="CU886" s="58"/>
      <x:c r="CV886" s="47"/>
      <x:c r="CW886" s="60"/>
      <x:c r="CX886" s="58"/>
      <x:c r="CY886" s="47"/>
      <x:c r="CZ886" s="60"/>
      <x:c r="DA886" s="58"/>
      <x:c r="DB886" s="47"/>
      <x:c r="DC886" s="60"/>
      <x:c r="DD886" s="58"/>
      <x:c r="DE886" s="47"/>
      <x:c r="DF886" s="60"/>
      <x:c r="DG886" s="58"/>
      <x:c r="DH886" s="47"/>
      <x:c r="DI886" s="60"/>
      <x:c r="DJ886" s="58"/>
      <x:c r="DK886" s="47"/>
      <x:c r="DL886" s="60"/>
      <x:c r="DM886" s="58"/>
      <x:c r="DN886" s="11"/>
      <x:c r="DO886" s="61"/>
      <x:c r="DP886" s="62"/>
      <x:c r="DQ886" s="11"/>
      <x:c r="DR886" s="61"/>
      <x:c r="DS886" s="62"/>
      <x:c r="DT886" s="11"/>
      <x:c r="DU886" s="61"/>
      <x:c r="DV886" s="62"/>
    </x:row>
    <x:row r="887" spans="1:126" x14ac:dyDescent="0.3">
      <x:c r="A887" s="47"/>
      <x:c r="B887" s="70"/>
      <x:c r="C887" s="70"/>
      <x:c r="D887" s="70"/>
      <x:c r="E887" s="70"/>
      <x:c r="F887" s="70"/>
      <x:c r="G887" s="70"/>
      <x:c r="H887" s="70"/>
      <x:c r="I887" s="70"/>
      <x:c r="J887" s="70"/>
      <x:c r="K887" s="190"/>
      <x:c r="L887" s="195"/>
      <x:c r="M887" s="192"/>
      <x:c r="N887" s="192"/>
      <x:c r="O887" s="69"/>
      <x:c r="P887" s="47"/>
      <x:c r="Q887" s="60"/>
      <x:c r="R887" s="58"/>
      <x:c r="S887" s="47"/>
      <x:c r="T887" s="60"/>
      <x:c r="U887" s="58"/>
      <x:c r="V887" s="47"/>
      <x:c r="W887" s="60"/>
      <x:c r="X887" s="58"/>
      <x:c r="Y887" s="47"/>
      <x:c r="Z887" s="60"/>
      <x:c r="AA887" s="58"/>
      <x:c r="AB887" s="47"/>
      <x:c r="AC887" s="60"/>
      <x:c r="AD887" s="58"/>
      <x:c r="AE887" s="47"/>
      <x:c r="AF887" s="60"/>
      <x:c r="AG887" s="58"/>
      <x:c r="AH887" s="47"/>
      <x:c r="AI887" s="60"/>
      <x:c r="AJ887" s="58"/>
      <x:c r="AK887" s="47"/>
      <x:c r="AL887" s="60"/>
      <x:c r="AM887" s="58"/>
      <x:c r="AN887" s="47"/>
      <x:c r="AO887" s="60"/>
      <x:c r="AP887" s="58"/>
      <x:c r="AQ887" s="47"/>
      <x:c r="AR887" s="60"/>
      <x:c r="AS887" s="58"/>
      <x:c r="AT887" s="47"/>
      <x:c r="AU887" s="60"/>
      <x:c r="AV887" s="58"/>
      <x:c r="AW887" s="47"/>
      <x:c r="AX887" s="60"/>
      <x:c r="AY887" s="58"/>
      <x:c r="AZ887" s="47"/>
      <x:c r="BA887" s="60"/>
      <x:c r="BB887" s="58"/>
      <x:c r="BC887" s="47"/>
      <x:c r="BD887" s="60"/>
      <x:c r="BE887" s="58"/>
      <x:c r="BF887" s="47"/>
      <x:c r="BG887" s="60"/>
      <x:c r="BH887" s="58"/>
      <x:c r="BI887" s="47"/>
      <x:c r="BJ887" s="60"/>
      <x:c r="BK887" s="58"/>
      <x:c r="BL887" s="47"/>
      <x:c r="BM887" s="60"/>
      <x:c r="BN887" s="58"/>
      <x:c r="BO887" s="47"/>
      <x:c r="BP887" s="60"/>
      <x:c r="BQ887" s="58"/>
      <x:c r="BR887" s="47"/>
      <x:c r="BS887" s="60"/>
      <x:c r="BT887" s="58"/>
      <x:c r="BU887" s="47"/>
      <x:c r="BV887" s="60"/>
      <x:c r="BW887" s="58"/>
      <x:c r="BX887" s="47"/>
      <x:c r="BY887" s="60"/>
      <x:c r="BZ887" s="58"/>
      <x:c r="CA887" s="47"/>
      <x:c r="CB887" s="60"/>
      <x:c r="CC887" s="58"/>
      <x:c r="CD887" s="47"/>
      <x:c r="CE887" s="60"/>
      <x:c r="CF887" s="58"/>
      <x:c r="CG887" s="47"/>
      <x:c r="CH887" s="60"/>
      <x:c r="CI887" s="58"/>
      <x:c r="CJ887" s="47"/>
      <x:c r="CK887" s="60"/>
      <x:c r="CL887" s="58"/>
      <x:c r="CM887" s="47"/>
      <x:c r="CN887" s="60"/>
      <x:c r="CO887" s="58"/>
      <x:c r="CP887" s="47"/>
      <x:c r="CQ887" s="60"/>
      <x:c r="CR887" s="58"/>
      <x:c r="CS887" s="47"/>
      <x:c r="CT887" s="60"/>
      <x:c r="CU887" s="58"/>
      <x:c r="CV887" s="47"/>
      <x:c r="CW887" s="60"/>
      <x:c r="CX887" s="58"/>
      <x:c r="CY887" s="47"/>
      <x:c r="CZ887" s="60"/>
      <x:c r="DA887" s="58"/>
      <x:c r="DB887" s="47"/>
      <x:c r="DC887" s="60"/>
      <x:c r="DD887" s="58"/>
      <x:c r="DE887" s="47"/>
      <x:c r="DF887" s="60"/>
      <x:c r="DG887" s="58"/>
      <x:c r="DH887" s="47"/>
      <x:c r="DI887" s="60"/>
      <x:c r="DJ887" s="58"/>
      <x:c r="DK887" s="47"/>
      <x:c r="DL887" s="60"/>
      <x:c r="DM887" s="58"/>
      <x:c r="DN887" s="11"/>
      <x:c r="DO887" s="61"/>
      <x:c r="DP887" s="62"/>
      <x:c r="DQ887" s="11"/>
      <x:c r="DR887" s="61"/>
      <x:c r="DS887" s="62"/>
      <x:c r="DT887" s="11"/>
      <x:c r="DU887" s="61"/>
      <x:c r="DV887" s="62"/>
    </x:row>
    <x:row r="888" spans="1:126" x14ac:dyDescent="0.3">
      <x:c r="A888" s="47"/>
      <x:c r="B888" s="70"/>
      <x:c r="C888" s="70"/>
      <x:c r="D888" s="70"/>
      <x:c r="E888" s="70"/>
      <x:c r="F888" s="70"/>
      <x:c r="G888" s="70"/>
      <x:c r="H888" s="70"/>
      <x:c r="I888" s="70"/>
      <x:c r="J888" s="70"/>
      <x:c r="K888" s="190"/>
      <x:c r="L888" s="195"/>
      <x:c r="M888" s="192"/>
      <x:c r="N888" s="192"/>
      <x:c r="O888" s="69"/>
      <x:c r="P888" s="47"/>
      <x:c r="Q888" s="60"/>
      <x:c r="R888" s="58"/>
      <x:c r="S888" s="47"/>
      <x:c r="T888" s="60"/>
      <x:c r="U888" s="58"/>
      <x:c r="V888" s="47"/>
      <x:c r="W888" s="60"/>
      <x:c r="X888" s="58"/>
      <x:c r="Y888" s="47"/>
      <x:c r="Z888" s="60"/>
      <x:c r="AA888" s="58"/>
      <x:c r="AB888" s="47"/>
      <x:c r="AC888" s="60"/>
      <x:c r="AD888" s="58"/>
      <x:c r="AE888" s="47"/>
      <x:c r="AF888" s="60"/>
      <x:c r="AG888" s="58"/>
      <x:c r="AH888" s="47"/>
      <x:c r="AI888" s="60"/>
      <x:c r="AJ888" s="58"/>
      <x:c r="AK888" s="47"/>
      <x:c r="AL888" s="60"/>
      <x:c r="AM888" s="58"/>
      <x:c r="AN888" s="47"/>
      <x:c r="AO888" s="60"/>
      <x:c r="AP888" s="58"/>
      <x:c r="AQ888" s="47"/>
      <x:c r="AR888" s="60"/>
      <x:c r="AS888" s="58"/>
      <x:c r="AT888" s="47"/>
      <x:c r="AU888" s="60"/>
      <x:c r="AV888" s="58"/>
      <x:c r="AW888" s="47"/>
      <x:c r="AX888" s="60"/>
      <x:c r="AY888" s="58"/>
      <x:c r="AZ888" s="47"/>
      <x:c r="BA888" s="60"/>
      <x:c r="BB888" s="58"/>
      <x:c r="BC888" s="47"/>
      <x:c r="BD888" s="60"/>
      <x:c r="BE888" s="58"/>
      <x:c r="BF888" s="47"/>
      <x:c r="BG888" s="60"/>
      <x:c r="BH888" s="58"/>
      <x:c r="BI888" s="47"/>
      <x:c r="BJ888" s="60"/>
      <x:c r="BK888" s="58"/>
      <x:c r="BL888" s="47"/>
      <x:c r="BM888" s="60"/>
      <x:c r="BN888" s="58"/>
      <x:c r="BO888" s="47"/>
      <x:c r="BP888" s="60"/>
      <x:c r="BQ888" s="58"/>
      <x:c r="BR888" s="47"/>
      <x:c r="BS888" s="60"/>
      <x:c r="BT888" s="58"/>
      <x:c r="BU888" s="47"/>
      <x:c r="BV888" s="60"/>
      <x:c r="BW888" s="58"/>
      <x:c r="BX888" s="47"/>
      <x:c r="BY888" s="60"/>
      <x:c r="BZ888" s="58"/>
      <x:c r="CA888" s="47"/>
      <x:c r="CB888" s="60"/>
      <x:c r="CC888" s="58"/>
      <x:c r="CD888" s="47"/>
      <x:c r="CE888" s="60"/>
      <x:c r="CF888" s="58"/>
      <x:c r="CG888" s="47"/>
      <x:c r="CH888" s="60"/>
      <x:c r="CI888" s="58"/>
      <x:c r="CJ888" s="47"/>
      <x:c r="CK888" s="60"/>
      <x:c r="CL888" s="58"/>
      <x:c r="CM888" s="47"/>
      <x:c r="CN888" s="60"/>
      <x:c r="CO888" s="58"/>
      <x:c r="CP888" s="47"/>
      <x:c r="CQ888" s="60"/>
      <x:c r="CR888" s="58"/>
      <x:c r="CS888" s="47"/>
      <x:c r="CT888" s="60"/>
      <x:c r="CU888" s="58"/>
      <x:c r="CV888" s="47"/>
      <x:c r="CW888" s="60"/>
      <x:c r="CX888" s="58"/>
      <x:c r="CY888" s="47"/>
      <x:c r="CZ888" s="60"/>
      <x:c r="DA888" s="58"/>
      <x:c r="DB888" s="47"/>
      <x:c r="DC888" s="60"/>
      <x:c r="DD888" s="58"/>
      <x:c r="DE888" s="47"/>
      <x:c r="DF888" s="60"/>
      <x:c r="DG888" s="58"/>
      <x:c r="DH888" s="47"/>
      <x:c r="DI888" s="60"/>
      <x:c r="DJ888" s="58"/>
      <x:c r="DK888" s="47"/>
      <x:c r="DL888" s="60"/>
      <x:c r="DM888" s="58"/>
      <x:c r="DN888" s="11"/>
      <x:c r="DO888" s="61"/>
      <x:c r="DP888" s="62"/>
      <x:c r="DQ888" s="11"/>
      <x:c r="DR888" s="61"/>
      <x:c r="DS888" s="62"/>
      <x:c r="DT888" s="11"/>
      <x:c r="DU888" s="61"/>
      <x:c r="DV888" s="62"/>
    </x:row>
    <x:row r="889" spans="1:126" x14ac:dyDescent="0.3">
      <x:c r="A889" s="47"/>
      <x:c r="B889" s="70"/>
      <x:c r="C889" s="70"/>
      <x:c r="D889" s="70"/>
      <x:c r="E889" s="70"/>
      <x:c r="F889" s="70"/>
      <x:c r="G889" s="70"/>
      <x:c r="H889" s="70"/>
      <x:c r="I889" s="70"/>
      <x:c r="J889" s="70"/>
      <x:c r="K889" s="190"/>
      <x:c r="L889" s="195"/>
      <x:c r="M889" s="192"/>
      <x:c r="N889" s="192"/>
      <x:c r="O889" s="69"/>
      <x:c r="P889" s="47"/>
      <x:c r="Q889" s="60"/>
      <x:c r="R889" s="58"/>
      <x:c r="S889" s="47"/>
      <x:c r="T889" s="60"/>
      <x:c r="U889" s="58"/>
      <x:c r="V889" s="47"/>
      <x:c r="W889" s="60"/>
      <x:c r="X889" s="58"/>
      <x:c r="Y889" s="47"/>
      <x:c r="Z889" s="60"/>
      <x:c r="AA889" s="58"/>
      <x:c r="AB889" s="47"/>
      <x:c r="AC889" s="60"/>
      <x:c r="AD889" s="58"/>
      <x:c r="AE889" s="47"/>
      <x:c r="AF889" s="60"/>
      <x:c r="AG889" s="58"/>
      <x:c r="AH889" s="47"/>
      <x:c r="AI889" s="60"/>
      <x:c r="AJ889" s="58"/>
      <x:c r="AK889" s="47"/>
      <x:c r="AL889" s="60"/>
      <x:c r="AM889" s="58"/>
      <x:c r="AN889" s="47"/>
      <x:c r="AO889" s="60"/>
      <x:c r="AP889" s="58"/>
      <x:c r="AQ889" s="47"/>
      <x:c r="AR889" s="60"/>
      <x:c r="AS889" s="58"/>
      <x:c r="AT889" s="47"/>
      <x:c r="AU889" s="60"/>
      <x:c r="AV889" s="58"/>
      <x:c r="AW889" s="47"/>
      <x:c r="AX889" s="60"/>
      <x:c r="AY889" s="58"/>
      <x:c r="AZ889" s="47"/>
      <x:c r="BA889" s="60"/>
      <x:c r="BB889" s="58"/>
      <x:c r="BC889" s="47"/>
      <x:c r="BD889" s="60"/>
      <x:c r="BE889" s="58"/>
      <x:c r="BF889" s="47"/>
      <x:c r="BG889" s="60"/>
      <x:c r="BH889" s="58"/>
      <x:c r="BI889" s="47"/>
      <x:c r="BJ889" s="60"/>
      <x:c r="BK889" s="58"/>
      <x:c r="BL889" s="47"/>
      <x:c r="BM889" s="60"/>
      <x:c r="BN889" s="58"/>
      <x:c r="BO889" s="47"/>
      <x:c r="BP889" s="60"/>
      <x:c r="BQ889" s="58"/>
      <x:c r="BR889" s="47"/>
      <x:c r="BS889" s="60"/>
      <x:c r="BT889" s="58"/>
      <x:c r="BU889" s="47"/>
      <x:c r="BV889" s="60"/>
      <x:c r="BW889" s="58"/>
      <x:c r="BX889" s="47"/>
      <x:c r="BY889" s="60"/>
      <x:c r="BZ889" s="58"/>
      <x:c r="CA889" s="47"/>
      <x:c r="CB889" s="60"/>
      <x:c r="CC889" s="58"/>
      <x:c r="CD889" s="47"/>
      <x:c r="CE889" s="60"/>
      <x:c r="CF889" s="58"/>
      <x:c r="CG889" s="47"/>
      <x:c r="CH889" s="60"/>
      <x:c r="CI889" s="58"/>
      <x:c r="CJ889" s="47"/>
      <x:c r="CK889" s="60"/>
      <x:c r="CL889" s="58"/>
      <x:c r="CM889" s="47"/>
      <x:c r="CN889" s="60"/>
      <x:c r="CO889" s="58"/>
      <x:c r="CP889" s="47"/>
      <x:c r="CQ889" s="60"/>
      <x:c r="CR889" s="58"/>
      <x:c r="CS889" s="47"/>
      <x:c r="CT889" s="60"/>
      <x:c r="CU889" s="58"/>
      <x:c r="CV889" s="47"/>
      <x:c r="CW889" s="60"/>
      <x:c r="CX889" s="58"/>
      <x:c r="CY889" s="47"/>
      <x:c r="CZ889" s="60"/>
      <x:c r="DA889" s="58"/>
      <x:c r="DB889" s="47"/>
      <x:c r="DC889" s="60"/>
      <x:c r="DD889" s="58"/>
      <x:c r="DE889" s="47"/>
      <x:c r="DF889" s="60"/>
      <x:c r="DG889" s="58"/>
      <x:c r="DH889" s="47"/>
      <x:c r="DI889" s="60"/>
      <x:c r="DJ889" s="58"/>
      <x:c r="DK889" s="47"/>
      <x:c r="DL889" s="60"/>
      <x:c r="DM889" s="58"/>
      <x:c r="DN889" s="11"/>
      <x:c r="DO889" s="61"/>
      <x:c r="DP889" s="62"/>
      <x:c r="DQ889" s="11"/>
      <x:c r="DR889" s="61"/>
      <x:c r="DS889" s="62"/>
      <x:c r="DT889" s="11"/>
      <x:c r="DU889" s="61"/>
      <x:c r="DV889" s="62"/>
    </x:row>
    <x:row r="890" spans="1:126" x14ac:dyDescent="0.3">
      <x:c r="A890" s="47"/>
      <x:c r="B890" s="70"/>
      <x:c r="C890" s="70"/>
      <x:c r="D890" s="70"/>
      <x:c r="E890" s="70"/>
      <x:c r="F890" s="70"/>
      <x:c r="G890" s="70"/>
      <x:c r="H890" s="70"/>
      <x:c r="I890" s="70"/>
      <x:c r="J890" s="70"/>
      <x:c r="K890" s="190"/>
      <x:c r="L890" s="195"/>
      <x:c r="M890" s="192"/>
      <x:c r="N890" s="192"/>
      <x:c r="O890" s="69"/>
      <x:c r="P890" s="47"/>
      <x:c r="Q890" s="60"/>
      <x:c r="R890" s="58"/>
      <x:c r="S890" s="47"/>
      <x:c r="T890" s="60"/>
      <x:c r="U890" s="58"/>
      <x:c r="V890" s="47"/>
      <x:c r="W890" s="60"/>
      <x:c r="X890" s="58"/>
      <x:c r="Y890" s="47"/>
      <x:c r="Z890" s="60"/>
      <x:c r="AA890" s="58"/>
      <x:c r="AB890" s="47"/>
      <x:c r="AC890" s="60"/>
      <x:c r="AD890" s="58"/>
      <x:c r="AE890" s="47"/>
      <x:c r="AF890" s="60"/>
      <x:c r="AG890" s="58"/>
      <x:c r="AH890" s="47"/>
      <x:c r="AI890" s="60"/>
      <x:c r="AJ890" s="58"/>
      <x:c r="AK890" s="47"/>
      <x:c r="AL890" s="60"/>
      <x:c r="AM890" s="58"/>
      <x:c r="AN890" s="47"/>
      <x:c r="AO890" s="60"/>
      <x:c r="AP890" s="58"/>
      <x:c r="AQ890" s="47"/>
      <x:c r="AR890" s="60"/>
      <x:c r="AS890" s="58"/>
      <x:c r="AT890" s="47"/>
      <x:c r="AU890" s="60"/>
      <x:c r="AV890" s="58"/>
      <x:c r="AW890" s="47"/>
      <x:c r="AX890" s="60"/>
      <x:c r="AY890" s="58"/>
      <x:c r="AZ890" s="47"/>
      <x:c r="BA890" s="60"/>
      <x:c r="BB890" s="58"/>
      <x:c r="BC890" s="47"/>
      <x:c r="BD890" s="60"/>
      <x:c r="BE890" s="58"/>
      <x:c r="BF890" s="47"/>
      <x:c r="BG890" s="60"/>
      <x:c r="BH890" s="58"/>
      <x:c r="BI890" s="47"/>
      <x:c r="BJ890" s="60"/>
      <x:c r="BK890" s="58"/>
      <x:c r="BL890" s="47"/>
      <x:c r="BM890" s="60"/>
      <x:c r="BN890" s="58"/>
      <x:c r="BO890" s="47"/>
      <x:c r="BP890" s="60"/>
      <x:c r="BQ890" s="58"/>
      <x:c r="BR890" s="47"/>
      <x:c r="BS890" s="60"/>
      <x:c r="BT890" s="58"/>
      <x:c r="BU890" s="47"/>
      <x:c r="BV890" s="60"/>
      <x:c r="BW890" s="58"/>
      <x:c r="BX890" s="47"/>
      <x:c r="BY890" s="60"/>
      <x:c r="BZ890" s="58"/>
      <x:c r="CA890" s="47"/>
      <x:c r="CB890" s="60"/>
      <x:c r="CC890" s="58"/>
      <x:c r="CD890" s="47"/>
      <x:c r="CE890" s="60"/>
      <x:c r="CF890" s="58"/>
      <x:c r="CG890" s="47"/>
      <x:c r="CH890" s="60"/>
      <x:c r="CI890" s="58"/>
      <x:c r="CJ890" s="47"/>
      <x:c r="CK890" s="60"/>
      <x:c r="CL890" s="58"/>
      <x:c r="CM890" s="47"/>
      <x:c r="CN890" s="60"/>
      <x:c r="CO890" s="58"/>
      <x:c r="CP890" s="47"/>
      <x:c r="CQ890" s="60"/>
      <x:c r="CR890" s="58"/>
      <x:c r="CS890" s="47"/>
      <x:c r="CT890" s="60"/>
      <x:c r="CU890" s="58"/>
      <x:c r="CV890" s="47"/>
      <x:c r="CW890" s="60"/>
      <x:c r="CX890" s="58"/>
      <x:c r="CY890" s="47"/>
      <x:c r="CZ890" s="60"/>
      <x:c r="DA890" s="58"/>
      <x:c r="DB890" s="47"/>
      <x:c r="DC890" s="60"/>
      <x:c r="DD890" s="58"/>
      <x:c r="DE890" s="47"/>
      <x:c r="DF890" s="60"/>
      <x:c r="DG890" s="58"/>
      <x:c r="DH890" s="47"/>
      <x:c r="DI890" s="60"/>
      <x:c r="DJ890" s="58"/>
      <x:c r="DK890" s="47"/>
      <x:c r="DL890" s="60"/>
      <x:c r="DM890" s="58"/>
      <x:c r="DN890" s="11"/>
      <x:c r="DO890" s="61"/>
      <x:c r="DP890" s="62"/>
      <x:c r="DQ890" s="11"/>
      <x:c r="DR890" s="61"/>
      <x:c r="DS890" s="62"/>
      <x:c r="DT890" s="11"/>
      <x:c r="DU890" s="61"/>
      <x:c r="DV890" s="62"/>
    </x:row>
    <x:row r="891" spans="1:126" x14ac:dyDescent="0.3">
      <x:c r="A891" s="47"/>
      <x:c r="B891" s="70"/>
      <x:c r="C891" s="70"/>
      <x:c r="D891" s="70"/>
      <x:c r="E891" s="70"/>
      <x:c r="F891" s="70"/>
      <x:c r="G891" s="70"/>
      <x:c r="H891" s="70"/>
      <x:c r="I891" s="70"/>
      <x:c r="J891" s="70"/>
      <x:c r="K891" s="190"/>
      <x:c r="L891" s="195"/>
      <x:c r="M891" s="192"/>
      <x:c r="N891" s="192"/>
      <x:c r="O891" s="69"/>
      <x:c r="P891" s="47"/>
      <x:c r="Q891" s="60"/>
      <x:c r="R891" s="58"/>
      <x:c r="S891" s="47"/>
      <x:c r="T891" s="60"/>
      <x:c r="U891" s="58"/>
      <x:c r="V891" s="47"/>
      <x:c r="W891" s="60"/>
      <x:c r="X891" s="58"/>
      <x:c r="Y891" s="47"/>
      <x:c r="Z891" s="60"/>
      <x:c r="AA891" s="58"/>
      <x:c r="AB891" s="47"/>
      <x:c r="AC891" s="60"/>
      <x:c r="AD891" s="58"/>
      <x:c r="AE891" s="47"/>
      <x:c r="AF891" s="60"/>
      <x:c r="AG891" s="58"/>
      <x:c r="AH891" s="47"/>
      <x:c r="AI891" s="60"/>
      <x:c r="AJ891" s="58"/>
      <x:c r="AK891" s="47"/>
      <x:c r="AL891" s="60"/>
      <x:c r="AM891" s="58"/>
      <x:c r="AN891" s="47"/>
      <x:c r="AO891" s="60"/>
      <x:c r="AP891" s="58"/>
      <x:c r="AQ891" s="47"/>
      <x:c r="AR891" s="60"/>
      <x:c r="AS891" s="58"/>
      <x:c r="AT891" s="47"/>
      <x:c r="AU891" s="60"/>
      <x:c r="AV891" s="58"/>
      <x:c r="AW891" s="47"/>
      <x:c r="AX891" s="60"/>
      <x:c r="AY891" s="58"/>
      <x:c r="AZ891" s="47"/>
      <x:c r="BA891" s="60"/>
      <x:c r="BB891" s="58"/>
      <x:c r="BC891" s="47"/>
      <x:c r="BD891" s="60"/>
      <x:c r="BE891" s="58"/>
      <x:c r="BF891" s="47"/>
      <x:c r="BG891" s="60"/>
      <x:c r="BH891" s="58"/>
      <x:c r="BI891" s="47"/>
      <x:c r="BJ891" s="60"/>
      <x:c r="BK891" s="58"/>
      <x:c r="BL891" s="47"/>
      <x:c r="BM891" s="60"/>
      <x:c r="BN891" s="58"/>
      <x:c r="BO891" s="47"/>
      <x:c r="BP891" s="60"/>
      <x:c r="BQ891" s="58"/>
      <x:c r="BR891" s="47"/>
      <x:c r="BS891" s="60"/>
      <x:c r="BT891" s="58"/>
      <x:c r="BU891" s="47"/>
      <x:c r="BV891" s="60"/>
      <x:c r="BW891" s="58"/>
      <x:c r="BX891" s="47"/>
      <x:c r="BY891" s="60"/>
      <x:c r="BZ891" s="58"/>
      <x:c r="CA891" s="47"/>
      <x:c r="CB891" s="60"/>
      <x:c r="CC891" s="58"/>
      <x:c r="CD891" s="47"/>
      <x:c r="CE891" s="60"/>
      <x:c r="CF891" s="58"/>
      <x:c r="CG891" s="47"/>
      <x:c r="CH891" s="60"/>
      <x:c r="CI891" s="58"/>
      <x:c r="CJ891" s="47"/>
      <x:c r="CK891" s="60"/>
      <x:c r="CL891" s="58"/>
      <x:c r="CM891" s="47"/>
      <x:c r="CN891" s="60"/>
      <x:c r="CO891" s="58"/>
      <x:c r="CP891" s="47"/>
      <x:c r="CQ891" s="60"/>
      <x:c r="CR891" s="58"/>
      <x:c r="CS891" s="47"/>
      <x:c r="CT891" s="60"/>
      <x:c r="CU891" s="58"/>
      <x:c r="CV891" s="47"/>
      <x:c r="CW891" s="60"/>
      <x:c r="CX891" s="58"/>
      <x:c r="CY891" s="47"/>
      <x:c r="CZ891" s="60"/>
      <x:c r="DA891" s="58"/>
      <x:c r="DB891" s="47"/>
      <x:c r="DC891" s="60"/>
      <x:c r="DD891" s="58"/>
      <x:c r="DE891" s="47"/>
      <x:c r="DF891" s="60"/>
      <x:c r="DG891" s="58"/>
      <x:c r="DH891" s="47"/>
      <x:c r="DI891" s="60"/>
      <x:c r="DJ891" s="58"/>
      <x:c r="DK891" s="47"/>
      <x:c r="DL891" s="60"/>
      <x:c r="DM891" s="58"/>
      <x:c r="DN891" s="11"/>
      <x:c r="DO891" s="61"/>
      <x:c r="DP891" s="62"/>
      <x:c r="DQ891" s="11"/>
      <x:c r="DR891" s="61"/>
      <x:c r="DS891" s="62"/>
      <x:c r="DT891" s="11"/>
      <x:c r="DU891" s="61"/>
      <x:c r="DV891" s="62"/>
    </x:row>
    <x:row r="892" spans="1:126" x14ac:dyDescent="0.3">
      <x:c r="A892" s="47"/>
      <x:c r="B892" s="70"/>
      <x:c r="C892" s="70"/>
      <x:c r="D892" s="70"/>
      <x:c r="E892" s="70"/>
      <x:c r="F892" s="70"/>
      <x:c r="G892" s="70"/>
      <x:c r="H892" s="70"/>
      <x:c r="I892" s="70"/>
      <x:c r="J892" s="70"/>
      <x:c r="K892" s="190"/>
      <x:c r="L892" s="195"/>
      <x:c r="M892" s="192"/>
      <x:c r="N892" s="192"/>
      <x:c r="O892" s="69"/>
      <x:c r="P892" s="47"/>
      <x:c r="Q892" s="60"/>
      <x:c r="R892" s="58"/>
      <x:c r="S892" s="47"/>
      <x:c r="T892" s="60"/>
      <x:c r="U892" s="58"/>
      <x:c r="V892" s="47"/>
      <x:c r="W892" s="60"/>
      <x:c r="X892" s="58"/>
      <x:c r="Y892" s="47"/>
      <x:c r="Z892" s="60"/>
      <x:c r="AA892" s="58"/>
      <x:c r="AB892" s="47"/>
      <x:c r="AC892" s="60"/>
      <x:c r="AD892" s="58"/>
      <x:c r="AE892" s="47"/>
      <x:c r="AF892" s="60"/>
      <x:c r="AG892" s="58"/>
      <x:c r="AH892" s="47"/>
      <x:c r="AI892" s="60"/>
      <x:c r="AJ892" s="58"/>
      <x:c r="AK892" s="47"/>
      <x:c r="AL892" s="60"/>
      <x:c r="AM892" s="58"/>
      <x:c r="AN892" s="47"/>
      <x:c r="AO892" s="60"/>
      <x:c r="AP892" s="58"/>
      <x:c r="AQ892" s="47"/>
      <x:c r="AR892" s="60"/>
      <x:c r="AS892" s="58"/>
      <x:c r="AT892" s="47"/>
      <x:c r="AU892" s="60"/>
      <x:c r="AV892" s="58"/>
      <x:c r="AW892" s="47"/>
      <x:c r="AX892" s="60"/>
      <x:c r="AY892" s="58"/>
      <x:c r="AZ892" s="47"/>
      <x:c r="BA892" s="60"/>
      <x:c r="BB892" s="58"/>
      <x:c r="BC892" s="47"/>
      <x:c r="BD892" s="60"/>
      <x:c r="BE892" s="58"/>
      <x:c r="BF892" s="47"/>
      <x:c r="BG892" s="60"/>
      <x:c r="BH892" s="58"/>
      <x:c r="BI892" s="47"/>
      <x:c r="BJ892" s="60"/>
      <x:c r="BK892" s="58"/>
      <x:c r="BL892" s="47"/>
      <x:c r="BM892" s="60"/>
      <x:c r="BN892" s="58"/>
      <x:c r="BO892" s="47"/>
      <x:c r="BP892" s="60"/>
      <x:c r="BQ892" s="58"/>
      <x:c r="BR892" s="47"/>
      <x:c r="BS892" s="60"/>
      <x:c r="BT892" s="58"/>
      <x:c r="BU892" s="47"/>
      <x:c r="BV892" s="60"/>
      <x:c r="BW892" s="58"/>
      <x:c r="BX892" s="47"/>
      <x:c r="BY892" s="60"/>
      <x:c r="BZ892" s="58"/>
      <x:c r="CA892" s="47"/>
      <x:c r="CB892" s="60"/>
      <x:c r="CC892" s="58"/>
      <x:c r="CD892" s="47"/>
      <x:c r="CE892" s="60"/>
      <x:c r="CF892" s="58"/>
      <x:c r="CG892" s="47"/>
      <x:c r="CH892" s="60"/>
      <x:c r="CI892" s="58"/>
      <x:c r="CJ892" s="47"/>
      <x:c r="CK892" s="60"/>
      <x:c r="CL892" s="58"/>
      <x:c r="CM892" s="47"/>
      <x:c r="CN892" s="60"/>
      <x:c r="CO892" s="58"/>
      <x:c r="CP892" s="47"/>
      <x:c r="CQ892" s="60"/>
      <x:c r="CR892" s="58"/>
      <x:c r="CS892" s="47"/>
      <x:c r="CT892" s="60"/>
      <x:c r="CU892" s="58"/>
      <x:c r="CV892" s="47"/>
      <x:c r="CW892" s="60"/>
      <x:c r="CX892" s="58"/>
      <x:c r="CY892" s="47"/>
      <x:c r="CZ892" s="60"/>
      <x:c r="DA892" s="58"/>
      <x:c r="DB892" s="47"/>
      <x:c r="DC892" s="60"/>
      <x:c r="DD892" s="58"/>
      <x:c r="DE892" s="47"/>
      <x:c r="DF892" s="60"/>
      <x:c r="DG892" s="58"/>
      <x:c r="DH892" s="47"/>
      <x:c r="DI892" s="60"/>
      <x:c r="DJ892" s="58"/>
      <x:c r="DK892" s="47"/>
      <x:c r="DL892" s="60"/>
      <x:c r="DM892" s="58"/>
      <x:c r="DN892" s="11"/>
      <x:c r="DO892" s="61"/>
      <x:c r="DP892" s="62"/>
      <x:c r="DQ892" s="11"/>
      <x:c r="DR892" s="61"/>
      <x:c r="DS892" s="62"/>
      <x:c r="DT892" s="11"/>
      <x:c r="DU892" s="61"/>
      <x:c r="DV892" s="62"/>
    </x:row>
    <x:row r="893" spans="1:126" x14ac:dyDescent="0.3">
      <x:c r="A893" s="47"/>
      <x:c r="B893" s="70"/>
      <x:c r="C893" s="70"/>
      <x:c r="D893" s="70"/>
      <x:c r="E893" s="70"/>
      <x:c r="F893" s="70"/>
      <x:c r="G893" s="70"/>
      <x:c r="H893" s="70"/>
      <x:c r="I893" s="70"/>
      <x:c r="J893" s="70"/>
      <x:c r="K893" s="190"/>
      <x:c r="L893" s="195"/>
      <x:c r="M893" s="192"/>
      <x:c r="N893" s="192"/>
      <x:c r="O893" s="69"/>
      <x:c r="P893" s="47"/>
      <x:c r="Q893" s="60"/>
      <x:c r="R893" s="58"/>
      <x:c r="S893" s="47"/>
      <x:c r="T893" s="60"/>
      <x:c r="U893" s="58"/>
      <x:c r="V893" s="47"/>
      <x:c r="W893" s="60"/>
      <x:c r="X893" s="58"/>
      <x:c r="Y893" s="47"/>
      <x:c r="Z893" s="60"/>
      <x:c r="AA893" s="58"/>
      <x:c r="AB893" s="47"/>
      <x:c r="AC893" s="60"/>
      <x:c r="AD893" s="58"/>
      <x:c r="AE893" s="47"/>
      <x:c r="AF893" s="60"/>
      <x:c r="AG893" s="58"/>
      <x:c r="AH893" s="47"/>
      <x:c r="AI893" s="60"/>
      <x:c r="AJ893" s="58"/>
      <x:c r="AK893" s="47"/>
      <x:c r="AL893" s="60"/>
      <x:c r="AM893" s="58"/>
      <x:c r="AN893" s="47"/>
      <x:c r="AO893" s="60"/>
      <x:c r="AP893" s="58"/>
      <x:c r="AQ893" s="47"/>
      <x:c r="AR893" s="60"/>
      <x:c r="AS893" s="58"/>
      <x:c r="AT893" s="47"/>
      <x:c r="AU893" s="60"/>
      <x:c r="AV893" s="58"/>
      <x:c r="AW893" s="47"/>
      <x:c r="AX893" s="60"/>
      <x:c r="AY893" s="58"/>
      <x:c r="AZ893" s="47"/>
      <x:c r="BA893" s="60"/>
      <x:c r="BB893" s="58"/>
      <x:c r="BC893" s="47"/>
      <x:c r="BD893" s="60"/>
      <x:c r="BE893" s="58"/>
      <x:c r="BF893" s="47"/>
      <x:c r="BG893" s="60"/>
      <x:c r="BH893" s="58"/>
      <x:c r="BI893" s="47"/>
      <x:c r="BJ893" s="60"/>
      <x:c r="BK893" s="58"/>
      <x:c r="BL893" s="47"/>
      <x:c r="BM893" s="60"/>
      <x:c r="BN893" s="58"/>
      <x:c r="BO893" s="47"/>
      <x:c r="BP893" s="60"/>
      <x:c r="BQ893" s="58"/>
      <x:c r="BR893" s="47"/>
      <x:c r="BS893" s="60"/>
      <x:c r="BT893" s="58"/>
      <x:c r="BU893" s="47"/>
      <x:c r="BV893" s="60"/>
      <x:c r="BW893" s="58"/>
      <x:c r="BX893" s="47"/>
      <x:c r="BY893" s="60"/>
      <x:c r="BZ893" s="58"/>
      <x:c r="CA893" s="47"/>
      <x:c r="CB893" s="60"/>
      <x:c r="CC893" s="58"/>
      <x:c r="CD893" s="47"/>
      <x:c r="CE893" s="60"/>
      <x:c r="CF893" s="58"/>
      <x:c r="CG893" s="47"/>
      <x:c r="CH893" s="60"/>
      <x:c r="CI893" s="58"/>
      <x:c r="CJ893" s="47"/>
      <x:c r="CK893" s="60"/>
      <x:c r="CL893" s="58"/>
      <x:c r="CM893" s="47"/>
      <x:c r="CN893" s="60"/>
      <x:c r="CO893" s="58"/>
      <x:c r="CP893" s="47"/>
      <x:c r="CQ893" s="60"/>
      <x:c r="CR893" s="58"/>
      <x:c r="CS893" s="47"/>
      <x:c r="CT893" s="60"/>
      <x:c r="CU893" s="58"/>
      <x:c r="CV893" s="47"/>
      <x:c r="CW893" s="60"/>
      <x:c r="CX893" s="58"/>
      <x:c r="CY893" s="47"/>
      <x:c r="CZ893" s="60"/>
      <x:c r="DA893" s="58"/>
      <x:c r="DB893" s="47"/>
      <x:c r="DC893" s="60"/>
      <x:c r="DD893" s="58"/>
      <x:c r="DE893" s="47"/>
      <x:c r="DF893" s="60"/>
      <x:c r="DG893" s="58"/>
      <x:c r="DH893" s="47"/>
      <x:c r="DI893" s="60"/>
      <x:c r="DJ893" s="58"/>
      <x:c r="DK893" s="47"/>
      <x:c r="DL893" s="60"/>
      <x:c r="DM893" s="58"/>
      <x:c r="DN893" s="11"/>
      <x:c r="DO893" s="61"/>
      <x:c r="DP893" s="62"/>
      <x:c r="DQ893" s="11"/>
      <x:c r="DR893" s="61"/>
      <x:c r="DS893" s="62"/>
      <x:c r="DT893" s="11"/>
      <x:c r="DU893" s="61"/>
      <x:c r="DV893" s="62"/>
    </x:row>
    <x:row r="894" spans="1:126" x14ac:dyDescent="0.3">
      <x:c r="A894" s="47"/>
      <x:c r="B894" s="70"/>
      <x:c r="C894" s="70"/>
      <x:c r="D894" s="70"/>
      <x:c r="E894" s="70"/>
      <x:c r="F894" s="70"/>
      <x:c r="G894" s="70"/>
      <x:c r="H894" s="70"/>
      <x:c r="I894" s="70"/>
      <x:c r="J894" s="70"/>
      <x:c r="K894" s="190"/>
      <x:c r="L894" s="195"/>
      <x:c r="M894" s="192"/>
      <x:c r="N894" s="192"/>
      <x:c r="O894" s="69"/>
      <x:c r="P894" s="47"/>
      <x:c r="Q894" s="60"/>
      <x:c r="R894" s="58"/>
      <x:c r="S894" s="47"/>
      <x:c r="T894" s="60"/>
      <x:c r="U894" s="58"/>
      <x:c r="V894" s="47"/>
      <x:c r="W894" s="60"/>
      <x:c r="X894" s="58"/>
      <x:c r="Y894" s="47"/>
      <x:c r="Z894" s="60"/>
      <x:c r="AA894" s="58"/>
      <x:c r="AB894" s="47"/>
      <x:c r="AC894" s="60"/>
      <x:c r="AD894" s="58"/>
      <x:c r="AE894" s="47"/>
      <x:c r="AF894" s="60"/>
      <x:c r="AG894" s="58"/>
      <x:c r="AH894" s="47"/>
      <x:c r="AI894" s="60"/>
      <x:c r="AJ894" s="58"/>
      <x:c r="AK894" s="47"/>
      <x:c r="AL894" s="60"/>
      <x:c r="AM894" s="58"/>
      <x:c r="AN894" s="47"/>
      <x:c r="AO894" s="60"/>
      <x:c r="AP894" s="58"/>
      <x:c r="AQ894" s="47"/>
      <x:c r="AR894" s="60"/>
      <x:c r="AS894" s="58"/>
      <x:c r="AT894" s="47"/>
      <x:c r="AU894" s="60"/>
      <x:c r="AV894" s="58"/>
      <x:c r="AW894" s="47"/>
      <x:c r="AX894" s="60"/>
      <x:c r="AY894" s="58"/>
      <x:c r="AZ894" s="47"/>
      <x:c r="BA894" s="60"/>
      <x:c r="BB894" s="58"/>
      <x:c r="BC894" s="47"/>
      <x:c r="BD894" s="60"/>
      <x:c r="BE894" s="58"/>
      <x:c r="BF894" s="47"/>
      <x:c r="BG894" s="60"/>
      <x:c r="BH894" s="58"/>
      <x:c r="BI894" s="47"/>
      <x:c r="BJ894" s="60"/>
      <x:c r="BK894" s="58"/>
      <x:c r="BL894" s="47"/>
      <x:c r="BM894" s="60"/>
      <x:c r="BN894" s="58"/>
      <x:c r="BO894" s="47"/>
      <x:c r="BP894" s="60"/>
      <x:c r="BQ894" s="58"/>
      <x:c r="BR894" s="47"/>
      <x:c r="BS894" s="60"/>
      <x:c r="BT894" s="58"/>
      <x:c r="BU894" s="47"/>
      <x:c r="BV894" s="60"/>
      <x:c r="BW894" s="58"/>
      <x:c r="BX894" s="47"/>
      <x:c r="BY894" s="60"/>
      <x:c r="BZ894" s="58"/>
      <x:c r="CA894" s="47"/>
      <x:c r="CB894" s="60"/>
      <x:c r="CC894" s="58"/>
      <x:c r="CD894" s="47"/>
      <x:c r="CE894" s="60"/>
      <x:c r="CF894" s="58"/>
      <x:c r="CG894" s="47"/>
      <x:c r="CH894" s="60"/>
      <x:c r="CI894" s="58"/>
      <x:c r="CJ894" s="47"/>
      <x:c r="CK894" s="60"/>
      <x:c r="CL894" s="58"/>
      <x:c r="CM894" s="47"/>
      <x:c r="CN894" s="60"/>
      <x:c r="CO894" s="58"/>
      <x:c r="CP894" s="47"/>
      <x:c r="CQ894" s="60"/>
      <x:c r="CR894" s="58"/>
      <x:c r="CS894" s="47"/>
      <x:c r="CT894" s="60"/>
      <x:c r="CU894" s="58"/>
      <x:c r="CV894" s="47"/>
      <x:c r="CW894" s="60"/>
      <x:c r="CX894" s="58"/>
      <x:c r="CY894" s="47"/>
      <x:c r="CZ894" s="60"/>
      <x:c r="DA894" s="58"/>
      <x:c r="DB894" s="47"/>
      <x:c r="DC894" s="60"/>
      <x:c r="DD894" s="58"/>
      <x:c r="DE894" s="47"/>
      <x:c r="DF894" s="60"/>
      <x:c r="DG894" s="58"/>
      <x:c r="DH894" s="47"/>
      <x:c r="DI894" s="60"/>
      <x:c r="DJ894" s="58"/>
      <x:c r="DK894" s="47"/>
      <x:c r="DL894" s="60"/>
      <x:c r="DM894" s="58"/>
      <x:c r="DN894" s="11"/>
      <x:c r="DO894" s="61"/>
      <x:c r="DP894" s="62"/>
      <x:c r="DQ894" s="11"/>
      <x:c r="DR894" s="61"/>
      <x:c r="DS894" s="62"/>
      <x:c r="DT894" s="11"/>
      <x:c r="DU894" s="61"/>
      <x:c r="DV894" s="62"/>
    </x:row>
    <x:row r="895" spans="1:126" x14ac:dyDescent="0.3">
      <x:c r="A895" s="47"/>
      <x:c r="B895" s="70"/>
      <x:c r="C895" s="70"/>
      <x:c r="D895" s="70"/>
      <x:c r="E895" s="70"/>
      <x:c r="F895" s="70"/>
      <x:c r="G895" s="70"/>
      <x:c r="H895" s="70"/>
      <x:c r="I895" s="70"/>
      <x:c r="J895" s="70"/>
      <x:c r="K895" s="190"/>
      <x:c r="L895" s="195"/>
      <x:c r="M895" s="192"/>
      <x:c r="N895" s="192"/>
      <x:c r="O895" s="69"/>
      <x:c r="P895" s="47"/>
      <x:c r="Q895" s="60"/>
      <x:c r="R895" s="58"/>
      <x:c r="S895" s="47"/>
      <x:c r="T895" s="60"/>
      <x:c r="U895" s="58"/>
      <x:c r="V895" s="47"/>
      <x:c r="W895" s="60"/>
      <x:c r="X895" s="58"/>
      <x:c r="Y895" s="47"/>
      <x:c r="Z895" s="60"/>
      <x:c r="AA895" s="58"/>
      <x:c r="AB895" s="47"/>
      <x:c r="AC895" s="60"/>
      <x:c r="AD895" s="58"/>
      <x:c r="AE895" s="47"/>
      <x:c r="AF895" s="60"/>
      <x:c r="AG895" s="58"/>
      <x:c r="AH895" s="47"/>
      <x:c r="AI895" s="60"/>
      <x:c r="AJ895" s="58"/>
      <x:c r="AK895" s="47"/>
      <x:c r="AL895" s="60"/>
      <x:c r="AM895" s="58"/>
      <x:c r="AN895" s="47"/>
      <x:c r="AO895" s="60"/>
      <x:c r="AP895" s="58"/>
      <x:c r="AQ895" s="47"/>
      <x:c r="AR895" s="60"/>
      <x:c r="AS895" s="58"/>
      <x:c r="AT895" s="47"/>
      <x:c r="AU895" s="60"/>
      <x:c r="AV895" s="58"/>
      <x:c r="AW895" s="47"/>
      <x:c r="AX895" s="60"/>
      <x:c r="AY895" s="58"/>
      <x:c r="AZ895" s="47"/>
      <x:c r="BA895" s="60"/>
      <x:c r="BB895" s="58"/>
      <x:c r="BC895" s="47"/>
      <x:c r="BD895" s="60"/>
      <x:c r="BE895" s="58"/>
      <x:c r="BF895" s="47"/>
      <x:c r="BG895" s="60"/>
      <x:c r="BH895" s="58"/>
      <x:c r="BI895" s="47"/>
      <x:c r="BJ895" s="60"/>
      <x:c r="BK895" s="58"/>
      <x:c r="BL895" s="47"/>
      <x:c r="BM895" s="60"/>
      <x:c r="BN895" s="58"/>
      <x:c r="BO895" s="47"/>
      <x:c r="BP895" s="60"/>
      <x:c r="BQ895" s="58"/>
      <x:c r="BR895" s="47"/>
      <x:c r="BS895" s="60"/>
      <x:c r="BT895" s="58"/>
      <x:c r="BU895" s="47"/>
      <x:c r="BV895" s="60"/>
      <x:c r="BW895" s="58"/>
      <x:c r="BX895" s="47"/>
      <x:c r="BY895" s="60"/>
      <x:c r="BZ895" s="58"/>
      <x:c r="CA895" s="47"/>
      <x:c r="CB895" s="60"/>
      <x:c r="CC895" s="58"/>
      <x:c r="CD895" s="47"/>
      <x:c r="CE895" s="60"/>
      <x:c r="CF895" s="58"/>
      <x:c r="CG895" s="47"/>
      <x:c r="CH895" s="60"/>
      <x:c r="CI895" s="58"/>
      <x:c r="CJ895" s="47"/>
      <x:c r="CK895" s="60"/>
      <x:c r="CL895" s="58"/>
      <x:c r="CM895" s="47"/>
      <x:c r="CN895" s="60"/>
      <x:c r="CO895" s="58"/>
      <x:c r="CP895" s="47"/>
      <x:c r="CQ895" s="60"/>
      <x:c r="CR895" s="58"/>
      <x:c r="CS895" s="47"/>
      <x:c r="CT895" s="60"/>
      <x:c r="CU895" s="58"/>
      <x:c r="CV895" s="47"/>
      <x:c r="CW895" s="60"/>
      <x:c r="CX895" s="58"/>
      <x:c r="CY895" s="47"/>
      <x:c r="CZ895" s="60"/>
      <x:c r="DA895" s="58"/>
      <x:c r="DB895" s="47"/>
      <x:c r="DC895" s="60"/>
      <x:c r="DD895" s="58"/>
      <x:c r="DE895" s="47"/>
      <x:c r="DF895" s="60"/>
      <x:c r="DG895" s="58"/>
      <x:c r="DH895" s="47"/>
      <x:c r="DI895" s="60"/>
      <x:c r="DJ895" s="58"/>
      <x:c r="DK895" s="47"/>
      <x:c r="DL895" s="60"/>
      <x:c r="DM895" s="58"/>
      <x:c r="DN895" s="11"/>
      <x:c r="DO895" s="61"/>
      <x:c r="DP895" s="62"/>
      <x:c r="DQ895" s="11"/>
      <x:c r="DR895" s="61"/>
      <x:c r="DS895" s="62"/>
      <x:c r="DT895" s="11"/>
      <x:c r="DU895" s="61"/>
      <x:c r="DV895" s="62"/>
    </x:row>
    <x:row r="896" spans="1:126" x14ac:dyDescent="0.3">
      <x:c r="A896" s="47"/>
      <x:c r="B896" s="70"/>
      <x:c r="C896" s="70"/>
      <x:c r="D896" s="70"/>
      <x:c r="E896" s="70"/>
      <x:c r="F896" s="70"/>
      <x:c r="G896" s="70"/>
      <x:c r="H896" s="70"/>
      <x:c r="I896" s="70"/>
      <x:c r="J896" s="70"/>
      <x:c r="K896" s="190"/>
      <x:c r="L896" s="195"/>
      <x:c r="M896" s="192"/>
      <x:c r="N896" s="192"/>
      <x:c r="O896" s="69"/>
      <x:c r="P896" s="47"/>
      <x:c r="Q896" s="60"/>
      <x:c r="R896" s="58"/>
      <x:c r="S896" s="47"/>
      <x:c r="T896" s="60"/>
      <x:c r="U896" s="58"/>
      <x:c r="V896" s="47"/>
      <x:c r="W896" s="60"/>
      <x:c r="X896" s="58"/>
      <x:c r="Y896" s="47"/>
      <x:c r="Z896" s="60"/>
      <x:c r="AA896" s="58"/>
      <x:c r="AB896" s="47"/>
      <x:c r="AC896" s="60"/>
      <x:c r="AD896" s="58"/>
      <x:c r="AE896" s="47"/>
      <x:c r="AF896" s="60"/>
      <x:c r="AG896" s="58"/>
      <x:c r="AH896" s="47"/>
      <x:c r="AI896" s="60"/>
      <x:c r="AJ896" s="58"/>
      <x:c r="AK896" s="47"/>
      <x:c r="AL896" s="60"/>
      <x:c r="AM896" s="58"/>
      <x:c r="AN896" s="47"/>
      <x:c r="AO896" s="60"/>
      <x:c r="AP896" s="58"/>
      <x:c r="AQ896" s="47"/>
      <x:c r="AR896" s="60"/>
      <x:c r="AS896" s="58"/>
      <x:c r="AT896" s="47"/>
      <x:c r="AU896" s="60"/>
      <x:c r="AV896" s="58"/>
      <x:c r="AW896" s="47"/>
      <x:c r="AX896" s="60"/>
      <x:c r="AY896" s="58"/>
      <x:c r="AZ896" s="47"/>
      <x:c r="BA896" s="60"/>
      <x:c r="BB896" s="58"/>
      <x:c r="BC896" s="47"/>
      <x:c r="BD896" s="60"/>
      <x:c r="BE896" s="58"/>
      <x:c r="BF896" s="47"/>
      <x:c r="BG896" s="60"/>
      <x:c r="BH896" s="58"/>
      <x:c r="BI896" s="47"/>
      <x:c r="BJ896" s="60"/>
      <x:c r="BK896" s="58"/>
      <x:c r="BL896" s="47"/>
      <x:c r="BM896" s="60"/>
      <x:c r="BN896" s="58"/>
      <x:c r="BO896" s="47"/>
      <x:c r="BP896" s="60"/>
      <x:c r="BQ896" s="58"/>
      <x:c r="BR896" s="47"/>
      <x:c r="BS896" s="60"/>
      <x:c r="BT896" s="58"/>
      <x:c r="BU896" s="47"/>
      <x:c r="BV896" s="60"/>
      <x:c r="BW896" s="58"/>
      <x:c r="BX896" s="47"/>
      <x:c r="BY896" s="60"/>
      <x:c r="BZ896" s="58"/>
      <x:c r="CA896" s="47"/>
      <x:c r="CB896" s="60"/>
      <x:c r="CC896" s="58"/>
      <x:c r="CD896" s="47"/>
      <x:c r="CE896" s="60"/>
      <x:c r="CF896" s="58"/>
      <x:c r="CG896" s="47"/>
      <x:c r="CH896" s="60"/>
      <x:c r="CI896" s="58"/>
      <x:c r="CJ896" s="47"/>
      <x:c r="CK896" s="60"/>
      <x:c r="CL896" s="58"/>
      <x:c r="CM896" s="47"/>
      <x:c r="CN896" s="60"/>
      <x:c r="CO896" s="58"/>
      <x:c r="CP896" s="47"/>
      <x:c r="CQ896" s="60"/>
      <x:c r="CR896" s="58"/>
      <x:c r="CS896" s="47"/>
      <x:c r="CT896" s="60"/>
      <x:c r="CU896" s="58"/>
      <x:c r="CV896" s="47"/>
      <x:c r="CW896" s="60"/>
      <x:c r="CX896" s="58"/>
      <x:c r="CY896" s="47"/>
      <x:c r="CZ896" s="60"/>
      <x:c r="DA896" s="58"/>
      <x:c r="DB896" s="47"/>
      <x:c r="DC896" s="60"/>
      <x:c r="DD896" s="58"/>
      <x:c r="DE896" s="47"/>
      <x:c r="DF896" s="60"/>
      <x:c r="DG896" s="58"/>
      <x:c r="DH896" s="47"/>
      <x:c r="DI896" s="60"/>
      <x:c r="DJ896" s="58"/>
      <x:c r="DK896" s="47"/>
      <x:c r="DL896" s="60"/>
      <x:c r="DM896" s="58"/>
      <x:c r="DN896" s="11"/>
      <x:c r="DO896" s="61"/>
      <x:c r="DP896" s="62"/>
      <x:c r="DQ896" s="11"/>
      <x:c r="DR896" s="61"/>
      <x:c r="DS896" s="62"/>
      <x:c r="DT896" s="11"/>
      <x:c r="DU896" s="61"/>
      <x:c r="DV896" s="62"/>
    </x:row>
    <x:row r="897" spans="1:126" x14ac:dyDescent="0.3">
      <x:c r="A897" s="47"/>
      <x:c r="B897" s="70"/>
      <x:c r="C897" s="70"/>
      <x:c r="D897" s="70"/>
      <x:c r="E897" s="70"/>
      <x:c r="F897" s="70"/>
      <x:c r="G897" s="70"/>
      <x:c r="H897" s="70"/>
      <x:c r="I897" s="70"/>
      <x:c r="J897" s="70"/>
      <x:c r="K897" s="190"/>
      <x:c r="L897" s="195"/>
      <x:c r="M897" s="192"/>
      <x:c r="N897" s="192"/>
      <x:c r="O897" s="69"/>
      <x:c r="P897" s="47"/>
      <x:c r="Q897" s="60"/>
      <x:c r="R897" s="58"/>
      <x:c r="S897" s="47"/>
      <x:c r="T897" s="60"/>
      <x:c r="U897" s="58"/>
      <x:c r="V897" s="47"/>
      <x:c r="W897" s="60"/>
      <x:c r="X897" s="58"/>
      <x:c r="Y897" s="47"/>
      <x:c r="Z897" s="60"/>
      <x:c r="AA897" s="58"/>
      <x:c r="AB897" s="47"/>
      <x:c r="AC897" s="60"/>
      <x:c r="AD897" s="58"/>
      <x:c r="AE897" s="47"/>
      <x:c r="AF897" s="60"/>
      <x:c r="AG897" s="58"/>
      <x:c r="AH897" s="47"/>
      <x:c r="AI897" s="60"/>
      <x:c r="AJ897" s="58"/>
      <x:c r="AK897" s="47"/>
      <x:c r="AL897" s="60"/>
      <x:c r="AM897" s="58"/>
      <x:c r="AN897" s="47"/>
      <x:c r="AO897" s="60"/>
      <x:c r="AP897" s="58"/>
      <x:c r="AQ897" s="47"/>
      <x:c r="AR897" s="60"/>
      <x:c r="AS897" s="58"/>
      <x:c r="AT897" s="47"/>
      <x:c r="AU897" s="60"/>
      <x:c r="AV897" s="58"/>
      <x:c r="AW897" s="47"/>
      <x:c r="AX897" s="60"/>
      <x:c r="AY897" s="58"/>
      <x:c r="AZ897" s="47"/>
      <x:c r="BA897" s="60"/>
      <x:c r="BB897" s="58"/>
      <x:c r="BC897" s="47"/>
      <x:c r="BD897" s="60"/>
      <x:c r="BE897" s="58"/>
      <x:c r="BF897" s="47"/>
      <x:c r="BG897" s="60"/>
      <x:c r="BH897" s="58"/>
      <x:c r="BI897" s="47"/>
      <x:c r="BJ897" s="60"/>
      <x:c r="BK897" s="58"/>
      <x:c r="BL897" s="47"/>
      <x:c r="BM897" s="60"/>
      <x:c r="BN897" s="58"/>
      <x:c r="BO897" s="47"/>
      <x:c r="BP897" s="60"/>
      <x:c r="BQ897" s="58"/>
      <x:c r="BR897" s="47"/>
      <x:c r="BS897" s="60"/>
      <x:c r="BT897" s="58"/>
      <x:c r="BU897" s="47"/>
      <x:c r="BV897" s="60"/>
      <x:c r="BW897" s="58"/>
      <x:c r="BX897" s="47"/>
      <x:c r="BY897" s="60"/>
      <x:c r="BZ897" s="58"/>
      <x:c r="CA897" s="47"/>
      <x:c r="CB897" s="60"/>
      <x:c r="CC897" s="58"/>
      <x:c r="CD897" s="47"/>
      <x:c r="CE897" s="60"/>
      <x:c r="CF897" s="58"/>
      <x:c r="CG897" s="47"/>
      <x:c r="CH897" s="60"/>
      <x:c r="CI897" s="58"/>
      <x:c r="CJ897" s="47"/>
      <x:c r="CK897" s="60"/>
      <x:c r="CL897" s="58"/>
      <x:c r="CM897" s="47"/>
      <x:c r="CN897" s="60"/>
      <x:c r="CO897" s="58"/>
      <x:c r="CP897" s="47"/>
      <x:c r="CQ897" s="60"/>
      <x:c r="CR897" s="58"/>
      <x:c r="CS897" s="47"/>
      <x:c r="CT897" s="60"/>
      <x:c r="CU897" s="58"/>
      <x:c r="CV897" s="47"/>
      <x:c r="CW897" s="60"/>
      <x:c r="CX897" s="58"/>
      <x:c r="CY897" s="47"/>
      <x:c r="CZ897" s="60"/>
      <x:c r="DA897" s="58"/>
      <x:c r="DB897" s="47"/>
      <x:c r="DC897" s="60"/>
      <x:c r="DD897" s="58"/>
      <x:c r="DE897" s="47"/>
      <x:c r="DF897" s="60"/>
      <x:c r="DG897" s="58"/>
      <x:c r="DH897" s="47"/>
      <x:c r="DI897" s="60"/>
      <x:c r="DJ897" s="58"/>
      <x:c r="DK897" s="47"/>
      <x:c r="DL897" s="60"/>
      <x:c r="DM897" s="58"/>
      <x:c r="DN897" s="11"/>
      <x:c r="DO897" s="61"/>
      <x:c r="DP897" s="62"/>
      <x:c r="DQ897" s="11"/>
      <x:c r="DR897" s="61"/>
      <x:c r="DS897" s="62"/>
      <x:c r="DT897" s="11"/>
      <x:c r="DU897" s="61"/>
      <x:c r="DV897" s="62"/>
    </x:row>
    <x:row r="898" spans="1:126" x14ac:dyDescent="0.3">
      <x:c r="A898" s="47"/>
      <x:c r="B898" s="70"/>
      <x:c r="C898" s="70"/>
      <x:c r="D898" s="70"/>
      <x:c r="E898" s="70"/>
      <x:c r="F898" s="70"/>
      <x:c r="G898" s="70"/>
      <x:c r="H898" s="70"/>
      <x:c r="I898" s="70"/>
      <x:c r="J898" s="70"/>
      <x:c r="K898" s="190"/>
      <x:c r="L898" s="195"/>
      <x:c r="M898" s="192"/>
      <x:c r="N898" s="192"/>
      <x:c r="O898" s="69"/>
      <x:c r="P898" s="47"/>
      <x:c r="Q898" s="60"/>
      <x:c r="R898" s="58"/>
      <x:c r="S898" s="47"/>
      <x:c r="T898" s="60"/>
      <x:c r="U898" s="58"/>
      <x:c r="V898" s="47"/>
      <x:c r="W898" s="60"/>
      <x:c r="X898" s="58"/>
      <x:c r="Y898" s="47"/>
      <x:c r="Z898" s="60"/>
      <x:c r="AA898" s="58"/>
      <x:c r="AB898" s="47"/>
      <x:c r="AC898" s="60"/>
      <x:c r="AD898" s="58"/>
      <x:c r="AE898" s="47"/>
      <x:c r="AF898" s="60"/>
      <x:c r="AG898" s="58"/>
      <x:c r="AH898" s="47"/>
      <x:c r="AI898" s="60"/>
      <x:c r="AJ898" s="58"/>
      <x:c r="AK898" s="47"/>
      <x:c r="AL898" s="60"/>
      <x:c r="AM898" s="58"/>
      <x:c r="AN898" s="47"/>
      <x:c r="AO898" s="60"/>
      <x:c r="AP898" s="58"/>
      <x:c r="AQ898" s="47"/>
      <x:c r="AR898" s="60"/>
      <x:c r="AS898" s="58"/>
      <x:c r="AT898" s="47"/>
      <x:c r="AU898" s="60"/>
      <x:c r="AV898" s="58"/>
      <x:c r="AW898" s="47"/>
      <x:c r="AX898" s="60"/>
      <x:c r="AY898" s="58"/>
      <x:c r="AZ898" s="47"/>
      <x:c r="BA898" s="60"/>
      <x:c r="BB898" s="58"/>
      <x:c r="BC898" s="47"/>
      <x:c r="BD898" s="60"/>
      <x:c r="BE898" s="58"/>
      <x:c r="BF898" s="47"/>
      <x:c r="BG898" s="60"/>
      <x:c r="BH898" s="58"/>
      <x:c r="BI898" s="47"/>
      <x:c r="BJ898" s="60"/>
      <x:c r="BK898" s="58"/>
      <x:c r="BL898" s="47"/>
      <x:c r="BM898" s="60"/>
      <x:c r="BN898" s="58"/>
      <x:c r="BO898" s="47"/>
      <x:c r="BP898" s="60"/>
      <x:c r="BQ898" s="58"/>
      <x:c r="BR898" s="47"/>
      <x:c r="BS898" s="60"/>
      <x:c r="BT898" s="58"/>
      <x:c r="BU898" s="47"/>
      <x:c r="BV898" s="60"/>
      <x:c r="BW898" s="58"/>
      <x:c r="BX898" s="47"/>
      <x:c r="BY898" s="60"/>
      <x:c r="BZ898" s="58"/>
      <x:c r="CA898" s="47"/>
      <x:c r="CB898" s="60"/>
      <x:c r="CC898" s="58"/>
      <x:c r="CD898" s="47"/>
      <x:c r="CE898" s="60"/>
      <x:c r="CF898" s="58"/>
      <x:c r="CG898" s="47"/>
      <x:c r="CH898" s="60"/>
      <x:c r="CI898" s="58"/>
      <x:c r="CJ898" s="47"/>
      <x:c r="CK898" s="60"/>
      <x:c r="CL898" s="58"/>
      <x:c r="CM898" s="47"/>
      <x:c r="CN898" s="60"/>
      <x:c r="CO898" s="58"/>
      <x:c r="CP898" s="47"/>
      <x:c r="CQ898" s="60"/>
      <x:c r="CR898" s="58"/>
      <x:c r="CS898" s="47"/>
      <x:c r="CT898" s="60"/>
      <x:c r="CU898" s="58"/>
      <x:c r="CV898" s="47"/>
      <x:c r="CW898" s="60"/>
      <x:c r="CX898" s="58"/>
      <x:c r="CY898" s="47"/>
      <x:c r="CZ898" s="60"/>
      <x:c r="DA898" s="58"/>
      <x:c r="DB898" s="47"/>
      <x:c r="DC898" s="60"/>
      <x:c r="DD898" s="58"/>
      <x:c r="DE898" s="47"/>
      <x:c r="DF898" s="60"/>
      <x:c r="DG898" s="58"/>
      <x:c r="DH898" s="47"/>
      <x:c r="DI898" s="60"/>
      <x:c r="DJ898" s="58"/>
      <x:c r="DK898" s="47"/>
      <x:c r="DL898" s="60"/>
      <x:c r="DM898" s="58"/>
      <x:c r="DN898" s="11"/>
      <x:c r="DO898" s="61"/>
      <x:c r="DP898" s="62"/>
      <x:c r="DQ898" s="11"/>
      <x:c r="DR898" s="61"/>
      <x:c r="DS898" s="62"/>
      <x:c r="DT898" s="11"/>
      <x:c r="DU898" s="61"/>
      <x:c r="DV898" s="62"/>
    </x:row>
    <x:row r="899" spans="1:126" x14ac:dyDescent="0.3">
      <x:c r="A899" s="47"/>
      <x:c r="B899" s="70"/>
      <x:c r="C899" s="70"/>
      <x:c r="D899" s="70"/>
      <x:c r="E899" s="70"/>
      <x:c r="F899" s="70"/>
      <x:c r="G899" s="70"/>
      <x:c r="H899" s="70"/>
      <x:c r="I899" s="70"/>
      <x:c r="J899" s="70"/>
      <x:c r="K899" s="190"/>
      <x:c r="L899" s="195"/>
      <x:c r="M899" s="192"/>
      <x:c r="N899" s="192"/>
      <x:c r="O899" s="69"/>
      <x:c r="P899" s="47"/>
      <x:c r="Q899" s="60"/>
      <x:c r="R899" s="58"/>
      <x:c r="S899" s="47"/>
      <x:c r="T899" s="60"/>
      <x:c r="U899" s="58"/>
      <x:c r="V899" s="47"/>
      <x:c r="W899" s="60"/>
      <x:c r="X899" s="58"/>
      <x:c r="Y899" s="47"/>
      <x:c r="Z899" s="60"/>
      <x:c r="AA899" s="58"/>
      <x:c r="AB899" s="47"/>
      <x:c r="AC899" s="60"/>
      <x:c r="AD899" s="58"/>
      <x:c r="AE899" s="47"/>
      <x:c r="AF899" s="60"/>
      <x:c r="AG899" s="58"/>
      <x:c r="AH899" s="47"/>
      <x:c r="AI899" s="60"/>
      <x:c r="AJ899" s="58"/>
      <x:c r="AK899" s="47"/>
      <x:c r="AL899" s="60"/>
      <x:c r="AM899" s="58"/>
      <x:c r="AN899" s="47"/>
      <x:c r="AO899" s="60"/>
      <x:c r="AP899" s="58"/>
      <x:c r="AQ899" s="47"/>
      <x:c r="AR899" s="60"/>
      <x:c r="AS899" s="58"/>
      <x:c r="AT899" s="47"/>
      <x:c r="AU899" s="60"/>
      <x:c r="AV899" s="58"/>
      <x:c r="AW899" s="47"/>
      <x:c r="AX899" s="60"/>
      <x:c r="AY899" s="58"/>
      <x:c r="AZ899" s="47"/>
      <x:c r="BA899" s="60"/>
      <x:c r="BB899" s="58"/>
      <x:c r="BC899" s="47"/>
      <x:c r="BD899" s="60"/>
      <x:c r="BE899" s="58"/>
      <x:c r="BF899" s="47"/>
      <x:c r="BG899" s="60"/>
      <x:c r="BH899" s="58"/>
      <x:c r="BI899" s="47"/>
      <x:c r="BJ899" s="60"/>
      <x:c r="BK899" s="58"/>
      <x:c r="BL899" s="47"/>
      <x:c r="BM899" s="60"/>
      <x:c r="BN899" s="58"/>
      <x:c r="BO899" s="47"/>
      <x:c r="BP899" s="60"/>
      <x:c r="BQ899" s="58"/>
      <x:c r="BR899" s="47"/>
      <x:c r="BS899" s="60"/>
      <x:c r="BT899" s="58"/>
      <x:c r="BU899" s="47"/>
      <x:c r="BV899" s="60"/>
      <x:c r="BW899" s="58"/>
      <x:c r="BX899" s="47"/>
      <x:c r="BY899" s="60"/>
      <x:c r="BZ899" s="58"/>
      <x:c r="CA899" s="47"/>
      <x:c r="CB899" s="60"/>
      <x:c r="CC899" s="58"/>
      <x:c r="CD899" s="47"/>
      <x:c r="CE899" s="60"/>
      <x:c r="CF899" s="58"/>
      <x:c r="CG899" s="47"/>
      <x:c r="CH899" s="60"/>
      <x:c r="CI899" s="58"/>
      <x:c r="CJ899" s="47"/>
      <x:c r="CK899" s="60"/>
      <x:c r="CL899" s="58"/>
      <x:c r="CM899" s="47"/>
      <x:c r="CN899" s="60"/>
      <x:c r="CO899" s="58"/>
      <x:c r="CP899" s="47"/>
      <x:c r="CQ899" s="60"/>
      <x:c r="CR899" s="58"/>
      <x:c r="CS899" s="47"/>
      <x:c r="CT899" s="60"/>
      <x:c r="CU899" s="58"/>
      <x:c r="CV899" s="47"/>
      <x:c r="CW899" s="60"/>
      <x:c r="CX899" s="58"/>
      <x:c r="CY899" s="47"/>
      <x:c r="CZ899" s="60"/>
      <x:c r="DA899" s="58"/>
      <x:c r="DB899" s="47"/>
      <x:c r="DC899" s="60"/>
      <x:c r="DD899" s="58"/>
      <x:c r="DE899" s="47"/>
      <x:c r="DF899" s="60"/>
      <x:c r="DG899" s="58"/>
      <x:c r="DH899" s="47"/>
      <x:c r="DI899" s="60"/>
      <x:c r="DJ899" s="58"/>
      <x:c r="DK899" s="47"/>
      <x:c r="DL899" s="60"/>
      <x:c r="DM899" s="58"/>
      <x:c r="DN899" s="11"/>
      <x:c r="DO899" s="61"/>
      <x:c r="DP899" s="62"/>
      <x:c r="DQ899" s="11"/>
      <x:c r="DR899" s="61"/>
      <x:c r="DS899" s="62"/>
      <x:c r="DT899" s="11"/>
      <x:c r="DU899" s="61"/>
      <x:c r="DV899" s="62"/>
    </x:row>
    <x:row r="900" spans="1:126" x14ac:dyDescent="0.3">
      <x:c r="A900" s="47"/>
      <x:c r="B900" s="70"/>
      <x:c r="C900" s="70"/>
      <x:c r="D900" s="70"/>
      <x:c r="E900" s="70"/>
      <x:c r="F900" s="70"/>
      <x:c r="G900" s="70"/>
      <x:c r="H900" s="70"/>
      <x:c r="I900" s="70"/>
      <x:c r="J900" s="70"/>
      <x:c r="K900" s="190"/>
      <x:c r="L900" s="195"/>
      <x:c r="M900" s="192"/>
      <x:c r="N900" s="192"/>
      <x:c r="O900" s="69"/>
      <x:c r="P900" s="47"/>
      <x:c r="Q900" s="60"/>
      <x:c r="R900" s="58"/>
      <x:c r="S900" s="47"/>
      <x:c r="T900" s="60"/>
      <x:c r="U900" s="58"/>
      <x:c r="V900" s="47"/>
      <x:c r="W900" s="60"/>
      <x:c r="X900" s="58"/>
      <x:c r="Y900" s="47"/>
      <x:c r="Z900" s="60"/>
      <x:c r="AA900" s="58"/>
      <x:c r="AB900" s="47"/>
      <x:c r="AC900" s="60"/>
      <x:c r="AD900" s="58"/>
      <x:c r="AE900" s="47"/>
      <x:c r="AF900" s="60"/>
      <x:c r="AG900" s="58"/>
      <x:c r="AH900" s="47"/>
      <x:c r="AI900" s="60"/>
      <x:c r="AJ900" s="58"/>
      <x:c r="AK900" s="47"/>
      <x:c r="AL900" s="60"/>
      <x:c r="AM900" s="58"/>
      <x:c r="AN900" s="47"/>
      <x:c r="AO900" s="60"/>
      <x:c r="AP900" s="58"/>
      <x:c r="AQ900" s="47"/>
      <x:c r="AR900" s="60"/>
      <x:c r="AS900" s="58"/>
      <x:c r="AT900" s="47"/>
      <x:c r="AU900" s="60"/>
      <x:c r="AV900" s="58"/>
      <x:c r="AW900" s="47"/>
      <x:c r="AX900" s="60"/>
      <x:c r="AY900" s="58"/>
      <x:c r="AZ900" s="47"/>
      <x:c r="BA900" s="60"/>
      <x:c r="BB900" s="58"/>
      <x:c r="BC900" s="47"/>
      <x:c r="BD900" s="60"/>
      <x:c r="BE900" s="58"/>
      <x:c r="BF900" s="47"/>
      <x:c r="BG900" s="60"/>
      <x:c r="BH900" s="58"/>
      <x:c r="BI900" s="47"/>
      <x:c r="BJ900" s="60"/>
      <x:c r="BK900" s="58"/>
      <x:c r="BL900" s="47"/>
      <x:c r="BM900" s="60"/>
      <x:c r="BN900" s="58"/>
      <x:c r="BO900" s="47"/>
      <x:c r="BP900" s="60"/>
      <x:c r="BQ900" s="58"/>
      <x:c r="BR900" s="47"/>
      <x:c r="BS900" s="60"/>
      <x:c r="BT900" s="58"/>
      <x:c r="BU900" s="47"/>
      <x:c r="BV900" s="60"/>
      <x:c r="BW900" s="58"/>
      <x:c r="BX900" s="47"/>
      <x:c r="BY900" s="60"/>
      <x:c r="BZ900" s="58"/>
      <x:c r="CA900" s="47"/>
      <x:c r="CB900" s="60"/>
      <x:c r="CC900" s="58"/>
      <x:c r="CD900" s="47"/>
      <x:c r="CE900" s="60"/>
      <x:c r="CF900" s="58"/>
      <x:c r="CG900" s="47"/>
      <x:c r="CH900" s="60"/>
      <x:c r="CI900" s="58"/>
      <x:c r="CJ900" s="47"/>
      <x:c r="CK900" s="60"/>
      <x:c r="CL900" s="58"/>
      <x:c r="CM900" s="47"/>
      <x:c r="CN900" s="60"/>
      <x:c r="CO900" s="58"/>
      <x:c r="CP900" s="47"/>
      <x:c r="CQ900" s="60"/>
      <x:c r="CR900" s="58"/>
      <x:c r="CS900" s="47"/>
      <x:c r="CT900" s="60"/>
      <x:c r="CU900" s="58"/>
      <x:c r="CV900" s="47"/>
      <x:c r="CW900" s="60"/>
      <x:c r="CX900" s="58"/>
      <x:c r="CY900" s="47"/>
      <x:c r="CZ900" s="60"/>
      <x:c r="DA900" s="58"/>
      <x:c r="DB900" s="47"/>
      <x:c r="DC900" s="60"/>
      <x:c r="DD900" s="58"/>
      <x:c r="DE900" s="47"/>
      <x:c r="DF900" s="60"/>
      <x:c r="DG900" s="58"/>
      <x:c r="DH900" s="47"/>
      <x:c r="DI900" s="60"/>
      <x:c r="DJ900" s="58"/>
      <x:c r="DK900" s="47"/>
      <x:c r="DL900" s="60"/>
      <x:c r="DM900" s="58"/>
      <x:c r="DN900" s="11"/>
      <x:c r="DO900" s="61"/>
      <x:c r="DP900" s="62"/>
      <x:c r="DQ900" s="11"/>
      <x:c r="DR900" s="61"/>
      <x:c r="DS900" s="62"/>
      <x:c r="DT900" s="11"/>
      <x:c r="DU900" s="61"/>
      <x:c r="DV900" s="62"/>
    </x:row>
    <x:row r="901" spans="1:126" x14ac:dyDescent="0.3">
      <x:c r="A901" s="47"/>
      <x:c r="B901" s="70"/>
      <x:c r="C901" s="70"/>
      <x:c r="D901" s="70"/>
      <x:c r="E901" s="70"/>
      <x:c r="F901" s="70"/>
      <x:c r="G901" s="70"/>
      <x:c r="H901" s="70"/>
      <x:c r="I901" s="70"/>
      <x:c r="J901" s="70"/>
      <x:c r="K901" s="190"/>
      <x:c r="L901" s="195"/>
      <x:c r="M901" s="192"/>
      <x:c r="N901" s="192"/>
      <x:c r="O901" s="69"/>
      <x:c r="P901" s="47"/>
      <x:c r="Q901" s="60"/>
      <x:c r="R901" s="58"/>
      <x:c r="S901" s="47"/>
      <x:c r="T901" s="60"/>
      <x:c r="U901" s="58"/>
      <x:c r="V901" s="47"/>
      <x:c r="W901" s="60"/>
      <x:c r="X901" s="58"/>
      <x:c r="Y901" s="47"/>
      <x:c r="Z901" s="60"/>
      <x:c r="AA901" s="58"/>
      <x:c r="AB901" s="47"/>
      <x:c r="AC901" s="60"/>
      <x:c r="AD901" s="58"/>
      <x:c r="AE901" s="47"/>
      <x:c r="AF901" s="60"/>
      <x:c r="AG901" s="58"/>
      <x:c r="AH901" s="47"/>
      <x:c r="AI901" s="60"/>
      <x:c r="AJ901" s="58"/>
      <x:c r="AK901" s="47"/>
      <x:c r="AL901" s="60"/>
      <x:c r="AM901" s="58"/>
      <x:c r="AN901" s="47"/>
      <x:c r="AO901" s="60"/>
      <x:c r="AP901" s="58"/>
      <x:c r="AQ901" s="47"/>
      <x:c r="AR901" s="60"/>
      <x:c r="AS901" s="58"/>
      <x:c r="AT901" s="47"/>
      <x:c r="AU901" s="60"/>
      <x:c r="AV901" s="58"/>
      <x:c r="AW901" s="47"/>
      <x:c r="AX901" s="60"/>
      <x:c r="AY901" s="58"/>
      <x:c r="AZ901" s="47"/>
      <x:c r="BA901" s="60"/>
      <x:c r="BB901" s="58"/>
      <x:c r="BC901" s="47"/>
      <x:c r="BD901" s="60"/>
      <x:c r="BE901" s="58"/>
      <x:c r="BF901" s="47"/>
      <x:c r="BG901" s="60"/>
      <x:c r="BH901" s="58"/>
      <x:c r="BI901" s="47"/>
      <x:c r="BJ901" s="60"/>
      <x:c r="BK901" s="58"/>
      <x:c r="BL901" s="47"/>
      <x:c r="BM901" s="60"/>
      <x:c r="BN901" s="58"/>
      <x:c r="BO901" s="47"/>
      <x:c r="BP901" s="60"/>
      <x:c r="BQ901" s="58"/>
      <x:c r="BR901" s="47"/>
      <x:c r="BS901" s="60"/>
      <x:c r="BT901" s="58"/>
      <x:c r="BU901" s="47"/>
      <x:c r="BV901" s="60"/>
      <x:c r="BW901" s="58"/>
      <x:c r="BX901" s="47"/>
      <x:c r="BY901" s="60"/>
      <x:c r="BZ901" s="58"/>
      <x:c r="CA901" s="47"/>
      <x:c r="CB901" s="60"/>
      <x:c r="CC901" s="58"/>
      <x:c r="CD901" s="47"/>
      <x:c r="CE901" s="60"/>
      <x:c r="CF901" s="58"/>
      <x:c r="CG901" s="47"/>
      <x:c r="CH901" s="60"/>
      <x:c r="CI901" s="58"/>
      <x:c r="CJ901" s="47"/>
      <x:c r="CK901" s="60"/>
      <x:c r="CL901" s="58"/>
      <x:c r="CM901" s="47"/>
      <x:c r="CN901" s="60"/>
      <x:c r="CO901" s="58"/>
      <x:c r="CP901" s="47"/>
      <x:c r="CQ901" s="60"/>
      <x:c r="CR901" s="58"/>
      <x:c r="CS901" s="47"/>
      <x:c r="CT901" s="60"/>
      <x:c r="CU901" s="58"/>
      <x:c r="CV901" s="47"/>
      <x:c r="CW901" s="60"/>
      <x:c r="CX901" s="58"/>
      <x:c r="CY901" s="47"/>
      <x:c r="CZ901" s="60"/>
      <x:c r="DA901" s="58"/>
      <x:c r="DB901" s="47"/>
      <x:c r="DC901" s="60"/>
      <x:c r="DD901" s="58"/>
      <x:c r="DE901" s="47"/>
      <x:c r="DF901" s="60"/>
      <x:c r="DG901" s="58"/>
      <x:c r="DH901" s="47"/>
      <x:c r="DI901" s="60"/>
      <x:c r="DJ901" s="58"/>
      <x:c r="DK901" s="47"/>
      <x:c r="DL901" s="60"/>
      <x:c r="DM901" s="58"/>
      <x:c r="DN901" s="11"/>
      <x:c r="DO901" s="61"/>
      <x:c r="DP901" s="62"/>
      <x:c r="DQ901" s="11"/>
      <x:c r="DR901" s="61"/>
      <x:c r="DS901" s="62"/>
      <x:c r="DT901" s="11"/>
      <x:c r="DU901" s="61"/>
      <x:c r="DV901" s="62"/>
    </x:row>
    <x:row r="902" spans="1:126" x14ac:dyDescent="0.3">
      <x:c r="A902" s="47"/>
      <x:c r="B902" s="70"/>
      <x:c r="C902" s="70"/>
      <x:c r="D902" s="70"/>
      <x:c r="E902" s="70"/>
      <x:c r="F902" s="70"/>
      <x:c r="G902" s="70"/>
      <x:c r="H902" s="70"/>
      <x:c r="I902" s="70"/>
      <x:c r="J902" s="70"/>
      <x:c r="K902" s="190"/>
      <x:c r="L902" s="195"/>
      <x:c r="M902" s="192"/>
      <x:c r="N902" s="192"/>
      <x:c r="O902" s="69"/>
      <x:c r="P902" s="47"/>
      <x:c r="Q902" s="60"/>
      <x:c r="R902" s="58"/>
      <x:c r="S902" s="47"/>
      <x:c r="T902" s="60"/>
      <x:c r="U902" s="58"/>
      <x:c r="V902" s="47"/>
      <x:c r="W902" s="60"/>
      <x:c r="X902" s="58"/>
      <x:c r="Y902" s="47"/>
      <x:c r="Z902" s="60"/>
      <x:c r="AA902" s="58"/>
      <x:c r="AB902" s="47"/>
      <x:c r="AC902" s="60"/>
      <x:c r="AD902" s="58"/>
      <x:c r="AE902" s="47"/>
      <x:c r="AF902" s="60"/>
      <x:c r="AG902" s="58"/>
      <x:c r="AH902" s="47"/>
      <x:c r="AI902" s="60"/>
      <x:c r="AJ902" s="58"/>
      <x:c r="AK902" s="47"/>
      <x:c r="AL902" s="60"/>
      <x:c r="AM902" s="58"/>
      <x:c r="AN902" s="47"/>
      <x:c r="AO902" s="60"/>
      <x:c r="AP902" s="58"/>
      <x:c r="AQ902" s="47"/>
      <x:c r="AR902" s="60"/>
      <x:c r="AS902" s="58"/>
      <x:c r="AT902" s="47"/>
      <x:c r="AU902" s="60"/>
      <x:c r="AV902" s="58"/>
      <x:c r="AW902" s="47"/>
      <x:c r="AX902" s="60"/>
      <x:c r="AY902" s="58"/>
      <x:c r="AZ902" s="47"/>
      <x:c r="BA902" s="60"/>
      <x:c r="BB902" s="58"/>
      <x:c r="BC902" s="47"/>
      <x:c r="BD902" s="60"/>
      <x:c r="BE902" s="58"/>
      <x:c r="BF902" s="47"/>
      <x:c r="BG902" s="60"/>
      <x:c r="BH902" s="58"/>
      <x:c r="BI902" s="47"/>
      <x:c r="BJ902" s="60"/>
      <x:c r="BK902" s="58"/>
      <x:c r="BL902" s="47"/>
      <x:c r="BM902" s="60"/>
      <x:c r="BN902" s="58"/>
      <x:c r="BO902" s="47"/>
      <x:c r="BP902" s="60"/>
      <x:c r="BQ902" s="58"/>
      <x:c r="BR902" s="47"/>
      <x:c r="BS902" s="60"/>
      <x:c r="BT902" s="58"/>
      <x:c r="BU902" s="47"/>
      <x:c r="BV902" s="60"/>
      <x:c r="BW902" s="58"/>
      <x:c r="BX902" s="47"/>
      <x:c r="BY902" s="60"/>
      <x:c r="BZ902" s="58"/>
      <x:c r="CA902" s="47"/>
      <x:c r="CB902" s="60"/>
      <x:c r="CC902" s="58"/>
      <x:c r="CD902" s="47"/>
      <x:c r="CE902" s="60"/>
      <x:c r="CF902" s="58"/>
      <x:c r="CG902" s="47"/>
      <x:c r="CH902" s="60"/>
      <x:c r="CI902" s="58"/>
      <x:c r="CJ902" s="47"/>
      <x:c r="CK902" s="60"/>
      <x:c r="CL902" s="58"/>
      <x:c r="CM902" s="47"/>
      <x:c r="CN902" s="60"/>
      <x:c r="CO902" s="58"/>
      <x:c r="CP902" s="47"/>
      <x:c r="CQ902" s="60"/>
      <x:c r="CR902" s="58"/>
      <x:c r="CS902" s="47"/>
      <x:c r="CT902" s="60"/>
      <x:c r="CU902" s="58"/>
      <x:c r="CV902" s="47"/>
      <x:c r="CW902" s="60"/>
      <x:c r="CX902" s="58"/>
      <x:c r="CY902" s="47"/>
      <x:c r="CZ902" s="60"/>
      <x:c r="DA902" s="58"/>
      <x:c r="DB902" s="47"/>
      <x:c r="DC902" s="60"/>
      <x:c r="DD902" s="58"/>
      <x:c r="DE902" s="47"/>
      <x:c r="DF902" s="60"/>
      <x:c r="DG902" s="58"/>
      <x:c r="DH902" s="47"/>
      <x:c r="DI902" s="60"/>
      <x:c r="DJ902" s="58"/>
      <x:c r="DK902" s="47"/>
      <x:c r="DL902" s="60"/>
      <x:c r="DM902" s="58"/>
      <x:c r="DN902" s="11"/>
      <x:c r="DO902" s="61"/>
      <x:c r="DP902" s="62"/>
      <x:c r="DQ902" s="11"/>
      <x:c r="DR902" s="61"/>
      <x:c r="DS902" s="62"/>
      <x:c r="DT902" s="11"/>
      <x:c r="DU902" s="61"/>
      <x:c r="DV902" s="62"/>
    </x:row>
    <x:row r="903" spans="1:126" x14ac:dyDescent="0.3">
      <x:c r="A903" s="47"/>
      <x:c r="B903" s="70"/>
      <x:c r="C903" s="70"/>
      <x:c r="D903" s="70"/>
      <x:c r="E903" s="70"/>
      <x:c r="F903" s="70"/>
      <x:c r="G903" s="70"/>
      <x:c r="H903" s="70"/>
      <x:c r="I903" s="70"/>
      <x:c r="J903" s="70"/>
      <x:c r="K903" s="190"/>
      <x:c r="L903" s="195"/>
      <x:c r="M903" s="192"/>
      <x:c r="N903" s="192"/>
      <x:c r="O903" s="69"/>
      <x:c r="P903" s="47"/>
      <x:c r="Q903" s="60"/>
      <x:c r="R903" s="58"/>
      <x:c r="S903" s="47"/>
      <x:c r="T903" s="60"/>
      <x:c r="U903" s="58"/>
      <x:c r="V903" s="47"/>
      <x:c r="W903" s="60"/>
      <x:c r="X903" s="58"/>
      <x:c r="Y903" s="47"/>
      <x:c r="Z903" s="60"/>
      <x:c r="AA903" s="58"/>
      <x:c r="AB903" s="47"/>
      <x:c r="AC903" s="60"/>
      <x:c r="AD903" s="58"/>
      <x:c r="AE903" s="47"/>
      <x:c r="AF903" s="60"/>
      <x:c r="AG903" s="58"/>
      <x:c r="AH903" s="47"/>
      <x:c r="AI903" s="60"/>
      <x:c r="AJ903" s="58"/>
      <x:c r="AK903" s="47"/>
      <x:c r="AL903" s="60"/>
      <x:c r="AM903" s="58"/>
      <x:c r="AN903" s="47"/>
      <x:c r="AO903" s="60"/>
      <x:c r="AP903" s="58"/>
      <x:c r="AQ903" s="47"/>
      <x:c r="AR903" s="60"/>
      <x:c r="AS903" s="58"/>
      <x:c r="AT903" s="47"/>
      <x:c r="AU903" s="60"/>
      <x:c r="AV903" s="58"/>
      <x:c r="AW903" s="47"/>
      <x:c r="AX903" s="60"/>
      <x:c r="AY903" s="58"/>
      <x:c r="AZ903" s="47"/>
      <x:c r="BA903" s="60"/>
      <x:c r="BB903" s="58"/>
      <x:c r="BC903" s="47"/>
      <x:c r="BD903" s="60"/>
      <x:c r="BE903" s="58"/>
      <x:c r="BF903" s="47"/>
      <x:c r="BG903" s="60"/>
      <x:c r="BH903" s="58"/>
      <x:c r="BI903" s="47"/>
      <x:c r="BJ903" s="60"/>
      <x:c r="BK903" s="58"/>
      <x:c r="BL903" s="47"/>
      <x:c r="BM903" s="60"/>
      <x:c r="BN903" s="58"/>
      <x:c r="BO903" s="47"/>
      <x:c r="BP903" s="60"/>
      <x:c r="BQ903" s="58"/>
      <x:c r="BR903" s="47"/>
      <x:c r="BS903" s="60"/>
      <x:c r="BT903" s="58"/>
      <x:c r="BU903" s="47"/>
      <x:c r="BV903" s="60"/>
      <x:c r="BW903" s="58"/>
      <x:c r="BX903" s="47"/>
      <x:c r="BY903" s="60"/>
      <x:c r="BZ903" s="58"/>
      <x:c r="CA903" s="47"/>
      <x:c r="CB903" s="60"/>
      <x:c r="CC903" s="58"/>
      <x:c r="CD903" s="47"/>
      <x:c r="CE903" s="60"/>
      <x:c r="CF903" s="58"/>
      <x:c r="CG903" s="47"/>
      <x:c r="CH903" s="60"/>
      <x:c r="CI903" s="58"/>
      <x:c r="CJ903" s="47"/>
      <x:c r="CK903" s="60"/>
      <x:c r="CL903" s="58"/>
      <x:c r="CM903" s="47"/>
      <x:c r="CN903" s="60"/>
      <x:c r="CO903" s="58"/>
      <x:c r="CP903" s="47"/>
      <x:c r="CQ903" s="60"/>
      <x:c r="CR903" s="58"/>
      <x:c r="CS903" s="47"/>
      <x:c r="CT903" s="60"/>
      <x:c r="CU903" s="58"/>
      <x:c r="CV903" s="47"/>
      <x:c r="CW903" s="60"/>
      <x:c r="CX903" s="58"/>
      <x:c r="CY903" s="47"/>
      <x:c r="CZ903" s="60"/>
      <x:c r="DA903" s="58"/>
      <x:c r="DB903" s="47"/>
      <x:c r="DC903" s="60"/>
      <x:c r="DD903" s="58"/>
      <x:c r="DE903" s="47"/>
      <x:c r="DF903" s="60"/>
      <x:c r="DG903" s="58"/>
      <x:c r="DH903" s="47"/>
      <x:c r="DI903" s="60"/>
      <x:c r="DJ903" s="58"/>
      <x:c r="DK903" s="47"/>
      <x:c r="DL903" s="60"/>
      <x:c r="DM903" s="58"/>
      <x:c r="DN903" s="11"/>
      <x:c r="DO903" s="61"/>
      <x:c r="DP903" s="62"/>
      <x:c r="DQ903" s="11"/>
      <x:c r="DR903" s="61"/>
      <x:c r="DS903" s="62"/>
      <x:c r="DT903" s="11"/>
      <x:c r="DU903" s="61"/>
      <x:c r="DV903" s="62"/>
    </x:row>
    <x:row r="904" spans="1:126" x14ac:dyDescent="0.3">
      <x:c r="A904" s="47"/>
      <x:c r="B904" s="70"/>
      <x:c r="C904" s="70"/>
      <x:c r="D904" s="70"/>
      <x:c r="E904" s="70"/>
      <x:c r="F904" s="70"/>
      <x:c r="G904" s="70"/>
      <x:c r="H904" s="70"/>
      <x:c r="I904" s="70"/>
      <x:c r="J904" s="70"/>
      <x:c r="K904" s="190"/>
      <x:c r="L904" s="195"/>
      <x:c r="M904" s="192"/>
      <x:c r="N904" s="192"/>
      <x:c r="O904" s="69"/>
      <x:c r="P904" s="47"/>
      <x:c r="Q904" s="60"/>
      <x:c r="R904" s="58"/>
      <x:c r="S904" s="47"/>
      <x:c r="T904" s="60"/>
      <x:c r="U904" s="58"/>
      <x:c r="V904" s="47"/>
      <x:c r="W904" s="60"/>
      <x:c r="X904" s="58"/>
      <x:c r="Y904" s="47"/>
      <x:c r="Z904" s="60"/>
      <x:c r="AA904" s="58"/>
      <x:c r="AB904" s="47"/>
      <x:c r="AC904" s="60"/>
      <x:c r="AD904" s="58"/>
      <x:c r="AE904" s="47"/>
      <x:c r="AF904" s="60"/>
      <x:c r="AG904" s="58"/>
      <x:c r="AH904" s="47"/>
      <x:c r="AI904" s="60"/>
      <x:c r="AJ904" s="58"/>
      <x:c r="AK904" s="47"/>
      <x:c r="AL904" s="60"/>
      <x:c r="AM904" s="58"/>
      <x:c r="AN904" s="47"/>
      <x:c r="AO904" s="60"/>
      <x:c r="AP904" s="58"/>
      <x:c r="AQ904" s="47"/>
      <x:c r="AR904" s="60"/>
      <x:c r="AS904" s="58"/>
      <x:c r="AT904" s="47"/>
      <x:c r="AU904" s="60"/>
      <x:c r="AV904" s="58"/>
      <x:c r="AW904" s="47"/>
      <x:c r="AX904" s="60"/>
      <x:c r="AY904" s="58"/>
      <x:c r="AZ904" s="47"/>
      <x:c r="BA904" s="60"/>
      <x:c r="BB904" s="58"/>
      <x:c r="BC904" s="47"/>
      <x:c r="BD904" s="60"/>
      <x:c r="BE904" s="58"/>
      <x:c r="BF904" s="47"/>
      <x:c r="BG904" s="60"/>
      <x:c r="BH904" s="58"/>
      <x:c r="BI904" s="47"/>
      <x:c r="BJ904" s="60"/>
      <x:c r="BK904" s="58"/>
      <x:c r="BL904" s="47"/>
      <x:c r="BM904" s="60"/>
      <x:c r="BN904" s="58"/>
      <x:c r="BO904" s="47"/>
      <x:c r="BP904" s="60"/>
      <x:c r="BQ904" s="58"/>
      <x:c r="BR904" s="47"/>
      <x:c r="BS904" s="60"/>
      <x:c r="BT904" s="58"/>
      <x:c r="BU904" s="47"/>
      <x:c r="BV904" s="60"/>
      <x:c r="BW904" s="58"/>
      <x:c r="BX904" s="47"/>
      <x:c r="BY904" s="60"/>
      <x:c r="BZ904" s="58"/>
      <x:c r="CA904" s="47"/>
      <x:c r="CB904" s="60"/>
      <x:c r="CC904" s="58"/>
      <x:c r="CD904" s="47"/>
      <x:c r="CE904" s="60"/>
      <x:c r="CF904" s="58"/>
      <x:c r="CG904" s="47"/>
      <x:c r="CH904" s="60"/>
      <x:c r="CI904" s="58"/>
      <x:c r="CJ904" s="47"/>
      <x:c r="CK904" s="60"/>
      <x:c r="CL904" s="58"/>
      <x:c r="CM904" s="47"/>
      <x:c r="CN904" s="60"/>
      <x:c r="CO904" s="58"/>
      <x:c r="CP904" s="47"/>
      <x:c r="CQ904" s="60"/>
      <x:c r="CR904" s="58"/>
      <x:c r="CS904" s="47"/>
      <x:c r="CT904" s="60"/>
      <x:c r="CU904" s="58"/>
      <x:c r="CV904" s="47"/>
      <x:c r="CW904" s="60"/>
      <x:c r="CX904" s="58"/>
      <x:c r="CY904" s="47"/>
      <x:c r="CZ904" s="60"/>
      <x:c r="DA904" s="58"/>
      <x:c r="DB904" s="47"/>
      <x:c r="DC904" s="60"/>
      <x:c r="DD904" s="58"/>
      <x:c r="DE904" s="47"/>
      <x:c r="DF904" s="60"/>
      <x:c r="DG904" s="58"/>
      <x:c r="DH904" s="47"/>
      <x:c r="DI904" s="60"/>
      <x:c r="DJ904" s="58"/>
      <x:c r="DK904" s="47"/>
      <x:c r="DL904" s="60"/>
      <x:c r="DM904" s="58"/>
      <x:c r="DN904" s="11"/>
      <x:c r="DO904" s="61"/>
      <x:c r="DP904" s="62"/>
      <x:c r="DQ904" s="11"/>
      <x:c r="DR904" s="61"/>
      <x:c r="DS904" s="62"/>
      <x:c r="DT904" s="11"/>
      <x:c r="DU904" s="61"/>
      <x:c r="DV904" s="62"/>
    </x:row>
    <x:row r="905" spans="1:126" x14ac:dyDescent="0.3">
      <x:c r="A905" s="47"/>
      <x:c r="B905" s="70"/>
      <x:c r="C905" s="70"/>
      <x:c r="D905" s="70"/>
      <x:c r="E905" s="70"/>
      <x:c r="F905" s="70"/>
      <x:c r="G905" s="70"/>
      <x:c r="H905" s="70"/>
      <x:c r="I905" s="70"/>
      <x:c r="J905" s="70"/>
      <x:c r="K905" s="190"/>
      <x:c r="L905" s="195"/>
      <x:c r="M905" s="192"/>
      <x:c r="N905" s="192"/>
      <x:c r="O905" s="69"/>
      <x:c r="P905" s="47"/>
      <x:c r="Q905" s="60"/>
      <x:c r="R905" s="58"/>
      <x:c r="S905" s="47"/>
      <x:c r="T905" s="60"/>
      <x:c r="U905" s="58"/>
      <x:c r="V905" s="47"/>
      <x:c r="W905" s="60"/>
      <x:c r="X905" s="58"/>
      <x:c r="Y905" s="47"/>
      <x:c r="Z905" s="60"/>
      <x:c r="AA905" s="58"/>
      <x:c r="AB905" s="47"/>
      <x:c r="AC905" s="60"/>
      <x:c r="AD905" s="58"/>
      <x:c r="AE905" s="47"/>
      <x:c r="AF905" s="60"/>
      <x:c r="AG905" s="58"/>
      <x:c r="AH905" s="47"/>
      <x:c r="AI905" s="60"/>
      <x:c r="AJ905" s="58"/>
      <x:c r="AK905" s="47"/>
      <x:c r="AL905" s="60"/>
      <x:c r="AM905" s="58"/>
      <x:c r="AN905" s="47"/>
      <x:c r="AO905" s="60"/>
      <x:c r="AP905" s="58"/>
      <x:c r="AQ905" s="47"/>
      <x:c r="AR905" s="60"/>
      <x:c r="AS905" s="58"/>
      <x:c r="AT905" s="47"/>
      <x:c r="AU905" s="60"/>
      <x:c r="AV905" s="58"/>
      <x:c r="AW905" s="47"/>
      <x:c r="AX905" s="60"/>
      <x:c r="AY905" s="58"/>
      <x:c r="AZ905" s="47"/>
      <x:c r="BA905" s="60"/>
      <x:c r="BB905" s="58"/>
      <x:c r="BC905" s="47"/>
      <x:c r="BD905" s="60"/>
      <x:c r="BE905" s="58"/>
      <x:c r="BF905" s="47"/>
      <x:c r="BG905" s="60"/>
      <x:c r="BH905" s="58"/>
      <x:c r="BI905" s="47"/>
      <x:c r="BJ905" s="60"/>
      <x:c r="BK905" s="58"/>
      <x:c r="BL905" s="47"/>
      <x:c r="BM905" s="60"/>
      <x:c r="BN905" s="58"/>
      <x:c r="BO905" s="47"/>
      <x:c r="BP905" s="60"/>
      <x:c r="BQ905" s="58"/>
      <x:c r="BR905" s="47"/>
      <x:c r="BS905" s="60"/>
      <x:c r="BT905" s="58"/>
      <x:c r="BU905" s="47"/>
      <x:c r="BV905" s="60"/>
      <x:c r="BW905" s="58"/>
      <x:c r="BX905" s="47"/>
      <x:c r="BY905" s="60"/>
      <x:c r="BZ905" s="58"/>
      <x:c r="CA905" s="47"/>
      <x:c r="CB905" s="60"/>
      <x:c r="CC905" s="58"/>
      <x:c r="CD905" s="47"/>
      <x:c r="CE905" s="60"/>
      <x:c r="CF905" s="58"/>
      <x:c r="CG905" s="47"/>
      <x:c r="CH905" s="60"/>
      <x:c r="CI905" s="58"/>
      <x:c r="CJ905" s="47"/>
      <x:c r="CK905" s="60"/>
      <x:c r="CL905" s="58"/>
      <x:c r="CM905" s="47"/>
      <x:c r="CN905" s="60"/>
      <x:c r="CO905" s="58"/>
      <x:c r="CP905" s="47"/>
      <x:c r="CQ905" s="60"/>
      <x:c r="CR905" s="58"/>
      <x:c r="CS905" s="47"/>
      <x:c r="CT905" s="60"/>
      <x:c r="CU905" s="58"/>
      <x:c r="CV905" s="47"/>
      <x:c r="CW905" s="60"/>
      <x:c r="CX905" s="58"/>
      <x:c r="CY905" s="47"/>
      <x:c r="CZ905" s="60"/>
      <x:c r="DA905" s="58"/>
      <x:c r="DB905" s="47"/>
      <x:c r="DC905" s="60"/>
      <x:c r="DD905" s="58"/>
      <x:c r="DE905" s="47"/>
      <x:c r="DF905" s="60"/>
      <x:c r="DG905" s="58"/>
      <x:c r="DH905" s="47"/>
      <x:c r="DI905" s="60"/>
      <x:c r="DJ905" s="58"/>
      <x:c r="DK905" s="47"/>
      <x:c r="DL905" s="60"/>
      <x:c r="DM905" s="58"/>
      <x:c r="DN905" s="11"/>
      <x:c r="DO905" s="61"/>
      <x:c r="DP905" s="62"/>
      <x:c r="DQ905" s="11"/>
      <x:c r="DR905" s="61"/>
      <x:c r="DS905" s="62"/>
      <x:c r="DT905" s="11"/>
      <x:c r="DU905" s="61"/>
      <x:c r="DV905" s="62"/>
    </x:row>
    <x:row r="906" spans="1:126" x14ac:dyDescent="0.3">
      <x:c r="A906" s="47"/>
      <x:c r="B906" s="70"/>
      <x:c r="C906" s="70"/>
      <x:c r="D906" s="70"/>
      <x:c r="E906" s="70"/>
      <x:c r="F906" s="70"/>
      <x:c r="G906" s="70"/>
      <x:c r="H906" s="70"/>
      <x:c r="I906" s="70"/>
      <x:c r="J906" s="70"/>
      <x:c r="K906" s="190"/>
      <x:c r="L906" s="195"/>
      <x:c r="M906" s="192"/>
      <x:c r="N906" s="192"/>
      <x:c r="O906" s="69"/>
      <x:c r="P906" s="47"/>
      <x:c r="Q906" s="60"/>
      <x:c r="R906" s="58"/>
      <x:c r="S906" s="47"/>
      <x:c r="T906" s="60"/>
      <x:c r="U906" s="58"/>
      <x:c r="V906" s="47"/>
      <x:c r="W906" s="60"/>
      <x:c r="X906" s="58"/>
      <x:c r="Y906" s="47"/>
      <x:c r="Z906" s="60"/>
      <x:c r="AA906" s="58"/>
      <x:c r="AB906" s="47"/>
      <x:c r="AC906" s="60"/>
      <x:c r="AD906" s="58"/>
      <x:c r="AE906" s="47"/>
      <x:c r="AF906" s="60"/>
      <x:c r="AG906" s="58"/>
      <x:c r="AH906" s="47"/>
      <x:c r="AI906" s="60"/>
      <x:c r="AJ906" s="58"/>
      <x:c r="AK906" s="47"/>
      <x:c r="AL906" s="60"/>
      <x:c r="AM906" s="58"/>
      <x:c r="AN906" s="47"/>
      <x:c r="AO906" s="60"/>
      <x:c r="AP906" s="58"/>
      <x:c r="AQ906" s="47"/>
      <x:c r="AR906" s="60"/>
      <x:c r="AS906" s="58"/>
      <x:c r="AT906" s="47"/>
      <x:c r="AU906" s="60"/>
      <x:c r="AV906" s="58"/>
      <x:c r="AW906" s="47"/>
      <x:c r="AX906" s="60"/>
      <x:c r="AY906" s="58"/>
      <x:c r="AZ906" s="47"/>
      <x:c r="BA906" s="60"/>
      <x:c r="BB906" s="58"/>
      <x:c r="BC906" s="47"/>
      <x:c r="BD906" s="60"/>
      <x:c r="BE906" s="58"/>
      <x:c r="BF906" s="47"/>
      <x:c r="BG906" s="60"/>
      <x:c r="BH906" s="58"/>
      <x:c r="BI906" s="47"/>
      <x:c r="BJ906" s="60"/>
      <x:c r="BK906" s="58"/>
      <x:c r="BL906" s="47"/>
      <x:c r="BM906" s="60"/>
      <x:c r="BN906" s="58"/>
      <x:c r="BO906" s="47"/>
      <x:c r="BP906" s="60"/>
      <x:c r="BQ906" s="58"/>
      <x:c r="BR906" s="47"/>
      <x:c r="BS906" s="60"/>
      <x:c r="BT906" s="58"/>
      <x:c r="BU906" s="47"/>
      <x:c r="BV906" s="60"/>
      <x:c r="BW906" s="58"/>
      <x:c r="BX906" s="47"/>
      <x:c r="BY906" s="60"/>
      <x:c r="BZ906" s="58"/>
      <x:c r="CA906" s="47"/>
      <x:c r="CB906" s="60"/>
      <x:c r="CC906" s="58"/>
      <x:c r="CD906" s="47"/>
      <x:c r="CE906" s="60"/>
      <x:c r="CF906" s="58"/>
      <x:c r="CG906" s="47"/>
      <x:c r="CH906" s="60"/>
      <x:c r="CI906" s="58"/>
      <x:c r="CJ906" s="47"/>
      <x:c r="CK906" s="60"/>
      <x:c r="CL906" s="58"/>
      <x:c r="CM906" s="47"/>
      <x:c r="CN906" s="60"/>
      <x:c r="CO906" s="58"/>
      <x:c r="CP906" s="47"/>
      <x:c r="CQ906" s="60"/>
      <x:c r="CR906" s="58"/>
      <x:c r="CS906" s="47"/>
      <x:c r="CT906" s="60"/>
      <x:c r="CU906" s="58"/>
      <x:c r="CV906" s="47"/>
      <x:c r="CW906" s="60"/>
      <x:c r="CX906" s="58"/>
      <x:c r="CY906" s="47"/>
      <x:c r="CZ906" s="60"/>
      <x:c r="DA906" s="58"/>
      <x:c r="DB906" s="47"/>
      <x:c r="DC906" s="60"/>
      <x:c r="DD906" s="58"/>
      <x:c r="DE906" s="47"/>
      <x:c r="DF906" s="60"/>
      <x:c r="DG906" s="58"/>
      <x:c r="DH906" s="47"/>
      <x:c r="DI906" s="60"/>
      <x:c r="DJ906" s="58"/>
      <x:c r="DK906" s="47"/>
      <x:c r="DL906" s="60"/>
      <x:c r="DM906" s="58"/>
      <x:c r="DN906" s="11"/>
      <x:c r="DO906" s="61"/>
      <x:c r="DP906" s="62"/>
      <x:c r="DQ906" s="11"/>
      <x:c r="DR906" s="61"/>
      <x:c r="DS906" s="62"/>
      <x:c r="DT906" s="11"/>
      <x:c r="DU906" s="61"/>
      <x:c r="DV906" s="62"/>
    </x:row>
    <x:row r="907" spans="1:126" x14ac:dyDescent="0.3">
      <x:c r="A907" s="47"/>
      <x:c r="B907" s="70"/>
      <x:c r="C907" s="70"/>
      <x:c r="D907" s="70"/>
      <x:c r="E907" s="70"/>
      <x:c r="F907" s="70"/>
      <x:c r="G907" s="70"/>
      <x:c r="H907" s="70"/>
      <x:c r="I907" s="70"/>
      <x:c r="J907" s="70"/>
      <x:c r="K907" s="190"/>
      <x:c r="L907" s="195"/>
      <x:c r="M907" s="192"/>
      <x:c r="N907" s="192"/>
      <x:c r="O907" s="69"/>
      <x:c r="P907" s="47"/>
      <x:c r="Q907" s="60"/>
      <x:c r="R907" s="58"/>
      <x:c r="S907" s="47"/>
      <x:c r="T907" s="60"/>
      <x:c r="U907" s="58"/>
      <x:c r="V907" s="47"/>
      <x:c r="W907" s="60"/>
      <x:c r="X907" s="58"/>
      <x:c r="Y907" s="47"/>
      <x:c r="Z907" s="60"/>
      <x:c r="AA907" s="58"/>
      <x:c r="AB907" s="47"/>
      <x:c r="AC907" s="60"/>
      <x:c r="AD907" s="58"/>
      <x:c r="AE907" s="47"/>
      <x:c r="AF907" s="60"/>
      <x:c r="AG907" s="58"/>
      <x:c r="AH907" s="47"/>
      <x:c r="AI907" s="60"/>
      <x:c r="AJ907" s="58"/>
      <x:c r="AK907" s="47"/>
      <x:c r="AL907" s="60"/>
      <x:c r="AM907" s="58"/>
      <x:c r="AN907" s="47"/>
      <x:c r="AO907" s="60"/>
      <x:c r="AP907" s="58"/>
      <x:c r="AQ907" s="47"/>
      <x:c r="AR907" s="60"/>
      <x:c r="AS907" s="58"/>
      <x:c r="AT907" s="47"/>
      <x:c r="AU907" s="60"/>
      <x:c r="AV907" s="58"/>
      <x:c r="AW907" s="47"/>
      <x:c r="AX907" s="60"/>
      <x:c r="AY907" s="58"/>
      <x:c r="AZ907" s="47"/>
      <x:c r="BA907" s="60"/>
      <x:c r="BB907" s="58"/>
      <x:c r="BC907" s="47"/>
      <x:c r="BD907" s="60"/>
      <x:c r="BE907" s="58"/>
      <x:c r="BF907" s="47"/>
      <x:c r="BG907" s="60"/>
      <x:c r="BH907" s="58"/>
      <x:c r="BI907" s="47"/>
      <x:c r="BJ907" s="60"/>
      <x:c r="BK907" s="58"/>
      <x:c r="BL907" s="47"/>
      <x:c r="BM907" s="60"/>
      <x:c r="BN907" s="58"/>
      <x:c r="BO907" s="47"/>
      <x:c r="BP907" s="60"/>
      <x:c r="BQ907" s="58"/>
      <x:c r="BR907" s="47"/>
      <x:c r="BS907" s="60"/>
      <x:c r="BT907" s="58"/>
      <x:c r="BU907" s="47"/>
      <x:c r="BV907" s="60"/>
      <x:c r="BW907" s="58"/>
      <x:c r="BX907" s="47"/>
      <x:c r="BY907" s="60"/>
      <x:c r="BZ907" s="58"/>
      <x:c r="CA907" s="47"/>
      <x:c r="CB907" s="60"/>
      <x:c r="CC907" s="58"/>
      <x:c r="CD907" s="47"/>
      <x:c r="CE907" s="60"/>
      <x:c r="CF907" s="58"/>
      <x:c r="CG907" s="47"/>
      <x:c r="CH907" s="60"/>
      <x:c r="CI907" s="58"/>
      <x:c r="CJ907" s="47"/>
      <x:c r="CK907" s="60"/>
      <x:c r="CL907" s="58"/>
      <x:c r="CM907" s="47"/>
      <x:c r="CN907" s="60"/>
      <x:c r="CO907" s="58"/>
      <x:c r="CP907" s="47"/>
      <x:c r="CQ907" s="60"/>
      <x:c r="CR907" s="58"/>
      <x:c r="CS907" s="47"/>
      <x:c r="CT907" s="60"/>
      <x:c r="CU907" s="58"/>
      <x:c r="CV907" s="47"/>
      <x:c r="CW907" s="60"/>
      <x:c r="CX907" s="58"/>
      <x:c r="CY907" s="47"/>
      <x:c r="CZ907" s="60"/>
      <x:c r="DA907" s="58"/>
      <x:c r="DB907" s="47"/>
      <x:c r="DC907" s="60"/>
      <x:c r="DD907" s="58"/>
      <x:c r="DE907" s="47"/>
      <x:c r="DF907" s="60"/>
      <x:c r="DG907" s="58"/>
      <x:c r="DH907" s="47"/>
      <x:c r="DI907" s="60"/>
      <x:c r="DJ907" s="58"/>
      <x:c r="DK907" s="47"/>
      <x:c r="DL907" s="60"/>
      <x:c r="DM907" s="58"/>
      <x:c r="DN907" s="11"/>
      <x:c r="DO907" s="61"/>
      <x:c r="DP907" s="62"/>
      <x:c r="DQ907" s="11"/>
      <x:c r="DR907" s="61"/>
      <x:c r="DS907" s="62"/>
      <x:c r="DT907" s="11"/>
      <x:c r="DU907" s="61"/>
      <x:c r="DV907" s="62"/>
    </x:row>
    <x:row r="908" spans="1:126" x14ac:dyDescent="0.3">
      <x:c r="A908" s="47"/>
      <x:c r="B908" s="70"/>
      <x:c r="C908" s="70"/>
      <x:c r="D908" s="70"/>
      <x:c r="E908" s="70"/>
      <x:c r="F908" s="70"/>
      <x:c r="G908" s="70"/>
      <x:c r="H908" s="70"/>
      <x:c r="I908" s="70"/>
      <x:c r="J908" s="70"/>
      <x:c r="K908" s="190"/>
      <x:c r="L908" s="195"/>
      <x:c r="M908" s="192"/>
      <x:c r="N908" s="192"/>
      <x:c r="O908" s="69"/>
      <x:c r="P908" s="47"/>
      <x:c r="Q908" s="60"/>
      <x:c r="R908" s="58"/>
      <x:c r="S908" s="47"/>
      <x:c r="T908" s="60"/>
      <x:c r="U908" s="58"/>
      <x:c r="V908" s="47"/>
      <x:c r="W908" s="60"/>
      <x:c r="X908" s="58"/>
      <x:c r="Y908" s="47"/>
      <x:c r="Z908" s="60"/>
      <x:c r="AA908" s="58"/>
      <x:c r="AB908" s="47"/>
      <x:c r="AC908" s="60"/>
      <x:c r="AD908" s="58"/>
      <x:c r="AE908" s="47"/>
      <x:c r="AF908" s="60"/>
      <x:c r="AG908" s="58"/>
      <x:c r="AH908" s="47"/>
      <x:c r="AI908" s="60"/>
      <x:c r="AJ908" s="58"/>
      <x:c r="AK908" s="47"/>
      <x:c r="AL908" s="60"/>
      <x:c r="AM908" s="58"/>
      <x:c r="AN908" s="47"/>
      <x:c r="AO908" s="60"/>
      <x:c r="AP908" s="58"/>
      <x:c r="AQ908" s="47"/>
      <x:c r="AR908" s="60"/>
      <x:c r="AS908" s="58"/>
      <x:c r="AT908" s="47"/>
      <x:c r="AU908" s="60"/>
      <x:c r="AV908" s="58"/>
      <x:c r="AW908" s="47"/>
      <x:c r="AX908" s="60"/>
      <x:c r="AY908" s="58"/>
      <x:c r="AZ908" s="47"/>
      <x:c r="BA908" s="60"/>
      <x:c r="BB908" s="58"/>
      <x:c r="BC908" s="47"/>
      <x:c r="BD908" s="60"/>
      <x:c r="BE908" s="58"/>
      <x:c r="BF908" s="47"/>
      <x:c r="BG908" s="60"/>
      <x:c r="BH908" s="58"/>
      <x:c r="BI908" s="47"/>
      <x:c r="BJ908" s="60"/>
      <x:c r="BK908" s="58"/>
      <x:c r="BL908" s="47"/>
      <x:c r="BM908" s="60"/>
      <x:c r="BN908" s="58"/>
      <x:c r="BO908" s="47"/>
      <x:c r="BP908" s="60"/>
      <x:c r="BQ908" s="58"/>
      <x:c r="BR908" s="47"/>
      <x:c r="BS908" s="60"/>
      <x:c r="BT908" s="58"/>
      <x:c r="BU908" s="47"/>
      <x:c r="BV908" s="60"/>
      <x:c r="BW908" s="58"/>
      <x:c r="BX908" s="47"/>
      <x:c r="BY908" s="60"/>
      <x:c r="BZ908" s="58"/>
      <x:c r="CA908" s="47"/>
      <x:c r="CB908" s="60"/>
      <x:c r="CC908" s="58"/>
      <x:c r="CD908" s="47"/>
      <x:c r="CE908" s="60"/>
      <x:c r="CF908" s="58"/>
      <x:c r="CG908" s="47"/>
      <x:c r="CH908" s="60"/>
      <x:c r="CI908" s="58"/>
      <x:c r="CJ908" s="47"/>
      <x:c r="CK908" s="60"/>
      <x:c r="CL908" s="58"/>
      <x:c r="CM908" s="47"/>
      <x:c r="CN908" s="60"/>
      <x:c r="CO908" s="58"/>
      <x:c r="CP908" s="47"/>
      <x:c r="CQ908" s="60"/>
      <x:c r="CR908" s="58"/>
      <x:c r="CS908" s="47"/>
      <x:c r="CT908" s="60"/>
      <x:c r="CU908" s="58"/>
      <x:c r="CV908" s="47"/>
      <x:c r="CW908" s="60"/>
      <x:c r="CX908" s="58"/>
      <x:c r="CY908" s="47"/>
      <x:c r="CZ908" s="60"/>
      <x:c r="DA908" s="58"/>
      <x:c r="DB908" s="47"/>
      <x:c r="DC908" s="60"/>
      <x:c r="DD908" s="58"/>
      <x:c r="DE908" s="47"/>
      <x:c r="DF908" s="60"/>
      <x:c r="DG908" s="58"/>
      <x:c r="DH908" s="47"/>
      <x:c r="DI908" s="60"/>
      <x:c r="DJ908" s="58"/>
      <x:c r="DK908" s="47"/>
      <x:c r="DL908" s="60"/>
      <x:c r="DM908" s="58"/>
      <x:c r="DN908" s="11"/>
      <x:c r="DO908" s="61"/>
      <x:c r="DP908" s="62"/>
      <x:c r="DQ908" s="11"/>
      <x:c r="DR908" s="61"/>
      <x:c r="DS908" s="62"/>
      <x:c r="DT908" s="11"/>
      <x:c r="DU908" s="61"/>
      <x:c r="DV908" s="62"/>
    </x:row>
    <x:row r="909" spans="1:126" x14ac:dyDescent="0.3">
      <x:c r="A909" s="47"/>
      <x:c r="B909" s="70"/>
      <x:c r="C909" s="70"/>
      <x:c r="D909" s="70"/>
      <x:c r="E909" s="70"/>
      <x:c r="F909" s="70"/>
      <x:c r="G909" s="70"/>
      <x:c r="H909" s="70"/>
      <x:c r="I909" s="70"/>
      <x:c r="J909" s="70"/>
      <x:c r="K909" s="190"/>
      <x:c r="L909" s="195"/>
      <x:c r="M909" s="192"/>
      <x:c r="N909" s="192"/>
      <x:c r="O909" s="69"/>
      <x:c r="P909" s="47"/>
      <x:c r="Q909" s="60"/>
      <x:c r="R909" s="58"/>
      <x:c r="S909" s="47"/>
      <x:c r="T909" s="60"/>
      <x:c r="U909" s="58"/>
      <x:c r="V909" s="47"/>
      <x:c r="W909" s="60"/>
      <x:c r="X909" s="58"/>
      <x:c r="Y909" s="47"/>
      <x:c r="Z909" s="60"/>
      <x:c r="AA909" s="58"/>
      <x:c r="AB909" s="47"/>
      <x:c r="AC909" s="60"/>
      <x:c r="AD909" s="58"/>
      <x:c r="AE909" s="47"/>
      <x:c r="AF909" s="60"/>
      <x:c r="AG909" s="58"/>
      <x:c r="AH909" s="47"/>
      <x:c r="AI909" s="60"/>
      <x:c r="AJ909" s="58"/>
      <x:c r="AK909" s="47"/>
      <x:c r="AL909" s="60"/>
      <x:c r="AM909" s="58"/>
      <x:c r="AN909" s="47"/>
      <x:c r="AO909" s="60"/>
      <x:c r="AP909" s="58"/>
      <x:c r="AQ909" s="47"/>
      <x:c r="AR909" s="60"/>
      <x:c r="AS909" s="58"/>
      <x:c r="AT909" s="47"/>
      <x:c r="AU909" s="60"/>
      <x:c r="AV909" s="58"/>
      <x:c r="AW909" s="47"/>
      <x:c r="AX909" s="60"/>
      <x:c r="AY909" s="58"/>
      <x:c r="AZ909" s="47"/>
      <x:c r="BA909" s="60"/>
      <x:c r="BB909" s="58"/>
      <x:c r="BC909" s="47"/>
      <x:c r="BD909" s="60"/>
      <x:c r="BE909" s="58"/>
      <x:c r="BF909" s="47"/>
      <x:c r="BG909" s="60"/>
      <x:c r="BH909" s="58"/>
      <x:c r="BI909" s="47"/>
      <x:c r="BJ909" s="60"/>
      <x:c r="BK909" s="58"/>
      <x:c r="BL909" s="47"/>
      <x:c r="BM909" s="60"/>
      <x:c r="BN909" s="58"/>
      <x:c r="BO909" s="47"/>
      <x:c r="BP909" s="60"/>
      <x:c r="BQ909" s="58"/>
      <x:c r="BR909" s="47"/>
      <x:c r="BS909" s="60"/>
      <x:c r="BT909" s="58"/>
      <x:c r="BU909" s="47"/>
      <x:c r="BV909" s="60"/>
      <x:c r="BW909" s="58"/>
      <x:c r="BX909" s="47"/>
      <x:c r="BY909" s="60"/>
      <x:c r="BZ909" s="58"/>
      <x:c r="CA909" s="47"/>
      <x:c r="CB909" s="60"/>
      <x:c r="CC909" s="58"/>
      <x:c r="CD909" s="47"/>
      <x:c r="CE909" s="60"/>
      <x:c r="CF909" s="58"/>
      <x:c r="CG909" s="47"/>
      <x:c r="CH909" s="60"/>
      <x:c r="CI909" s="58"/>
      <x:c r="CJ909" s="47"/>
      <x:c r="CK909" s="60"/>
      <x:c r="CL909" s="58"/>
      <x:c r="CM909" s="47"/>
      <x:c r="CN909" s="60"/>
      <x:c r="CO909" s="58"/>
      <x:c r="CP909" s="47"/>
      <x:c r="CQ909" s="60"/>
      <x:c r="CR909" s="58"/>
      <x:c r="CS909" s="47"/>
      <x:c r="CT909" s="60"/>
      <x:c r="CU909" s="58"/>
      <x:c r="CV909" s="47"/>
      <x:c r="CW909" s="60"/>
      <x:c r="CX909" s="58"/>
      <x:c r="CY909" s="47"/>
      <x:c r="CZ909" s="60"/>
      <x:c r="DA909" s="58"/>
      <x:c r="DB909" s="47"/>
      <x:c r="DC909" s="60"/>
      <x:c r="DD909" s="58"/>
      <x:c r="DE909" s="47"/>
      <x:c r="DF909" s="60"/>
      <x:c r="DG909" s="58"/>
      <x:c r="DH909" s="47"/>
      <x:c r="DI909" s="60"/>
      <x:c r="DJ909" s="58"/>
      <x:c r="DK909" s="47"/>
      <x:c r="DL909" s="60"/>
      <x:c r="DM909" s="58"/>
      <x:c r="DN909" s="11"/>
      <x:c r="DO909" s="61"/>
      <x:c r="DP909" s="62"/>
      <x:c r="DQ909" s="11"/>
      <x:c r="DR909" s="61"/>
      <x:c r="DS909" s="62"/>
      <x:c r="DT909" s="11"/>
      <x:c r="DU909" s="61"/>
      <x:c r="DV909" s="62"/>
    </x:row>
    <x:row r="910" spans="1:126" x14ac:dyDescent="0.3">
      <x:c r="A910" s="47"/>
      <x:c r="B910" s="70"/>
      <x:c r="C910" s="70"/>
      <x:c r="D910" s="70"/>
      <x:c r="E910" s="70"/>
      <x:c r="F910" s="70"/>
      <x:c r="G910" s="70"/>
      <x:c r="H910" s="70"/>
      <x:c r="I910" s="70"/>
      <x:c r="J910" s="70"/>
      <x:c r="K910" s="190"/>
      <x:c r="L910" s="195"/>
      <x:c r="M910" s="192"/>
      <x:c r="N910" s="192"/>
      <x:c r="O910" s="69"/>
      <x:c r="P910" s="47"/>
      <x:c r="Q910" s="60"/>
      <x:c r="R910" s="58"/>
      <x:c r="S910" s="47"/>
      <x:c r="T910" s="60"/>
      <x:c r="U910" s="58"/>
      <x:c r="V910" s="47"/>
      <x:c r="W910" s="60"/>
      <x:c r="X910" s="58"/>
      <x:c r="Y910" s="47"/>
      <x:c r="Z910" s="60"/>
      <x:c r="AA910" s="58"/>
      <x:c r="AB910" s="47"/>
      <x:c r="AC910" s="60"/>
      <x:c r="AD910" s="58"/>
      <x:c r="AE910" s="47"/>
      <x:c r="AF910" s="60"/>
      <x:c r="AG910" s="58"/>
      <x:c r="AH910" s="47"/>
      <x:c r="AI910" s="60"/>
      <x:c r="AJ910" s="58"/>
      <x:c r="AK910" s="47"/>
      <x:c r="AL910" s="60"/>
      <x:c r="AM910" s="58"/>
      <x:c r="AN910" s="47"/>
      <x:c r="AO910" s="60"/>
      <x:c r="AP910" s="58"/>
      <x:c r="AQ910" s="47"/>
      <x:c r="AR910" s="60"/>
      <x:c r="AS910" s="58"/>
      <x:c r="AT910" s="47"/>
      <x:c r="AU910" s="60"/>
      <x:c r="AV910" s="58"/>
      <x:c r="AW910" s="47"/>
      <x:c r="AX910" s="60"/>
      <x:c r="AY910" s="58"/>
      <x:c r="AZ910" s="47"/>
      <x:c r="BA910" s="60"/>
      <x:c r="BB910" s="58"/>
      <x:c r="BC910" s="47"/>
      <x:c r="BD910" s="60"/>
      <x:c r="BE910" s="58"/>
      <x:c r="BF910" s="47"/>
      <x:c r="BG910" s="60"/>
      <x:c r="BH910" s="58"/>
      <x:c r="BI910" s="47"/>
      <x:c r="BJ910" s="60"/>
      <x:c r="BK910" s="58"/>
      <x:c r="BL910" s="47"/>
      <x:c r="BM910" s="60"/>
      <x:c r="BN910" s="58"/>
      <x:c r="BO910" s="47"/>
      <x:c r="BP910" s="60"/>
      <x:c r="BQ910" s="58"/>
      <x:c r="BR910" s="47"/>
      <x:c r="BS910" s="60"/>
      <x:c r="BT910" s="58"/>
      <x:c r="BU910" s="47"/>
      <x:c r="BV910" s="60"/>
      <x:c r="BW910" s="58"/>
      <x:c r="BX910" s="47"/>
      <x:c r="BY910" s="60"/>
      <x:c r="BZ910" s="58"/>
      <x:c r="CA910" s="47"/>
      <x:c r="CB910" s="60"/>
      <x:c r="CC910" s="58"/>
      <x:c r="CD910" s="47"/>
      <x:c r="CE910" s="60"/>
      <x:c r="CF910" s="58"/>
      <x:c r="CG910" s="47"/>
      <x:c r="CH910" s="60"/>
      <x:c r="CI910" s="58"/>
      <x:c r="CJ910" s="47"/>
      <x:c r="CK910" s="60"/>
      <x:c r="CL910" s="58"/>
      <x:c r="CM910" s="47"/>
      <x:c r="CN910" s="60"/>
      <x:c r="CO910" s="58"/>
      <x:c r="CP910" s="47"/>
      <x:c r="CQ910" s="60"/>
      <x:c r="CR910" s="58"/>
      <x:c r="CS910" s="47"/>
      <x:c r="CT910" s="60"/>
      <x:c r="CU910" s="58"/>
      <x:c r="CV910" s="47"/>
      <x:c r="CW910" s="60"/>
      <x:c r="CX910" s="58"/>
      <x:c r="CY910" s="47"/>
      <x:c r="CZ910" s="60"/>
      <x:c r="DA910" s="58"/>
      <x:c r="DB910" s="47"/>
      <x:c r="DC910" s="60"/>
      <x:c r="DD910" s="58"/>
      <x:c r="DE910" s="47"/>
      <x:c r="DF910" s="60"/>
      <x:c r="DG910" s="58"/>
      <x:c r="DH910" s="47"/>
      <x:c r="DI910" s="60"/>
      <x:c r="DJ910" s="58"/>
      <x:c r="DK910" s="47"/>
      <x:c r="DL910" s="60"/>
      <x:c r="DM910" s="58"/>
      <x:c r="DN910" s="11"/>
      <x:c r="DO910" s="61"/>
      <x:c r="DP910" s="62"/>
      <x:c r="DQ910" s="11"/>
      <x:c r="DR910" s="61"/>
      <x:c r="DS910" s="62"/>
      <x:c r="DT910" s="11"/>
      <x:c r="DU910" s="61"/>
      <x:c r="DV910" s="62"/>
    </x:row>
    <x:row r="911" spans="1:126" x14ac:dyDescent="0.3">
      <x:c r="A911" s="47"/>
      <x:c r="B911" s="70"/>
      <x:c r="C911" s="70"/>
      <x:c r="D911" s="70"/>
      <x:c r="E911" s="70"/>
      <x:c r="F911" s="70"/>
      <x:c r="G911" s="70"/>
      <x:c r="H911" s="70"/>
      <x:c r="I911" s="70"/>
      <x:c r="J911" s="70"/>
      <x:c r="K911" s="190"/>
      <x:c r="L911" s="195"/>
      <x:c r="M911" s="192"/>
      <x:c r="N911" s="192"/>
      <x:c r="O911" s="69"/>
      <x:c r="P911" s="47"/>
      <x:c r="Q911" s="60"/>
      <x:c r="R911" s="58"/>
      <x:c r="S911" s="47"/>
      <x:c r="T911" s="60"/>
      <x:c r="U911" s="58"/>
      <x:c r="V911" s="47"/>
      <x:c r="W911" s="60"/>
      <x:c r="X911" s="58"/>
      <x:c r="Y911" s="47"/>
      <x:c r="Z911" s="60"/>
      <x:c r="AA911" s="58"/>
      <x:c r="AB911" s="47"/>
      <x:c r="AC911" s="60"/>
      <x:c r="AD911" s="58"/>
      <x:c r="AE911" s="47"/>
      <x:c r="AF911" s="60"/>
      <x:c r="AG911" s="58"/>
      <x:c r="AH911" s="47"/>
      <x:c r="AI911" s="60"/>
      <x:c r="AJ911" s="58"/>
      <x:c r="AK911" s="47"/>
      <x:c r="AL911" s="60"/>
      <x:c r="AM911" s="58"/>
      <x:c r="AN911" s="47"/>
      <x:c r="AO911" s="60"/>
      <x:c r="AP911" s="58"/>
      <x:c r="AQ911" s="47"/>
      <x:c r="AR911" s="60"/>
      <x:c r="AS911" s="58"/>
      <x:c r="AT911" s="47"/>
      <x:c r="AU911" s="60"/>
      <x:c r="AV911" s="58"/>
      <x:c r="AW911" s="47"/>
      <x:c r="AX911" s="60"/>
      <x:c r="AY911" s="58"/>
      <x:c r="AZ911" s="47"/>
      <x:c r="BA911" s="60"/>
      <x:c r="BB911" s="58"/>
      <x:c r="BC911" s="47"/>
      <x:c r="BD911" s="60"/>
      <x:c r="BE911" s="58"/>
      <x:c r="BF911" s="47"/>
      <x:c r="BG911" s="60"/>
      <x:c r="BH911" s="58"/>
      <x:c r="BI911" s="47"/>
      <x:c r="BJ911" s="60"/>
      <x:c r="BK911" s="58"/>
      <x:c r="BL911" s="47"/>
      <x:c r="BM911" s="60"/>
      <x:c r="BN911" s="58"/>
      <x:c r="BO911" s="47"/>
      <x:c r="BP911" s="60"/>
      <x:c r="BQ911" s="58"/>
      <x:c r="BR911" s="47"/>
      <x:c r="BS911" s="60"/>
      <x:c r="BT911" s="58"/>
      <x:c r="BU911" s="47"/>
      <x:c r="BV911" s="60"/>
      <x:c r="BW911" s="58"/>
      <x:c r="BX911" s="47"/>
      <x:c r="BY911" s="60"/>
      <x:c r="BZ911" s="58"/>
      <x:c r="CA911" s="47"/>
      <x:c r="CB911" s="60"/>
      <x:c r="CC911" s="58"/>
      <x:c r="CD911" s="47"/>
      <x:c r="CE911" s="60"/>
      <x:c r="CF911" s="58"/>
      <x:c r="CG911" s="47"/>
      <x:c r="CH911" s="60"/>
      <x:c r="CI911" s="58"/>
      <x:c r="CJ911" s="47"/>
      <x:c r="CK911" s="60"/>
      <x:c r="CL911" s="58"/>
      <x:c r="CM911" s="47"/>
      <x:c r="CN911" s="60"/>
      <x:c r="CO911" s="58"/>
      <x:c r="CP911" s="47"/>
      <x:c r="CQ911" s="60"/>
      <x:c r="CR911" s="58"/>
      <x:c r="CS911" s="47"/>
      <x:c r="CT911" s="60"/>
      <x:c r="CU911" s="58"/>
      <x:c r="CV911" s="47"/>
      <x:c r="CW911" s="60"/>
      <x:c r="CX911" s="58"/>
      <x:c r="CY911" s="47"/>
      <x:c r="CZ911" s="60"/>
      <x:c r="DA911" s="58"/>
      <x:c r="DB911" s="47"/>
      <x:c r="DC911" s="60"/>
      <x:c r="DD911" s="58"/>
      <x:c r="DE911" s="47"/>
      <x:c r="DF911" s="60"/>
      <x:c r="DG911" s="58"/>
      <x:c r="DH911" s="47"/>
      <x:c r="DI911" s="60"/>
      <x:c r="DJ911" s="58"/>
      <x:c r="DK911" s="47"/>
      <x:c r="DL911" s="60"/>
      <x:c r="DM911" s="58"/>
      <x:c r="DN911" s="11"/>
      <x:c r="DO911" s="61"/>
      <x:c r="DP911" s="62"/>
      <x:c r="DQ911" s="11"/>
      <x:c r="DR911" s="61"/>
      <x:c r="DS911" s="62"/>
      <x:c r="DT911" s="11"/>
      <x:c r="DU911" s="61"/>
      <x:c r="DV911" s="62"/>
    </x:row>
    <x:row r="912" spans="1:126" x14ac:dyDescent="0.3">
      <x:c r="A912" s="47"/>
      <x:c r="B912" s="70"/>
      <x:c r="C912" s="70"/>
      <x:c r="D912" s="70"/>
      <x:c r="E912" s="70"/>
      <x:c r="F912" s="70"/>
      <x:c r="G912" s="70"/>
      <x:c r="H912" s="70"/>
      <x:c r="I912" s="70"/>
      <x:c r="J912" s="70"/>
      <x:c r="K912" s="190"/>
      <x:c r="L912" s="195"/>
      <x:c r="M912" s="192"/>
      <x:c r="N912" s="192"/>
      <x:c r="O912" s="69"/>
      <x:c r="P912" s="47"/>
      <x:c r="Q912" s="60"/>
      <x:c r="R912" s="58"/>
      <x:c r="S912" s="47"/>
      <x:c r="T912" s="60"/>
      <x:c r="U912" s="58"/>
      <x:c r="V912" s="47"/>
      <x:c r="W912" s="60"/>
      <x:c r="X912" s="58"/>
      <x:c r="Y912" s="47"/>
      <x:c r="Z912" s="60"/>
      <x:c r="AA912" s="58"/>
      <x:c r="AB912" s="47"/>
      <x:c r="AC912" s="60"/>
      <x:c r="AD912" s="58"/>
      <x:c r="AE912" s="47"/>
      <x:c r="AF912" s="60"/>
      <x:c r="AG912" s="58"/>
      <x:c r="AH912" s="47"/>
      <x:c r="AI912" s="60"/>
      <x:c r="AJ912" s="58"/>
      <x:c r="AK912" s="47"/>
      <x:c r="AL912" s="60"/>
      <x:c r="AM912" s="58"/>
      <x:c r="AN912" s="47"/>
      <x:c r="AO912" s="60"/>
      <x:c r="AP912" s="58"/>
      <x:c r="AQ912" s="47"/>
      <x:c r="AR912" s="60"/>
      <x:c r="AS912" s="58"/>
      <x:c r="AT912" s="47"/>
      <x:c r="AU912" s="60"/>
      <x:c r="AV912" s="58"/>
      <x:c r="AW912" s="47"/>
      <x:c r="AX912" s="60"/>
      <x:c r="AY912" s="58"/>
      <x:c r="AZ912" s="47"/>
      <x:c r="BA912" s="60"/>
      <x:c r="BB912" s="58"/>
      <x:c r="BC912" s="47"/>
      <x:c r="BD912" s="60"/>
      <x:c r="BE912" s="58"/>
      <x:c r="BF912" s="47"/>
      <x:c r="BG912" s="60"/>
      <x:c r="BH912" s="58"/>
      <x:c r="BI912" s="47"/>
      <x:c r="BJ912" s="60"/>
      <x:c r="BK912" s="58"/>
      <x:c r="BL912" s="47"/>
      <x:c r="BM912" s="60"/>
      <x:c r="BN912" s="58"/>
      <x:c r="BO912" s="47"/>
      <x:c r="BP912" s="60"/>
      <x:c r="BQ912" s="58"/>
      <x:c r="BR912" s="47"/>
      <x:c r="BS912" s="60"/>
      <x:c r="BT912" s="58"/>
      <x:c r="BU912" s="47"/>
      <x:c r="BV912" s="60"/>
      <x:c r="BW912" s="58"/>
      <x:c r="BX912" s="47"/>
      <x:c r="BY912" s="60"/>
      <x:c r="BZ912" s="58"/>
      <x:c r="CA912" s="47"/>
      <x:c r="CB912" s="60"/>
      <x:c r="CC912" s="58"/>
      <x:c r="CD912" s="47"/>
      <x:c r="CE912" s="60"/>
      <x:c r="CF912" s="58"/>
      <x:c r="CG912" s="47"/>
      <x:c r="CH912" s="60"/>
      <x:c r="CI912" s="58"/>
      <x:c r="CJ912" s="47"/>
      <x:c r="CK912" s="60"/>
      <x:c r="CL912" s="58"/>
      <x:c r="CM912" s="47"/>
      <x:c r="CN912" s="60"/>
      <x:c r="CO912" s="58"/>
      <x:c r="CP912" s="47"/>
      <x:c r="CQ912" s="60"/>
      <x:c r="CR912" s="58"/>
      <x:c r="CS912" s="47"/>
      <x:c r="CT912" s="60"/>
      <x:c r="CU912" s="58"/>
      <x:c r="CV912" s="47"/>
      <x:c r="CW912" s="60"/>
      <x:c r="CX912" s="58"/>
      <x:c r="CY912" s="47"/>
      <x:c r="CZ912" s="60"/>
      <x:c r="DA912" s="58"/>
      <x:c r="DB912" s="47"/>
      <x:c r="DC912" s="60"/>
      <x:c r="DD912" s="58"/>
      <x:c r="DE912" s="47"/>
      <x:c r="DF912" s="60"/>
      <x:c r="DG912" s="58"/>
      <x:c r="DH912" s="47"/>
      <x:c r="DI912" s="60"/>
      <x:c r="DJ912" s="58"/>
      <x:c r="DK912" s="47"/>
      <x:c r="DL912" s="60"/>
      <x:c r="DM912" s="58"/>
      <x:c r="DN912" s="11"/>
      <x:c r="DO912" s="61"/>
      <x:c r="DP912" s="62"/>
      <x:c r="DQ912" s="11"/>
      <x:c r="DR912" s="61"/>
      <x:c r="DS912" s="62"/>
      <x:c r="DT912" s="11"/>
      <x:c r="DU912" s="61"/>
      <x:c r="DV912" s="62"/>
    </x:row>
    <x:row r="913" spans="1:126" x14ac:dyDescent="0.3">
      <x:c r="A913" s="47"/>
      <x:c r="B913" s="70"/>
      <x:c r="C913" s="70"/>
      <x:c r="D913" s="70"/>
      <x:c r="E913" s="70"/>
      <x:c r="F913" s="70"/>
      <x:c r="G913" s="70"/>
      <x:c r="H913" s="70"/>
      <x:c r="I913" s="70"/>
      <x:c r="J913" s="70"/>
      <x:c r="K913" s="190"/>
      <x:c r="L913" s="195"/>
      <x:c r="M913" s="192"/>
      <x:c r="N913" s="192"/>
      <x:c r="O913" s="69"/>
      <x:c r="P913" s="47"/>
      <x:c r="Q913" s="60"/>
      <x:c r="R913" s="58"/>
      <x:c r="S913" s="47"/>
      <x:c r="T913" s="60"/>
      <x:c r="U913" s="58"/>
      <x:c r="V913" s="47"/>
      <x:c r="W913" s="60"/>
      <x:c r="X913" s="58"/>
      <x:c r="Y913" s="47"/>
      <x:c r="Z913" s="60"/>
      <x:c r="AA913" s="58"/>
      <x:c r="AB913" s="47"/>
      <x:c r="AC913" s="60"/>
      <x:c r="AD913" s="58"/>
      <x:c r="AE913" s="47"/>
      <x:c r="AF913" s="60"/>
      <x:c r="AG913" s="58"/>
      <x:c r="AH913" s="47"/>
      <x:c r="AI913" s="60"/>
      <x:c r="AJ913" s="58"/>
      <x:c r="AK913" s="47"/>
      <x:c r="AL913" s="60"/>
      <x:c r="AM913" s="58"/>
      <x:c r="AN913" s="47"/>
      <x:c r="AO913" s="60"/>
      <x:c r="AP913" s="58"/>
      <x:c r="AQ913" s="47"/>
      <x:c r="AR913" s="60"/>
      <x:c r="AS913" s="58"/>
      <x:c r="AT913" s="47"/>
      <x:c r="AU913" s="60"/>
      <x:c r="AV913" s="58"/>
      <x:c r="AW913" s="47"/>
      <x:c r="AX913" s="60"/>
      <x:c r="AY913" s="58"/>
      <x:c r="AZ913" s="47"/>
      <x:c r="BA913" s="60"/>
      <x:c r="BB913" s="58"/>
      <x:c r="BC913" s="47"/>
      <x:c r="BD913" s="60"/>
      <x:c r="BE913" s="58"/>
      <x:c r="BF913" s="47"/>
      <x:c r="BG913" s="60"/>
      <x:c r="BH913" s="58"/>
      <x:c r="BI913" s="47"/>
      <x:c r="BJ913" s="60"/>
      <x:c r="BK913" s="58"/>
      <x:c r="BL913" s="47"/>
      <x:c r="BM913" s="60"/>
      <x:c r="BN913" s="58"/>
      <x:c r="BO913" s="47"/>
      <x:c r="BP913" s="60"/>
      <x:c r="BQ913" s="58"/>
      <x:c r="BR913" s="47"/>
      <x:c r="BS913" s="60"/>
      <x:c r="BT913" s="58"/>
      <x:c r="BU913" s="47"/>
      <x:c r="BV913" s="60"/>
      <x:c r="BW913" s="58"/>
      <x:c r="BX913" s="47"/>
      <x:c r="BY913" s="60"/>
      <x:c r="BZ913" s="58"/>
      <x:c r="CA913" s="47"/>
      <x:c r="CB913" s="60"/>
      <x:c r="CC913" s="58"/>
      <x:c r="CD913" s="47"/>
      <x:c r="CE913" s="60"/>
      <x:c r="CF913" s="58"/>
      <x:c r="CG913" s="47"/>
      <x:c r="CH913" s="60"/>
      <x:c r="CI913" s="58"/>
      <x:c r="CJ913" s="47"/>
      <x:c r="CK913" s="60"/>
      <x:c r="CL913" s="58"/>
      <x:c r="CM913" s="47"/>
      <x:c r="CN913" s="60"/>
      <x:c r="CO913" s="58"/>
      <x:c r="CP913" s="47"/>
      <x:c r="CQ913" s="60"/>
      <x:c r="CR913" s="58"/>
      <x:c r="CS913" s="47"/>
      <x:c r="CT913" s="60"/>
      <x:c r="CU913" s="58"/>
      <x:c r="CV913" s="47"/>
      <x:c r="CW913" s="60"/>
      <x:c r="CX913" s="58"/>
      <x:c r="CY913" s="47"/>
      <x:c r="CZ913" s="60"/>
      <x:c r="DA913" s="58"/>
      <x:c r="DB913" s="47"/>
      <x:c r="DC913" s="60"/>
      <x:c r="DD913" s="58"/>
      <x:c r="DE913" s="47"/>
      <x:c r="DF913" s="60"/>
      <x:c r="DG913" s="58"/>
      <x:c r="DH913" s="47"/>
      <x:c r="DI913" s="60"/>
      <x:c r="DJ913" s="58"/>
      <x:c r="DK913" s="47"/>
      <x:c r="DL913" s="60"/>
      <x:c r="DM913" s="58"/>
      <x:c r="DN913" s="11"/>
      <x:c r="DO913" s="61"/>
      <x:c r="DP913" s="62"/>
      <x:c r="DQ913" s="11"/>
      <x:c r="DR913" s="61"/>
      <x:c r="DS913" s="62"/>
      <x:c r="DT913" s="11"/>
      <x:c r="DU913" s="61"/>
      <x:c r="DV913" s="62"/>
    </x:row>
    <x:row r="914" spans="1:126" x14ac:dyDescent="0.3">
      <x:c r="A914" s="47"/>
      <x:c r="B914" s="70"/>
      <x:c r="C914" s="70"/>
      <x:c r="D914" s="70"/>
      <x:c r="E914" s="70"/>
      <x:c r="F914" s="70"/>
      <x:c r="G914" s="70"/>
      <x:c r="H914" s="70"/>
      <x:c r="I914" s="70"/>
      <x:c r="J914" s="70"/>
      <x:c r="K914" s="190"/>
      <x:c r="L914" s="195"/>
      <x:c r="M914" s="192"/>
      <x:c r="N914" s="192"/>
      <x:c r="O914" s="69"/>
      <x:c r="P914" s="47"/>
      <x:c r="Q914" s="60"/>
      <x:c r="R914" s="58"/>
      <x:c r="S914" s="47"/>
      <x:c r="T914" s="60"/>
      <x:c r="U914" s="58"/>
      <x:c r="V914" s="47"/>
      <x:c r="W914" s="60"/>
      <x:c r="X914" s="58"/>
      <x:c r="Y914" s="47"/>
      <x:c r="Z914" s="60"/>
      <x:c r="AA914" s="58"/>
      <x:c r="AB914" s="47"/>
      <x:c r="AC914" s="60"/>
      <x:c r="AD914" s="58"/>
      <x:c r="AE914" s="47"/>
      <x:c r="AF914" s="60"/>
      <x:c r="AG914" s="58"/>
      <x:c r="AH914" s="47"/>
      <x:c r="AI914" s="60"/>
      <x:c r="AJ914" s="58"/>
      <x:c r="AK914" s="47"/>
      <x:c r="AL914" s="60"/>
      <x:c r="AM914" s="58"/>
      <x:c r="AN914" s="47"/>
      <x:c r="AO914" s="60"/>
      <x:c r="AP914" s="58"/>
      <x:c r="AQ914" s="47"/>
      <x:c r="AR914" s="60"/>
      <x:c r="AS914" s="58"/>
      <x:c r="AT914" s="47"/>
      <x:c r="AU914" s="60"/>
      <x:c r="AV914" s="58"/>
      <x:c r="AW914" s="47"/>
      <x:c r="AX914" s="60"/>
      <x:c r="AY914" s="58"/>
      <x:c r="AZ914" s="47"/>
      <x:c r="BA914" s="60"/>
      <x:c r="BB914" s="58"/>
      <x:c r="BC914" s="47"/>
      <x:c r="BD914" s="60"/>
      <x:c r="BE914" s="58"/>
      <x:c r="BF914" s="47"/>
      <x:c r="BG914" s="60"/>
      <x:c r="BH914" s="58"/>
      <x:c r="BI914" s="47"/>
      <x:c r="BJ914" s="60"/>
      <x:c r="BK914" s="58"/>
      <x:c r="BL914" s="47"/>
      <x:c r="BM914" s="60"/>
      <x:c r="BN914" s="58"/>
      <x:c r="BO914" s="47"/>
      <x:c r="BP914" s="60"/>
      <x:c r="BQ914" s="58"/>
      <x:c r="BR914" s="47"/>
      <x:c r="BS914" s="60"/>
      <x:c r="BT914" s="58"/>
      <x:c r="BU914" s="47"/>
      <x:c r="BV914" s="60"/>
      <x:c r="BW914" s="58"/>
      <x:c r="BX914" s="47"/>
      <x:c r="BY914" s="60"/>
      <x:c r="BZ914" s="58"/>
      <x:c r="CA914" s="47"/>
      <x:c r="CB914" s="60"/>
      <x:c r="CC914" s="58"/>
      <x:c r="CD914" s="47"/>
      <x:c r="CE914" s="60"/>
      <x:c r="CF914" s="58"/>
      <x:c r="CG914" s="47"/>
      <x:c r="CH914" s="60"/>
      <x:c r="CI914" s="58"/>
      <x:c r="CJ914" s="47"/>
      <x:c r="CK914" s="60"/>
      <x:c r="CL914" s="58"/>
      <x:c r="CM914" s="47"/>
      <x:c r="CN914" s="60"/>
      <x:c r="CO914" s="58"/>
      <x:c r="CP914" s="47"/>
      <x:c r="CQ914" s="60"/>
      <x:c r="CR914" s="58"/>
      <x:c r="CS914" s="47"/>
      <x:c r="CT914" s="60"/>
      <x:c r="CU914" s="58"/>
      <x:c r="CV914" s="47"/>
      <x:c r="CW914" s="60"/>
      <x:c r="CX914" s="58"/>
      <x:c r="CY914" s="47"/>
      <x:c r="CZ914" s="60"/>
      <x:c r="DA914" s="58"/>
      <x:c r="DB914" s="47"/>
      <x:c r="DC914" s="60"/>
      <x:c r="DD914" s="58"/>
      <x:c r="DE914" s="47"/>
      <x:c r="DF914" s="60"/>
      <x:c r="DG914" s="58"/>
      <x:c r="DH914" s="47"/>
      <x:c r="DI914" s="60"/>
      <x:c r="DJ914" s="58"/>
      <x:c r="DK914" s="47"/>
      <x:c r="DL914" s="60"/>
      <x:c r="DM914" s="58"/>
      <x:c r="DN914" s="11"/>
      <x:c r="DO914" s="61"/>
      <x:c r="DP914" s="62"/>
      <x:c r="DQ914" s="11"/>
      <x:c r="DR914" s="61"/>
      <x:c r="DS914" s="62"/>
      <x:c r="DT914" s="11"/>
      <x:c r="DU914" s="61"/>
      <x:c r="DV914" s="62"/>
    </x:row>
    <x:row r="915" spans="1:126" x14ac:dyDescent="0.3">
      <x:c r="A915" s="47"/>
      <x:c r="B915" s="70"/>
      <x:c r="C915" s="70"/>
      <x:c r="D915" s="70"/>
      <x:c r="E915" s="70"/>
      <x:c r="F915" s="70"/>
      <x:c r="G915" s="70"/>
      <x:c r="H915" s="70"/>
      <x:c r="I915" s="70"/>
      <x:c r="J915" s="70"/>
      <x:c r="K915" s="190"/>
      <x:c r="L915" s="195"/>
      <x:c r="M915" s="192"/>
      <x:c r="N915" s="192"/>
      <x:c r="O915" s="69"/>
      <x:c r="P915" s="47"/>
      <x:c r="Q915" s="60"/>
      <x:c r="R915" s="58"/>
      <x:c r="S915" s="47"/>
      <x:c r="T915" s="60"/>
      <x:c r="U915" s="58"/>
      <x:c r="V915" s="47"/>
      <x:c r="W915" s="60"/>
      <x:c r="X915" s="58"/>
      <x:c r="Y915" s="47"/>
      <x:c r="Z915" s="60"/>
      <x:c r="AA915" s="58"/>
      <x:c r="AB915" s="47"/>
      <x:c r="AC915" s="60"/>
      <x:c r="AD915" s="58"/>
      <x:c r="AE915" s="47"/>
      <x:c r="AF915" s="60"/>
      <x:c r="AG915" s="58"/>
      <x:c r="AH915" s="47"/>
      <x:c r="AI915" s="60"/>
      <x:c r="AJ915" s="58"/>
      <x:c r="AK915" s="47"/>
      <x:c r="AL915" s="60"/>
      <x:c r="AM915" s="58"/>
      <x:c r="AN915" s="47"/>
      <x:c r="AO915" s="60"/>
      <x:c r="AP915" s="58"/>
      <x:c r="AQ915" s="47"/>
      <x:c r="AR915" s="60"/>
      <x:c r="AS915" s="58"/>
      <x:c r="AT915" s="47"/>
      <x:c r="AU915" s="60"/>
      <x:c r="AV915" s="58"/>
      <x:c r="AW915" s="47"/>
      <x:c r="AX915" s="60"/>
      <x:c r="AY915" s="58"/>
      <x:c r="AZ915" s="47"/>
      <x:c r="BA915" s="60"/>
      <x:c r="BB915" s="58"/>
      <x:c r="BC915" s="47"/>
      <x:c r="BD915" s="60"/>
      <x:c r="BE915" s="58"/>
      <x:c r="BF915" s="47"/>
      <x:c r="BG915" s="60"/>
      <x:c r="BH915" s="58"/>
      <x:c r="BI915" s="47"/>
      <x:c r="BJ915" s="60"/>
      <x:c r="BK915" s="58"/>
      <x:c r="BL915" s="47"/>
      <x:c r="BM915" s="60"/>
      <x:c r="BN915" s="58"/>
      <x:c r="BO915" s="47"/>
      <x:c r="BP915" s="60"/>
      <x:c r="BQ915" s="58"/>
      <x:c r="BR915" s="47"/>
      <x:c r="BS915" s="60"/>
      <x:c r="BT915" s="58"/>
      <x:c r="BU915" s="47"/>
      <x:c r="BV915" s="60"/>
      <x:c r="BW915" s="58"/>
      <x:c r="BX915" s="47"/>
      <x:c r="BY915" s="60"/>
      <x:c r="BZ915" s="58"/>
      <x:c r="CA915" s="47"/>
      <x:c r="CB915" s="60"/>
      <x:c r="CC915" s="58"/>
      <x:c r="CD915" s="47"/>
      <x:c r="CE915" s="60"/>
      <x:c r="CF915" s="58"/>
      <x:c r="CG915" s="47"/>
      <x:c r="CH915" s="60"/>
      <x:c r="CI915" s="58"/>
      <x:c r="CJ915" s="47"/>
      <x:c r="CK915" s="60"/>
      <x:c r="CL915" s="58"/>
      <x:c r="CM915" s="47"/>
      <x:c r="CN915" s="60"/>
      <x:c r="CO915" s="58"/>
      <x:c r="CP915" s="47"/>
      <x:c r="CQ915" s="60"/>
      <x:c r="CR915" s="58"/>
      <x:c r="CS915" s="47"/>
      <x:c r="CT915" s="60"/>
      <x:c r="CU915" s="58"/>
      <x:c r="CV915" s="47"/>
      <x:c r="CW915" s="60"/>
      <x:c r="CX915" s="58"/>
      <x:c r="CY915" s="47"/>
      <x:c r="CZ915" s="60"/>
      <x:c r="DA915" s="58"/>
      <x:c r="DB915" s="47"/>
      <x:c r="DC915" s="60"/>
      <x:c r="DD915" s="58"/>
      <x:c r="DE915" s="47"/>
      <x:c r="DF915" s="60"/>
      <x:c r="DG915" s="58"/>
      <x:c r="DH915" s="47"/>
      <x:c r="DI915" s="60"/>
      <x:c r="DJ915" s="58"/>
      <x:c r="DK915" s="47"/>
      <x:c r="DL915" s="60"/>
      <x:c r="DM915" s="58"/>
      <x:c r="DN915" s="11"/>
      <x:c r="DO915" s="61"/>
      <x:c r="DP915" s="62"/>
      <x:c r="DQ915" s="11"/>
      <x:c r="DR915" s="61"/>
      <x:c r="DS915" s="62"/>
      <x:c r="DT915" s="11"/>
      <x:c r="DU915" s="61"/>
      <x:c r="DV915" s="62"/>
    </x:row>
    <x:row r="916" spans="1:126" x14ac:dyDescent="0.3">
      <x:c r="A916" s="47"/>
      <x:c r="B916" s="70"/>
      <x:c r="C916" s="70"/>
      <x:c r="D916" s="70"/>
      <x:c r="E916" s="70"/>
      <x:c r="F916" s="70"/>
      <x:c r="G916" s="70"/>
      <x:c r="H916" s="70"/>
      <x:c r="I916" s="70"/>
      <x:c r="J916" s="70"/>
      <x:c r="K916" s="190"/>
      <x:c r="L916" s="195"/>
      <x:c r="M916" s="192"/>
      <x:c r="N916" s="192"/>
      <x:c r="O916" s="69"/>
      <x:c r="P916" s="47"/>
      <x:c r="Q916" s="60"/>
      <x:c r="R916" s="58"/>
      <x:c r="S916" s="47"/>
      <x:c r="T916" s="60"/>
      <x:c r="U916" s="58"/>
      <x:c r="V916" s="47"/>
      <x:c r="W916" s="60"/>
      <x:c r="X916" s="58"/>
      <x:c r="Y916" s="47"/>
      <x:c r="Z916" s="60"/>
      <x:c r="AA916" s="58"/>
      <x:c r="AB916" s="47"/>
      <x:c r="AC916" s="60"/>
      <x:c r="AD916" s="58"/>
      <x:c r="AE916" s="47"/>
      <x:c r="AF916" s="60"/>
      <x:c r="AG916" s="58"/>
      <x:c r="AH916" s="47"/>
      <x:c r="AI916" s="60"/>
      <x:c r="AJ916" s="58"/>
      <x:c r="AK916" s="47"/>
      <x:c r="AL916" s="60"/>
      <x:c r="AM916" s="58"/>
      <x:c r="AN916" s="47"/>
      <x:c r="AO916" s="60"/>
      <x:c r="AP916" s="58"/>
      <x:c r="AQ916" s="47"/>
      <x:c r="AR916" s="60"/>
      <x:c r="AS916" s="58"/>
      <x:c r="AT916" s="47"/>
      <x:c r="AU916" s="60"/>
      <x:c r="AV916" s="58"/>
      <x:c r="AW916" s="47"/>
      <x:c r="AX916" s="60"/>
      <x:c r="AY916" s="58"/>
      <x:c r="AZ916" s="47"/>
      <x:c r="BA916" s="60"/>
      <x:c r="BB916" s="58"/>
      <x:c r="BC916" s="47"/>
      <x:c r="BD916" s="60"/>
      <x:c r="BE916" s="58"/>
      <x:c r="BF916" s="47"/>
      <x:c r="BG916" s="60"/>
      <x:c r="BH916" s="58"/>
      <x:c r="BI916" s="47"/>
      <x:c r="BJ916" s="60"/>
      <x:c r="BK916" s="58"/>
      <x:c r="BL916" s="47"/>
      <x:c r="BM916" s="60"/>
      <x:c r="BN916" s="58"/>
      <x:c r="BO916" s="47"/>
      <x:c r="BP916" s="60"/>
      <x:c r="BQ916" s="58"/>
      <x:c r="BR916" s="47"/>
      <x:c r="BS916" s="60"/>
      <x:c r="BT916" s="58"/>
      <x:c r="BU916" s="47"/>
      <x:c r="BV916" s="60"/>
      <x:c r="BW916" s="58"/>
      <x:c r="BX916" s="47"/>
      <x:c r="BY916" s="60"/>
      <x:c r="BZ916" s="58"/>
      <x:c r="CA916" s="47"/>
      <x:c r="CB916" s="60"/>
      <x:c r="CC916" s="58"/>
      <x:c r="CD916" s="47"/>
      <x:c r="CE916" s="60"/>
      <x:c r="CF916" s="58"/>
      <x:c r="CG916" s="47"/>
      <x:c r="CH916" s="60"/>
      <x:c r="CI916" s="58"/>
      <x:c r="CJ916" s="47"/>
      <x:c r="CK916" s="60"/>
      <x:c r="CL916" s="58"/>
      <x:c r="CM916" s="47"/>
      <x:c r="CN916" s="60"/>
      <x:c r="CO916" s="58"/>
      <x:c r="CP916" s="47"/>
      <x:c r="CQ916" s="60"/>
      <x:c r="CR916" s="58"/>
      <x:c r="CS916" s="47"/>
      <x:c r="CT916" s="60"/>
      <x:c r="CU916" s="58"/>
      <x:c r="CV916" s="47"/>
      <x:c r="CW916" s="60"/>
      <x:c r="CX916" s="58"/>
      <x:c r="CY916" s="47"/>
      <x:c r="CZ916" s="60"/>
      <x:c r="DA916" s="58"/>
      <x:c r="DB916" s="47"/>
      <x:c r="DC916" s="60"/>
      <x:c r="DD916" s="58"/>
      <x:c r="DE916" s="47"/>
      <x:c r="DF916" s="60"/>
      <x:c r="DG916" s="58"/>
      <x:c r="DH916" s="47"/>
      <x:c r="DI916" s="60"/>
      <x:c r="DJ916" s="58"/>
      <x:c r="DK916" s="47"/>
      <x:c r="DL916" s="60"/>
      <x:c r="DM916" s="58"/>
      <x:c r="DN916" s="11"/>
      <x:c r="DO916" s="61"/>
      <x:c r="DP916" s="62"/>
      <x:c r="DQ916" s="11"/>
      <x:c r="DR916" s="61"/>
      <x:c r="DS916" s="62"/>
      <x:c r="DT916" s="11"/>
      <x:c r="DU916" s="61"/>
      <x:c r="DV916" s="62"/>
    </x:row>
    <x:row r="917" spans="1:126" x14ac:dyDescent="0.3">
      <x:c r="A917" s="47"/>
      <x:c r="B917" s="70"/>
      <x:c r="C917" s="70"/>
      <x:c r="D917" s="70"/>
      <x:c r="E917" s="70"/>
      <x:c r="F917" s="70"/>
      <x:c r="G917" s="70"/>
      <x:c r="H917" s="70"/>
      <x:c r="I917" s="70"/>
      <x:c r="J917" s="70"/>
      <x:c r="K917" s="190"/>
      <x:c r="L917" s="195"/>
      <x:c r="M917" s="192"/>
      <x:c r="N917" s="192"/>
      <x:c r="O917" s="69"/>
      <x:c r="P917" s="47"/>
      <x:c r="Q917" s="60"/>
      <x:c r="R917" s="58"/>
      <x:c r="S917" s="47"/>
      <x:c r="T917" s="60"/>
      <x:c r="U917" s="58"/>
      <x:c r="V917" s="47"/>
      <x:c r="W917" s="60"/>
      <x:c r="X917" s="58"/>
      <x:c r="Y917" s="47"/>
      <x:c r="Z917" s="60"/>
      <x:c r="AA917" s="58"/>
      <x:c r="AB917" s="47"/>
      <x:c r="AC917" s="60"/>
      <x:c r="AD917" s="58"/>
      <x:c r="AE917" s="47"/>
      <x:c r="AF917" s="60"/>
      <x:c r="AG917" s="58"/>
      <x:c r="AH917" s="47"/>
      <x:c r="AI917" s="60"/>
      <x:c r="AJ917" s="58"/>
      <x:c r="AK917" s="47"/>
      <x:c r="AL917" s="60"/>
      <x:c r="AM917" s="58"/>
      <x:c r="AN917" s="47"/>
      <x:c r="AO917" s="60"/>
      <x:c r="AP917" s="58"/>
      <x:c r="AQ917" s="47"/>
      <x:c r="AR917" s="60"/>
      <x:c r="AS917" s="58"/>
      <x:c r="AT917" s="47"/>
      <x:c r="AU917" s="60"/>
      <x:c r="AV917" s="58"/>
      <x:c r="AW917" s="47"/>
      <x:c r="AX917" s="60"/>
      <x:c r="AY917" s="58"/>
      <x:c r="AZ917" s="47"/>
      <x:c r="BA917" s="60"/>
      <x:c r="BB917" s="58"/>
      <x:c r="BC917" s="47"/>
      <x:c r="BD917" s="60"/>
      <x:c r="BE917" s="58"/>
      <x:c r="BF917" s="47"/>
      <x:c r="BG917" s="60"/>
      <x:c r="BH917" s="58"/>
      <x:c r="BI917" s="47"/>
      <x:c r="BJ917" s="60"/>
      <x:c r="BK917" s="58"/>
      <x:c r="BL917" s="47"/>
      <x:c r="BM917" s="60"/>
      <x:c r="BN917" s="58"/>
      <x:c r="BO917" s="47"/>
      <x:c r="BP917" s="60"/>
      <x:c r="BQ917" s="58"/>
      <x:c r="BR917" s="47"/>
      <x:c r="BS917" s="60"/>
      <x:c r="BT917" s="58"/>
      <x:c r="BU917" s="47"/>
      <x:c r="BV917" s="60"/>
      <x:c r="BW917" s="58"/>
      <x:c r="BX917" s="47"/>
      <x:c r="BY917" s="60"/>
      <x:c r="BZ917" s="58"/>
      <x:c r="CA917" s="47"/>
      <x:c r="CB917" s="60"/>
      <x:c r="CC917" s="58"/>
      <x:c r="CD917" s="47"/>
      <x:c r="CE917" s="60"/>
      <x:c r="CF917" s="58"/>
      <x:c r="CG917" s="47"/>
      <x:c r="CH917" s="60"/>
      <x:c r="CI917" s="58"/>
      <x:c r="CJ917" s="47"/>
      <x:c r="CK917" s="60"/>
      <x:c r="CL917" s="58"/>
      <x:c r="CM917" s="47"/>
      <x:c r="CN917" s="60"/>
      <x:c r="CO917" s="58"/>
      <x:c r="CP917" s="47"/>
      <x:c r="CQ917" s="60"/>
      <x:c r="CR917" s="58"/>
      <x:c r="CS917" s="47"/>
      <x:c r="CT917" s="60"/>
      <x:c r="CU917" s="58"/>
      <x:c r="CV917" s="47"/>
      <x:c r="CW917" s="60"/>
      <x:c r="CX917" s="58"/>
      <x:c r="CY917" s="47"/>
      <x:c r="CZ917" s="60"/>
      <x:c r="DA917" s="58"/>
      <x:c r="DB917" s="47"/>
      <x:c r="DC917" s="60"/>
      <x:c r="DD917" s="58"/>
      <x:c r="DE917" s="47"/>
      <x:c r="DF917" s="60"/>
      <x:c r="DG917" s="58"/>
      <x:c r="DH917" s="47"/>
      <x:c r="DI917" s="60"/>
      <x:c r="DJ917" s="58"/>
      <x:c r="DK917" s="47"/>
      <x:c r="DL917" s="60"/>
      <x:c r="DM917" s="58"/>
      <x:c r="DN917" s="11"/>
      <x:c r="DO917" s="61"/>
      <x:c r="DP917" s="62"/>
      <x:c r="DQ917" s="11"/>
      <x:c r="DR917" s="61"/>
      <x:c r="DS917" s="62"/>
      <x:c r="DT917" s="11"/>
      <x:c r="DU917" s="61"/>
      <x:c r="DV917" s="62"/>
    </x:row>
    <x:row r="918" spans="1:126" x14ac:dyDescent="0.3">
      <x:c r="A918" s="47"/>
      <x:c r="B918" s="70"/>
      <x:c r="C918" s="70"/>
      <x:c r="D918" s="70"/>
      <x:c r="E918" s="70"/>
      <x:c r="F918" s="70"/>
      <x:c r="G918" s="70"/>
      <x:c r="H918" s="70"/>
      <x:c r="I918" s="70"/>
      <x:c r="J918" s="70"/>
      <x:c r="K918" s="190"/>
      <x:c r="L918" s="195"/>
      <x:c r="M918" s="192"/>
      <x:c r="N918" s="192"/>
      <x:c r="O918" s="69"/>
      <x:c r="P918" s="47"/>
      <x:c r="Q918" s="60"/>
      <x:c r="R918" s="58"/>
      <x:c r="S918" s="47"/>
      <x:c r="T918" s="60"/>
      <x:c r="U918" s="58"/>
      <x:c r="V918" s="47"/>
      <x:c r="W918" s="60"/>
      <x:c r="X918" s="58"/>
      <x:c r="Y918" s="47"/>
      <x:c r="Z918" s="60"/>
      <x:c r="AA918" s="58"/>
      <x:c r="AB918" s="47"/>
      <x:c r="AC918" s="60"/>
      <x:c r="AD918" s="58"/>
      <x:c r="AE918" s="47"/>
      <x:c r="AF918" s="60"/>
      <x:c r="AG918" s="58"/>
      <x:c r="AH918" s="47"/>
      <x:c r="AI918" s="60"/>
      <x:c r="AJ918" s="58"/>
      <x:c r="AK918" s="47"/>
      <x:c r="AL918" s="60"/>
      <x:c r="AM918" s="58"/>
      <x:c r="AN918" s="47"/>
      <x:c r="AO918" s="60"/>
      <x:c r="AP918" s="58"/>
      <x:c r="AQ918" s="47"/>
      <x:c r="AR918" s="60"/>
      <x:c r="AS918" s="58"/>
      <x:c r="AT918" s="47"/>
      <x:c r="AU918" s="60"/>
      <x:c r="AV918" s="58"/>
      <x:c r="AW918" s="47"/>
      <x:c r="AX918" s="60"/>
      <x:c r="AY918" s="58"/>
      <x:c r="AZ918" s="47"/>
      <x:c r="BA918" s="60"/>
      <x:c r="BB918" s="58"/>
      <x:c r="BC918" s="47"/>
      <x:c r="BD918" s="60"/>
      <x:c r="BE918" s="58"/>
      <x:c r="BF918" s="47"/>
      <x:c r="BG918" s="60"/>
      <x:c r="BH918" s="58"/>
      <x:c r="BI918" s="47"/>
      <x:c r="BJ918" s="60"/>
      <x:c r="BK918" s="58"/>
      <x:c r="BL918" s="47"/>
      <x:c r="BM918" s="60"/>
      <x:c r="BN918" s="58"/>
      <x:c r="BO918" s="47"/>
      <x:c r="BP918" s="60"/>
      <x:c r="BQ918" s="58"/>
      <x:c r="BR918" s="47"/>
      <x:c r="BS918" s="60"/>
      <x:c r="BT918" s="58"/>
      <x:c r="BU918" s="47"/>
      <x:c r="BV918" s="60"/>
      <x:c r="BW918" s="58"/>
      <x:c r="BX918" s="47"/>
      <x:c r="BY918" s="60"/>
      <x:c r="BZ918" s="58"/>
      <x:c r="CA918" s="47"/>
      <x:c r="CB918" s="60"/>
      <x:c r="CC918" s="58"/>
      <x:c r="CD918" s="47"/>
      <x:c r="CE918" s="60"/>
      <x:c r="CF918" s="58"/>
      <x:c r="CG918" s="47"/>
      <x:c r="CH918" s="60"/>
      <x:c r="CI918" s="58"/>
      <x:c r="CJ918" s="47"/>
      <x:c r="CK918" s="60"/>
      <x:c r="CL918" s="58"/>
      <x:c r="CM918" s="47"/>
      <x:c r="CN918" s="60"/>
      <x:c r="CO918" s="58"/>
      <x:c r="CP918" s="47"/>
      <x:c r="CQ918" s="60"/>
      <x:c r="CR918" s="58"/>
      <x:c r="CS918" s="47"/>
      <x:c r="CT918" s="60"/>
      <x:c r="CU918" s="58"/>
      <x:c r="CV918" s="47"/>
      <x:c r="CW918" s="60"/>
      <x:c r="CX918" s="58"/>
      <x:c r="CY918" s="47"/>
      <x:c r="CZ918" s="60"/>
      <x:c r="DA918" s="58"/>
      <x:c r="DB918" s="47"/>
      <x:c r="DC918" s="60"/>
      <x:c r="DD918" s="58"/>
      <x:c r="DE918" s="47"/>
      <x:c r="DF918" s="60"/>
      <x:c r="DG918" s="58"/>
      <x:c r="DH918" s="47"/>
      <x:c r="DI918" s="60"/>
      <x:c r="DJ918" s="58"/>
      <x:c r="DK918" s="47"/>
      <x:c r="DL918" s="60"/>
      <x:c r="DM918" s="58"/>
      <x:c r="DN918" s="11"/>
      <x:c r="DO918" s="61"/>
      <x:c r="DP918" s="62"/>
      <x:c r="DQ918" s="11"/>
      <x:c r="DR918" s="61"/>
      <x:c r="DS918" s="62"/>
      <x:c r="DT918" s="11"/>
      <x:c r="DU918" s="61"/>
      <x:c r="DV918" s="62"/>
    </x:row>
    <x:row r="919" spans="1:126" x14ac:dyDescent="0.3">
      <x:c r="A919" s="47"/>
      <x:c r="B919" s="70"/>
      <x:c r="C919" s="70"/>
      <x:c r="D919" s="70"/>
      <x:c r="E919" s="70"/>
      <x:c r="F919" s="70"/>
      <x:c r="G919" s="70"/>
      <x:c r="H919" s="70"/>
      <x:c r="I919" s="70"/>
      <x:c r="J919" s="70"/>
      <x:c r="K919" s="190"/>
      <x:c r="L919" s="195"/>
      <x:c r="M919" s="192"/>
      <x:c r="N919" s="192"/>
      <x:c r="O919" s="69"/>
      <x:c r="P919" s="47"/>
      <x:c r="Q919" s="60"/>
      <x:c r="R919" s="58"/>
      <x:c r="S919" s="47"/>
      <x:c r="T919" s="60"/>
      <x:c r="U919" s="58"/>
      <x:c r="V919" s="47"/>
      <x:c r="W919" s="60"/>
      <x:c r="X919" s="58"/>
      <x:c r="Y919" s="47"/>
      <x:c r="Z919" s="60"/>
      <x:c r="AA919" s="58"/>
      <x:c r="AB919" s="47"/>
      <x:c r="AC919" s="60"/>
      <x:c r="AD919" s="58"/>
      <x:c r="AE919" s="47"/>
      <x:c r="AF919" s="60"/>
      <x:c r="AG919" s="58"/>
      <x:c r="AH919" s="47"/>
      <x:c r="AI919" s="60"/>
      <x:c r="AJ919" s="58"/>
      <x:c r="AK919" s="47"/>
      <x:c r="AL919" s="60"/>
      <x:c r="AM919" s="58"/>
      <x:c r="AN919" s="47"/>
      <x:c r="AO919" s="60"/>
      <x:c r="AP919" s="58"/>
      <x:c r="AQ919" s="47"/>
      <x:c r="AR919" s="60"/>
      <x:c r="AS919" s="58"/>
      <x:c r="AT919" s="47"/>
      <x:c r="AU919" s="60"/>
      <x:c r="AV919" s="58"/>
      <x:c r="AW919" s="47"/>
      <x:c r="AX919" s="60"/>
      <x:c r="AY919" s="58"/>
      <x:c r="AZ919" s="47"/>
      <x:c r="BA919" s="60"/>
      <x:c r="BB919" s="58"/>
      <x:c r="BC919" s="47"/>
      <x:c r="BD919" s="60"/>
      <x:c r="BE919" s="58"/>
      <x:c r="BF919" s="47"/>
      <x:c r="BG919" s="60"/>
      <x:c r="BH919" s="58"/>
      <x:c r="BI919" s="47"/>
      <x:c r="BJ919" s="60"/>
      <x:c r="BK919" s="58"/>
      <x:c r="BL919" s="47"/>
      <x:c r="BM919" s="60"/>
      <x:c r="BN919" s="58"/>
      <x:c r="BO919" s="47"/>
      <x:c r="BP919" s="60"/>
      <x:c r="BQ919" s="58"/>
      <x:c r="BR919" s="47"/>
      <x:c r="BS919" s="60"/>
      <x:c r="BT919" s="58"/>
      <x:c r="BU919" s="47"/>
      <x:c r="BV919" s="60"/>
      <x:c r="BW919" s="58"/>
      <x:c r="BX919" s="47"/>
      <x:c r="BY919" s="60"/>
      <x:c r="BZ919" s="58"/>
      <x:c r="CA919" s="47"/>
      <x:c r="CB919" s="60"/>
      <x:c r="CC919" s="58"/>
      <x:c r="CD919" s="47"/>
      <x:c r="CE919" s="60"/>
      <x:c r="CF919" s="58"/>
      <x:c r="CG919" s="47"/>
      <x:c r="CH919" s="60"/>
      <x:c r="CI919" s="58"/>
      <x:c r="CJ919" s="47"/>
      <x:c r="CK919" s="60"/>
      <x:c r="CL919" s="58"/>
      <x:c r="CM919" s="47"/>
      <x:c r="CN919" s="60"/>
      <x:c r="CO919" s="58"/>
      <x:c r="CP919" s="47"/>
      <x:c r="CQ919" s="60"/>
      <x:c r="CR919" s="58"/>
      <x:c r="CS919" s="47"/>
      <x:c r="CT919" s="60"/>
      <x:c r="CU919" s="58"/>
      <x:c r="CV919" s="47"/>
      <x:c r="CW919" s="60"/>
      <x:c r="CX919" s="58"/>
      <x:c r="CY919" s="47"/>
      <x:c r="CZ919" s="60"/>
      <x:c r="DA919" s="58"/>
      <x:c r="DB919" s="47"/>
      <x:c r="DC919" s="60"/>
      <x:c r="DD919" s="58"/>
      <x:c r="DE919" s="47"/>
      <x:c r="DF919" s="60"/>
      <x:c r="DG919" s="58"/>
      <x:c r="DH919" s="47"/>
      <x:c r="DI919" s="60"/>
      <x:c r="DJ919" s="58"/>
      <x:c r="DK919" s="47"/>
      <x:c r="DL919" s="60"/>
      <x:c r="DM919" s="58"/>
      <x:c r="DN919" s="11"/>
      <x:c r="DO919" s="61"/>
      <x:c r="DP919" s="62"/>
      <x:c r="DQ919" s="11"/>
      <x:c r="DR919" s="61"/>
      <x:c r="DS919" s="62"/>
      <x:c r="DT919" s="11"/>
      <x:c r="DU919" s="61"/>
      <x:c r="DV919" s="62"/>
    </x:row>
    <x:row r="920" spans="1:126" x14ac:dyDescent="0.3">
      <x:c r="A920" s="47"/>
      <x:c r="B920" s="70"/>
      <x:c r="C920" s="70"/>
      <x:c r="D920" s="70"/>
      <x:c r="E920" s="70"/>
      <x:c r="F920" s="70"/>
      <x:c r="G920" s="70"/>
      <x:c r="H920" s="70"/>
      <x:c r="I920" s="70"/>
      <x:c r="J920" s="70"/>
      <x:c r="K920" s="190"/>
      <x:c r="L920" s="195"/>
      <x:c r="M920" s="192"/>
      <x:c r="N920" s="192"/>
      <x:c r="O920" s="69"/>
      <x:c r="P920" s="47"/>
      <x:c r="Q920" s="60"/>
      <x:c r="R920" s="58"/>
      <x:c r="S920" s="47"/>
      <x:c r="T920" s="60"/>
      <x:c r="U920" s="58"/>
      <x:c r="V920" s="47"/>
      <x:c r="W920" s="60"/>
      <x:c r="X920" s="58"/>
      <x:c r="Y920" s="47"/>
      <x:c r="Z920" s="60"/>
      <x:c r="AA920" s="58"/>
      <x:c r="AB920" s="47"/>
      <x:c r="AC920" s="60"/>
      <x:c r="AD920" s="58"/>
      <x:c r="AE920" s="47"/>
      <x:c r="AF920" s="60"/>
      <x:c r="AG920" s="58"/>
      <x:c r="AH920" s="47"/>
      <x:c r="AI920" s="60"/>
      <x:c r="AJ920" s="58"/>
      <x:c r="AK920" s="47"/>
      <x:c r="AL920" s="60"/>
      <x:c r="AM920" s="58"/>
      <x:c r="AN920" s="47"/>
      <x:c r="AO920" s="60"/>
      <x:c r="AP920" s="58"/>
      <x:c r="AQ920" s="47"/>
      <x:c r="AR920" s="60"/>
      <x:c r="AS920" s="58"/>
      <x:c r="AT920" s="47"/>
      <x:c r="AU920" s="60"/>
      <x:c r="AV920" s="58"/>
      <x:c r="AW920" s="47"/>
      <x:c r="AX920" s="60"/>
      <x:c r="AY920" s="58"/>
      <x:c r="AZ920" s="47"/>
      <x:c r="BA920" s="60"/>
      <x:c r="BB920" s="58"/>
      <x:c r="BC920" s="47"/>
      <x:c r="BD920" s="60"/>
      <x:c r="BE920" s="58"/>
      <x:c r="BF920" s="47"/>
      <x:c r="BG920" s="60"/>
      <x:c r="BH920" s="58"/>
      <x:c r="BI920" s="47"/>
      <x:c r="BJ920" s="60"/>
      <x:c r="BK920" s="58"/>
      <x:c r="BL920" s="47"/>
      <x:c r="BM920" s="60"/>
      <x:c r="BN920" s="58"/>
      <x:c r="BO920" s="47"/>
      <x:c r="BP920" s="60"/>
      <x:c r="BQ920" s="58"/>
      <x:c r="BR920" s="47"/>
      <x:c r="BS920" s="60"/>
      <x:c r="BT920" s="58"/>
      <x:c r="BU920" s="47"/>
      <x:c r="BV920" s="60"/>
      <x:c r="BW920" s="58"/>
      <x:c r="BX920" s="47"/>
      <x:c r="BY920" s="60"/>
      <x:c r="BZ920" s="58"/>
      <x:c r="CA920" s="47"/>
      <x:c r="CB920" s="60"/>
      <x:c r="CC920" s="58"/>
      <x:c r="CD920" s="47"/>
      <x:c r="CE920" s="60"/>
      <x:c r="CF920" s="58"/>
      <x:c r="CG920" s="47"/>
      <x:c r="CH920" s="60"/>
      <x:c r="CI920" s="58"/>
      <x:c r="CJ920" s="47"/>
      <x:c r="CK920" s="60"/>
      <x:c r="CL920" s="58"/>
      <x:c r="CM920" s="47"/>
      <x:c r="CN920" s="60"/>
      <x:c r="CO920" s="58"/>
      <x:c r="CP920" s="47"/>
      <x:c r="CQ920" s="60"/>
      <x:c r="CR920" s="58"/>
      <x:c r="CS920" s="47"/>
      <x:c r="CT920" s="60"/>
      <x:c r="CU920" s="58"/>
      <x:c r="CV920" s="47"/>
      <x:c r="CW920" s="60"/>
      <x:c r="CX920" s="58"/>
      <x:c r="CY920" s="47"/>
      <x:c r="CZ920" s="60"/>
      <x:c r="DA920" s="58"/>
      <x:c r="DB920" s="47"/>
      <x:c r="DC920" s="60"/>
      <x:c r="DD920" s="58"/>
      <x:c r="DE920" s="47"/>
      <x:c r="DF920" s="60"/>
      <x:c r="DG920" s="58"/>
      <x:c r="DH920" s="47"/>
      <x:c r="DI920" s="60"/>
      <x:c r="DJ920" s="58"/>
      <x:c r="DK920" s="47"/>
      <x:c r="DL920" s="60"/>
      <x:c r="DM920" s="58"/>
      <x:c r="DN920" s="11"/>
      <x:c r="DO920" s="61"/>
      <x:c r="DP920" s="62"/>
      <x:c r="DQ920" s="11"/>
      <x:c r="DR920" s="61"/>
      <x:c r="DS920" s="62"/>
      <x:c r="DT920" s="11"/>
      <x:c r="DU920" s="61"/>
      <x:c r="DV920" s="62"/>
    </x:row>
    <x:row r="921" spans="1:126" x14ac:dyDescent="0.3">
      <x:c r="A921" s="47"/>
      <x:c r="B921" s="70"/>
      <x:c r="C921" s="70"/>
      <x:c r="D921" s="70"/>
      <x:c r="E921" s="70"/>
      <x:c r="F921" s="70"/>
      <x:c r="G921" s="70"/>
      <x:c r="H921" s="70"/>
      <x:c r="I921" s="70"/>
      <x:c r="J921" s="70"/>
      <x:c r="K921" s="190"/>
      <x:c r="L921" s="195"/>
      <x:c r="M921" s="192"/>
      <x:c r="N921" s="192"/>
      <x:c r="O921" s="69"/>
      <x:c r="P921" s="47"/>
      <x:c r="Q921" s="60"/>
      <x:c r="R921" s="58"/>
      <x:c r="S921" s="47"/>
      <x:c r="T921" s="60"/>
      <x:c r="U921" s="58"/>
      <x:c r="V921" s="47"/>
      <x:c r="W921" s="60"/>
      <x:c r="X921" s="58"/>
      <x:c r="Y921" s="47"/>
      <x:c r="Z921" s="60"/>
      <x:c r="AA921" s="58"/>
      <x:c r="AB921" s="47"/>
      <x:c r="AC921" s="60"/>
      <x:c r="AD921" s="58"/>
      <x:c r="AE921" s="47"/>
      <x:c r="AF921" s="60"/>
      <x:c r="AG921" s="58"/>
      <x:c r="AH921" s="47"/>
      <x:c r="AI921" s="60"/>
      <x:c r="AJ921" s="58"/>
      <x:c r="AK921" s="47"/>
      <x:c r="AL921" s="60"/>
      <x:c r="AM921" s="58"/>
      <x:c r="AN921" s="47"/>
      <x:c r="AO921" s="60"/>
      <x:c r="AP921" s="58"/>
      <x:c r="AQ921" s="47"/>
      <x:c r="AR921" s="60"/>
      <x:c r="AS921" s="58"/>
      <x:c r="AT921" s="47"/>
      <x:c r="AU921" s="60"/>
      <x:c r="AV921" s="58"/>
      <x:c r="AW921" s="47"/>
      <x:c r="AX921" s="60"/>
      <x:c r="AY921" s="58"/>
      <x:c r="AZ921" s="47"/>
      <x:c r="BA921" s="60"/>
      <x:c r="BB921" s="58"/>
      <x:c r="BC921" s="47"/>
      <x:c r="BD921" s="60"/>
      <x:c r="BE921" s="58"/>
      <x:c r="BF921" s="47"/>
      <x:c r="BG921" s="60"/>
      <x:c r="BH921" s="58"/>
      <x:c r="BI921" s="47"/>
      <x:c r="BJ921" s="60"/>
      <x:c r="BK921" s="58"/>
      <x:c r="BL921" s="47"/>
      <x:c r="BM921" s="60"/>
      <x:c r="BN921" s="58"/>
      <x:c r="BO921" s="47"/>
      <x:c r="BP921" s="60"/>
      <x:c r="BQ921" s="58"/>
      <x:c r="BR921" s="47"/>
      <x:c r="BS921" s="60"/>
      <x:c r="BT921" s="58"/>
      <x:c r="BU921" s="47"/>
      <x:c r="BV921" s="60"/>
      <x:c r="BW921" s="58"/>
      <x:c r="BX921" s="47"/>
      <x:c r="BY921" s="60"/>
      <x:c r="BZ921" s="58"/>
      <x:c r="CA921" s="47"/>
      <x:c r="CB921" s="60"/>
      <x:c r="CC921" s="58"/>
      <x:c r="CD921" s="47"/>
      <x:c r="CE921" s="60"/>
      <x:c r="CF921" s="58"/>
      <x:c r="CG921" s="47"/>
      <x:c r="CH921" s="60"/>
      <x:c r="CI921" s="58"/>
      <x:c r="CJ921" s="47"/>
      <x:c r="CK921" s="60"/>
      <x:c r="CL921" s="58"/>
      <x:c r="CM921" s="47"/>
      <x:c r="CN921" s="60"/>
      <x:c r="CO921" s="58"/>
      <x:c r="CP921" s="47"/>
      <x:c r="CQ921" s="60"/>
      <x:c r="CR921" s="58"/>
      <x:c r="CS921" s="47"/>
      <x:c r="CT921" s="60"/>
      <x:c r="CU921" s="58"/>
      <x:c r="CV921" s="47"/>
      <x:c r="CW921" s="60"/>
      <x:c r="CX921" s="58"/>
      <x:c r="CY921" s="47"/>
      <x:c r="CZ921" s="60"/>
      <x:c r="DA921" s="58"/>
      <x:c r="DB921" s="47"/>
      <x:c r="DC921" s="60"/>
      <x:c r="DD921" s="58"/>
      <x:c r="DE921" s="47"/>
      <x:c r="DF921" s="60"/>
      <x:c r="DG921" s="58"/>
      <x:c r="DH921" s="47"/>
      <x:c r="DI921" s="60"/>
      <x:c r="DJ921" s="58"/>
      <x:c r="DK921" s="47"/>
      <x:c r="DL921" s="60"/>
      <x:c r="DM921" s="58"/>
      <x:c r="DN921" s="11"/>
      <x:c r="DO921" s="61"/>
      <x:c r="DP921" s="62"/>
      <x:c r="DQ921" s="11"/>
      <x:c r="DR921" s="61"/>
      <x:c r="DS921" s="62"/>
      <x:c r="DT921" s="11"/>
      <x:c r="DU921" s="61"/>
      <x:c r="DV921" s="62"/>
    </x:row>
    <x:row r="922" spans="1:126" x14ac:dyDescent="0.3">
      <x:c r="A922" s="47"/>
      <x:c r="B922" s="70"/>
      <x:c r="C922" s="70"/>
      <x:c r="D922" s="70"/>
      <x:c r="E922" s="70"/>
      <x:c r="F922" s="70"/>
      <x:c r="G922" s="70"/>
      <x:c r="H922" s="70"/>
      <x:c r="I922" s="70"/>
      <x:c r="J922" s="70"/>
      <x:c r="K922" s="190"/>
      <x:c r="L922" s="195"/>
      <x:c r="M922" s="192"/>
      <x:c r="N922" s="192"/>
      <x:c r="O922" s="69"/>
      <x:c r="P922" s="47"/>
      <x:c r="Q922" s="60"/>
      <x:c r="R922" s="58"/>
      <x:c r="S922" s="47"/>
      <x:c r="T922" s="60"/>
      <x:c r="U922" s="58"/>
      <x:c r="V922" s="47"/>
      <x:c r="W922" s="60"/>
      <x:c r="X922" s="58"/>
      <x:c r="Y922" s="47"/>
      <x:c r="Z922" s="60"/>
      <x:c r="AA922" s="58"/>
      <x:c r="AB922" s="47"/>
      <x:c r="AC922" s="60"/>
      <x:c r="AD922" s="58"/>
      <x:c r="AE922" s="47"/>
      <x:c r="AF922" s="60"/>
      <x:c r="AG922" s="58"/>
      <x:c r="AH922" s="47"/>
      <x:c r="AI922" s="60"/>
      <x:c r="AJ922" s="58"/>
      <x:c r="AK922" s="47"/>
      <x:c r="AL922" s="60"/>
      <x:c r="AM922" s="58"/>
      <x:c r="AN922" s="47"/>
      <x:c r="AO922" s="60"/>
      <x:c r="AP922" s="58"/>
      <x:c r="AQ922" s="47"/>
      <x:c r="AR922" s="60"/>
      <x:c r="AS922" s="58"/>
      <x:c r="AT922" s="47"/>
      <x:c r="AU922" s="60"/>
      <x:c r="AV922" s="58"/>
      <x:c r="AW922" s="47"/>
      <x:c r="AX922" s="60"/>
      <x:c r="AY922" s="58"/>
      <x:c r="AZ922" s="47"/>
      <x:c r="BA922" s="60"/>
      <x:c r="BB922" s="58"/>
      <x:c r="BC922" s="47"/>
      <x:c r="BD922" s="60"/>
      <x:c r="BE922" s="58"/>
      <x:c r="BF922" s="47"/>
      <x:c r="BG922" s="60"/>
      <x:c r="BH922" s="58"/>
      <x:c r="BI922" s="47"/>
      <x:c r="BJ922" s="60"/>
      <x:c r="BK922" s="58"/>
      <x:c r="BL922" s="47"/>
      <x:c r="BM922" s="60"/>
      <x:c r="BN922" s="58"/>
      <x:c r="BO922" s="47"/>
      <x:c r="BP922" s="60"/>
      <x:c r="BQ922" s="58"/>
      <x:c r="BR922" s="47"/>
      <x:c r="BS922" s="60"/>
      <x:c r="BT922" s="58"/>
      <x:c r="BU922" s="47"/>
      <x:c r="BV922" s="60"/>
      <x:c r="BW922" s="58"/>
      <x:c r="BX922" s="47"/>
      <x:c r="BY922" s="60"/>
      <x:c r="BZ922" s="58"/>
      <x:c r="CA922" s="47"/>
      <x:c r="CB922" s="60"/>
      <x:c r="CC922" s="58"/>
      <x:c r="CD922" s="47"/>
      <x:c r="CE922" s="60"/>
      <x:c r="CF922" s="58"/>
      <x:c r="CG922" s="47"/>
      <x:c r="CH922" s="60"/>
      <x:c r="CI922" s="58"/>
      <x:c r="CJ922" s="47"/>
      <x:c r="CK922" s="60"/>
      <x:c r="CL922" s="58"/>
      <x:c r="CM922" s="47"/>
      <x:c r="CN922" s="60"/>
      <x:c r="CO922" s="58"/>
      <x:c r="CP922" s="47"/>
      <x:c r="CQ922" s="60"/>
      <x:c r="CR922" s="58"/>
      <x:c r="CS922" s="47"/>
      <x:c r="CT922" s="60"/>
      <x:c r="CU922" s="58"/>
      <x:c r="CV922" s="47"/>
      <x:c r="CW922" s="60"/>
      <x:c r="CX922" s="58"/>
      <x:c r="CY922" s="47"/>
      <x:c r="CZ922" s="60"/>
      <x:c r="DA922" s="58"/>
      <x:c r="DB922" s="47"/>
      <x:c r="DC922" s="60"/>
      <x:c r="DD922" s="58"/>
      <x:c r="DE922" s="47"/>
      <x:c r="DF922" s="60"/>
      <x:c r="DG922" s="58"/>
      <x:c r="DH922" s="47"/>
      <x:c r="DI922" s="60"/>
      <x:c r="DJ922" s="58"/>
      <x:c r="DK922" s="47"/>
      <x:c r="DL922" s="60"/>
      <x:c r="DM922" s="58"/>
      <x:c r="DN922" s="11"/>
      <x:c r="DO922" s="61"/>
      <x:c r="DP922" s="62"/>
      <x:c r="DQ922" s="11"/>
      <x:c r="DR922" s="61"/>
      <x:c r="DS922" s="62"/>
      <x:c r="DT922" s="11"/>
      <x:c r="DU922" s="61"/>
      <x:c r="DV922" s="62"/>
    </x:row>
    <x:row r="923" spans="1:126" x14ac:dyDescent="0.3">
      <x:c r="A923" s="47"/>
      <x:c r="B923" s="70"/>
      <x:c r="C923" s="70"/>
      <x:c r="D923" s="70"/>
      <x:c r="E923" s="70"/>
      <x:c r="F923" s="70"/>
      <x:c r="G923" s="70"/>
      <x:c r="H923" s="70"/>
      <x:c r="I923" s="70"/>
      <x:c r="J923" s="70"/>
      <x:c r="K923" s="190"/>
      <x:c r="L923" s="195"/>
      <x:c r="M923" s="192"/>
      <x:c r="N923" s="192"/>
      <x:c r="O923" s="69"/>
      <x:c r="P923" s="47"/>
      <x:c r="Q923" s="60"/>
      <x:c r="R923" s="58"/>
      <x:c r="S923" s="47"/>
      <x:c r="T923" s="60"/>
      <x:c r="U923" s="58"/>
      <x:c r="V923" s="47"/>
      <x:c r="W923" s="60"/>
      <x:c r="X923" s="58"/>
      <x:c r="Y923" s="47"/>
      <x:c r="Z923" s="60"/>
      <x:c r="AA923" s="58"/>
      <x:c r="AB923" s="47"/>
      <x:c r="AC923" s="60"/>
      <x:c r="AD923" s="58"/>
      <x:c r="AE923" s="47"/>
      <x:c r="AF923" s="60"/>
      <x:c r="AG923" s="58"/>
      <x:c r="AH923" s="47"/>
      <x:c r="AI923" s="60"/>
      <x:c r="AJ923" s="58"/>
      <x:c r="AK923" s="47"/>
      <x:c r="AL923" s="60"/>
      <x:c r="AM923" s="58"/>
      <x:c r="AN923" s="47"/>
      <x:c r="AO923" s="60"/>
      <x:c r="AP923" s="58"/>
      <x:c r="AQ923" s="47"/>
      <x:c r="AR923" s="60"/>
      <x:c r="AS923" s="58"/>
      <x:c r="AT923" s="47"/>
      <x:c r="AU923" s="60"/>
      <x:c r="AV923" s="58"/>
      <x:c r="AW923" s="47"/>
      <x:c r="AX923" s="60"/>
      <x:c r="AY923" s="58"/>
      <x:c r="AZ923" s="47"/>
      <x:c r="BA923" s="60"/>
      <x:c r="BB923" s="58"/>
      <x:c r="BC923" s="47"/>
      <x:c r="BD923" s="60"/>
      <x:c r="BE923" s="58"/>
      <x:c r="BF923" s="47"/>
      <x:c r="BG923" s="60"/>
      <x:c r="BH923" s="58"/>
      <x:c r="BI923" s="47"/>
      <x:c r="BJ923" s="60"/>
      <x:c r="BK923" s="58"/>
      <x:c r="BL923" s="47"/>
      <x:c r="BM923" s="60"/>
      <x:c r="BN923" s="58"/>
      <x:c r="BO923" s="47"/>
      <x:c r="BP923" s="60"/>
      <x:c r="BQ923" s="58"/>
      <x:c r="BR923" s="47"/>
      <x:c r="BS923" s="60"/>
      <x:c r="BT923" s="58"/>
      <x:c r="BU923" s="47"/>
      <x:c r="BV923" s="60"/>
      <x:c r="BW923" s="58"/>
      <x:c r="BX923" s="47"/>
      <x:c r="BY923" s="60"/>
      <x:c r="BZ923" s="58"/>
      <x:c r="CA923" s="47"/>
      <x:c r="CB923" s="60"/>
      <x:c r="CC923" s="58"/>
      <x:c r="CD923" s="47"/>
      <x:c r="CE923" s="60"/>
      <x:c r="CF923" s="58"/>
      <x:c r="CG923" s="47"/>
      <x:c r="CH923" s="60"/>
      <x:c r="CI923" s="58"/>
      <x:c r="CJ923" s="47"/>
      <x:c r="CK923" s="60"/>
      <x:c r="CL923" s="58"/>
      <x:c r="CM923" s="47"/>
      <x:c r="CN923" s="60"/>
      <x:c r="CO923" s="58"/>
      <x:c r="CP923" s="47"/>
      <x:c r="CQ923" s="60"/>
      <x:c r="CR923" s="58"/>
      <x:c r="CS923" s="47"/>
      <x:c r="CT923" s="60"/>
      <x:c r="CU923" s="58"/>
      <x:c r="CV923" s="47"/>
      <x:c r="CW923" s="60"/>
      <x:c r="CX923" s="58"/>
      <x:c r="CY923" s="47"/>
      <x:c r="CZ923" s="60"/>
      <x:c r="DA923" s="58"/>
      <x:c r="DB923" s="47"/>
      <x:c r="DC923" s="60"/>
      <x:c r="DD923" s="58"/>
      <x:c r="DE923" s="47"/>
      <x:c r="DF923" s="60"/>
      <x:c r="DG923" s="58"/>
      <x:c r="DH923" s="47"/>
      <x:c r="DI923" s="60"/>
      <x:c r="DJ923" s="58"/>
      <x:c r="DK923" s="47"/>
      <x:c r="DL923" s="60"/>
      <x:c r="DM923" s="58"/>
      <x:c r="DN923" s="11"/>
      <x:c r="DO923" s="61"/>
      <x:c r="DP923" s="62"/>
      <x:c r="DQ923" s="11"/>
      <x:c r="DR923" s="61"/>
      <x:c r="DS923" s="62"/>
      <x:c r="DT923" s="11"/>
      <x:c r="DU923" s="61"/>
      <x:c r="DV923" s="62"/>
    </x:row>
    <x:row r="924" spans="1:126" x14ac:dyDescent="0.3">
      <x:c r="A924" s="47"/>
      <x:c r="B924" s="70"/>
      <x:c r="C924" s="70"/>
      <x:c r="D924" s="70"/>
      <x:c r="E924" s="70"/>
      <x:c r="F924" s="70"/>
      <x:c r="G924" s="70"/>
      <x:c r="H924" s="70"/>
      <x:c r="I924" s="70"/>
      <x:c r="J924" s="70"/>
      <x:c r="K924" s="190"/>
      <x:c r="L924" s="195"/>
      <x:c r="M924" s="192"/>
      <x:c r="N924" s="192"/>
      <x:c r="O924" s="69"/>
      <x:c r="P924" s="47"/>
      <x:c r="Q924" s="60"/>
      <x:c r="R924" s="58"/>
      <x:c r="S924" s="47"/>
      <x:c r="T924" s="60"/>
      <x:c r="U924" s="58"/>
      <x:c r="V924" s="47"/>
      <x:c r="W924" s="60"/>
      <x:c r="X924" s="58"/>
      <x:c r="Y924" s="47"/>
      <x:c r="Z924" s="60"/>
      <x:c r="AA924" s="58"/>
      <x:c r="AB924" s="47"/>
      <x:c r="AC924" s="60"/>
      <x:c r="AD924" s="58"/>
      <x:c r="AE924" s="47"/>
      <x:c r="AF924" s="60"/>
      <x:c r="AG924" s="58"/>
      <x:c r="AH924" s="47"/>
      <x:c r="AI924" s="60"/>
      <x:c r="AJ924" s="58"/>
      <x:c r="AK924" s="47"/>
      <x:c r="AL924" s="60"/>
      <x:c r="AM924" s="58"/>
      <x:c r="AN924" s="47"/>
      <x:c r="AO924" s="60"/>
      <x:c r="AP924" s="58"/>
      <x:c r="AQ924" s="47"/>
      <x:c r="AR924" s="60"/>
      <x:c r="AS924" s="58"/>
      <x:c r="AT924" s="47"/>
      <x:c r="AU924" s="60"/>
      <x:c r="AV924" s="58"/>
      <x:c r="AW924" s="47"/>
      <x:c r="AX924" s="60"/>
      <x:c r="AY924" s="58"/>
      <x:c r="AZ924" s="47"/>
      <x:c r="BA924" s="60"/>
      <x:c r="BB924" s="58"/>
      <x:c r="BC924" s="47"/>
      <x:c r="BD924" s="60"/>
      <x:c r="BE924" s="58"/>
      <x:c r="BF924" s="47"/>
      <x:c r="BG924" s="60"/>
      <x:c r="BH924" s="58"/>
      <x:c r="BI924" s="47"/>
      <x:c r="BJ924" s="60"/>
      <x:c r="BK924" s="58"/>
      <x:c r="BL924" s="47"/>
      <x:c r="BM924" s="60"/>
      <x:c r="BN924" s="58"/>
      <x:c r="BO924" s="47"/>
      <x:c r="BP924" s="60"/>
      <x:c r="BQ924" s="58"/>
      <x:c r="BR924" s="47"/>
      <x:c r="BS924" s="60"/>
      <x:c r="BT924" s="58"/>
      <x:c r="BU924" s="47"/>
      <x:c r="BV924" s="60"/>
      <x:c r="BW924" s="58"/>
      <x:c r="BX924" s="47"/>
      <x:c r="BY924" s="60"/>
      <x:c r="BZ924" s="58"/>
      <x:c r="CA924" s="47"/>
      <x:c r="CB924" s="60"/>
      <x:c r="CC924" s="58"/>
      <x:c r="CD924" s="47"/>
      <x:c r="CE924" s="60"/>
      <x:c r="CF924" s="58"/>
      <x:c r="CG924" s="47"/>
      <x:c r="CH924" s="60"/>
      <x:c r="CI924" s="58"/>
      <x:c r="CJ924" s="47"/>
      <x:c r="CK924" s="60"/>
      <x:c r="CL924" s="58"/>
      <x:c r="CM924" s="47"/>
      <x:c r="CN924" s="60"/>
      <x:c r="CO924" s="58"/>
      <x:c r="CP924" s="47"/>
      <x:c r="CQ924" s="60"/>
      <x:c r="CR924" s="58"/>
      <x:c r="CS924" s="47"/>
      <x:c r="CT924" s="60"/>
      <x:c r="CU924" s="58"/>
      <x:c r="CV924" s="47"/>
      <x:c r="CW924" s="60"/>
      <x:c r="CX924" s="58"/>
      <x:c r="CY924" s="47"/>
      <x:c r="CZ924" s="60"/>
      <x:c r="DA924" s="58"/>
      <x:c r="DB924" s="47"/>
      <x:c r="DC924" s="60"/>
      <x:c r="DD924" s="58"/>
      <x:c r="DE924" s="47"/>
      <x:c r="DF924" s="60"/>
      <x:c r="DG924" s="58"/>
      <x:c r="DH924" s="47"/>
      <x:c r="DI924" s="60"/>
      <x:c r="DJ924" s="58"/>
      <x:c r="DK924" s="47"/>
      <x:c r="DL924" s="60"/>
      <x:c r="DM924" s="58"/>
      <x:c r="DN924" s="11"/>
      <x:c r="DO924" s="61"/>
      <x:c r="DP924" s="62"/>
      <x:c r="DQ924" s="11"/>
      <x:c r="DR924" s="61"/>
      <x:c r="DS924" s="62"/>
      <x:c r="DT924" s="11"/>
      <x:c r="DU924" s="61"/>
      <x:c r="DV924" s="62"/>
    </x:row>
    <x:row r="925" spans="1:126" x14ac:dyDescent="0.3">
      <x:c r="A925" s="47"/>
      <x:c r="B925" s="70"/>
      <x:c r="C925" s="70"/>
      <x:c r="D925" s="70"/>
      <x:c r="E925" s="70"/>
      <x:c r="F925" s="70"/>
      <x:c r="G925" s="70"/>
      <x:c r="H925" s="70"/>
      <x:c r="I925" s="70"/>
      <x:c r="J925" s="70"/>
      <x:c r="K925" s="190"/>
      <x:c r="L925" s="195"/>
      <x:c r="M925" s="192"/>
      <x:c r="N925" s="192"/>
      <x:c r="O925" s="69"/>
      <x:c r="P925" s="47"/>
      <x:c r="Q925" s="60"/>
      <x:c r="R925" s="58"/>
      <x:c r="S925" s="47"/>
      <x:c r="T925" s="60"/>
      <x:c r="U925" s="58"/>
      <x:c r="V925" s="47"/>
      <x:c r="W925" s="60"/>
      <x:c r="X925" s="58"/>
      <x:c r="Y925" s="47"/>
      <x:c r="Z925" s="60"/>
      <x:c r="AA925" s="58"/>
      <x:c r="AB925" s="47"/>
      <x:c r="AC925" s="60"/>
      <x:c r="AD925" s="58"/>
      <x:c r="AE925" s="47"/>
      <x:c r="AF925" s="60"/>
      <x:c r="AG925" s="58"/>
      <x:c r="AH925" s="47"/>
      <x:c r="AI925" s="60"/>
      <x:c r="AJ925" s="58"/>
      <x:c r="AK925" s="47"/>
      <x:c r="AL925" s="60"/>
      <x:c r="AM925" s="58"/>
      <x:c r="AN925" s="47"/>
      <x:c r="AO925" s="60"/>
      <x:c r="AP925" s="58"/>
      <x:c r="AQ925" s="47"/>
      <x:c r="AR925" s="60"/>
      <x:c r="AS925" s="58"/>
      <x:c r="AT925" s="47"/>
      <x:c r="AU925" s="60"/>
      <x:c r="AV925" s="58"/>
      <x:c r="AW925" s="47"/>
      <x:c r="AX925" s="60"/>
      <x:c r="AY925" s="58"/>
      <x:c r="AZ925" s="47"/>
      <x:c r="BA925" s="60"/>
      <x:c r="BB925" s="58"/>
      <x:c r="BC925" s="47"/>
      <x:c r="BD925" s="60"/>
      <x:c r="BE925" s="58"/>
      <x:c r="BF925" s="47"/>
      <x:c r="BG925" s="60"/>
      <x:c r="BH925" s="58"/>
      <x:c r="BI925" s="47"/>
      <x:c r="BJ925" s="60"/>
      <x:c r="BK925" s="58"/>
      <x:c r="BL925" s="47"/>
      <x:c r="BM925" s="60"/>
      <x:c r="BN925" s="58"/>
      <x:c r="BO925" s="47"/>
      <x:c r="BP925" s="60"/>
      <x:c r="BQ925" s="58"/>
      <x:c r="BR925" s="47"/>
      <x:c r="BS925" s="60"/>
      <x:c r="BT925" s="58"/>
      <x:c r="BU925" s="47"/>
      <x:c r="BV925" s="60"/>
      <x:c r="BW925" s="58"/>
      <x:c r="BX925" s="47"/>
      <x:c r="BY925" s="60"/>
      <x:c r="BZ925" s="58"/>
      <x:c r="CA925" s="47"/>
      <x:c r="CB925" s="60"/>
      <x:c r="CC925" s="58"/>
      <x:c r="CD925" s="47"/>
      <x:c r="CE925" s="60"/>
      <x:c r="CF925" s="58"/>
      <x:c r="CG925" s="47"/>
      <x:c r="CH925" s="60"/>
      <x:c r="CI925" s="58"/>
      <x:c r="CJ925" s="47"/>
      <x:c r="CK925" s="60"/>
      <x:c r="CL925" s="58"/>
      <x:c r="CM925" s="47"/>
      <x:c r="CN925" s="60"/>
      <x:c r="CO925" s="58"/>
      <x:c r="CP925" s="47"/>
      <x:c r="CQ925" s="60"/>
      <x:c r="CR925" s="58"/>
      <x:c r="CS925" s="47"/>
      <x:c r="CT925" s="60"/>
      <x:c r="CU925" s="58"/>
      <x:c r="CV925" s="47"/>
      <x:c r="CW925" s="60"/>
      <x:c r="CX925" s="58"/>
      <x:c r="CY925" s="47"/>
      <x:c r="CZ925" s="60"/>
      <x:c r="DA925" s="58"/>
      <x:c r="DB925" s="47"/>
      <x:c r="DC925" s="60"/>
      <x:c r="DD925" s="58"/>
      <x:c r="DE925" s="47"/>
      <x:c r="DF925" s="60"/>
      <x:c r="DG925" s="58"/>
      <x:c r="DH925" s="47"/>
      <x:c r="DI925" s="60"/>
      <x:c r="DJ925" s="58"/>
      <x:c r="DK925" s="47"/>
      <x:c r="DL925" s="60"/>
      <x:c r="DM925" s="58"/>
      <x:c r="DN925" s="11"/>
      <x:c r="DO925" s="61"/>
      <x:c r="DP925" s="62"/>
      <x:c r="DQ925" s="11"/>
      <x:c r="DR925" s="61"/>
      <x:c r="DS925" s="62"/>
      <x:c r="DT925" s="11"/>
      <x:c r="DU925" s="61"/>
      <x:c r="DV925" s="62"/>
    </x:row>
    <x:row r="926" spans="1:126" x14ac:dyDescent="0.3">
      <x:c r="A926" s="47"/>
      <x:c r="B926" s="70"/>
      <x:c r="C926" s="70"/>
      <x:c r="D926" s="70"/>
      <x:c r="E926" s="70"/>
      <x:c r="F926" s="70"/>
      <x:c r="G926" s="70"/>
      <x:c r="H926" s="70"/>
      <x:c r="I926" s="70"/>
      <x:c r="J926" s="70"/>
      <x:c r="K926" s="190"/>
      <x:c r="L926" s="195"/>
      <x:c r="M926" s="192"/>
      <x:c r="N926" s="192"/>
      <x:c r="O926" s="69"/>
      <x:c r="P926" s="47"/>
      <x:c r="Q926" s="60"/>
      <x:c r="R926" s="58"/>
      <x:c r="S926" s="47"/>
      <x:c r="T926" s="60"/>
      <x:c r="U926" s="58"/>
      <x:c r="V926" s="47"/>
      <x:c r="W926" s="60"/>
      <x:c r="X926" s="58"/>
      <x:c r="Y926" s="47"/>
      <x:c r="Z926" s="60"/>
      <x:c r="AA926" s="58"/>
      <x:c r="AB926" s="47"/>
      <x:c r="AC926" s="60"/>
      <x:c r="AD926" s="58"/>
      <x:c r="AE926" s="47"/>
      <x:c r="AF926" s="60"/>
      <x:c r="AG926" s="58"/>
      <x:c r="AH926" s="47"/>
      <x:c r="AI926" s="60"/>
      <x:c r="AJ926" s="58"/>
      <x:c r="AK926" s="47"/>
      <x:c r="AL926" s="60"/>
      <x:c r="AM926" s="58"/>
      <x:c r="AN926" s="47"/>
      <x:c r="AO926" s="60"/>
      <x:c r="AP926" s="58"/>
      <x:c r="AQ926" s="47"/>
      <x:c r="AR926" s="60"/>
      <x:c r="AS926" s="58"/>
      <x:c r="AT926" s="47"/>
      <x:c r="AU926" s="60"/>
      <x:c r="AV926" s="58"/>
      <x:c r="AW926" s="47"/>
      <x:c r="AX926" s="60"/>
      <x:c r="AY926" s="58"/>
      <x:c r="AZ926" s="47"/>
      <x:c r="BA926" s="60"/>
      <x:c r="BB926" s="58"/>
      <x:c r="BC926" s="47"/>
      <x:c r="BD926" s="60"/>
      <x:c r="BE926" s="58"/>
      <x:c r="BF926" s="47"/>
      <x:c r="BG926" s="60"/>
      <x:c r="BH926" s="58"/>
      <x:c r="BI926" s="47"/>
      <x:c r="BJ926" s="60"/>
      <x:c r="BK926" s="58"/>
      <x:c r="BL926" s="47"/>
      <x:c r="BM926" s="60"/>
      <x:c r="BN926" s="58"/>
      <x:c r="BO926" s="47"/>
      <x:c r="BP926" s="60"/>
      <x:c r="BQ926" s="58"/>
      <x:c r="BR926" s="47"/>
      <x:c r="BS926" s="60"/>
      <x:c r="BT926" s="58"/>
      <x:c r="BU926" s="47"/>
      <x:c r="BV926" s="60"/>
      <x:c r="BW926" s="58"/>
      <x:c r="BX926" s="47"/>
      <x:c r="BY926" s="60"/>
      <x:c r="BZ926" s="58"/>
      <x:c r="CA926" s="47"/>
      <x:c r="CB926" s="60"/>
      <x:c r="CC926" s="58"/>
      <x:c r="CD926" s="47"/>
      <x:c r="CE926" s="60"/>
      <x:c r="CF926" s="58"/>
      <x:c r="CG926" s="47"/>
      <x:c r="CH926" s="60"/>
      <x:c r="CI926" s="58"/>
      <x:c r="CJ926" s="47"/>
      <x:c r="CK926" s="60"/>
      <x:c r="CL926" s="58"/>
      <x:c r="CM926" s="47"/>
      <x:c r="CN926" s="60"/>
      <x:c r="CO926" s="58"/>
      <x:c r="CP926" s="47"/>
      <x:c r="CQ926" s="60"/>
      <x:c r="CR926" s="58"/>
      <x:c r="CS926" s="47"/>
      <x:c r="CT926" s="60"/>
      <x:c r="CU926" s="58"/>
      <x:c r="CV926" s="47"/>
      <x:c r="CW926" s="60"/>
      <x:c r="CX926" s="58"/>
      <x:c r="CY926" s="47"/>
      <x:c r="CZ926" s="60"/>
      <x:c r="DA926" s="58"/>
      <x:c r="DB926" s="47"/>
      <x:c r="DC926" s="60"/>
      <x:c r="DD926" s="58"/>
      <x:c r="DE926" s="47"/>
      <x:c r="DF926" s="60"/>
      <x:c r="DG926" s="58"/>
      <x:c r="DH926" s="47"/>
      <x:c r="DI926" s="60"/>
      <x:c r="DJ926" s="58"/>
      <x:c r="DK926" s="47"/>
      <x:c r="DL926" s="60"/>
      <x:c r="DM926" s="58"/>
      <x:c r="DN926" s="11"/>
      <x:c r="DO926" s="61"/>
      <x:c r="DP926" s="62"/>
      <x:c r="DQ926" s="11"/>
      <x:c r="DR926" s="61"/>
      <x:c r="DS926" s="62"/>
      <x:c r="DT926" s="11"/>
      <x:c r="DU926" s="61"/>
      <x:c r="DV926" s="62"/>
    </x:row>
    <x:row r="927" spans="1:126" x14ac:dyDescent="0.3">
      <x:c r="A927" s="47"/>
      <x:c r="B927" s="70"/>
      <x:c r="C927" s="70"/>
      <x:c r="D927" s="70"/>
      <x:c r="E927" s="70"/>
      <x:c r="F927" s="70"/>
      <x:c r="G927" s="70"/>
      <x:c r="H927" s="70"/>
      <x:c r="I927" s="70"/>
      <x:c r="J927" s="70"/>
      <x:c r="K927" s="190"/>
      <x:c r="L927" s="195"/>
      <x:c r="M927" s="192"/>
      <x:c r="N927" s="192"/>
      <x:c r="O927" s="69"/>
      <x:c r="P927" s="47"/>
      <x:c r="Q927" s="60"/>
      <x:c r="R927" s="58"/>
      <x:c r="S927" s="47"/>
      <x:c r="T927" s="60"/>
      <x:c r="U927" s="58"/>
      <x:c r="V927" s="47"/>
      <x:c r="W927" s="60"/>
      <x:c r="X927" s="58"/>
      <x:c r="Y927" s="47"/>
      <x:c r="Z927" s="60"/>
      <x:c r="AA927" s="58"/>
      <x:c r="AB927" s="47"/>
      <x:c r="AC927" s="60"/>
      <x:c r="AD927" s="58"/>
      <x:c r="AE927" s="47"/>
      <x:c r="AF927" s="60"/>
      <x:c r="AG927" s="58"/>
      <x:c r="AH927" s="47"/>
      <x:c r="AI927" s="60"/>
      <x:c r="AJ927" s="58"/>
      <x:c r="AK927" s="47"/>
      <x:c r="AL927" s="60"/>
      <x:c r="AM927" s="58"/>
      <x:c r="AN927" s="47"/>
      <x:c r="AO927" s="60"/>
      <x:c r="AP927" s="58"/>
      <x:c r="AQ927" s="47"/>
      <x:c r="AR927" s="60"/>
      <x:c r="AS927" s="58"/>
      <x:c r="AT927" s="47"/>
      <x:c r="AU927" s="60"/>
      <x:c r="AV927" s="58"/>
      <x:c r="AW927" s="47"/>
      <x:c r="AX927" s="60"/>
      <x:c r="AY927" s="58"/>
      <x:c r="AZ927" s="47"/>
      <x:c r="BA927" s="60"/>
      <x:c r="BB927" s="58"/>
      <x:c r="BC927" s="47"/>
      <x:c r="BD927" s="60"/>
      <x:c r="BE927" s="58"/>
      <x:c r="BF927" s="47"/>
      <x:c r="BG927" s="60"/>
      <x:c r="BH927" s="58"/>
      <x:c r="BI927" s="47"/>
      <x:c r="BJ927" s="60"/>
      <x:c r="BK927" s="58"/>
      <x:c r="BL927" s="47"/>
      <x:c r="BM927" s="60"/>
      <x:c r="BN927" s="58"/>
      <x:c r="BO927" s="47"/>
      <x:c r="BP927" s="60"/>
      <x:c r="BQ927" s="58"/>
      <x:c r="BR927" s="47"/>
      <x:c r="BS927" s="60"/>
      <x:c r="BT927" s="58"/>
      <x:c r="BU927" s="47"/>
      <x:c r="BV927" s="60"/>
      <x:c r="BW927" s="58"/>
      <x:c r="BX927" s="47"/>
      <x:c r="BY927" s="60"/>
      <x:c r="BZ927" s="58"/>
      <x:c r="CA927" s="47"/>
      <x:c r="CB927" s="60"/>
      <x:c r="CC927" s="58"/>
      <x:c r="CD927" s="47"/>
      <x:c r="CE927" s="60"/>
      <x:c r="CF927" s="58"/>
      <x:c r="CG927" s="47"/>
      <x:c r="CH927" s="60"/>
      <x:c r="CI927" s="58"/>
      <x:c r="CJ927" s="47"/>
      <x:c r="CK927" s="60"/>
      <x:c r="CL927" s="58"/>
      <x:c r="CM927" s="47"/>
      <x:c r="CN927" s="60"/>
      <x:c r="CO927" s="58"/>
      <x:c r="CP927" s="47"/>
      <x:c r="CQ927" s="60"/>
      <x:c r="CR927" s="58"/>
      <x:c r="CS927" s="47"/>
      <x:c r="CT927" s="60"/>
      <x:c r="CU927" s="58"/>
      <x:c r="CV927" s="47"/>
      <x:c r="CW927" s="60"/>
      <x:c r="CX927" s="58"/>
      <x:c r="CY927" s="47"/>
      <x:c r="CZ927" s="60"/>
      <x:c r="DA927" s="58"/>
      <x:c r="DB927" s="47"/>
      <x:c r="DC927" s="60"/>
      <x:c r="DD927" s="58"/>
      <x:c r="DE927" s="47"/>
      <x:c r="DF927" s="60"/>
      <x:c r="DG927" s="58"/>
      <x:c r="DH927" s="47"/>
      <x:c r="DI927" s="60"/>
      <x:c r="DJ927" s="58"/>
      <x:c r="DK927" s="47"/>
      <x:c r="DL927" s="60"/>
      <x:c r="DM927" s="58"/>
      <x:c r="DN927" s="11"/>
      <x:c r="DO927" s="61"/>
      <x:c r="DP927" s="62"/>
      <x:c r="DQ927" s="11"/>
      <x:c r="DR927" s="61"/>
      <x:c r="DS927" s="62"/>
      <x:c r="DT927" s="11"/>
      <x:c r="DU927" s="61"/>
      <x:c r="DV927" s="62"/>
    </x:row>
    <x:row r="928" spans="1:126" x14ac:dyDescent="0.3">
      <x:c r="A928" s="47"/>
      <x:c r="B928" s="70"/>
      <x:c r="C928" s="70"/>
      <x:c r="D928" s="70"/>
      <x:c r="E928" s="70"/>
      <x:c r="F928" s="70"/>
      <x:c r="G928" s="70"/>
      <x:c r="H928" s="70"/>
      <x:c r="I928" s="70"/>
      <x:c r="J928" s="70"/>
      <x:c r="K928" s="190"/>
      <x:c r="L928" s="195"/>
      <x:c r="M928" s="192"/>
      <x:c r="N928" s="192"/>
      <x:c r="O928" s="69"/>
      <x:c r="P928" s="47"/>
      <x:c r="Q928" s="60"/>
      <x:c r="R928" s="58"/>
      <x:c r="S928" s="47"/>
      <x:c r="T928" s="60"/>
      <x:c r="U928" s="58"/>
      <x:c r="V928" s="47"/>
      <x:c r="W928" s="60"/>
      <x:c r="X928" s="58"/>
      <x:c r="Y928" s="47"/>
      <x:c r="Z928" s="60"/>
      <x:c r="AA928" s="58"/>
      <x:c r="AB928" s="47"/>
      <x:c r="AC928" s="60"/>
      <x:c r="AD928" s="58"/>
      <x:c r="AE928" s="47"/>
      <x:c r="AF928" s="60"/>
      <x:c r="AG928" s="58"/>
      <x:c r="AH928" s="47"/>
      <x:c r="AI928" s="60"/>
      <x:c r="AJ928" s="58"/>
      <x:c r="AK928" s="47"/>
      <x:c r="AL928" s="60"/>
      <x:c r="AM928" s="58"/>
      <x:c r="AN928" s="47"/>
      <x:c r="AO928" s="60"/>
      <x:c r="AP928" s="58"/>
      <x:c r="AQ928" s="47"/>
      <x:c r="AR928" s="60"/>
      <x:c r="AS928" s="58"/>
      <x:c r="AT928" s="47"/>
      <x:c r="AU928" s="60"/>
      <x:c r="AV928" s="58"/>
      <x:c r="AW928" s="47"/>
      <x:c r="AX928" s="60"/>
      <x:c r="AY928" s="58"/>
      <x:c r="AZ928" s="47"/>
      <x:c r="BA928" s="60"/>
      <x:c r="BB928" s="58"/>
      <x:c r="BC928" s="47"/>
      <x:c r="BD928" s="60"/>
      <x:c r="BE928" s="58"/>
      <x:c r="BF928" s="47"/>
      <x:c r="BG928" s="60"/>
      <x:c r="BH928" s="58"/>
      <x:c r="BI928" s="47"/>
      <x:c r="BJ928" s="60"/>
      <x:c r="BK928" s="58"/>
      <x:c r="BL928" s="47"/>
      <x:c r="BM928" s="60"/>
      <x:c r="BN928" s="58"/>
      <x:c r="BO928" s="47"/>
      <x:c r="BP928" s="60"/>
      <x:c r="BQ928" s="58"/>
      <x:c r="BR928" s="47"/>
      <x:c r="BS928" s="60"/>
      <x:c r="BT928" s="58"/>
      <x:c r="BU928" s="47"/>
      <x:c r="BV928" s="60"/>
      <x:c r="BW928" s="58"/>
      <x:c r="BX928" s="47"/>
      <x:c r="BY928" s="60"/>
      <x:c r="BZ928" s="58"/>
      <x:c r="CA928" s="47"/>
      <x:c r="CB928" s="60"/>
      <x:c r="CC928" s="58"/>
      <x:c r="CD928" s="47"/>
      <x:c r="CE928" s="60"/>
      <x:c r="CF928" s="58"/>
      <x:c r="CG928" s="47"/>
      <x:c r="CH928" s="60"/>
      <x:c r="CI928" s="58"/>
      <x:c r="CJ928" s="47"/>
      <x:c r="CK928" s="60"/>
      <x:c r="CL928" s="58"/>
      <x:c r="CM928" s="47"/>
      <x:c r="CN928" s="60"/>
      <x:c r="CO928" s="58"/>
      <x:c r="CP928" s="47"/>
      <x:c r="CQ928" s="60"/>
      <x:c r="CR928" s="58"/>
      <x:c r="CS928" s="47"/>
      <x:c r="CT928" s="60"/>
      <x:c r="CU928" s="58"/>
      <x:c r="CV928" s="47"/>
      <x:c r="CW928" s="60"/>
      <x:c r="CX928" s="58"/>
      <x:c r="CY928" s="47"/>
      <x:c r="CZ928" s="60"/>
      <x:c r="DA928" s="58"/>
      <x:c r="DB928" s="47"/>
      <x:c r="DC928" s="60"/>
      <x:c r="DD928" s="58"/>
      <x:c r="DE928" s="47"/>
      <x:c r="DF928" s="60"/>
      <x:c r="DG928" s="58"/>
      <x:c r="DH928" s="47"/>
      <x:c r="DI928" s="60"/>
      <x:c r="DJ928" s="58"/>
      <x:c r="DK928" s="47"/>
      <x:c r="DL928" s="60"/>
      <x:c r="DM928" s="58"/>
      <x:c r="DN928" s="11"/>
      <x:c r="DO928" s="61"/>
      <x:c r="DP928" s="62"/>
      <x:c r="DQ928" s="11"/>
      <x:c r="DR928" s="61"/>
      <x:c r="DS928" s="62"/>
      <x:c r="DT928" s="11"/>
      <x:c r="DU928" s="61"/>
      <x:c r="DV928" s="62"/>
    </x:row>
    <x:row r="929" spans="1:126" x14ac:dyDescent="0.3">
      <x:c r="A929" s="47"/>
      <x:c r="B929" s="70"/>
      <x:c r="C929" s="70"/>
      <x:c r="D929" s="70"/>
      <x:c r="E929" s="70"/>
      <x:c r="F929" s="70"/>
      <x:c r="G929" s="70"/>
      <x:c r="H929" s="70"/>
      <x:c r="I929" s="70"/>
      <x:c r="J929" s="70"/>
      <x:c r="K929" s="190"/>
      <x:c r="L929" s="195"/>
      <x:c r="M929" s="192"/>
      <x:c r="N929" s="192"/>
      <x:c r="O929" s="69"/>
      <x:c r="P929" s="47"/>
      <x:c r="Q929" s="60"/>
      <x:c r="R929" s="58"/>
      <x:c r="S929" s="47"/>
      <x:c r="T929" s="60"/>
      <x:c r="U929" s="58"/>
      <x:c r="V929" s="47"/>
      <x:c r="W929" s="60"/>
      <x:c r="X929" s="58"/>
      <x:c r="Y929" s="47"/>
      <x:c r="Z929" s="60"/>
      <x:c r="AA929" s="58"/>
      <x:c r="AB929" s="47"/>
      <x:c r="AC929" s="60"/>
      <x:c r="AD929" s="58"/>
      <x:c r="AE929" s="47"/>
      <x:c r="AF929" s="60"/>
      <x:c r="AG929" s="58"/>
      <x:c r="AH929" s="47"/>
      <x:c r="AI929" s="60"/>
      <x:c r="AJ929" s="58"/>
      <x:c r="AK929" s="47"/>
      <x:c r="AL929" s="60"/>
      <x:c r="AM929" s="58"/>
      <x:c r="AN929" s="47"/>
      <x:c r="AO929" s="60"/>
      <x:c r="AP929" s="58"/>
      <x:c r="AQ929" s="47"/>
      <x:c r="AR929" s="60"/>
      <x:c r="AS929" s="58"/>
      <x:c r="AT929" s="47"/>
      <x:c r="AU929" s="60"/>
      <x:c r="AV929" s="58"/>
      <x:c r="AW929" s="47"/>
      <x:c r="AX929" s="60"/>
      <x:c r="AY929" s="58"/>
      <x:c r="AZ929" s="47"/>
      <x:c r="BA929" s="60"/>
      <x:c r="BB929" s="58"/>
      <x:c r="BC929" s="47"/>
      <x:c r="BD929" s="60"/>
      <x:c r="BE929" s="58"/>
      <x:c r="BF929" s="47"/>
      <x:c r="BG929" s="60"/>
      <x:c r="BH929" s="58"/>
      <x:c r="BI929" s="47"/>
      <x:c r="BJ929" s="60"/>
      <x:c r="BK929" s="58"/>
      <x:c r="BL929" s="47"/>
      <x:c r="BM929" s="60"/>
      <x:c r="BN929" s="58"/>
      <x:c r="BO929" s="47"/>
      <x:c r="BP929" s="60"/>
      <x:c r="BQ929" s="58"/>
      <x:c r="BR929" s="47"/>
      <x:c r="BS929" s="60"/>
      <x:c r="BT929" s="58"/>
      <x:c r="BU929" s="47"/>
      <x:c r="BV929" s="60"/>
      <x:c r="BW929" s="58"/>
      <x:c r="BX929" s="47"/>
      <x:c r="BY929" s="60"/>
      <x:c r="BZ929" s="58"/>
      <x:c r="CA929" s="47"/>
      <x:c r="CB929" s="60"/>
      <x:c r="CC929" s="58"/>
      <x:c r="CD929" s="47"/>
      <x:c r="CE929" s="60"/>
      <x:c r="CF929" s="58"/>
      <x:c r="CG929" s="47"/>
      <x:c r="CH929" s="60"/>
      <x:c r="CI929" s="58"/>
      <x:c r="CJ929" s="47"/>
      <x:c r="CK929" s="60"/>
      <x:c r="CL929" s="58"/>
      <x:c r="CM929" s="47"/>
      <x:c r="CN929" s="60"/>
      <x:c r="CO929" s="58"/>
      <x:c r="CP929" s="47"/>
      <x:c r="CQ929" s="60"/>
      <x:c r="CR929" s="58"/>
      <x:c r="CS929" s="47"/>
      <x:c r="CT929" s="60"/>
      <x:c r="CU929" s="58"/>
      <x:c r="CV929" s="47"/>
      <x:c r="CW929" s="60"/>
      <x:c r="CX929" s="58"/>
      <x:c r="CY929" s="47"/>
      <x:c r="CZ929" s="60"/>
      <x:c r="DA929" s="58"/>
      <x:c r="DB929" s="47"/>
      <x:c r="DC929" s="60"/>
      <x:c r="DD929" s="58"/>
      <x:c r="DE929" s="47"/>
      <x:c r="DF929" s="60"/>
      <x:c r="DG929" s="58"/>
      <x:c r="DH929" s="47"/>
      <x:c r="DI929" s="60"/>
      <x:c r="DJ929" s="58"/>
      <x:c r="DK929" s="47"/>
      <x:c r="DL929" s="60"/>
      <x:c r="DM929" s="58"/>
      <x:c r="DN929" s="11"/>
      <x:c r="DO929" s="61"/>
      <x:c r="DP929" s="62"/>
      <x:c r="DQ929" s="11"/>
      <x:c r="DR929" s="61"/>
      <x:c r="DS929" s="62"/>
      <x:c r="DT929" s="11"/>
      <x:c r="DU929" s="61"/>
      <x:c r="DV929" s="62"/>
    </x:row>
    <x:row r="930" spans="1:126" x14ac:dyDescent="0.3">
      <x:c r="A930" s="47"/>
      <x:c r="B930" s="70"/>
      <x:c r="C930" s="70"/>
      <x:c r="D930" s="70"/>
      <x:c r="E930" s="70"/>
      <x:c r="F930" s="70"/>
      <x:c r="G930" s="70"/>
      <x:c r="H930" s="70"/>
      <x:c r="I930" s="70"/>
      <x:c r="J930" s="70"/>
      <x:c r="K930" s="190"/>
      <x:c r="L930" s="195"/>
      <x:c r="M930" s="192"/>
      <x:c r="N930" s="192"/>
      <x:c r="O930" s="69"/>
      <x:c r="P930" s="47"/>
      <x:c r="Q930" s="60"/>
      <x:c r="R930" s="58"/>
      <x:c r="S930" s="47"/>
      <x:c r="T930" s="60"/>
      <x:c r="U930" s="58"/>
      <x:c r="V930" s="47"/>
      <x:c r="W930" s="60"/>
      <x:c r="X930" s="58"/>
      <x:c r="Y930" s="47"/>
      <x:c r="Z930" s="60"/>
      <x:c r="AA930" s="58"/>
      <x:c r="AB930" s="47"/>
      <x:c r="AC930" s="60"/>
      <x:c r="AD930" s="58"/>
      <x:c r="AE930" s="47"/>
      <x:c r="AF930" s="60"/>
      <x:c r="AG930" s="58"/>
      <x:c r="AH930" s="47"/>
      <x:c r="AI930" s="60"/>
      <x:c r="AJ930" s="58"/>
      <x:c r="AK930" s="47"/>
      <x:c r="AL930" s="60"/>
      <x:c r="AM930" s="58"/>
      <x:c r="AN930" s="47"/>
      <x:c r="AO930" s="60"/>
      <x:c r="AP930" s="58"/>
      <x:c r="AQ930" s="47"/>
      <x:c r="AR930" s="60"/>
      <x:c r="AS930" s="58"/>
      <x:c r="AT930" s="47"/>
      <x:c r="AU930" s="60"/>
      <x:c r="AV930" s="58"/>
      <x:c r="AW930" s="47"/>
      <x:c r="AX930" s="60"/>
      <x:c r="AY930" s="58"/>
      <x:c r="AZ930" s="47"/>
      <x:c r="BA930" s="60"/>
      <x:c r="BB930" s="58"/>
      <x:c r="BC930" s="47"/>
      <x:c r="BD930" s="60"/>
      <x:c r="BE930" s="58"/>
      <x:c r="BF930" s="47"/>
      <x:c r="BG930" s="60"/>
      <x:c r="BH930" s="58"/>
      <x:c r="BI930" s="47"/>
      <x:c r="BJ930" s="60"/>
      <x:c r="BK930" s="58"/>
      <x:c r="BL930" s="47"/>
      <x:c r="BM930" s="60"/>
      <x:c r="BN930" s="58"/>
      <x:c r="BO930" s="47"/>
      <x:c r="BP930" s="60"/>
      <x:c r="BQ930" s="58"/>
      <x:c r="BR930" s="47"/>
      <x:c r="BS930" s="60"/>
      <x:c r="BT930" s="58"/>
      <x:c r="BU930" s="47"/>
      <x:c r="BV930" s="60"/>
      <x:c r="BW930" s="58"/>
      <x:c r="BX930" s="47"/>
      <x:c r="BY930" s="60"/>
      <x:c r="BZ930" s="58"/>
      <x:c r="CA930" s="47"/>
      <x:c r="CB930" s="60"/>
      <x:c r="CC930" s="58"/>
      <x:c r="CD930" s="47"/>
      <x:c r="CE930" s="60"/>
      <x:c r="CF930" s="58"/>
      <x:c r="CG930" s="47"/>
      <x:c r="CH930" s="60"/>
      <x:c r="CI930" s="58"/>
      <x:c r="CJ930" s="47"/>
      <x:c r="CK930" s="60"/>
      <x:c r="CL930" s="58"/>
      <x:c r="CM930" s="47"/>
      <x:c r="CN930" s="60"/>
      <x:c r="CO930" s="58"/>
      <x:c r="CP930" s="47"/>
      <x:c r="CQ930" s="60"/>
      <x:c r="CR930" s="58"/>
      <x:c r="CS930" s="47"/>
      <x:c r="CT930" s="60"/>
      <x:c r="CU930" s="58"/>
      <x:c r="CV930" s="47"/>
      <x:c r="CW930" s="60"/>
      <x:c r="CX930" s="58"/>
      <x:c r="CY930" s="47"/>
      <x:c r="CZ930" s="60"/>
      <x:c r="DA930" s="58"/>
      <x:c r="DB930" s="47"/>
      <x:c r="DC930" s="60"/>
      <x:c r="DD930" s="58"/>
      <x:c r="DE930" s="47"/>
      <x:c r="DF930" s="60"/>
      <x:c r="DG930" s="58"/>
      <x:c r="DH930" s="47"/>
      <x:c r="DI930" s="60"/>
      <x:c r="DJ930" s="58"/>
      <x:c r="DK930" s="47"/>
      <x:c r="DL930" s="60"/>
      <x:c r="DM930" s="58"/>
      <x:c r="DN930" s="11"/>
      <x:c r="DO930" s="61"/>
      <x:c r="DP930" s="62"/>
      <x:c r="DQ930" s="11"/>
      <x:c r="DR930" s="61"/>
      <x:c r="DS930" s="62"/>
      <x:c r="DT930" s="11"/>
      <x:c r="DU930" s="61"/>
      <x:c r="DV930" s="62"/>
    </x:row>
    <x:row r="931" spans="1:126" x14ac:dyDescent="0.3">
      <x:c r="A931" s="47"/>
      <x:c r="B931" s="70"/>
      <x:c r="C931" s="70"/>
      <x:c r="D931" s="70"/>
      <x:c r="E931" s="70"/>
      <x:c r="F931" s="70"/>
      <x:c r="G931" s="70"/>
      <x:c r="H931" s="70"/>
      <x:c r="I931" s="70"/>
      <x:c r="J931" s="70"/>
      <x:c r="K931" s="190"/>
      <x:c r="L931" s="195"/>
      <x:c r="M931" s="192"/>
      <x:c r="N931" s="192"/>
      <x:c r="O931" s="69"/>
      <x:c r="P931" s="47"/>
      <x:c r="Q931" s="60"/>
      <x:c r="R931" s="58"/>
      <x:c r="S931" s="47"/>
      <x:c r="T931" s="60"/>
      <x:c r="U931" s="58"/>
      <x:c r="V931" s="47"/>
      <x:c r="W931" s="60"/>
      <x:c r="X931" s="58"/>
      <x:c r="Y931" s="47"/>
      <x:c r="Z931" s="60"/>
      <x:c r="AA931" s="58"/>
      <x:c r="AB931" s="47"/>
      <x:c r="AC931" s="60"/>
      <x:c r="AD931" s="58"/>
      <x:c r="AE931" s="47"/>
      <x:c r="AF931" s="60"/>
      <x:c r="AG931" s="58"/>
      <x:c r="AH931" s="47"/>
      <x:c r="AI931" s="60"/>
      <x:c r="AJ931" s="58"/>
      <x:c r="AK931" s="47"/>
      <x:c r="AL931" s="60"/>
      <x:c r="AM931" s="58"/>
      <x:c r="AN931" s="47"/>
      <x:c r="AO931" s="60"/>
      <x:c r="AP931" s="58"/>
      <x:c r="AQ931" s="47"/>
      <x:c r="AR931" s="60"/>
      <x:c r="AS931" s="58"/>
      <x:c r="AT931" s="47"/>
      <x:c r="AU931" s="60"/>
      <x:c r="AV931" s="58"/>
      <x:c r="AW931" s="47"/>
      <x:c r="AX931" s="60"/>
      <x:c r="AY931" s="58"/>
      <x:c r="AZ931" s="47"/>
      <x:c r="BA931" s="60"/>
      <x:c r="BB931" s="58"/>
      <x:c r="BC931" s="47"/>
      <x:c r="BD931" s="60"/>
      <x:c r="BE931" s="58"/>
      <x:c r="BF931" s="47"/>
      <x:c r="BG931" s="60"/>
      <x:c r="BH931" s="58"/>
      <x:c r="BI931" s="47"/>
      <x:c r="BJ931" s="60"/>
      <x:c r="BK931" s="58"/>
      <x:c r="BL931" s="47"/>
      <x:c r="BM931" s="60"/>
      <x:c r="BN931" s="58"/>
      <x:c r="BO931" s="47"/>
      <x:c r="BP931" s="60"/>
      <x:c r="BQ931" s="58"/>
      <x:c r="BR931" s="47"/>
      <x:c r="BS931" s="60"/>
      <x:c r="BT931" s="58"/>
      <x:c r="BU931" s="47"/>
      <x:c r="BV931" s="60"/>
      <x:c r="BW931" s="58"/>
      <x:c r="BX931" s="47"/>
      <x:c r="BY931" s="60"/>
      <x:c r="BZ931" s="58"/>
      <x:c r="CA931" s="47"/>
      <x:c r="CB931" s="60"/>
      <x:c r="CC931" s="58"/>
      <x:c r="CD931" s="47"/>
      <x:c r="CE931" s="60"/>
      <x:c r="CF931" s="58"/>
      <x:c r="CG931" s="47"/>
      <x:c r="CH931" s="60"/>
      <x:c r="CI931" s="58"/>
      <x:c r="CJ931" s="47"/>
      <x:c r="CK931" s="60"/>
      <x:c r="CL931" s="58"/>
      <x:c r="CM931" s="47"/>
      <x:c r="CN931" s="60"/>
      <x:c r="CO931" s="58"/>
      <x:c r="CP931" s="47"/>
      <x:c r="CQ931" s="60"/>
      <x:c r="CR931" s="58"/>
      <x:c r="CS931" s="47"/>
      <x:c r="CT931" s="60"/>
      <x:c r="CU931" s="58"/>
      <x:c r="CV931" s="47"/>
      <x:c r="CW931" s="60"/>
      <x:c r="CX931" s="58"/>
      <x:c r="CY931" s="47"/>
      <x:c r="CZ931" s="60"/>
      <x:c r="DA931" s="58"/>
      <x:c r="DB931" s="47"/>
      <x:c r="DC931" s="60"/>
      <x:c r="DD931" s="58"/>
      <x:c r="DE931" s="47"/>
      <x:c r="DF931" s="60"/>
      <x:c r="DG931" s="58"/>
      <x:c r="DH931" s="47"/>
      <x:c r="DI931" s="60"/>
      <x:c r="DJ931" s="58"/>
      <x:c r="DK931" s="47"/>
      <x:c r="DL931" s="60"/>
      <x:c r="DM931" s="58"/>
      <x:c r="DN931" s="11"/>
      <x:c r="DO931" s="61"/>
      <x:c r="DP931" s="62"/>
      <x:c r="DQ931" s="11"/>
      <x:c r="DR931" s="61"/>
      <x:c r="DS931" s="62"/>
      <x:c r="DT931" s="11"/>
      <x:c r="DU931" s="61"/>
      <x:c r="DV931" s="62"/>
    </x:row>
    <x:row r="932" spans="1:126" x14ac:dyDescent="0.3">
      <x:c r="A932" s="47"/>
      <x:c r="B932" s="70"/>
      <x:c r="C932" s="70"/>
      <x:c r="D932" s="70"/>
      <x:c r="E932" s="70"/>
      <x:c r="F932" s="70"/>
      <x:c r="G932" s="70"/>
      <x:c r="H932" s="70"/>
      <x:c r="I932" s="70"/>
      <x:c r="J932" s="70"/>
      <x:c r="K932" s="190"/>
      <x:c r="L932" s="195"/>
      <x:c r="M932" s="192"/>
      <x:c r="N932" s="192"/>
      <x:c r="O932" s="69"/>
      <x:c r="P932" s="47"/>
      <x:c r="Q932" s="60"/>
      <x:c r="R932" s="58"/>
      <x:c r="S932" s="47"/>
      <x:c r="T932" s="60"/>
      <x:c r="U932" s="58"/>
      <x:c r="V932" s="47"/>
      <x:c r="W932" s="60"/>
      <x:c r="X932" s="58"/>
      <x:c r="Y932" s="47"/>
      <x:c r="Z932" s="60"/>
      <x:c r="AA932" s="58"/>
      <x:c r="AB932" s="47"/>
      <x:c r="AC932" s="60"/>
      <x:c r="AD932" s="58"/>
      <x:c r="AE932" s="47"/>
      <x:c r="AF932" s="60"/>
      <x:c r="AG932" s="58"/>
      <x:c r="AH932" s="47"/>
      <x:c r="AI932" s="60"/>
      <x:c r="AJ932" s="58"/>
      <x:c r="AK932" s="47"/>
      <x:c r="AL932" s="60"/>
      <x:c r="AM932" s="58"/>
      <x:c r="AN932" s="47"/>
      <x:c r="AO932" s="60"/>
      <x:c r="AP932" s="58"/>
      <x:c r="AQ932" s="47"/>
      <x:c r="AR932" s="60"/>
      <x:c r="AS932" s="58"/>
      <x:c r="AT932" s="47"/>
      <x:c r="AU932" s="60"/>
      <x:c r="AV932" s="58"/>
      <x:c r="AW932" s="47"/>
      <x:c r="AX932" s="60"/>
      <x:c r="AY932" s="58"/>
      <x:c r="AZ932" s="47"/>
      <x:c r="BA932" s="60"/>
      <x:c r="BB932" s="58"/>
      <x:c r="BC932" s="47"/>
      <x:c r="BD932" s="60"/>
      <x:c r="BE932" s="58"/>
      <x:c r="BF932" s="47"/>
      <x:c r="BG932" s="60"/>
      <x:c r="BH932" s="58"/>
      <x:c r="BI932" s="47"/>
      <x:c r="BJ932" s="60"/>
      <x:c r="BK932" s="58"/>
      <x:c r="BL932" s="47"/>
      <x:c r="BM932" s="60"/>
      <x:c r="BN932" s="58"/>
      <x:c r="BO932" s="47"/>
      <x:c r="BP932" s="60"/>
      <x:c r="BQ932" s="58"/>
      <x:c r="BR932" s="47"/>
      <x:c r="BS932" s="60"/>
      <x:c r="BT932" s="58"/>
      <x:c r="BU932" s="47"/>
      <x:c r="BV932" s="60"/>
      <x:c r="BW932" s="58"/>
      <x:c r="BX932" s="47"/>
      <x:c r="BY932" s="60"/>
      <x:c r="BZ932" s="58"/>
      <x:c r="CA932" s="47"/>
      <x:c r="CB932" s="60"/>
      <x:c r="CC932" s="58"/>
      <x:c r="CD932" s="47"/>
      <x:c r="CE932" s="60"/>
      <x:c r="CF932" s="58"/>
      <x:c r="CG932" s="47"/>
      <x:c r="CH932" s="60"/>
      <x:c r="CI932" s="58"/>
      <x:c r="CJ932" s="47"/>
      <x:c r="CK932" s="60"/>
      <x:c r="CL932" s="58"/>
      <x:c r="CM932" s="47"/>
      <x:c r="CN932" s="60"/>
      <x:c r="CO932" s="58"/>
      <x:c r="CP932" s="47"/>
      <x:c r="CQ932" s="60"/>
      <x:c r="CR932" s="58"/>
      <x:c r="CS932" s="47"/>
      <x:c r="CT932" s="60"/>
      <x:c r="CU932" s="58"/>
      <x:c r="CV932" s="47"/>
      <x:c r="CW932" s="60"/>
      <x:c r="CX932" s="58"/>
      <x:c r="CY932" s="47"/>
      <x:c r="CZ932" s="60"/>
      <x:c r="DA932" s="58"/>
      <x:c r="DB932" s="47"/>
      <x:c r="DC932" s="60"/>
      <x:c r="DD932" s="58"/>
      <x:c r="DE932" s="47"/>
      <x:c r="DF932" s="60"/>
      <x:c r="DG932" s="58"/>
      <x:c r="DH932" s="47"/>
      <x:c r="DI932" s="60"/>
      <x:c r="DJ932" s="58"/>
      <x:c r="DK932" s="47"/>
      <x:c r="DL932" s="60"/>
      <x:c r="DM932" s="58"/>
      <x:c r="DN932" s="11"/>
      <x:c r="DO932" s="61"/>
      <x:c r="DP932" s="62"/>
      <x:c r="DQ932" s="11"/>
      <x:c r="DR932" s="61"/>
      <x:c r="DS932" s="62"/>
      <x:c r="DT932" s="11"/>
      <x:c r="DU932" s="61"/>
      <x:c r="DV932" s="62"/>
    </x:row>
    <x:row r="933" spans="1:126" x14ac:dyDescent="0.3">
      <x:c r="A933" s="47"/>
      <x:c r="B933" s="70"/>
      <x:c r="C933" s="70"/>
      <x:c r="D933" s="70"/>
      <x:c r="E933" s="70"/>
      <x:c r="F933" s="70"/>
      <x:c r="G933" s="70"/>
      <x:c r="H933" s="70"/>
      <x:c r="I933" s="70"/>
      <x:c r="J933" s="70"/>
      <x:c r="K933" s="190"/>
      <x:c r="L933" s="195"/>
      <x:c r="M933" s="192"/>
      <x:c r="N933" s="192"/>
      <x:c r="O933" s="69"/>
      <x:c r="P933" s="47"/>
      <x:c r="Q933" s="60"/>
      <x:c r="R933" s="58"/>
      <x:c r="S933" s="47"/>
      <x:c r="T933" s="60"/>
      <x:c r="U933" s="58"/>
      <x:c r="V933" s="47"/>
      <x:c r="W933" s="60"/>
      <x:c r="X933" s="58"/>
      <x:c r="Y933" s="47"/>
      <x:c r="Z933" s="60"/>
      <x:c r="AA933" s="58"/>
      <x:c r="AB933" s="47"/>
      <x:c r="AC933" s="60"/>
      <x:c r="AD933" s="58"/>
      <x:c r="AE933" s="47"/>
      <x:c r="AF933" s="60"/>
      <x:c r="AG933" s="58"/>
      <x:c r="AH933" s="47"/>
      <x:c r="AI933" s="60"/>
      <x:c r="AJ933" s="58"/>
      <x:c r="AK933" s="47"/>
      <x:c r="AL933" s="60"/>
      <x:c r="AM933" s="58"/>
      <x:c r="AN933" s="47"/>
      <x:c r="AO933" s="60"/>
      <x:c r="AP933" s="58"/>
      <x:c r="AQ933" s="47"/>
      <x:c r="AR933" s="60"/>
      <x:c r="AS933" s="58"/>
      <x:c r="AT933" s="47"/>
      <x:c r="AU933" s="60"/>
      <x:c r="AV933" s="58"/>
      <x:c r="AW933" s="47"/>
      <x:c r="AX933" s="60"/>
      <x:c r="AY933" s="58"/>
      <x:c r="AZ933" s="47"/>
      <x:c r="BA933" s="60"/>
      <x:c r="BB933" s="58"/>
      <x:c r="BC933" s="47"/>
      <x:c r="BD933" s="60"/>
      <x:c r="BE933" s="58"/>
      <x:c r="BF933" s="47"/>
      <x:c r="BG933" s="60"/>
      <x:c r="BH933" s="58"/>
      <x:c r="BI933" s="47"/>
      <x:c r="BJ933" s="60"/>
      <x:c r="BK933" s="58"/>
      <x:c r="BL933" s="47"/>
      <x:c r="BM933" s="60"/>
      <x:c r="BN933" s="58"/>
      <x:c r="BO933" s="47"/>
      <x:c r="BP933" s="60"/>
      <x:c r="BQ933" s="58"/>
      <x:c r="BR933" s="47"/>
      <x:c r="BS933" s="60"/>
      <x:c r="BT933" s="58"/>
      <x:c r="BU933" s="47"/>
      <x:c r="BV933" s="60"/>
      <x:c r="BW933" s="58"/>
      <x:c r="BX933" s="47"/>
      <x:c r="BY933" s="60"/>
      <x:c r="BZ933" s="58"/>
      <x:c r="CA933" s="47"/>
      <x:c r="CB933" s="60"/>
      <x:c r="CC933" s="58"/>
      <x:c r="CD933" s="47"/>
      <x:c r="CE933" s="60"/>
      <x:c r="CF933" s="58"/>
      <x:c r="CG933" s="47"/>
      <x:c r="CH933" s="60"/>
      <x:c r="CI933" s="58"/>
      <x:c r="CJ933" s="47"/>
      <x:c r="CK933" s="60"/>
      <x:c r="CL933" s="58"/>
      <x:c r="CM933" s="47"/>
      <x:c r="CN933" s="60"/>
      <x:c r="CO933" s="58"/>
      <x:c r="CP933" s="47"/>
      <x:c r="CQ933" s="60"/>
      <x:c r="CR933" s="58"/>
      <x:c r="CS933" s="47"/>
      <x:c r="CT933" s="60"/>
      <x:c r="CU933" s="58"/>
      <x:c r="CV933" s="47"/>
      <x:c r="CW933" s="60"/>
      <x:c r="CX933" s="58"/>
      <x:c r="CY933" s="47"/>
      <x:c r="CZ933" s="60"/>
      <x:c r="DA933" s="58"/>
      <x:c r="DB933" s="47"/>
      <x:c r="DC933" s="60"/>
      <x:c r="DD933" s="58"/>
      <x:c r="DE933" s="47"/>
      <x:c r="DF933" s="60"/>
      <x:c r="DG933" s="58"/>
      <x:c r="DH933" s="47"/>
      <x:c r="DI933" s="60"/>
      <x:c r="DJ933" s="58"/>
      <x:c r="DK933" s="47"/>
      <x:c r="DL933" s="60"/>
      <x:c r="DM933" s="58"/>
      <x:c r="DN933" s="11"/>
      <x:c r="DO933" s="61"/>
      <x:c r="DP933" s="62"/>
      <x:c r="DQ933" s="11"/>
      <x:c r="DR933" s="61"/>
      <x:c r="DS933" s="62"/>
      <x:c r="DT933" s="11"/>
      <x:c r="DU933" s="61"/>
      <x:c r="DV933" s="62"/>
    </x:row>
    <x:row r="934" spans="1:126" x14ac:dyDescent="0.3">
      <x:c r="A934" s="47"/>
      <x:c r="B934" s="70"/>
      <x:c r="C934" s="70"/>
      <x:c r="D934" s="70"/>
      <x:c r="E934" s="70"/>
      <x:c r="F934" s="70"/>
      <x:c r="G934" s="70"/>
      <x:c r="H934" s="70"/>
      <x:c r="I934" s="70"/>
      <x:c r="J934" s="70"/>
      <x:c r="K934" s="190"/>
      <x:c r="L934" s="195"/>
      <x:c r="M934" s="192"/>
      <x:c r="N934" s="192"/>
      <x:c r="O934" s="69"/>
      <x:c r="P934" s="47"/>
      <x:c r="Q934" s="60"/>
      <x:c r="R934" s="58"/>
      <x:c r="S934" s="47"/>
      <x:c r="T934" s="60"/>
      <x:c r="U934" s="58"/>
      <x:c r="V934" s="47"/>
      <x:c r="W934" s="60"/>
      <x:c r="X934" s="58"/>
      <x:c r="Y934" s="47"/>
      <x:c r="Z934" s="60"/>
      <x:c r="AA934" s="58"/>
      <x:c r="AB934" s="47"/>
      <x:c r="AC934" s="60"/>
      <x:c r="AD934" s="58"/>
      <x:c r="AE934" s="47"/>
      <x:c r="AF934" s="60"/>
      <x:c r="AG934" s="58"/>
      <x:c r="AH934" s="47"/>
      <x:c r="AI934" s="60"/>
      <x:c r="AJ934" s="58"/>
      <x:c r="AK934" s="47"/>
      <x:c r="AL934" s="60"/>
      <x:c r="AM934" s="58"/>
      <x:c r="AN934" s="47"/>
      <x:c r="AO934" s="60"/>
      <x:c r="AP934" s="58"/>
      <x:c r="AQ934" s="47"/>
      <x:c r="AR934" s="60"/>
      <x:c r="AS934" s="58"/>
      <x:c r="AT934" s="47"/>
      <x:c r="AU934" s="60"/>
      <x:c r="AV934" s="58"/>
      <x:c r="AW934" s="47"/>
      <x:c r="AX934" s="60"/>
      <x:c r="AY934" s="58"/>
      <x:c r="AZ934" s="47"/>
      <x:c r="BA934" s="60"/>
      <x:c r="BB934" s="58"/>
      <x:c r="BC934" s="47"/>
      <x:c r="BD934" s="60"/>
      <x:c r="BE934" s="58"/>
      <x:c r="BF934" s="47"/>
      <x:c r="BG934" s="60"/>
      <x:c r="BH934" s="58"/>
      <x:c r="BI934" s="47"/>
      <x:c r="BJ934" s="60"/>
      <x:c r="BK934" s="58"/>
      <x:c r="BL934" s="47"/>
      <x:c r="BM934" s="60"/>
      <x:c r="BN934" s="58"/>
      <x:c r="BO934" s="47"/>
      <x:c r="BP934" s="60"/>
      <x:c r="BQ934" s="58"/>
      <x:c r="BR934" s="47"/>
      <x:c r="BS934" s="60"/>
      <x:c r="BT934" s="58"/>
      <x:c r="BU934" s="47"/>
      <x:c r="BV934" s="60"/>
      <x:c r="BW934" s="58"/>
      <x:c r="BX934" s="47"/>
      <x:c r="BY934" s="60"/>
      <x:c r="BZ934" s="58"/>
      <x:c r="CA934" s="47"/>
      <x:c r="CB934" s="60"/>
      <x:c r="CC934" s="58"/>
      <x:c r="CD934" s="47"/>
      <x:c r="CE934" s="60"/>
      <x:c r="CF934" s="58"/>
      <x:c r="CG934" s="47"/>
      <x:c r="CH934" s="60"/>
      <x:c r="CI934" s="58"/>
      <x:c r="CJ934" s="47"/>
      <x:c r="CK934" s="60"/>
      <x:c r="CL934" s="58"/>
      <x:c r="CM934" s="47"/>
      <x:c r="CN934" s="60"/>
      <x:c r="CO934" s="58"/>
      <x:c r="CP934" s="47"/>
      <x:c r="CQ934" s="60"/>
      <x:c r="CR934" s="58"/>
      <x:c r="CS934" s="47"/>
      <x:c r="CT934" s="60"/>
      <x:c r="CU934" s="58"/>
      <x:c r="CV934" s="47"/>
      <x:c r="CW934" s="60"/>
      <x:c r="CX934" s="58"/>
      <x:c r="CY934" s="47"/>
      <x:c r="CZ934" s="60"/>
      <x:c r="DA934" s="58"/>
      <x:c r="DB934" s="47"/>
      <x:c r="DC934" s="60"/>
      <x:c r="DD934" s="58"/>
      <x:c r="DE934" s="47"/>
      <x:c r="DF934" s="60"/>
      <x:c r="DG934" s="58"/>
      <x:c r="DH934" s="47"/>
      <x:c r="DI934" s="60"/>
      <x:c r="DJ934" s="58"/>
      <x:c r="DK934" s="47"/>
      <x:c r="DL934" s="60"/>
      <x:c r="DM934" s="58"/>
      <x:c r="DN934" s="11"/>
      <x:c r="DO934" s="61"/>
      <x:c r="DP934" s="62"/>
      <x:c r="DQ934" s="11"/>
      <x:c r="DR934" s="61"/>
      <x:c r="DS934" s="62"/>
      <x:c r="DT934" s="11"/>
      <x:c r="DU934" s="61"/>
      <x:c r="DV934" s="62"/>
    </x:row>
    <x:row r="935" spans="1:126" x14ac:dyDescent="0.3">
      <x:c r="A935" s="47"/>
      <x:c r="B935" s="70"/>
      <x:c r="C935" s="70"/>
      <x:c r="D935" s="70"/>
      <x:c r="E935" s="70"/>
      <x:c r="F935" s="70"/>
      <x:c r="G935" s="70"/>
      <x:c r="H935" s="70"/>
      <x:c r="I935" s="70"/>
      <x:c r="J935" s="70"/>
      <x:c r="K935" s="190"/>
      <x:c r="L935" s="195"/>
      <x:c r="M935" s="192"/>
      <x:c r="N935" s="192"/>
      <x:c r="O935" s="69"/>
      <x:c r="P935" s="47"/>
      <x:c r="Q935" s="60"/>
      <x:c r="R935" s="58"/>
      <x:c r="S935" s="47"/>
      <x:c r="T935" s="60"/>
      <x:c r="U935" s="58"/>
      <x:c r="V935" s="47"/>
      <x:c r="W935" s="60"/>
      <x:c r="X935" s="58"/>
      <x:c r="Y935" s="47"/>
      <x:c r="Z935" s="60"/>
      <x:c r="AA935" s="58"/>
      <x:c r="AB935" s="47"/>
      <x:c r="AC935" s="60"/>
      <x:c r="AD935" s="58"/>
      <x:c r="AE935" s="47"/>
      <x:c r="AF935" s="60"/>
      <x:c r="AG935" s="58"/>
      <x:c r="AH935" s="47"/>
      <x:c r="AI935" s="60"/>
      <x:c r="AJ935" s="58"/>
      <x:c r="AK935" s="47"/>
      <x:c r="AL935" s="60"/>
      <x:c r="AM935" s="58"/>
      <x:c r="AN935" s="47"/>
      <x:c r="AO935" s="60"/>
      <x:c r="AP935" s="58"/>
      <x:c r="AQ935" s="47"/>
      <x:c r="AR935" s="60"/>
      <x:c r="AS935" s="58"/>
      <x:c r="AT935" s="47"/>
      <x:c r="AU935" s="60"/>
      <x:c r="AV935" s="58"/>
      <x:c r="AW935" s="47"/>
      <x:c r="AX935" s="60"/>
      <x:c r="AY935" s="58"/>
      <x:c r="AZ935" s="47"/>
      <x:c r="BA935" s="60"/>
      <x:c r="BB935" s="58"/>
      <x:c r="BC935" s="47"/>
      <x:c r="BD935" s="60"/>
      <x:c r="BE935" s="58"/>
      <x:c r="BF935" s="47"/>
      <x:c r="BG935" s="60"/>
      <x:c r="BH935" s="58"/>
      <x:c r="BI935" s="47"/>
      <x:c r="BJ935" s="60"/>
      <x:c r="BK935" s="58"/>
      <x:c r="BL935" s="47"/>
      <x:c r="BM935" s="60"/>
      <x:c r="BN935" s="58"/>
      <x:c r="BO935" s="47"/>
      <x:c r="BP935" s="60"/>
      <x:c r="BQ935" s="58"/>
      <x:c r="BR935" s="47"/>
      <x:c r="BS935" s="60"/>
      <x:c r="BT935" s="58"/>
      <x:c r="BU935" s="47"/>
      <x:c r="BV935" s="60"/>
      <x:c r="BW935" s="58"/>
      <x:c r="BX935" s="47"/>
      <x:c r="BY935" s="60"/>
      <x:c r="BZ935" s="58"/>
      <x:c r="CA935" s="47"/>
      <x:c r="CB935" s="60"/>
      <x:c r="CC935" s="58"/>
      <x:c r="CD935" s="47"/>
      <x:c r="CE935" s="60"/>
      <x:c r="CF935" s="58"/>
      <x:c r="CG935" s="47"/>
      <x:c r="CH935" s="60"/>
      <x:c r="CI935" s="58"/>
      <x:c r="CJ935" s="47"/>
      <x:c r="CK935" s="60"/>
      <x:c r="CL935" s="58"/>
      <x:c r="CM935" s="47"/>
      <x:c r="CN935" s="60"/>
      <x:c r="CO935" s="58"/>
      <x:c r="CP935" s="47"/>
      <x:c r="CQ935" s="60"/>
      <x:c r="CR935" s="58"/>
      <x:c r="CS935" s="47"/>
      <x:c r="CT935" s="60"/>
      <x:c r="CU935" s="58"/>
      <x:c r="CV935" s="47"/>
      <x:c r="CW935" s="60"/>
      <x:c r="CX935" s="58"/>
      <x:c r="CY935" s="47"/>
      <x:c r="CZ935" s="60"/>
      <x:c r="DA935" s="58"/>
      <x:c r="DB935" s="47"/>
      <x:c r="DC935" s="60"/>
      <x:c r="DD935" s="58"/>
      <x:c r="DE935" s="47"/>
      <x:c r="DF935" s="60"/>
      <x:c r="DG935" s="58"/>
      <x:c r="DH935" s="47"/>
      <x:c r="DI935" s="60"/>
      <x:c r="DJ935" s="58"/>
      <x:c r="DK935" s="47"/>
      <x:c r="DL935" s="60"/>
      <x:c r="DM935" s="58"/>
      <x:c r="DN935" s="11"/>
      <x:c r="DO935" s="61"/>
      <x:c r="DP935" s="62"/>
      <x:c r="DQ935" s="11"/>
      <x:c r="DR935" s="61"/>
      <x:c r="DS935" s="62"/>
      <x:c r="DT935" s="11"/>
      <x:c r="DU935" s="61"/>
      <x:c r="DV935" s="62"/>
    </x:row>
    <x:row r="936" spans="1:126" x14ac:dyDescent="0.3">
      <x:c r="A936" s="47"/>
      <x:c r="B936" s="70"/>
      <x:c r="C936" s="70"/>
      <x:c r="D936" s="70"/>
      <x:c r="E936" s="70"/>
      <x:c r="F936" s="70"/>
      <x:c r="G936" s="70"/>
      <x:c r="H936" s="70"/>
      <x:c r="I936" s="70"/>
      <x:c r="J936" s="70"/>
      <x:c r="K936" s="190"/>
      <x:c r="L936" s="195"/>
      <x:c r="M936" s="192"/>
      <x:c r="N936" s="192"/>
      <x:c r="O936" s="69"/>
      <x:c r="P936" s="47"/>
      <x:c r="Q936" s="60"/>
      <x:c r="R936" s="58"/>
      <x:c r="S936" s="47"/>
      <x:c r="T936" s="60"/>
      <x:c r="U936" s="58"/>
      <x:c r="V936" s="47"/>
      <x:c r="W936" s="60"/>
      <x:c r="X936" s="58"/>
      <x:c r="Y936" s="47"/>
      <x:c r="Z936" s="60"/>
      <x:c r="AA936" s="58"/>
      <x:c r="AB936" s="47"/>
      <x:c r="AC936" s="60"/>
      <x:c r="AD936" s="58"/>
      <x:c r="AE936" s="47"/>
      <x:c r="AF936" s="60"/>
      <x:c r="AG936" s="58"/>
      <x:c r="AH936" s="47"/>
      <x:c r="AI936" s="60"/>
      <x:c r="AJ936" s="58"/>
      <x:c r="AK936" s="47"/>
      <x:c r="AL936" s="60"/>
      <x:c r="AM936" s="58"/>
      <x:c r="AN936" s="47"/>
      <x:c r="AO936" s="60"/>
      <x:c r="AP936" s="58"/>
      <x:c r="AQ936" s="47"/>
      <x:c r="AR936" s="60"/>
      <x:c r="AS936" s="58"/>
      <x:c r="AT936" s="47"/>
      <x:c r="AU936" s="60"/>
      <x:c r="AV936" s="58"/>
      <x:c r="AW936" s="47"/>
      <x:c r="AX936" s="60"/>
      <x:c r="AY936" s="58"/>
      <x:c r="AZ936" s="47"/>
      <x:c r="BA936" s="60"/>
      <x:c r="BB936" s="58"/>
      <x:c r="BC936" s="47"/>
      <x:c r="BD936" s="60"/>
      <x:c r="BE936" s="58"/>
      <x:c r="BF936" s="47"/>
      <x:c r="BG936" s="60"/>
      <x:c r="BH936" s="58"/>
      <x:c r="BI936" s="47"/>
      <x:c r="BJ936" s="60"/>
      <x:c r="BK936" s="58"/>
      <x:c r="BL936" s="47"/>
      <x:c r="BM936" s="60"/>
      <x:c r="BN936" s="58"/>
      <x:c r="BO936" s="47"/>
      <x:c r="BP936" s="60"/>
      <x:c r="BQ936" s="58"/>
      <x:c r="BR936" s="47"/>
      <x:c r="BS936" s="60"/>
      <x:c r="BT936" s="58"/>
      <x:c r="BU936" s="47"/>
      <x:c r="BV936" s="60"/>
      <x:c r="BW936" s="58"/>
      <x:c r="BX936" s="47"/>
      <x:c r="BY936" s="60"/>
      <x:c r="BZ936" s="58"/>
      <x:c r="CA936" s="47"/>
      <x:c r="CB936" s="60"/>
      <x:c r="CC936" s="58"/>
      <x:c r="CD936" s="47"/>
      <x:c r="CE936" s="60"/>
      <x:c r="CF936" s="58"/>
      <x:c r="CG936" s="47"/>
      <x:c r="CH936" s="60"/>
      <x:c r="CI936" s="58"/>
      <x:c r="CJ936" s="47"/>
      <x:c r="CK936" s="60"/>
      <x:c r="CL936" s="58"/>
      <x:c r="CM936" s="47"/>
      <x:c r="CN936" s="60"/>
      <x:c r="CO936" s="58"/>
      <x:c r="CP936" s="47"/>
      <x:c r="CQ936" s="60"/>
      <x:c r="CR936" s="58"/>
      <x:c r="CS936" s="47"/>
      <x:c r="CT936" s="60"/>
      <x:c r="CU936" s="58"/>
      <x:c r="CV936" s="47"/>
      <x:c r="CW936" s="60"/>
      <x:c r="CX936" s="58"/>
      <x:c r="CY936" s="47"/>
      <x:c r="CZ936" s="60"/>
      <x:c r="DA936" s="58"/>
      <x:c r="DB936" s="47"/>
      <x:c r="DC936" s="60"/>
      <x:c r="DD936" s="58"/>
      <x:c r="DE936" s="47"/>
      <x:c r="DF936" s="60"/>
      <x:c r="DG936" s="58"/>
      <x:c r="DH936" s="47"/>
      <x:c r="DI936" s="60"/>
      <x:c r="DJ936" s="58"/>
      <x:c r="DK936" s="47"/>
      <x:c r="DL936" s="60"/>
      <x:c r="DM936" s="58"/>
      <x:c r="DN936" s="11"/>
      <x:c r="DO936" s="61"/>
      <x:c r="DP936" s="62"/>
      <x:c r="DQ936" s="11"/>
      <x:c r="DR936" s="61"/>
      <x:c r="DS936" s="62"/>
      <x:c r="DT936" s="11"/>
      <x:c r="DU936" s="61"/>
      <x:c r="DV936" s="62"/>
    </x:row>
    <x:row r="937" spans="1:126" x14ac:dyDescent="0.3">
      <x:c r="A937" s="47"/>
      <x:c r="B937" s="70"/>
      <x:c r="C937" s="70"/>
      <x:c r="D937" s="70"/>
      <x:c r="E937" s="70"/>
      <x:c r="F937" s="70"/>
      <x:c r="G937" s="70"/>
      <x:c r="H937" s="70"/>
      <x:c r="I937" s="70"/>
      <x:c r="J937" s="70"/>
      <x:c r="K937" s="190"/>
      <x:c r="L937" s="195"/>
      <x:c r="M937" s="192"/>
      <x:c r="N937" s="192"/>
      <x:c r="O937" s="69"/>
      <x:c r="P937" s="47"/>
      <x:c r="Q937" s="60"/>
      <x:c r="R937" s="58"/>
      <x:c r="S937" s="47"/>
      <x:c r="T937" s="60"/>
      <x:c r="U937" s="58"/>
      <x:c r="V937" s="47"/>
      <x:c r="W937" s="60"/>
      <x:c r="X937" s="58"/>
      <x:c r="Y937" s="47"/>
      <x:c r="Z937" s="60"/>
      <x:c r="AA937" s="58"/>
      <x:c r="AB937" s="47"/>
      <x:c r="AC937" s="60"/>
      <x:c r="AD937" s="58"/>
      <x:c r="AE937" s="47"/>
      <x:c r="AF937" s="60"/>
      <x:c r="AG937" s="58"/>
      <x:c r="AH937" s="47"/>
      <x:c r="AI937" s="60"/>
      <x:c r="AJ937" s="58"/>
      <x:c r="AK937" s="47"/>
      <x:c r="AL937" s="60"/>
      <x:c r="AM937" s="58"/>
      <x:c r="AN937" s="47"/>
      <x:c r="AO937" s="60"/>
      <x:c r="AP937" s="58"/>
      <x:c r="AQ937" s="47"/>
      <x:c r="AR937" s="60"/>
      <x:c r="AS937" s="58"/>
      <x:c r="AT937" s="47"/>
      <x:c r="AU937" s="60"/>
      <x:c r="AV937" s="58"/>
      <x:c r="AW937" s="47"/>
      <x:c r="AX937" s="60"/>
      <x:c r="AY937" s="58"/>
      <x:c r="AZ937" s="47"/>
      <x:c r="BA937" s="60"/>
      <x:c r="BB937" s="58"/>
      <x:c r="BC937" s="47"/>
      <x:c r="BD937" s="60"/>
      <x:c r="BE937" s="58"/>
      <x:c r="BF937" s="47"/>
      <x:c r="BG937" s="60"/>
      <x:c r="BH937" s="58"/>
      <x:c r="BI937" s="47"/>
      <x:c r="BJ937" s="60"/>
      <x:c r="BK937" s="58"/>
      <x:c r="BL937" s="47"/>
      <x:c r="BM937" s="60"/>
      <x:c r="BN937" s="58"/>
      <x:c r="BO937" s="47"/>
      <x:c r="BP937" s="60"/>
      <x:c r="BQ937" s="58"/>
      <x:c r="BR937" s="47"/>
      <x:c r="BS937" s="60"/>
      <x:c r="BT937" s="58"/>
      <x:c r="BU937" s="47"/>
      <x:c r="BV937" s="60"/>
      <x:c r="BW937" s="58"/>
      <x:c r="BX937" s="47"/>
      <x:c r="BY937" s="60"/>
      <x:c r="BZ937" s="58"/>
      <x:c r="CA937" s="47"/>
      <x:c r="CB937" s="60"/>
      <x:c r="CC937" s="58"/>
      <x:c r="CD937" s="47"/>
      <x:c r="CE937" s="60"/>
      <x:c r="CF937" s="58"/>
      <x:c r="CG937" s="47"/>
      <x:c r="CH937" s="60"/>
      <x:c r="CI937" s="58"/>
      <x:c r="CJ937" s="47"/>
      <x:c r="CK937" s="60"/>
      <x:c r="CL937" s="58"/>
      <x:c r="CM937" s="47"/>
      <x:c r="CN937" s="60"/>
      <x:c r="CO937" s="58"/>
      <x:c r="CP937" s="47"/>
      <x:c r="CQ937" s="60"/>
      <x:c r="CR937" s="58"/>
      <x:c r="CS937" s="47"/>
      <x:c r="CT937" s="60"/>
      <x:c r="CU937" s="58"/>
      <x:c r="CV937" s="47"/>
      <x:c r="CW937" s="60"/>
      <x:c r="CX937" s="58"/>
      <x:c r="CY937" s="47"/>
      <x:c r="CZ937" s="60"/>
      <x:c r="DA937" s="58"/>
      <x:c r="DB937" s="47"/>
      <x:c r="DC937" s="60"/>
      <x:c r="DD937" s="58"/>
      <x:c r="DE937" s="47"/>
      <x:c r="DF937" s="60"/>
      <x:c r="DG937" s="58"/>
      <x:c r="DH937" s="47"/>
      <x:c r="DI937" s="60"/>
      <x:c r="DJ937" s="58"/>
      <x:c r="DK937" s="47"/>
      <x:c r="DL937" s="60"/>
      <x:c r="DM937" s="58"/>
      <x:c r="DN937" s="11"/>
      <x:c r="DO937" s="61"/>
      <x:c r="DP937" s="62"/>
      <x:c r="DQ937" s="11"/>
      <x:c r="DR937" s="61"/>
      <x:c r="DS937" s="62"/>
      <x:c r="DT937" s="11"/>
      <x:c r="DU937" s="61"/>
      <x:c r="DV937" s="62"/>
    </x:row>
    <x:row r="938" spans="1:126" x14ac:dyDescent="0.3">
      <x:c r="A938" s="47"/>
      <x:c r="B938" s="70"/>
      <x:c r="C938" s="70"/>
      <x:c r="D938" s="70"/>
      <x:c r="E938" s="70"/>
      <x:c r="F938" s="70"/>
      <x:c r="G938" s="70"/>
      <x:c r="H938" s="70"/>
      <x:c r="I938" s="70"/>
      <x:c r="J938" s="70"/>
      <x:c r="K938" s="190"/>
      <x:c r="L938" s="195"/>
      <x:c r="M938" s="192"/>
      <x:c r="N938" s="192"/>
      <x:c r="O938" s="69"/>
      <x:c r="P938" s="47"/>
      <x:c r="Q938" s="60"/>
      <x:c r="R938" s="58"/>
      <x:c r="S938" s="47"/>
      <x:c r="T938" s="60"/>
      <x:c r="U938" s="58"/>
      <x:c r="V938" s="47"/>
      <x:c r="W938" s="60"/>
      <x:c r="X938" s="58"/>
      <x:c r="Y938" s="47"/>
      <x:c r="Z938" s="60"/>
      <x:c r="AA938" s="58"/>
      <x:c r="AB938" s="47"/>
      <x:c r="AC938" s="60"/>
      <x:c r="AD938" s="58"/>
      <x:c r="AE938" s="47"/>
      <x:c r="AF938" s="60"/>
      <x:c r="AG938" s="58"/>
      <x:c r="AH938" s="47"/>
      <x:c r="AI938" s="60"/>
      <x:c r="AJ938" s="58"/>
      <x:c r="AK938" s="47"/>
      <x:c r="AL938" s="60"/>
      <x:c r="AM938" s="58"/>
      <x:c r="AN938" s="47"/>
      <x:c r="AO938" s="60"/>
      <x:c r="AP938" s="58"/>
      <x:c r="AQ938" s="47"/>
      <x:c r="AR938" s="60"/>
      <x:c r="AS938" s="58"/>
      <x:c r="AT938" s="47"/>
      <x:c r="AU938" s="60"/>
      <x:c r="AV938" s="58"/>
      <x:c r="AW938" s="47"/>
      <x:c r="AX938" s="60"/>
      <x:c r="AY938" s="58"/>
      <x:c r="AZ938" s="47"/>
      <x:c r="BA938" s="60"/>
      <x:c r="BB938" s="58"/>
      <x:c r="BC938" s="47"/>
      <x:c r="BD938" s="60"/>
      <x:c r="BE938" s="58"/>
      <x:c r="BF938" s="47"/>
      <x:c r="BG938" s="60"/>
      <x:c r="BH938" s="58"/>
      <x:c r="BI938" s="47"/>
      <x:c r="BJ938" s="60"/>
      <x:c r="BK938" s="58"/>
      <x:c r="BL938" s="47"/>
      <x:c r="BM938" s="60"/>
      <x:c r="BN938" s="58"/>
      <x:c r="BO938" s="47"/>
      <x:c r="BP938" s="60"/>
      <x:c r="BQ938" s="58"/>
      <x:c r="BR938" s="47"/>
      <x:c r="BS938" s="60"/>
      <x:c r="BT938" s="58"/>
      <x:c r="BU938" s="47"/>
      <x:c r="BV938" s="60"/>
      <x:c r="BW938" s="58"/>
      <x:c r="BX938" s="47"/>
      <x:c r="BY938" s="60"/>
      <x:c r="BZ938" s="58"/>
      <x:c r="CA938" s="47"/>
      <x:c r="CB938" s="60"/>
      <x:c r="CC938" s="58"/>
      <x:c r="CD938" s="47"/>
      <x:c r="CE938" s="60"/>
      <x:c r="CF938" s="58"/>
      <x:c r="CG938" s="47"/>
      <x:c r="CH938" s="60"/>
      <x:c r="CI938" s="58"/>
      <x:c r="CJ938" s="47"/>
      <x:c r="CK938" s="60"/>
      <x:c r="CL938" s="58"/>
      <x:c r="CM938" s="47"/>
      <x:c r="CN938" s="60"/>
      <x:c r="CO938" s="58"/>
      <x:c r="CP938" s="47"/>
      <x:c r="CQ938" s="60"/>
      <x:c r="CR938" s="58"/>
      <x:c r="CS938" s="47"/>
      <x:c r="CT938" s="60"/>
      <x:c r="CU938" s="58"/>
      <x:c r="CV938" s="47"/>
      <x:c r="CW938" s="60"/>
      <x:c r="CX938" s="58"/>
      <x:c r="CY938" s="47"/>
      <x:c r="CZ938" s="60"/>
      <x:c r="DA938" s="58"/>
      <x:c r="DB938" s="47"/>
      <x:c r="DC938" s="60"/>
      <x:c r="DD938" s="58"/>
      <x:c r="DE938" s="47"/>
      <x:c r="DF938" s="60"/>
      <x:c r="DG938" s="58"/>
      <x:c r="DH938" s="47"/>
      <x:c r="DI938" s="60"/>
      <x:c r="DJ938" s="58"/>
      <x:c r="DK938" s="47"/>
      <x:c r="DL938" s="60"/>
      <x:c r="DM938" s="58"/>
      <x:c r="DN938" s="11"/>
      <x:c r="DO938" s="61"/>
      <x:c r="DP938" s="62"/>
      <x:c r="DQ938" s="11"/>
      <x:c r="DR938" s="61"/>
      <x:c r="DS938" s="62"/>
      <x:c r="DT938" s="11"/>
      <x:c r="DU938" s="61"/>
      <x:c r="DV938" s="62"/>
    </x:row>
    <x:row r="939" spans="1:126" x14ac:dyDescent="0.3">
      <x:c r="A939" s="47"/>
      <x:c r="B939" s="70"/>
      <x:c r="C939" s="70"/>
      <x:c r="D939" s="70"/>
      <x:c r="E939" s="70"/>
      <x:c r="F939" s="70"/>
      <x:c r="G939" s="70"/>
      <x:c r="H939" s="70"/>
      <x:c r="I939" s="70"/>
      <x:c r="J939" s="70"/>
      <x:c r="K939" s="190"/>
      <x:c r="L939" s="195"/>
      <x:c r="M939" s="192"/>
      <x:c r="N939" s="192"/>
      <x:c r="O939" s="69"/>
      <x:c r="P939" s="47"/>
      <x:c r="Q939" s="60"/>
      <x:c r="R939" s="58"/>
      <x:c r="S939" s="47"/>
      <x:c r="T939" s="60"/>
      <x:c r="U939" s="58"/>
      <x:c r="V939" s="47"/>
      <x:c r="W939" s="60"/>
      <x:c r="X939" s="58"/>
      <x:c r="Y939" s="47"/>
      <x:c r="Z939" s="60"/>
      <x:c r="AA939" s="58"/>
      <x:c r="AB939" s="47"/>
      <x:c r="AC939" s="60"/>
      <x:c r="AD939" s="58"/>
      <x:c r="AE939" s="47"/>
      <x:c r="AF939" s="60"/>
      <x:c r="AG939" s="58"/>
      <x:c r="AH939" s="47"/>
      <x:c r="AI939" s="60"/>
      <x:c r="AJ939" s="58"/>
      <x:c r="AK939" s="47"/>
      <x:c r="AL939" s="60"/>
      <x:c r="AM939" s="58"/>
      <x:c r="AN939" s="47"/>
      <x:c r="AO939" s="60"/>
      <x:c r="AP939" s="58"/>
      <x:c r="AQ939" s="47"/>
      <x:c r="AR939" s="60"/>
      <x:c r="AS939" s="58"/>
      <x:c r="AT939" s="47"/>
      <x:c r="AU939" s="60"/>
      <x:c r="AV939" s="58"/>
      <x:c r="AW939" s="47"/>
      <x:c r="AX939" s="60"/>
      <x:c r="AY939" s="58"/>
      <x:c r="AZ939" s="47"/>
      <x:c r="BA939" s="60"/>
      <x:c r="BB939" s="58"/>
      <x:c r="BC939" s="47"/>
      <x:c r="BD939" s="60"/>
      <x:c r="BE939" s="58"/>
      <x:c r="BF939" s="47"/>
      <x:c r="BG939" s="60"/>
      <x:c r="BH939" s="58"/>
      <x:c r="BI939" s="47"/>
      <x:c r="BJ939" s="60"/>
      <x:c r="BK939" s="58"/>
      <x:c r="BL939" s="47"/>
      <x:c r="BM939" s="60"/>
      <x:c r="BN939" s="58"/>
      <x:c r="BO939" s="47"/>
      <x:c r="BP939" s="60"/>
      <x:c r="BQ939" s="58"/>
      <x:c r="BR939" s="47"/>
      <x:c r="BS939" s="60"/>
      <x:c r="BT939" s="58"/>
      <x:c r="BU939" s="47"/>
      <x:c r="BV939" s="60"/>
      <x:c r="BW939" s="58"/>
      <x:c r="BX939" s="47"/>
      <x:c r="BY939" s="60"/>
      <x:c r="BZ939" s="58"/>
      <x:c r="CA939" s="47"/>
      <x:c r="CB939" s="60"/>
      <x:c r="CC939" s="58"/>
      <x:c r="CD939" s="47"/>
      <x:c r="CE939" s="60"/>
      <x:c r="CF939" s="58"/>
      <x:c r="CG939" s="47"/>
      <x:c r="CH939" s="60"/>
      <x:c r="CI939" s="58"/>
      <x:c r="CJ939" s="47"/>
      <x:c r="CK939" s="60"/>
      <x:c r="CL939" s="58"/>
      <x:c r="CM939" s="47"/>
      <x:c r="CN939" s="60"/>
      <x:c r="CO939" s="58"/>
      <x:c r="CP939" s="47"/>
      <x:c r="CQ939" s="60"/>
      <x:c r="CR939" s="58"/>
      <x:c r="CS939" s="47"/>
      <x:c r="CT939" s="60"/>
      <x:c r="CU939" s="58"/>
      <x:c r="CV939" s="47"/>
      <x:c r="CW939" s="60"/>
      <x:c r="CX939" s="58"/>
      <x:c r="CY939" s="47"/>
      <x:c r="CZ939" s="60"/>
      <x:c r="DA939" s="58"/>
      <x:c r="DB939" s="47"/>
      <x:c r="DC939" s="60"/>
      <x:c r="DD939" s="58"/>
      <x:c r="DE939" s="47"/>
      <x:c r="DF939" s="60"/>
      <x:c r="DG939" s="58"/>
      <x:c r="DH939" s="47"/>
      <x:c r="DI939" s="60"/>
      <x:c r="DJ939" s="58"/>
      <x:c r="DK939" s="47"/>
      <x:c r="DL939" s="60"/>
      <x:c r="DM939" s="58"/>
      <x:c r="DN939" s="11"/>
      <x:c r="DO939" s="61"/>
      <x:c r="DP939" s="62"/>
      <x:c r="DQ939" s="11"/>
      <x:c r="DR939" s="61"/>
      <x:c r="DS939" s="62"/>
      <x:c r="DT939" s="11"/>
      <x:c r="DU939" s="61"/>
      <x:c r="DV939" s="62"/>
    </x:row>
    <x:row r="940" spans="1:126" x14ac:dyDescent="0.3">
      <x:c r="A940" s="47"/>
      <x:c r="B940" s="70"/>
      <x:c r="C940" s="70"/>
      <x:c r="D940" s="70"/>
      <x:c r="E940" s="70"/>
      <x:c r="F940" s="70"/>
      <x:c r="G940" s="70"/>
      <x:c r="H940" s="70"/>
      <x:c r="I940" s="70"/>
      <x:c r="J940" s="70"/>
      <x:c r="K940" s="190"/>
      <x:c r="L940" s="195"/>
      <x:c r="M940" s="192"/>
      <x:c r="N940" s="192"/>
      <x:c r="O940" s="69"/>
      <x:c r="P940" s="47"/>
      <x:c r="Q940" s="60"/>
      <x:c r="R940" s="58"/>
      <x:c r="S940" s="47"/>
      <x:c r="T940" s="60"/>
      <x:c r="U940" s="58"/>
      <x:c r="V940" s="47"/>
      <x:c r="W940" s="60"/>
      <x:c r="X940" s="58"/>
      <x:c r="Y940" s="47"/>
      <x:c r="Z940" s="60"/>
      <x:c r="AA940" s="58"/>
      <x:c r="AB940" s="47"/>
      <x:c r="AC940" s="60"/>
      <x:c r="AD940" s="58"/>
      <x:c r="AE940" s="47"/>
      <x:c r="AF940" s="60"/>
      <x:c r="AG940" s="58"/>
      <x:c r="AH940" s="47"/>
      <x:c r="AI940" s="60"/>
      <x:c r="AJ940" s="58"/>
      <x:c r="AK940" s="47"/>
      <x:c r="AL940" s="60"/>
      <x:c r="AM940" s="58"/>
      <x:c r="AN940" s="47"/>
      <x:c r="AO940" s="60"/>
      <x:c r="AP940" s="58"/>
      <x:c r="AQ940" s="47"/>
      <x:c r="AR940" s="60"/>
      <x:c r="AS940" s="58"/>
      <x:c r="AT940" s="47"/>
      <x:c r="AU940" s="60"/>
      <x:c r="AV940" s="58"/>
      <x:c r="AW940" s="47"/>
      <x:c r="AX940" s="60"/>
      <x:c r="AY940" s="58"/>
      <x:c r="AZ940" s="47"/>
      <x:c r="BA940" s="60"/>
      <x:c r="BB940" s="58"/>
      <x:c r="BC940" s="47"/>
      <x:c r="BD940" s="60"/>
      <x:c r="BE940" s="58"/>
      <x:c r="BF940" s="47"/>
      <x:c r="BG940" s="60"/>
      <x:c r="BH940" s="58"/>
      <x:c r="BI940" s="47"/>
      <x:c r="BJ940" s="60"/>
      <x:c r="BK940" s="58"/>
      <x:c r="BL940" s="47"/>
      <x:c r="BM940" s="60"/>
      <x:c r="BN940" s="58"/>
      <x:c r="BO940" s="47"/>
      <x:c r="BP940" s="60"/>
      <x:c r="BQ940" s="58"/>
      <x:c r="BR940" s="47"/>
      <x:c r="BS940" s="60"/>
      <x:c r="BT940" s="58"/>
      <x:c r="BU940" s="47"/>
      <x:c r="BV940" s="60"/>
      <x:c r="BW940" s="58"/>
      <x:c r="BX940" s="47"/>
      <x:c r="BY940" s="60"/>
      <x:c r="BZ940" s="58"/>
      <x:c r="CA940" s="47"/>
      <x:c r="CB940" s="60"/>
      <x:c r="CC940" s="58"/>
      <x:c r="CD940" s="47"/>
      <x:c r="CE940" s="60"/>
      <x:c r="CF940" s="58"/>
      <x:c r="CG940" s="47"/>
      <x:c r="CH940" s="60"/>
      <x:c r="CI940" s="58"/>
      <x:c r="CJ940" s="47"/>
      <x:c r="CK940" s="60"/>
      <x:c r="CL940" s="58"/>
      <x:c r="CM940" s="47"/>
      <x:c r="CN940" s="60"/>
      <x:c r="CO940" s="58"/>
      <x:c r="CP940" s="47"/>
      <x:c r="CQ940" s="60"/>
      <x:c r="CR940" s="58"/>
      <x:c r="CS940" s="47"/>
      <x:c r="CT940" s="60"/>
      <x:c r="CU940" s="58"/>
      <x:c r="CV940" s="47"/>
      <x:c r="CW940" s="60"/>
      <x:c r="CX940" s="58"/>
      <x:c r="CY940" s="47"/>
      <x:c r="CZ940" s="60"/>
      <x:c r="DA940" s="58"/>
      <x:c r="DB940" s="47"/>
      <x:c r="DC940" s="60"/>
      <x:c r="DD940" s="58"/>
      <x:c r="DE940" s="47"/>
      <x:c r="DF940" s="60"/>
      <x:c r="DG940" s="58"/>
      <x:c r="DH940" s="47"/>
      <x:c r="DI940" s="60"/>
      <x:c r="DJ940" s="58"/>
      <x:c r="DK940" s="47"/>
      <x:c r="DL940" s="60"/>
      <x:c r="DM940" s="58"/>
      <x:c r="DN940" s="11"/>
      <x:c r="DO940" s="61"/>
      <x:c r="DP940" s="62"/>
      <x:c r="DQ940" s="11"/>
      <x:c r="DR940" s="61"/>
      <x:c r="DS940" s="62"/>
      <x:c r="DT940" s="11"/>
      <x:c r="DU940" s="61"/>
      <x:c r="DV940" s="62"/>
    </x:row>
    <x:row r="941" spans="1:126" x14ac:dyDescent="0.3">
      <x:c r="A941" s="47"/>
      <x:c r="B941" s="70"/>
      <x:c r="C941" s="70"/>
      <x:c r="D941" s="70"/>
      <x:c r="E941" s="70"/>
      <x:c r="F941" s="70"/>
      <x:c r="G941" s="70"/>
      <x:c r="H941" s="70"/>
      <x:c r="I941" s="70"/>
      <x:c r="J941" s="70"/>
      <x:c r="K941" s="190"/>
      <x:c r="L941" s="195"/>
      <x:c r="M941" s="192"/>
      <x:c r="N941" s="192"/>
      <x:c r="O941" s="69"/>
      <x:c r="P941" s="47"/>
      <x:c r="Q941" s="60"/>
      <x:c r="R941" s="58"/>
      <x:c r="S941" s="47"/>
      <x:c r="T941" s="60"/>
      <x:c r="U941" s="58"/>
      <x:c r="V941" s="47"/>
      <x:c r="W941" s="60"/>
      <x:c r="X941" s="58"/>
      <x:c r="Y941" s="47"/>
      <x:c r="Z941" s="60"/>
      <x:c r="AA941" s="58"/>
      <x:c r="AB941" s="47"/>
      <x:c r="AC941" s="60"/>
      <x:c r="AD941" s="58"/>
      <x:c r="AE941" s="47"/>
      <x:c r="AF941" s="60"/>
      <x:c r="AG941" s="58"/>
      <x:c r="AH941" s="47"/>
      <x:c r="AI941" s="60"/>
      <x:c r="AJ941" s="58"/>
      <x:c r="AK941" s="47"/>
      <x:c r="AL941" s="60"/>
      <x:c r="AM941" s="58"/>
      <x:c r="AN941" s="47"/>
      <x:c r="AO941" s="60"/>
      <x:c r="AP941" s="58"/>
      <x:c r="AQ941" s="47"/>
      <x:c r="AR941" s="60"/>
      <x:c r="AS941" s="58"/>
      <x:c r="AT941" s="47"/>
      <x:c r="AU941" s="60"/>
      <x:c r="AV941" s="58"/>
      <x:c r="AW941" s="47"/>
      <x:c r="AX941" s="60"/>
      <x:c r="AY941" s="58"/>
      <x:c r="AZ941" s="47"/>
      <x:c r="BA941" s="60"/>
      <x:c r="BB941" s="58"/>
      <x:c r="BC941" s="47"/>
      <x:c r="BD941" s="60"/>
      <x:c r="BE941" s="58"/>
      <x:c r="BF941" s="47"/>
      <x:c r="BG941" s="60"/>
      <x:c r="BH941" s="58"/>
      <x:c r="BI941" s="47"/>
      <x:c r="BJ941" s="60"/>
      <x:c r="BK941" s="58"/>
      <x:c r="BL941" s="47"/>
      <x:c r="BM941" s="60"/>
      <x:c r="BN941" s="58"/>
      <x:c r="BO941" s="47"/>
      <x:c r="BP941" s="60"/>
      <x:c r="BQ941" s="58"/>
      <x:c r="BR941" s="47"/>
      <x:c r="BS941" s="60"/>
      <x:c r="BT941" s="58"/>
      <x:c r="BU941" s="47"/>
      <x:c r="BV941" s="60"/>
      <x:c r="BW941" s="58"/>
      <x:c r="BX941" s="47"/>
      <x:c r="BY941" s="60"/>
      <x:c r="BZ941" s="58"/>
      <x:c r="CA941" s="47"/>
      <x:c r="CB941" s="60"/>
      <x:c r="CC941" s="58"/>
      <x:c r="CD941" s="47"/>
      <x:c r="CE941" s="60"/>
      <x:c r="CF941" s="58"/>
      <x:c r="CG941" s="47"/>
      <x:c r="CH941" s="60"/>
      <x:c r="CI941" s="58"/>
      <x:c r="CJ941" s="47"/>
      <x:c r="CK941" s="60"/>
      <x:c r="CL941" s="58"/>
      <x:c r="CM941" s="47"/>
      <x:c r="CN941" s="60"/>
      <x:c r="CO941" s="58"/>
      <x:c r="CP941" s="47"/>
      <x:c r="CQ941" s="60"/>
      <x:c r="CR941" s="58"/>
      <x:c r="CS941" s="47"/>
      <x:c r="CT941" s="60"/>
      <x:c r="CU941" s="58"/>
      <x:c r="CV941" s="47"/>
      <x:c r="CW941" s="60"/>
      <x:c r="CX941" s="58"/>
      <x:c r="CY941" s="47"/>
      <x:c r="CZ941" s="60"/>
      <x:c r="DA941" s="58"/>
      <x:c r="DB941" s="47"/>
      <x:c r="DC941" s="60"/>
      <x:c r="DD941" s="58"/>
      <x:c r="DE941" s="47"/>
      <x:c r="DF941" s="60"/>
      <x:c r="DG941" s="58"/>
      <x:c r="DH941" s="47"/>
      <x:c r="DI941" s="60"/>
      <x:c r="DJ941" s="58"/>
      <x:c r="DK941" s="47"/>
      <x:c r="DL941" s="60"/>
      <x:c r="DM941" s="58"/>
      <x:c r="DN941" s="11"/>
      <x:c r="DO941" s="61"/>
      <x:c r="DP941" s="62"/>
      <x:c r="DQ941" s="11"/>
      <x:c r="DR941" s="61"/>
      <x:c r="DS941" s="62"/>
      <x:c r="DT941" s="11"/>
      <x:c r="DU941" s="61"/>
      <x:c r="DV941" s="62"/>
    </x:row>
    <x:row r="942" spans="1:126" x14ac:dyDescent="0.3">
      <x:c r="A942" s="47"/>
      <x:c r="B942" s="70"/>
      <x:c r="C942" s="70"/>
      <x:c r="D942" s="70"/>
      <x:c r="E942" s="70"/>
      <x:c r="F942" s="70"/>
      <x:c r="G942" s="70"/>
      <x:c r="H942" s="70"/>
      <x:c r="I942" s="70"/>
      <x:c r="J942" s="70"/>
      <x:c r="K942" s="190"/>
      <x:c r="L942" s="195"/>
      <x:c r="M942" s="192"/>
      <x:c r="N942" s="192"/>
      <x:c r="O942" s="69"/>
      <x:c r="P942" s="47"/>
      <x:c r="Q942" s="60"/>
      <x:c r="R942" s="58"/>
      <x:c r="S942" s="47"/>
      <x:c r="T942" s="60"/>
      <x:c r="U942" s="58"/>
      <x:c r="V942" s="47"/>
      <x:c r="W942" s="60"/>
      <x:c r="X942" s="58"/>
      <x:c r="Y942" s="47"/>
      <x:c r="Z942" s="60"/>
      <x:c r="AA942" s="58"/>
      <x:c r="AB942" s="47"/>
      <x:c r="AC942" s="60"/>
      <x:c r="AD942" s="58"/>
      <x:c r="AE942" s="47"/>
      <x:c r="AF942" s="60"/>
      <x:c r="AG942" s="58"/>
      <x:c r="AH942" s="47"/>
      <x:c r="AI942" s="60"/>
      <x:c r="AJ942" s="58"/>
      <x:c r="AK942" s="47"/>
      <x:c r="AL942" s="60"/>
      <x:c r="AM942" s="58"/>
      <x:c r="AN942" s="47"/>
      <x:c r="AO942" s="60"/>
      <x:c r="AP942" s="58"/>
      <x:c r="AQ942" s="47"/>
      <x:c r="AR942" s="60"/>
      <x:c r="AS942" s="58"/>
      <x:c r="AT942" s="47"/>
      <x:c r="AU942" s="60"/>
      <x:c r="AV942" s="58"/>
      <x:c r="AW942" s="47"/>
      <x:c r="AX942" s="60"/>
      <x:c r="AY942" s="58"/>
      <x:c r="AZ942" s="47"/>
      <x:c r="BA942" s="60"/>
      <x:c r="BB942" s="58"/>
      <x:c r="BC942" s="47"/>
      <x:c r="BD942" s="60"/>
      <x:c r="BE942" s="58"/>
      <x:c r="BF942" s="47"/>
      <x:c r="BG942" s="60"/>
      <x:c r="BH942" s="58"/>
      <x:c r="BI942" s="47"/>
      <x:c r="BJ942" s="60"/>
      <x:c r="BK942" s="58"/>
      <x:c r="BL942" s="47"/>
      <x:c r="BM942" s="60"/>
      <x:c r="BN942" s="58"/>
      <x:c r="BO942" s="47"/>
      <x:c r="BP942" s="60"/>
      <x:c r="BQ942" s="58"/>
      <x:c r="BR942" s="47"/>
      <x:c r="BS942" s="60"/>
      <x:c r="BT942" s="58"/>
      <x:c r="BU942" s="47"/>
      <x:c r="BV942" s="60"/>
      <x:c r="BW942" s="58"/>
      <x:c r="BX942" s="47"/>
      <x:c r="BY942" s="60"/>
      <x:c r="BZ942" s="58"/>
      <x:c r="CA942" s="47"/>
      <x:c r="CB942" s="60"/>
      <x:c r="CC942" s="58"/>
      <x:c r="CD942" s="47"/>
      <x:c r="CE942" s="60"/>
      <x:c r="CF942" s="58"/>
      <x:c r="CG942" s="47"/>
      <x:c r="CH942" s="60"/>
      <x:c r="CI942" s="58"/>
      <x:c r="CJ942" s="47"/>
      <x:c r="CK942" s="60"/>
      <x:c r="CL942" s="58"/>
      <x:c r="CM942" s="47"/>
      <x:c r="CN942" s="60"/>
      <x:c r="CO942" s="58"/>
      <x:c r="CP942" s="47"/>
      <x:c r="CQ942" s="60"/>
      <x:c r="CR942" s="58"/>
      <x:c r="CS942" s="47"/>
      <x:c r="CT942" s="60"/>
      <x:c r="CU942" s="58"/>
      <x:c r="CV942" s="47"/>
      <x:c r="CW942" s="60"/>
      <x:c r="CX942" s="58"/>
      <x:c r="CY942" s="47"/>
      <x:c r="CZ942" s="60"/>
      <x:c r="DA942" s="58"/>
      <x:c r="DB942" s="47"/>
      <x:c r="DC942" s="60"/>
      <x:c r="DD942" s="58"/>
      <x:c r="DE942" s="47"/>
      <x:c r="DF942" s="60"/>
      <x:c r="DG942" s="58"/>
      <x:c r="DH942" s="47"/>
      <x:c r="DI942" s="60"/>
      <x:c r="DJ942" s="58"/>
      <x:c r="DK942" s="47"/>
      <x:c r="DL942" s="60"/>
      <x:c r="DM942" s="58"/>
      <x:c r="DN942" s="11"/>
      <x:c r="DO942" s="61"/>
      <x:c r="DP942" s="62"/>
      <x:c r="DQ942" s="11"/>
      <x:c r="DR942" s="61"/>
      <x:c r="DS942" s="62"/>
      <x:c r="DT942" s="11"/>
      <x:c r="DU942" s="61"/>
      <x:c r="DV942" s="62"/>
    </x:row>
    <x:row r="943" spans="1:126" x14ac:dyDescent="0.3">
      <x:c r="A943" s="47"/>
      <x:c r="B943" s="70"/>
      <x:c r="C943" s="70"/>
      <x:c r="D943" s="70"/>
      <x:c r="E943" s="70"/>
      <x:c r="F943" s="70"/>
      <x:c r="G943" s="70"/>
      <x:c r="H943" s="70"/>
      <x:c r="I943" s="70"/>
      <x:c r="J943" s="70"/>
      <x:c r="K943" s="190"/>
      <x:c r="L943" s="195"/>
      <x:c r="M943" s="192"/>
      <x:c r="N943" s="192"/>
      <x:c r="O943" s="69"/>
      <x:c r="P943" s="47"/>
      <x:c r="Q943" s="60"/>
      <x:c r="R943" s="58"/>
      <x:c r="S943" s="47"/>
      <x:c r="T943" s="60"/>
      <x:c r="U943" s="58"/>
      <x:c r="V943" s="47"/>
      <x:c r="W943" s="60"/>
      <x:c r="X943" s="58"/>
      <x:c r="Y943" s="47"/>
      <x:c r="Z943" s="60"/>
      <x:c r="AA943" s="58"/>
      <x:c r="AB943" s="47"/>
      <x:c r="AC943" s="60"/>
      <x:c r="AD943" s="58"/>
      <x:c r="AE943" s="47"/>
      <x:c r="AF943" s="60"/>
      <x:c r="AG943" s="58"/>
      <x:c r="AH943" s="47"/>
      <x:c r="AI943" s="60"/>
      <x:c r="AJ943" s="58"/>
      <x:c r="AK943" s="47"/>
      <x:c r="AL943" s="60"/>
      <x:c r="AM943" s="58"/>
      <x:c r="AN943" s="47"/>
      <x:c r="AO943" s="60"/>
      <x:c r="AP943" s="58"/>
      <x:c r="AQ943" s="47"/>
      <x:c r="AR943" s="60"/>
      <x:c r="AS943" s="58"/>
      <x:c r="AT943" s="47"/>
      <x:c r="AU943" s="60"/>
      <x:c r="AV943" s="58"/>
      <x:c r="AW943" s="47"/>
      <x:c r="AX943" s="60"/>
      <x:c r="AY943" s="58"/>
      <x:c r="AZ943" s="47"/>
      <x:c r="BA943" s="60"/>
      <x:c r="BB943" s="58"/>
      <x:c r="BC943" s="47"/>
      <x:c r="BD943" s="60"/>
      <x:c r="BE943" s="58"/>
      <x:c r="BF943" s="47"/>
      <x:c r="BG943" s="60"/>
      <x:c r="BH943" s="58"/>
      <x:c r="BI943" s="47"/>
      <x:c r="BJ943" s="60"/>
      <x:c r="BK943" s="58"/>
      <x:c r="BL943" s="47"/>
      <x:c r="BM943" s="60"/>
      <x:c r="BN943" s="58"/>
      <x:c r="BO943" s="47"/>
      <x:c r="BP943" s="60"/>
      <x:c r="BQ943" s="58"/>
      <x:c r="BR943" s="47"/>
      <x:c r="BS943" s="60"/>
      <x:c r="BT943" s="58"/>
      <x:c r="BU943" s="47"/>
      <x:c r="BV943" s="60"/>
      <x:c r="BW943" s="58"/>
      <x:c r="BX943" s="47"/>
      <x:c r="BY943" s="60"/>
      <x:c r="BZ943" s="58"/>
      <x:c r="CA943" s="47"/>
      <x:c r="CB943" s="60"/>
      <x:c r="CC943" s="58"/>
      <x:c r="CD943" s="47"/>
      <x:c r="CE943" s="60"/>
      <x:c r="CF943" s="58"/>
      <x:c r="CG943" s="47"/>
      <x:c r="CH943" s="60"/>
      <x:c r="CI943" s="58"/>
      <x:c r="CJ943" s="47"/>
      <x:c r="CK943" s="60"/>
      <x:c r="CL943" s="58"/>
      <x:c r="CM943" s="47"/>
      <x:c r="CN943" s="60"/>
      <x:c r="CO943" s="58"/>
      <x:c r="CP943" s="47"/>
      <x:c r="CQ943" s="60"/>
      <x:c r="CR943" s="58"/>
      <x:c r="CS943" s="47"/>
      <x:c r="CT943" s="60"/>
      <x:c r="CU943" s="58"/>
      <x:c r="CV943" s="47"/>
      <x:c r="CW943" s="60"/>
      <x:c r="CX943" s="58"/>
      <x:c r="CY943" s="47"/>
      <x:c r="CZ943" s="60"/>
      <x:c r="DA943" s="58"/>
      <x:c r="DB943" s="47"/>
      <x:c r="DC943" s="60"/>
      <x:c r="DD943" s="58"/>
      <x:c r="DE943" s="47"/>
      <x:c r="DF943" s="60"/>
      <x:c r="DG943" s="58"/>
      <x:c r="DH943" s="47"/>
      <x:c r="DI943" s="60"/>
      <x:c r="DJ943" s="58"/>
      <x:c r="DK943" s="47"/>
      <x:c r="DL943" s="60"/>
      <x:c r="DM943" s="58"/>
      <x:c r="DN943" s="11"/>
      <x:c r="DO943" s="61"/>
      <x:c r="DP943" s="62"/>
      <x:c r="DQ943" s="11"/>
      <x:c r="DR943" s="61"/>
      <x:c r="DS943" s="62"/>
      <x:c r="DT943" s="11"/>
      <x:c r="DU943" s="61"/>
      <x:c r="DV943" s="62"/>
    </x:row>
    <x:row r="944" spans="1:126" x14ac:dyDescent="0.3">
      <x:c r="A944" s="47"/>
      <x:c r="B944" s="70"/>
      <x:c r="C944" s="70"/>
      <x:c r="D944" s="70"/>
      <x:c r="E944" s="70"/>
      <x:c r="F944" s="70"/>
      <x:c r="G944" s="70"/>
      <x:c r="H944" s="70"/>
      <x:c r="I944" s="70"/>
      <x:c r="J944" s="70"/>
      <x:c r="K944" s="190"/>
      <x:c r="L944" s="195"/>
      <x:c r="M944" s="192"/>
      <x:c r="N944" s="192"/>
      <x:c r="O944" s="69"/>
      <x:c r="P944" s="47"/>
      <x:c r="Q944" s="60"/>
      <x:c r="R944" s="58"/>
      <x:c r="S944" s="47"/>
      <x:c r="T944" s="60"/>
      <x:c r="U944" s="58"/>
      <x:c r="V944" s="47"/>
      <x:c r="W944" s="60"/>
      <x:c r="X944" s="58"/>
      <x:c r="Y944" s="47"/>
      <x:c r="Z944" s="60"/>
      <x:c r="AA944" s="58"/>
      <x:c r="AB944" s="47"/>
      <x:c r="AC944" s="60"/>
      <x:c r="AD944" s="58"/>
      <x:c r="AE944" s="47"/>
      <x:c r="AF944" s="60"/>
      <x:c r="AG944" s="58"/>
      <x:c r="AH944" s="47"/>
      <x:c r="AI944" s="60"/>
      <x:c r="AJ944" s="58"/>
      <x:c r="AK944" s="47"/>
      <x:c r="AL944" s="60"/>
      <x:c r="AM944" s="58"/>
      <x:c r="AN944" s="47"/>
      <x:c r="AO944" s="60"/>
      <x:c r="AP944" s="58"/>
      <x:c r="AQ944" s="47"/>
      <x:c r="AR944" s="60"/>
      <x:c r="AS944" s="58"/>
      <x:c r="AT944" s="47"/>
      <x:c r="AU944" s="60"/>
      <x:c r="AV944" s="58"/>
      <x:c r="AW944" s="47"/>
      <x:c r="AX944" s="60"/>
      <x:c r="AY944" s="58"/>
      <x:c r="AZ944" s="47"/>
      <x:c r="BA944" s="60"/>
      <x:c r="BB944" s="58"/>
      <x:c r="BC944" s="47"/>
      <x:c r="BD944" s="60"/>
      <x:c r="BE944" s="58"/>
      <x:c r="BF944" s="47"/>
      <x:c r="BG944" s="60"/>
      <x:c r="BH944" s="58"/>
      <x:c r="BI944" s="47"/>
      <x:c r="BJ944" s="60"/>
      <x:c r="BK944" s="58"/>
      <x:c r="BL944" s="47"/>
      <x:c r="BM944" s="60"/>
      <x:c r="BN944" s="58"/>
      <x:c r="BO944" s="47"/>
      <x:c r="BP944" s="60"/>
      <x:c r="BQ944" s="58"/>
      <x:c r="BR944" s="47"/>
      <x:c r="BS944" s="60"/>
      <x:c r="BT944" s="58"/>
      <x:c r="BU944" s="47"/>
      <x:c r="BV944" s="60"/>
      <x:c r="BW944" s="58"/>
      <x:c r="BX944" s="47"/>
      <x:c r="BY944" s="60"/>
      <x:c r="BZ944" s="58"/>
      <x:c r="CA944" s="47"/>
      <x:c r="CB944" s="60"/>
      <x:c r="CC944" s="58"/>
      <x:c r="CD944" s="47"/>
      <x:c r="CE944" s="60"/>
      <x:c r="CF944" s="58"/>
      <x:c r="CG944" s="47"/>
      <x:c r="CH944" s="60"/>
      <x:c r="CI944" s="58"/>
      <x:c r="CJ944" s="47"/>
      <x:c r="CK944" s="60"/>
      <x:c r="CL944" s="58"/>
      <x:c r="CM944" s="47"/>
      <x:c r="CN944" s="60"/>
      <x:c r="CO944" s="58"/>
      <x:c r="CP944" s="47"/>
      <x:c r="CQ944" s="60"/>
      <x:c r="CR944" s="58"/>
      <x:c r="CS944" s="47"/>
      <x:c r="CT944" s="60"/>
      <x:c r="CU944" s="58"/>
      <x:c r="CV944" s="47"/>
      <x:c r="CW944" s="60"/>
      <x:c r="CX944" s="58"/>
      <x:c r="CY944" s="47"/>
      <x:c r="CZ944" s="60"/>
      <x:c r="DA944" s="58"/>
      <x:c r="DB944" s="47"/>
      <x:c r="DC944" s="60"/>
      <x:c r="DD944" s="58"/>
      <x:c r="DE944" s="47"/>
      <x:c r="DF944" s="60"/>
      <x:c r="DG944" s="58"/>
      <x:c r="DH944" s="47"/>
      <x:c r="DI944" s="60"/>
      <x:c r="DJ944" s="58"/>
      <x:c r="DK944" s="47"/>
      <x:c r="DL944" s="60"/>
      <x:c r="DM944" s="58"/>
      <x:c r="DN944" s="11"/>
      <x:c r="DO944" s="61"/>
      <x:c r="DP944" s="62"/>
      <x:c r="DQ944" s="11"/>
      <x:c r="DR944" s="61"/>
      <x:c r="DS944" s="62"/>
      <x:c r="DT944" s="11"/>
      <x:c r="DU944" s="61"/>
      <x:c r="DV944" s="62"/>
    </x:row>
    <x:row r="945" spans="1:126" x14ac:dyDescent="0.3">
      <x:c r="A945" s="47"/>
      <x:c r="B945" s="70"/>
      <x:c r="C945" s="70"/>
      <x:c r="D945" s="70"/>
      <x:c r="E945" s="70"/>
      <x:c r="F945" s="70"/>
      <x:c r="G945" s="70"/>
      <x:c r="H945" s="70"/>
      <x:c r="I945" s="70"/>
      <x:c r="J945" s="70"/>
      <x:c r="K945" s="190"/>
      <x:c r="L945" s="195"/>
      <x:c r="M945" s="192"/>
      <x:c r="N945" s="192"/>
      <x:c r="O945" s="69"/>
      <x:c r="P945" s="47"/>
      <x:c r="Q945" s="60"/>
      <x:c r="R945" s="58"/>
      <x:c r="S945" s="47"/>
      <x:c r="T945" s="60"/>
      <x:c r="U945" s="58"/>
      <x:c r="V945" s="47"/>
      <x:c r="W945" s="60"/>
      <x:c r="X945" s="58"/>
      <x:c r="Y945" s="47"/>
      <x:c r="Z945" s="60"/>
      <x:c r="AA945" s="58"/>
      <x:c r="AB945" s="47"/>
      <x:c r="AC945" s="60"/>
      <x:c r="AD945" s="58"/>
      <x:c r="AE945" s="47"/>
      <x:c r="AF945" s="60"/>
      <x:c r="AG945" s="58"/>
      <x:c r="AH945" s="47"/>
      <x:c r="AI945" s="60"/>
      <x:c r="AJ945" s="58"/>
      <x:c r="AK945" s="47"/>
      <x:c r="AL945" s="60"/>
      <x:c r="AM945" s="58"/>
      <x:c r="AN945" s="47"/>
      <x:c r="AO945" s="60"/>
      <x:c r="AP945" s="58"/>
      <x:c r="AQ945" s="47"/>
      <x:c r="AR945" s="60"/>
      <x:c r="AS945" s="58"/>
      <x:c r="AT945" s="47"/>
      <x:c r="AU945" s="60"/>
      <x:c r="AV945" s="58"/>
      <x:c r="AW945" s="47"/>
      <x:c r="AX945" s="60"/>
      <x:c r="AY945" s="58"/>
      <x:c r="AZ945" s="47"/>
      <x:c r="BA945" s="60"/>
      <x:c r="BB945" s="58"/>
      <x:c r="BC945" s="47"/>
      <x:c r="BD945" s="60"/>
      <x:c r="BE945" s="58"/>
      <x:c r="BF945" s="47"/>
      <x:c r="BG945" s="60"/>
      <x:c r="BH945" s="58"/>
      <x:c r="BI945" s="47"/>
      <x:c r="BJ945" s="60"/>
      <x:c r="BK945" s="58"/>
      <x:c r="BL945" s="47"/>
      <x:c r="BM945" s="60"/>
      <x:c r="BN945" s="58"/>
      <x:c r="BO945" s="47"/>
      <x:c r="BP945" s="60"/>
      <x:c r="BQ945" s="58"/>
      <x:c r="BR945" s="47"/>
      <x:c r="BS945" s="60"/>
      <x:c r="BT945" s="58"/>
      <x:c r="BU945" s="47"/>
      <x:c r="BV945" s="60"/>
      <x:c r="BW945" s="58"/>
      <x:c r="BX945" s="47"/>
      <x:c r="BY945" s="60"/>
      <x:c r="BZ945" s="58"/>
      <x:c r="CA945" s="47"/>
      <x:c r="CB945" s="60"/>
      <x:c r="CC945" s="58"/>
      <x:c r="CD945" s="47"/>
      <x:c r="CE945" s="60"/>
      <x:c r="CF945" s="58"/>
      <x:c r="CG945" s="47"/>
      <x:c r="CH945" s="60"/>
      <x:c r="CI945" s="58"/>
      <x:c r="CJ945" s="47"/>
      <x:c r="CK945" s="60"/>
      <x:c r="CL945" s="58"/>
      <x:c r="CM945" s="47"/>
      <x:c r="CN945" s="60"/>
      <x:c r="CO945" s="58"/>
      <x:c r="CP945" s="47"/>
      <x:c r="CQ945" s="60"/>
      <x:c r="CR945" s="58"/>
      <x:c r="CS945" s="47"/>
      <x:c r="CT945" s="60"/>
      <x:c r="CU945" s="58"/>
      <x:c r="CV945" s="47"/>
      <x:c r="CW945" s="60"/>
      <x:c r="CX945" s="58"/>
      <x:c r="CY945" s="47"/>
      <x:c r="CZ945" s="60"/>
      <x:c r="DA945" s="58"/>
      <x:c r="DB945" s="47"/>
      <x:c r="DC945" s="60"/>
      <x:c r="DD945" s="58"/>
      <x:c r="DE945" s="47"/>
      <x:c r="DF945" s="60"/>
      <x:c r="DG945" s="58"/>
      <x:c r="DH945" s="47"/>
      <x:c r="DI945" s="60"/>
      <x:c r="DJ945" s="58"/>
      <x:c r="DK945" s="47"/>
      <x:c r="DL945" s="60"/>
      <x:c r="DM945" s="58"/>
      <x:c r="DN945" s="11"/>
      <x:c r="DO945" s="61"/>
      <x:c r="DP945" s="62"/>
      <x:c r="DQ945" s="11"/>
      <x:c r="DR945" s="61"/>
      <x:c r="DS945" s="62"/>
      <x:c r="DT945" s="11"/>
      <x:c r="DU945" s="61"/>
      <x:c r="DV945" s="62"/>
    </x:row>
    <x:row r="946" spans="1:126" x14ac:dyDescent="0.3">
      <x:c r="A946" s="47"/>
      <x:c r="B946" s="70"/>
      <x:c r="C946" s="70"/>
      <x:c r="D946" s="70"/>
      <x:c r="E946" s="70"/>
      <x:c r="F946" s="70"/>
      <x:c r="G946" s="70"/>
      <x:c r="H946" s="70"/>
      <x:c r="I946" s="70"/>
      <x:c r="J946" s="70"/>
      <x:c r="K946" s="190"/>
      <x:c r="L946" s="195"/>
      <x:c r="M946" s="192"/>
      <x:c r="N946" s="192"/>
      <x:c r="O946" s="69"/>
      <x:c r="P946" s="47"/>
      <x:c r="Q946" s="60"/>
      <x:c r="R946" s="58"/>
      <x:c r="S946" s="47"/>
      <x:c r="T946" s="60"/>
      <x:c r="U946" s="58"/>
      <x:c r="V946" s="47"/>
      <x:c r="W946" s="60"/>
      <x:c r="X946" s="58"/>
      <x:c r="Y946" s="47"/>
      <x:c r="Z946" s="60"/>
      <x:c r="AA946" s="58"/>
      <x:c r="AB946" s="47"/>
      <x:c r="AC946" s="60"/>
      <x:c r="AD946" s="58"/>
      <x:c r="AE946" s="47"/>
      <x:c r="AF946" s="60"/>
      <x:c r="AG946" s="58"/>
      <x:c r="AH946" s="47"/>
      <x:c r="AI946" s="60"/>
      <x:c r="AJ946" s="58"/>
      <x:c r="AK946" s="47"/>
      <x:c r="AL946" s="60"/>
      <x:c r="AM946" s="58"/>
      <x:c r="AN946" s="47"/>
      <x:c r="AO946" s="60"/>
      <x:c r="AP946" s="58"/>
      <x:c r="AQ946" s="47"/>
      <x:c r="AR946" s="60"/>
      <x:c r="AS946" s="58"/>
      <x:c r="AT946" s="47"/>
      <x:c r="AU946" s="60"/>
      <x:c r="AV946" s="58"/>
      <x:c r="AW946" s="47"/>
      <x:c r="AX946" s="60"/>
      <x:c r="AY946" s="58"/>
      <x:c r="AZ946" s="47"/>
      <x:c r="BA946" s="60"/>
      <x:c r="BB946" s="58"/>
      <x:c r="BC946" s="47"/>
      <x:c r="BD946" s="60"/>
      <x:c r="BE946" s="58"/>
      <x:c r="BF946" s="47"/>
      <x:c r="BG946" s="60"/>
      <x:c r="BH946" s="58"/>
      <x:c r="BI946" s="47"/>
      <x:c r="BJ946" s="60"/>
      <x:c r="BK946" s="58"/>
      <x:c r="BL946" s="47"/>
      <x:c r="BM946" s="60"/>
      <x:c r="BN946" s="58"/>
      <x:c r="BO946" s="47"/>
      <x:c r="BP946" s="60"/>
      <x:c r="BQ946" s="58"/>
      <x:c r="BR946" s="47"/>
      <x:c r="BS946" s="60"/>
      <x:c r="BT946" s="58"/>
      <x:c r="BU946" s="47"/>
      <x:c r="BV946" s="60"/>
      <x:c r="BW946" s="58"/>
      <x:c r="BX946" s="47"/>
      <x:c r="BY946" s="60"/>
      <x:c r="BZ946" s="58"/>
      <x:c r="CA946" s="47"/>
      <x:c r="CB946" s="60"/>
      <x:c r="CC946" s="58"/>
      <x:c r="CD946" s="47"/>
      <x:c r="CE946" s="60"/>
      <x:c r="CF946" s="58"/>
      <x:c r="CG946" s="47"/>
      <x:c r="CH946" s="60"/>
      <x:c r="CI946" s="58"/>
      <x:c r="CJ946" s="47"/>
      <x:c r="CK946" s="60"/>
      <x:c r="CL946" s="58"/>
      <x:c r="CM946" s="47"/>
      <x:c r="CN946" s="60"/>
      <x:c r="CO946" s="58"/>
      <x:c r="CP946" s="47"/>
      <x:c r="CQ946" s="60"/>
      <x:c r="CR946" s="58"/>
      <x:c r="CS946" s="47"/>
      <x:c r="CT946" s="60"/>
      <x:c r="CU946" s="58"/>
      <x:c r="CV946" s="47"/>
      <x:c r="CW946" s="60"/>
      <x:c r="CX946" s="58"/>
      <x:c r="CY946" s="47"/>
      <x:c r="CZ946" s="60"/>
      <x:c r="DA946" s="58"/>
      <x:c r="DB946" s="47"/>
      <x:c r="DC946" s="60"/>
      <x:c r="DD946" s="58"/>
      <x:c r="DE946" s="47"/>
      <x:c r="DF946" s="60"/>
      <x:c r="DG946" s="58"/>
      <x:c r="DH946" s="47"/>
      <x:c r="DI946" s="60"/>
      <x:c r="DJ946" s="58"/>
      <x:c r="DK946" s="47"/>
      <x:c r="DL946" s="60"/>
      <x:c r="DM946" s="58"/>
      <x:c r="DN946" s="11"/>
      <x:c r="DO946" s="61"/>
      <x:c r="DP946" s="62"/>
      <x:c r="DQ946" s="11"/>
      <x:c r="DR946" s="61"/>
      <x:c r="DS946" s="62"/>
      <x:c r="DT946" s="11"/>
      <x:c r="DU946" s="61"/>
      <x:c r="DV946" s="62"/>
    </x:row>
    <x:row r="947" spans="1:126" x14ac:dyDescent="0.3">
      <x:c r="A947" s="47"/>
      <x:c r="B947" s="70"/>
      <x:c r="C947" s="70"/>
      <x:c r="D947" s="70"/>
      <x:c r="E947" s="70"/>
      <x:c r="F947" s="70"/>
      <x:c r="G947" s="70"/>
      <x:c r="H947" s="70"/>
      <x:c r="I947" s="70"/>
      <x:c r="J947" s="70"/>
      <x:c r="K947" s="190"/>
      <x:c r="L947" s="195"/>
      <x:c r="M947" s="192"/>
      <x:c r="N947" s="192"/>
      <x:c r="O947" s="69"/>
      <x:c r="P947" s="47"/>
      <x:c r="Q947" s="60"/>
      <x:c r="R947" s="58"/>
      <x:c r="S947" s="47"/>
      <x:c r="T947" s="60"/>
      <x:c r="U947" s="58"/>
      <x:c r="V947" s="47"/>
      <x:c r="W947" s="60"/>
      <x:c r="X947" s="58"/>
      <x:c r="Y947" s="47"/>
      <x:c r="Z947" s="60"/>
      <x:c r="AA947" s="58"/>
      <x:c r="AB947" s="47"/>
      <x:c r="AC947" s="60"/>
      <x:c r="AD947" s="58"/>
      <x:c r="AE947" s="47"/>
      <x:c r="AF947" s="60"/>
      <x:c r="AG947" s="58"/>
      <x:c r="AH947" s="47"/>
      <x:c r="AI947" s="60"/>
      <x:c r="AJ947" s="58"/>
      <x:c r="AK947" s="47"/>
      <x:c r="AL947" s="60"/>
      <x:c r="AM947" s="58"/>
      <x:c r="AN947" s="47"/>
      <x:c r="AO947" s="60"/>
      <x:c r="AP947" s="58"/>
      <x:c r="AQ947" s="47"/>
      <x:c r="AR947" s="60"/>
      <x:c r="AS947" s="58"/>
      <x:c r="AT947" s="47"/>
      <x:c r="AU947" s="60"/>
      <x:c r="AV947" s="58"/>
      <x:c r="AW947" s="47"/>
      <x:c r="AX947" s="60"/>
      <x:c r="AY947" s="58"/>
      <x:c r="AZ947" s="47"/>
      <x:c r="BA947" s="60"/>
      <x:c r="BB947" s="58"/>
      <x:c r="BC947" s="47"/>
      <x:c r="BD947" s="60"/>
      <x:c r="BE947" s="58"/>
      <x:c r="BF947" s="47"/>
      <x:c r="BG947" s="60"/>
      <x:c r="BH947" s="58"/>
      <x:c r="BI947" s="47"/>
      <x:c r="BJ947" s="60"/>
      <x:c r="BK947" s="58"/>
      <x:c r="BL947" s="47"/>
      <x:c r="BM947" s="60"/>
      <x:c r="BN947" s="58"/>
      <x:c r="BO947" s="47"/>
      <x:c r="BP947" s="60"/>
      <x:c r="BQ947" s="58"/>
      <x:c r="BR947" s="47"/>
      <x:c r="BS947" s="60"/>
      <x:c r="BT947" s="58"/>
      <x:c r="BU947" s="47"/>
      <x:c r="BV947" s="60"/>
      <x:c r="BW947" s="58"/>
      <x:c r="BX947" s="47"/>
      <x:c r="BY947" s="60"/>
      <x:c r="BZ947" s="58"/>
      <x:c r="CA947" s="47"/>
      <x:c r="CB947" s="60"/>
      <x:c r="CC947" s="58"/>
      <x:c r="CD947" s="47"/>
      <x:c r="CE947" s="60"/>
      <x:c r="CF947" s="58"/>
      <x:c r="CG947" s="47"/>
      <x:c r="CH947" s="60"/>
      <x:c r="CI947" s="58"/>
      <x:c r="CJ947" s="47"/>
      <x:c r="CK947" s="60"/>
      <x:c r="CL947" s="58"/>
      <x:c r="CM947" s="47"/>
      <x:c r="CN947" s="60"/>
      <x:c r="CO947" s="58"/>
      <x:c r="CP947" s="47"/>
      <x:c r="CQ947" s="60"/>
      <x:c r="CR947" s="58"/>
      <x:c r="CS947" s="47"/>
      <x:c r="CT947" s="60"/>
      <x:c r="CU947" s="58"/>
      <x:c r="CV947" s="47"/>
      <x:c r="CW947" s="60"/>
      <x:c r="CX947" s="58"/>
      <x:c r="CY947" s="47"/>
      <x:c r="CZ947" s="60"/>
      <x:c r="DA947" s="58"/>
      <x:c r="DB947" s="47"/>
      <x:c r="DC947" s="60"/>
      <x:c r="DD947" s="58"/>
      <x:c r="DE947" s="47"/>
      <x:c r="DF947" s="60"/>
      <x:c r="DG947" s="58"/>
      <x:c r="DH947" s="47"/>
      <x:c r="DI947" s="60"/>
      <x:c r="DJ947" s="58"/>
      <x:c r="DK947" s="47"/>
      <x:c r="DL947" s="60"/>
      <x:c r="DM947" s="58"/>
      <x:c r="DN947" s="11"/>
      <x:c r="DO947" s="61"/>
      <x:c r="DP947" s="62"/>
      <x:c r="DQ947" s="11"/>
      <x:c r="DR947" s="61"/>
      <x:c r="DS947" s="62"/>
      <x:c r="DT947" s="11"/>
      <x:c r="DU947" s="61"/>
      <x:c r="DV947" s="62"/>
    </x:row>
    <x:row r="948" spans="1:126" x14ac:dyDescent="0.3">
      <x:c r="A948" s="47"/>
      <x:c r="B948" s="70"/>
      <x:c r="C948" s="70"/>
      <x:c r="D948" s="70"/>
      <x:c r="E948" s="70"/>
      <x:c r="F948" s="70"/>
      <x:c r="G948" s="70"/>
      <x:c r="H948" s="70"/>
      <x:c r="I948" s="70"/>
      <x:c r="J948" s="70"/>
      <x:c r="K948" s="190"/>
      <x:c r="L948" s="195"/>
      <x:c r="M948" s="192"/>
      <x:c r="N948" s="192"/>
      <x:c r="O948" s="69"/>
      <x:c r="P948" s="47"/>
      <x:c r="Q948" s="60"/>
      <x:c r="R948" s="58"/>
      <x:c r="S948" s="47"/>
      <x:c r="T948" s="60"/>
      <x:c r="U948" s="58"/>
      <x:c r="V948" s="47"/>
      <x:c r="W948" s="60"/>
      <x:c r="X948" s="58"/>
      <x:c r="Y948" s="47"/>
      <x:c r="Z948" s="60"/>
      <x:c r="AA948" s="58"/>
      <x:c r="AB948" s="47"/>
      <x:c r="AC948" s="60"/>
      <x:c r="AD948" s="58"/>
      <x:c r="AE948" s="47"/>
      <x:c r="AF948" s="60"/>
      <x:c r="AG948" s="58"/>
      <x:c r="AH948" s="47"/>
      <x:c r="AI948" s="60"/>
      <x:c r="AJ948" s="58"/>
      <x:c r="AK948" s="47"/>
      <x:c r="AL948" s="60"/>
      <x:c r="AM948" s="58"/>
      <x:c r="AN948" s="47"/>
      <x:c r="AO948" s="60"/>
      <x:c r="AP948" s="58"/>
      <x:c r="AQ948" s="47"/>
      <x:c r="AR948" s="60"/>
      <x:c r="AS948" s="58"/>
      <x:c r="AT948" s="47"/>
      <x:c r="AU948" s="60"/>
      <x:c r="AV948" s="58"/>
      <x:c r="AW948" s="47"/>
      <x:c r="AX948" s="60"/>
      <x:c r="AY948" s="58"/>
      <x:c r="AZ948" s="47"/>
      <x:c r="BA948" s="60"/>
      <x:c r="BB948" s="58"/>
      <x:c r="BC948" s="47"/>
      <x:c r="BD948" s="60"/>
      <x:c r="BE948" s="58"/>
      <x:c r="BF948" s="47"/>
      <x:c r="BG948" s="60"/>
      <x:c r="BH948" s="58"/>
      <x:c r="BI948" s="47"/>
      <x:c r="BJ948" s="60"/>
      <x:c r="BK948" s="58"/>
      <x:c r="BL948" s="47"/>
      <x:c r="BM948" s="60"/>
      <x:c r="BN948" s="58"/>
      <x:c r="BO948" s="47"/>
      <x:c r="BP948" s="60"/>
      <x:c r="BQ948" s="58"/>
      <x:c r="BR948" s="47"/>
      <x:c r="BS948" s="60"/>
      <x:c r="BT948" s="58"/>
      <x:c r="BU948" s="47"/>
      <x:c r="BV948" s="60"/>
      <x:c r="BW948" s="58"/>
      <x:c r="BX948" s="47"/>
      <x:c r="BY948" s="60"/>
      <x:c r="BZ948" s="58"/>
      <x:c r="CA948" s="47"/>
      <x:c r="CB948" s="60"/>
      <x:c r="CC948" s="58"/>
      <x:c r="CD948" s="47"/>
      <x:c r="CE948" s="60"/>
      <x:c r="CF948" s="58"/>
      <x:c r="CG948" s="47"/>
      <x:c r="CH948" s="60"/>
      <x:c r="CI948" s="58"/>
      <x:c r="CJ948" s="47"/>
      <x:c r="CK948" s="60"/>
      <x:c r="CL948" s="58"/>
      <x:c r="CM948" s="47"/>
      <x:c r="CN948" s="60"/>
      <x:c r="CO948" s="58"/>
      <x:c r="CP948" s="47"/>
      <x:c r="CQ948" s="60"/>
      <x:c r="CR948" s="58"/>
      <x:c r="CS948" s="47"/>
      <x:c r="CT948" s="60"/>
      <x:c r="CU948" s="58"/>
      <x:c r="CV948" s="47"/>
      <x:c r="CW948" s="60"/>
      <x:c r="CX948" s="58"/>
      <x:c r="CY948" s="47"/>
      <x:c r="CZ948" s="60"/>
      <x:c r="DA948" s="58"/>
      <x:c r="DB948" s="47"/>
      <x:c r="DC948" s="60"/>
      <x:c r="DD948" s="58"/>
      <x:c r="DE948" s="47"/>
      <x:c r="DF948" s="60"/>
      <x:c r="DG948" s="58"/>
      <x:c r="DH948" s="47"/>
      <x:c r="DI948" s="60"/>
      <x:c r="DJ948" s="58"/>
      <x:c r="DK948" s="47"/>
      <x:c r="DL948" s="60"/>
      <x:c r="DM948" s="58"/>
      <x:c r="DN948" s="11"/>
      <x:c r="DO948" s="61"/>
      <x:c r="DP948" s="62"/>
      <x:c r="DQ948" s="11"/>
      <x:c r="DR948" s="61"/>
      <x:c r="DS948" s="62"/>
      <x:c r="DT948" s="11"/>
      <x:c r="DU948" s="61"/>
      <x:c r="DV948" s="62"/>
    </x:row>
    <x:row r="949" spans="1:126" x14ac:dyDescent="0.3">
      <x:c r="A949" s="47"/>
      <x:c r="B949" s="70"/>
      <x:c r="C949" s="70"/>
      <x:c r="D949" s="70"/>
      <x:c r="E949" s="70"/>
      <x:c r="F949" s="70"/>
      <x:c r="G949" s="70"/>
      <x:c r="H949" s="70"/>
      <x:c r="I949" s="70"/>
      <x:c r="J949" s="70"/>
      <x:c r="K949" s="190"/>
      <x:c r="L949" s="195"/>
      <x:c r="M949" s="192"/>
      <x:c r="N949" s="192"/>
      <x:c r="O949" s="69"/>
      <x:c r="P949" s="47"/>
      <x:c r="Q949" s="60"/>
      <x:c r="R949" s="58"/>
      <x:c r="S949" s="47"/>
      <x:c r="T949" s="60"/>
      <x:c r="U949" s="58"/>
      <x:c r="V949" s="47"/>
      <x:c r="W949" s="60"/>
      <x:c r="X949" s="58"/>
      <x:c r="Y949" s="47"/>
      <x:c r="Z949" s="60"/>
      <x:c r="AA949" s="58"/>
      <x:c r="AB949" s="47"/>
      <x:c r="AC949" s="60"/>
      <x:c r="AD949" s="58"/>
      <x:c r="AE949" s="47"/>
      <x:c r="AF949" s="60"/>
      <x:c r="AG949" s="58"/>
      <x:c r="AH949" s="47"/>
      <x:c r="AI949" s="60"/>
      <x:c r="AJ949" s="58"/>
      <x:c r="AK949" s="47"/>
      <x:c r="AL949" s="60"/>
      <x:c r="AM949" s="58"/>
      <x:c r="AN949" s="47"/>
      <x:c r="AO949" s="60"/>
      <x:c r="AP949" s="58"/>
      <x:c r="AQ949" s="47"/>
      <x:c r="AR949" s="60"/>
      <x:c r="AS949" s="58"/>
      <x:c r="AT949" s="47"/>
      <x:c r="AU949" s="60"/>
      <x:c r="AV949" s="58"/>
      <x:c r="AW949" s="47"/>
      <x:c r="AX949" s="60"/>
      <x:c r="AY949" s="58"/>
      <x:c r="AZ949" s="47"/>
      <x:c r="BA949" s="60"/>
      <x:c r="BB949" s="58"/>
      <x:c r="BC949" s="47"/>
      <x:c r="BD949" s="60"/>
      <x:c r="BE949" s="58"/>
      <x:c r="BF949" s="47"/>
      <x:c r="BG949" s="60"/>
      <x:c r="BH949" s="58"/>
      <x:c r="BI949" s="47"/>
      <x:c r="BJ949" s="60"/>
      <x:c r="BK949" s="58"/>
      <x:c r="BL949" s="47"/>
      <x:c r="BM949" s="60"/>
      <x:c r="BN949" s="58"/>
      <x:c r="BO949" s="47"/>
      <x:c r="BP949" s="60"/>
      <x:c r="BQ949" s="58"/>
      <x:c r="BR949" s="47"/>
      <x:c r="BS949" s="60"/>
      <x:c r="BT949" s="58"/>
      <x:c r="BU949" s="47"/>
      <x:c r="BV949" s="60"/>
      <x:c r="BW949" s="58"/>
      <x:c r="BX949" s="47"/>
      <x:c r="BY949" s="60"/>
      <x:c r="BZ949" s="58"/>
      <x:c r="CA949" s="47"/>
      <x:c r="CB949" s="60"/>
      <x:c r="CC949" s="58"/>
      <x:c r="CD949" s="47"/>
      <x:c r="CE949" s="60"/>
      <x:c r="CF949" s="58"/>
      <x:c r="CG949" s="47"/>
      <x:c r="CH949" s="60"/>
      <x:c r="CI949" s="58"/>
      <x:c r="CJ949" s="47"/>
      <x:c r="CK949" s="60"/>
      <x:c r="CL949" s="58"/>
      <x:c r="CM949" s="47"/>
      <x:c r="CN949" s="60"/>
      <x:c r="CO949" s="58"/>
      <x:c r="CP949" s="47"/>
      <x:c r="CQ949" s="60"/>
      <x:c r="CR949" s="58"/>
      <x:c r="CS949" s="47"/>
      <x:c r="CT949" s="60"/>
      <x:c r="CU949" s="58"/>
      <x:c r="CV949" s="47"/>
      <x:c r="CW949" s="60"/>
      <x:c r="CX949" s="58"/>
      <x:c r="CY949" s="47"/>
      <x:c r="CZ949" s="60"/>
      <x:c r="DA949" s="58"/>
      <x:c r="DB949" s="47"/>
      <x:c r="DC949" s="60"/>
      <x:c r="DD949" s="58"/>
      <x:c r="DE949" s="47"/>
      <x:c r="DF949" s="60"/>
      <x:c r="DG949" s="58"/>
      <x:c r="DH949" s="47"/>
      <x:c r="DI949" s="60"/>
      <x:c r="DJ949" s="58"/>
      <x:c r="DK949" s="47"/>
      <x:c r="DL949" s="60"/>
      <x:c r="DM949" s="58"/>
      <x:c r="DN949" s="11"/>
      <x:c r="DO949" s="61"/>
      <x:c r="DP949" s="62"/>
      <x:c r="DQ949" s="11"/>
      <x:c r="DR949" s="61"/>
      <x:c r="DS949" s="62"/>
      <x:c r="DT949" s="11"/>
      <x:c r="DU949" s="61"/>
      <x:c r="DV949" s="62"/>
    </x:row>
    <x:row r="950" spans="1:126" x14ac:dyDescent="0.3">
      <x:c r="A950" s="47"/>
      <x:c r="B950" s="70"/>
      <x:c r="C950" s="70"/>
      <x:c r="D950" s="70"/>
      <x:c r="E950" s="70"/>
      <x:c r="F950" s="70"/>
      <x:c r="G950" s="70"/>
      <x:c r="H950" s="70"/>
      <x:c r="I950" s="70"/>
      <x:c r="J950" s="70"/>
      <x:c r="K950" s="190"/>
      <x:c r="L950" s="195"/>
      <x:c r="M950" s="192"/>
      <x:c r="N950" s="192"/>
      <x:c r="O950" s="69"/>
      <x:c r="P950" s="47"/>
      <x:c r="Q950" s="60"/>
      <x:c r="R950" s="58"/>
      <x:c r="S950" s="47"/>
      <x:c r="T950" s="60"/>
      <x:c r="U950" s="58"/>
      <x:c r="V950" s="47"/>
      <x:c r="W950" s="60"/>
      <x:c r="X950" s="58"/>
      <x:c r="Y950" s="47"/>
      <x:c r="Z950" s="60"/>
      <x:c r="AA950" s="58"/>
      <x:c r="AB950" s="47"/>
      <x:c r="AC950" s="60"/>
      <x:c r="AD950" s="58"/>
      <x:c r="AE950" s="47"/>
      <x:c r="AF950" s="60"/>
      <x:c r="AG950" s="58"/>
      <x:c r="AH950" s="47"/>
      <x:c r="AI950" s="60"/>
      <x:c r="AJ950" s="58"/>
      <x:c r="AK950" s="47"/>
      <x:c r="AL950" s="60"/>
      <x:c r="AM950" s="58"/>
      <x:c r="AN950" s="47"/>
      <x:c r="AO950" s="60"/>
      <x:c r="AP950" s="58"/>
      <x:c r="AQ950" s="47"/>
      <x:c r="AR950" s="60"/>
      <x:c r="AS950" s="58"/>
      <x:c r="AT950" s="47"/>
      <x:c r="AU950" s="60"/>
      <x:c r="AV950" s="58"/>
      <x:c r="AW950" s="47"/>
      <x:c r="AX950" s="60"/>
      <x:c r="AY950" s="58"/>
      <x:c r="AZ950" s="47"/>
      <x:c r="BA950" s="60"/>
      <x:c r="BB950" s="58"/>
      <x:c r="BC950" s="47"/>
      <x:c r="BD950" s="60"/>
      <x:c r="BE950" s="58"/>
      <x:c r="BF950" s="47"/>
      <x:c r="BG950" s="60"/>
      <x:c r="BH950" s="58"/>
      <x:c r="BI950" s="47"/>
      <x:c r="BJ950" s="60"/>
      <x:c r="BK950" s="58"/>
      <x:c r="BL950" s="47"/>
      <x:c r="BM950" s="60"/>
      <x:c r="BN950" s="58"/>
      <x:c r="BO950" s="47"/>
      <x:c r="BP950" s="60"/>
      <x:c r="BQ950" s="58"/>
      <x:c r="BR950" s="47"/>
      <x:c r="BS950" s="60"/>
      <x:c r="BT950" s="58"/>
      <x:c r="BU950" s="47"/>
      <x:c r="BV950" s="60"/>
      <x:c r="BW950" s="58"/>
      <x:c r="BX950" s="47"/>
      <x:c r="BY950" s="60"/>
      <x:c r="BZ950" s="58"/>
      <x:c r="CA950" s="47"/>
      <x:c r="CB950" s="60"/>
      <x:c r="CC950" s="58"/>
      <x:c r="CD950" s="47"/>
      <x:c r="CE950" s="60"/>
      <x:c r="CF950" s="58"/>
      <x:c r="CG950" s="47"/>
      <x:c r="CH950" s="60"/>
      <x:c r="CI950" s="58"/>
      <x:c r="CJ950" s="47"/>
      <x:c r="CK950" s="60"/>
      <x:c r="CL950" s="58"/>
      <x:c r="CM950" s="47"/>
      <x:c r="CN950" s="60"/>
      <x:c r="CO950" s="58"/>
      <x:c r="CP950" s="47"/>
      <x:c r="CQ950" s="60"/>
      <x:c r="CR950" s="58"/>
      <x:c r="CS950" s="47"/>
      <x:c r="CT950" s="60"/>
      <x:c r="CU950" s="58"/>
      <x:c r="CV950" s="47"/>
      <x:c r="CW950" s="60"/>
      <x:c r="CX950" s="58"/>
      <x:c r="CY950" s="47"/>
      <x:c r="CZ950" s="60"/>
      <x:c r="DA950" s="58"/>
      <x:c r="DB950" s="47"/>
      <x:c r="DC950" s="60"/>
      <x:c r="DD950" s="58"/>
      <x:c r="DE950" s="47"/>
      <x:c r="DF950" s="60"/>
      <x:c r="DG950" s="58"/>
      <x:c r="DH950" s="47"/>
      <x:c r="DI950" s="60"/>
      <x:c r="DJ950" s="58"/>
      <x:c r="DK950" s="47"/>
      <x:c r="DL950" s="60"/>
      <x:c r="DM950" s="58"/>
      <x:c r="DN950" s="11"/>
      <x:c r="DO950" s="61"/>
      <x:c r="DP950" s="62"/>
      <x:c r="DQ950" s="11"/>
      <x:c r="DR950" s="61"/>
      <x:c r="DS950" s="62"/>
      <x:c r="DT950" s="11"/>
      <x:c r="DU950" s="61"/>
      <x:c r="DV950" s="62"/>
    </x:row>
    <x:row r="951" spans="1:126" x14ac:dyDescent="0.3">
      <x:c r="A951" s="47"/>
      <x:c r="B951" s="70"/>
      <x:c r="C951" s="70"/>
      <x:c r="D951" s="70"/>
      <x:c r="E951" s="70"/>
      <x:c r="F951" s="70"/>
      <x:c r="G951" s="70"/>
      <x:c r="H951" s="70"/>
      <x:c r="I951" s="70"/>
      <x:c r="J951" s="70"/>
      <x:c r="K951" s="190"/>
      <x:c r="L951" s="195"/>
      <x:c r="M951" s="192"/>
      <x:c r="N951" s="192"/>
      <x:c r="O951" s="69"/>
      <x:c r="P951" s="47"/>
      <x:c r="Q951" s="60"/>
      <x:c r="R951" s="58"/>
      <x:c r="S951" s="47"/>
      <x:c r="T951" s="60"/>
      <x:c r="U951" s="58"/>
      <x:c r="V951" s="47"/>
      <x:c r="W951" s="60"/>
      <x:c r="X951" s="58"/>
      <x:c r="Y951" s="47"/>
      <x:c r="Z951" s="60"/>
      <x:c r="AA951" s="58"/>
      <x:c r="AB951" s="47"/>
      <x:c r="AC951" s="60"/>
      <x:c r="AD951" s="58"/>
      <x:c r="AE951" s="47"/>
      <x:c r="AF951" s="60"/>
      <x:c r="AG951" s="58"/>
      <x:c r="AH951" s="47"/>
      <x:c r="AI951" s="60"/>
      <x:c r="AJ951" s="58"/>
      <x:c r="AK951" s="47"/>
      <x:c r="AL951" s="60"/>
      <x:c r="AM951" s="58"/>
      <x:c r="AN951" s="47"/>
      <x:c r="AO951" s="60"/>
      <x:c r="AP951" s="58"/>
      <x:c r="AQ951" s="47"/>
      <x:c r="AR951" s="60"/>
      <x:c r="AS951" s="58"/>
      <x:c r="AT951" s="47"/>
      <x:c r="AU951" s="60"/>
      <x:c r="AV951" s="58"/>
      <x:c r="AW951" s="47"/>
      <x:c r="AX951" s="60"/>
      <x:c r="AY951" s="58"/>
      <x:c r="AZ951" s="47"/>
      <x:c r="BA951" s="60"/>
      <x:c r="BB951" s="58"/>
      <x:c r="BC951" s="47"/>
      <x:c r="BD951" s="60"/>
      <x:c r="BE951" s="58"/>
      <x:c r="BF951" s="47"/>
      <x:c r="BG951" s="60"/>
      <x:c r="BH951" s="58"/>
      <x:c r="BI951" s="47"/>
      <x:c r="BJ951" s="60"/>
      <x:c r="BK951" s="58"/>
      <x:c r="BL951" s="47"/>
      <x:c r="BM951" s="60"/>
      <x:c r="BN951" s="58"/>
      <x:c r="BO951" s="47"/>
      <x:c r="BP951" s="60"/>
      <x:c r="BQ951" s="58"/>
      <x:c r="BR951" s="47"/>
      <x:c r="BS951" s="60"/>
      <x:c r="BT951" s="58"/>
      <x:c r="BU951" s="47"/>
      <x:c r="BV951" s="60"/>
      <x:c r="BW951" s="58"/>
      <x:c r="BX951" s="47"/>
      <x:c r="BY951" s="60"/>
      <x:c r="BZ951" s="58"/>
      <x:c r="CA951" s="47"/>
      <x:c r="CB951" s="60"/>
      <x:c r="CC951" s="58"/>
      <x:c r="CD951" s="47"/>
      <x:c r="CE951" s="60"/>
      <x:c r="CF951" s="58"/>
      <x:c r="CG951" s="47"/>
      <x:c r="CH951" s="60"/>
      <x:c r="CI951" s="58"/>
      <x:c r="CJ951" s="47"/>
      <x:c r="CK951" s="60"/>
      <x:c r="CL951" s="58"/>
      <x:c r="CM951" s="47"/>
      <x:c r="CN951" s="60"/>
      <x:c r="CO951" s="58"/>
      <x:c r="CP951" s="47"/>
      <x:c r="CQ951" s="60"/>
      <x:c r="CR951" s="58"/>
      <x:c r="CS951" s="47"/>
      <x:c r="CT951" s="60"/>
      <x:c r="CU951" s="58"/>
      <x:c r="CV951" s="47"/>
      <x:c r="CW951" s="60"/>
      <x:c r="CX951" s="58"/>
      <x:c r="CY951" s="47"/>
      <x:c r="CZ951" s="60"/>
      <x:c r="DA951" s="58"/>
      <x:c r="DB951" s="47"/>
      <x:c r="DC951" s="60"/>
      <x:c r="DD951" s="58"/>
      <x:c r="DE951" s="47"/>
      <x:c r="DF951" s="60"/>
      <x:c r="DG951" s="58"/>
      <x:c r="DH951" s="47"/>
      <x:c r="DI951" s="60"/>
      <x:c r="DJ951" s="58"/>
      <x:c r="DK951" s="47"/>
      <x:c r="DL951" s="60"/>
      <x:c r="DM951" s="58"/>
      <x:c r="DN951" s="11"/>
      <x:c r="DO951" s="61"/>
      <x:c r="DP951" s="62"/>
      <x:c r="DQ951" s="11"/>
      <x:c r="DR951" s="61"/>
      <x:c r="DS951" s="62"/>
      <x:c r="DT951" s="11"/>
      <x:c r="DU951" s="61"/>
      <x:c r="DV951" s="62"/>
    </x:row>
    <x:row r="952" spans="1:126" x14ac:dyDescent="0.3">
      <x:c r="A952" s="47"/>
      <x:c r="B952" s="70"/>
      <x:c r="C952" s="70"/>
      <x:c r="D952" s="70"/>
      <x:c r="E952" s="70"/>
      <x:c r="F952" s="70"/>
      <x:c r="G952" s="70"/>
      <x:c r="H952" s="70"/>
      <x:c r="I952" s="70"/>
      <x:c r="J952" s="70"/>
      <x:c r="K952" s="190"/>
      <x:c r="L952" s="195"/>
      <x:c r="M952" s="192"/>
      <x:c r="N952" s="192"/>
      <x:c r="O952" s="69"/>
      <x:c r="P952" s="47"/>
      <x:c r="Q952" s="60"/>
      <x:c r="R952" s="58"/>
      <x:c r="S952" s="47"/>
      <x:c r="T952" s="60"/>
      <x:c r="U952" s="58"/>
      <x:c r="V952" s="47"/>
      <x:c r="W952" s="60"/>
      <x:c r="X952" s="58"/>
      <x:c r="Y952" s="47"/>
      <x:c r="Z952" s="60"/>
      <x:c r="AA952" s="58"/>
      <x:c r="AB952" s="47"/>
      <x:c r="AC952" s="60"/>
      <x:c r="AD952" s="58"/>
      <x:c r="AE952" s="47"/>
      <x:c r="AF952" s="60"/>
      <x:c r="AG952" s="58"/>
      <x:c r="AH952" s="47"/>
      <x:c r="AI952" s="60"/>
      <x:c r="AJ952" s="58"/>
      <x:c r="AK952" s="47"/>
      <x:c r="AL952" s="60"/>
      <x:c r="AM952" s="58"/>
      <x:c r="AN952" s="47"/>
      <x:c r="AO952" s="60"/>
      <x:c r="AP952" s="58"/>
      <x:c r="AQ952" s="47"/>
      <x:c r="AR952" s="60"/>
      <x:c r="AS952" s="58"/>
      <x:c r="AT952" s="47"/>
      <x:c r="AU952" s="60"/>
      <x:c r="AV952" s="58"/>
      <x:c r="AW952" s="47"/>
      <x:c r="AX952" s="60"/>
      <x:c r="AY952" s="58"/>
      <x:c r="AZ952" s="47"/>
      <x:c r="BA952" s="60"/>
      <x:c r="BB952" s="58"/>
      <x:c r="BC952" s="47"/>
      <x:c r="BD952" s="60"/>
      <x:c r="BE952" s="58"/>
      <x:c r="BF952" s="47"/>
      <x:c r="BG952" s="60"/>
      <x:c r="BH952" s="58"/>
      <x:c r="BI952" s="47"/>
      <x:c r="BJ952" s="60"/>
      <x:c r="BK952" s="58"/>
      <x:c r="BL952" s="47"/>
      <x:c r="BM952" s="60"/>
      <x:c r="BN952" s="58"/>
      <x:c r="BO952" s="47"/>
      <x:c r="BP952" s="60"/>
      <x:c r="BQ952" s="58"/>
      <x:c r="BR952" s="47"/>
      <x:c r="BS952" s="60"/>
      <x:c r="BT952" s="58"/>
      <x:c r="BU952" s="47"/>
      <x:c r="BV952" s="60"/>
      <x:c r="BW952" s="58"/>
      <x:c r="BX952" s="47"/>
      <x:c r="BY952" s="60"/>
      <x:c r="BZ952" s="58"/>
      <x:c r="CA952" s="47"/>
      <x:c r="CB952" s="60"/>
      <x:c r="CC952" s="58"/>
      <x:c r="CD952" s="47"/>
      <x:c r="CE952" s="60"/>
      <x:c r="CF952" s="58"/>
      <x:c r="CG952" s="47"/>
      <x:c r="CH952" s="60"/>
      <x:c r="CI952" s="58"/>
      <x:c r="CJ952" s="47"/>
      <x:c r="CK952" s="60"/>
      <x:c r="CL952" s="58"/>
      <x:c r="CM952" s="47"/>
      <x:c r="CN952" s="60"/>
      <x:c r="CO952" s="58"/>
      <x:c r="CP952" s="47"/>
      <x:c r="CQ952" s="60"/>
      <x:c r="CR952" s="58"/>
      <x:c r="CS952" s="47"/>
      <x:c r="CT952" s="60"/>
      <x:c r="CU952" s="58"/>
      <x:c r="CV952" s="47"/>
      <x:c r="CW952" s="60"/>
      <x:c r="CX952" s="58"/>
      <x:c r="CY952" s="47"/>
      <x:c r="CZ952" s="60"/>
      <x:c r="DA952" s="58"/>
      <x:c r="DB952" s="47"/>
      <x:c r="DC952" s="60"/>
      <x:c r="DD952" s="58"/>
      <x:c r="DE952" s="47"/>
      <x:c r="DF952" s="60"/>
      <x:c r="DG952" s="58"/>
      <x:c r="DH952" s="47"/>
      <x:c r="DI952" s="60"/>
      <x:c r="DJ952" s="58"/>
      <x:c r="DK952" s="47"/>
      <x:c r="DL952" s="60"/>
      <x:c r="DM952" s="58"/>
      <x:c r="DN952" s="11"/>
      <x:c r="DO952" s="61"/>
      <x:c r="DP952" s="62"/>
      <x:c r="DQ952" s="11"/>
      <x:c r="DR952" s="61"/>
      <x:c r="DS952" s="62"/>
      <x:c r="DT952" s="11"/>
      <x:c r="DU952" s="61"/>
      <x:c r="DV952" s="62"/>
    </x:row>
    <x:row r="953" spans="1:126" x14ac:dyDescent="0.3">
      <x:c r="A953" s="47"/>
      <x:c r="B953" s="70"/>
      <x:c r="C953" s="70"/>
      <x:c r="D953" s="70"/>
      <x:c r="E953" s="70"/>
      <x:c r="F953" s="70"/>
      <x:c r="G953" s="70"/>
      <x:c r="H953" s="70"/>
      <x:c r="I953" s="70"/>
      <x:c r="J953" s="70"/>
      <x:c r="K953" s="190"/>
      <x:c r="L953" s="195"/>
      <x:c r="M953" s="192"/>
      <x:c r="N953" s="192"/>
      <x:c r="O953" s="69"/>
      <x:c r="P953" s="47"/>
      <x:c r="Q953" s="60"/>
      <x:c r="R953" s="58"/>
      <x:c r="S953" s="47"/>
      <x:c r="T953" s="60"/>
      <x:c r="U953" s="58"/>
      <x:c r="V953" s="47"/>
      <x:c r="W953" s="60"/>
      <x:c r="X953" s="58"/>
      <x:c r="Y953" s="47"/>
      <x:c r="Z953" s="60"/>
      <x:c r="AA953" s="58"/>
      <x:c r="AB953" s="47"/>
      <x:c r="AC953" s="60"/>
      <x:c r="AD953" s="58"/>
      <x:c r="AE953" s="47"/>
      <x:c r="AF953" s="60"/>
      <x:c r="AG953" s="58"/>
      <x:c r="AH953" s="47"/>
      <x:c r="AI953" s="60"/>
      <x:c r="AJ953" s="58"/>
      <x:c r="AK953" s="47"/>
      <x:c r="AL953" s="60"/>
      <x:c r="AM953" s="58"/>
      <x:c r="AN953" s="47"/>
      <x:c r="AO953" s="60"/>
      <x:c r="AP953" s="58"/>
      <x:c r="AQ953" s="47"/>
      <x:c r="AR953" s="60"/>
      <x:c r="AS953" s="58"/>
      <x:c r="AT953" s="47"/>
      <x:c r="AU953" s="60"/>
      <x:c r="AV953" s="58"/>
      <x:c r="AW953" s="47"/>
      <x:c r="AX953" s="60"/>
      <x:c r="AY953" s="58"/>
      <x:c r="AZ953" s="47"/>
      <x:c r="BA953" s="60"/>
      <x:c r="BB953" s="58"/>
      <x:c r="BC953" s="47"/>
      <x:c r="BD953" s="60"/>
      <x:c r="BE953" s="58"/>
      <x:c r="BF953" s="47"/>
      <x:c r="BG953" s="60"/>
      <x:c r="BH953" s="58"/>
      <x:c r="BI953" s="47"/>
      <x:c r="BJ953" s="60"/>
      <x:c r="BK953" s="58"/>
      <x:c r="BL953" s="47"/>
      <x:c r="BM953" s="60"/>
      <x:c r="BN953" s="58"/>
      <x:c r="BO953" s="47"/>
      <x:c r="BP953" s="60"/>
      <x:c r="BQ953" s="58"/>
      <x:c r="BR953" s="47"/>
      <x:c r="BS953" s="60"/>
      <x:c r="BT953" s="58"/>
      <x:c r="BU953" s="47"/>
      <x:c r="BV953" s="60"/>
      <x:c r="BW953" s="58"/>
      <x:c r="BX953" s="47"/>
      <x:c r="BY953" s="60"/>
      <x:c r="BZ953" s="58"/>
      <x:c r="CA953" s="47"/>
      <x:c r="CB953" s="60"/>
      <x:c r="CC953" s="58"/>
      <x:c r="CD953" s="47"/>
      <x:c r="CE953" s="60"/>
      <x:c r="CF953" s="58"/>
      <x:c r="CG953" s="47"/>
      <x:c r="CH953" s="60"/>
      <x:c r="CI953" s="58"/>
      <x:c r="CJ953" s="47"/>
      <x:c r="CK953" s="60"/>
      <x:c r="CL953" s="58"/>
      <x:c r="CM953" s="47"/>
      <x:c r="CN953" s="60"/>
      <x:c r="CO953" s="58"/>
      <x:c r="CP953" s="47"/>
      <x:c r="CQ953" s="60"/>
      <x:c r="CR953" s="58"/>
      <x:c r="CS953" s="47"/>
      <x:c r="CT953" s="60"/>
      <x:c r="CU953" s="58"/>
      <x:c r="CV953" s="47"/>
      <x:c r="CW953" s="60"/>
      <x:c r="CX953" s="58"/>
      <x:c r="CY953" s="47"/>
      <x:c r="CZ953" s="60"/>
      <x:c r="DA953" s="58"/>
      <x:c r="DB953" s="47"/>
      <x:c r="DC953" s="60"/>
      <x:c r="DD953" s="58"/>
      <x:c r="DE953" s="47"/>
      <x:c r="DF953" s="60"/>
      <x:c r="DG953" s="58"/>
      <x:c r="DH953" s="47"/>
      <x:c r="DI953" s="60"/>
      <x:c r="DJ953" s="58"/>
      <x:c r="DK953" s="47"/>
      <x:c r="DL953" s="60"/>
      <x:c r="DM953" s="58"/>
      <x:c r="DN953" s="11"/>
      <x:c r="DO953" s="61"/>
      <x:c r="DP953" s="62"/>
      <x:c r="DQ953" s="11"/>
      <x:c r="DR953" s="61"/>
      <x:c r="DS953" s="62"/>
      <x:c r="DT953" s="11"/>
      <x:c r="DU953" s="61"/>
      <x:c r="DV953" s="62"/>
    </x:row>
    <x:row r="954" spans="1:126" x14ac:dyDescent="0.3">
      <x:c r="A954" s="47"/>
      <x:c r="B954" s="70"/>
      <x:c r="C954" s="70"/>
      <x:c r="D954" s="70"/>
      <x:c r="E954" s="70"/>
      <x:c r="F954" s="70"/>
      <x:c r="G954" s="70"/>
      <x:c r="H954" s="70"/>
      <x:c r="I954" s="70"/>
      <x:c r="J954" s="70"/>
      <x:c r="K954" s="190"/>
      <x:c r="L954" s="195"/>
      <x:c r="M954" s="192"/>
      <x:c r="N954" s="192"/>
      <x:c r="O954" s="69"/>
      <x:c r="P954" s="47"/>
      <x:c r="Q954" s="60"/>
      <x:c r="R954" s="58"/>
      <x:c r="S954" s="47"/>
      <x:c r="T954" s="60"/>
      <x:c r="U954" s="58"/>
      <x:c r="V954" s="47"/>
      <x:c r="W954" s="60"/>
      <x:c r="X954" s="58"/>
      <x:c r="Y954" s="47"/>
      <x:c r="Z954" s="60"/>
      <x:c r="AA954" s="58"/>
      <x:c r="AB954" s="47"/>
      <x:c r="AC954" s="60"/>
      <x:c r="AD954" s="58"/>
      <x:c r="AE954" s="47"/>
      <x:c r="AF954" s="60"/>
      <x:c r="AG954" s="58"/>
      <x:c r="AH954" s="47"/>
      <x:c r="AI954" s="60"/>
      <x:c r="AJ954" s="58"/>
      <x:c r="AK954" s="47"/>
      <x:c r="AL954" s="60"/>
      <x:c r="AM954" s="58"/>
      <x:c r="AN954" s="47"/>
      <x:c r="AO954" s="60"/>
      <x:c r="AP954" s="58"/>
      <x:c r="AQ954" s="47"/>
      <x:c r="AR954" s="60"/>
      <x:c r="AS954" s="58"/>
      <x:c r="AT954" s="47"/>
      <x:c r="AU954" s="60"/>
      <x:c r="AV954" s="58"/>
      <x:c r="AW954" s="47"/>
      <x:c r="AX954" s="60"/>
      <x:c r="AY954" s="58"/>
      <x:c r="AZ954" s="47"/>
      <x:c r="BA954" s="60"/>
      <x:c r="BB954" s="58"/>
      <x:c r="BC954" s="47"/>
      <x:c r="BD954" s="60"/>
      <x:c r="BE954" s="58"/>
      <x:c r="BF954" s="47"/>
      <x:c r="BG954" s="60"/>
      <x:c r="BH954" s="58"/>
      <x:c r="BI954" s="47"/>
      <x:c r="BJ954" s="60"/>
      <x:c r="BK954" s="58"/>
      <x:c r="BL954" s="47"/>
      <x:c r="BM954" s="60"/>
      <x:c r="BN954" s="58"/>
      <x:c r="BO954" s="47"/>
      <x:c r="BP954" s="60"/>
      <x:c r="BQ954" s="58"/>
      <x:c r="BR954" s="47"/>
      <x:c r="BS954" s="60"/>
      <x:c r="BT954" s="58"/>
      <x:c r="BU954" s="47"/>
      <x:c r="BV954" s="60"/>
      <x:c r="BW954" s="58"/>
      <x:c r="BX954" s="47"/>
      <x:c r="BY954" s="60"/>
      <x:c r="BZ954" s="58"/>
      <x:c r="CA954" s="47"/>
      <x:c r="CB954" s="60"/>
      <x:c r="CC954" s="58"/>
      <x:c r="CD954" s="47"/>
      <x:c r="CE954" s="60"/>
      <x:c r="CF954" s="58"/>
      <x:c r="CG954" s="47"/>
      <x:c r="CH954" s="60"/>
      <x:c r="CI954" s="58"/>
      <x:c r="CJ954" s="47"/>
      <x:c r="CK954" s="60"/>
      <x:c r="CL954" s="58"/>
      <x:c r="CM954" s="47"/>
      <x:c r="CN954" s="60"/>
      <x:c r="CO954" s="58"/>
      <x:c r="CP954" s="47"/>
      <x:c r="CQ954" s="60"/>
      <x:c r="CR954" s="58"/>
      <x:c r="CS954" s="47"/>
      <x:c r="CT954" s="60"/>
      <x:c r="CU954" s="58"/>
      <x:c r="CV954" s="47"/>
      <x:c r="CW954" s="60"/>
      <x:c r="CX954" s="58"/>
      <x:c r="CY954" s="47"/>
      <x:c r="CZ954" s="60"/>
      <x:c r="DA954" s="58"/>
      <x:c r="DB954" s="47"/>
      <x:c r="DC954" s="60"/>
      <x:c r="DD954" s="58"/>
      <x:c r="DE954" s="47"/>
      <x:c r="DF954" s="60"/>
      <x:c r="DG954" s="58"/>
      <x:c r="DH954" s="47"/>
      <x:c r="DI954" s="60"/>
      <x:c r="DJ954" s="58"/>
      <x:c r="DK954" s="47"/>
      <x:c r="DL954" s="60"/>
      <x:c r="DM954" s="58"/>
      <x:c r="DN954" s="11"/>
      <x:c r="DO954" s="61"/>
      <x:c r="DP954" s="62"/>
      <x:c r="DQ954" s="11"/>
      <x:c r="DR954" s="61"/>
      <x:c r="DS954" s="62"/>
      <x:c r="DT954" s="11"/>
      <x:c r="DU954" s="61"/>
      <x:c r="DV954" s="62"/>
    </x:row>
    <x:row r="955" spans="1:126" x14ac:dyDescent="0.3">
      <x:c r="A955" s="47"/>
      <x:c r="B955" s="70"/>
      <x:c r="C955" s="70"/>
      <x:c r="D955" s="70"/>
      <x:c r="E955" s="70"/>
      <x:c r="F955" s="70"/>
      <x:c r="G955" s="70"/>
      <x:c r="H955" s="70"/>
      <x:c r="I955" s="70"/>
      <x:c r="J955" s="70"/>
      <x:c r="K955" s="190"/>
      <x:c r="L955" s="195"/>
      <x:c r="M955" s="192"/>
      <x:c r="N955" s="192"/>
      <x:c r="O955" s="69"/>
      <x:c r="P955" s="47"/>
      <x:c r="Q955" s="60"/>
      <x:c r="R955" s="58"/>
      <x:c r="S955" s="47"/>
      <x:c r="T955" s="60"/>
      <x:c r="U955" s="58"/>
      <x:c r="V955" s="47"/>
      <x:c r="W955" s="60"/>
      <x:c r="X955" s="58"/>
      <x:c r="Y955" s="47"/>
      <x:c r="Z955" s="60"/>
      <x:c r="AA955" s="58"/>
      <x:c r="AB955" s="47"/>
      <x:c r="AC955" s="60"/>
      <x:c r="AD955" s="58"/>
      <x:c r="AE955" s="47"/>
      <x:c r="AF955" s="60"/>
      <x:c r="AG955" s="58"/>
      <x:c r="AH955" s="47"/>
      <x:c r="AI955" s="60"/>
      <x:c r="AJ955" s="58"/>
      <x:c r="AK955" s="47"/>
      <x:c r="AL955" s="60"/>
      <x:c r="AM955" s="58"/>
      <x:c r="AN955" s="47"/>
      <x:c r="AO955" s="60"/>
      <x:c r="AP955" s="58"/>
      <x:c r="AQ955" s="47"/>
      <x:c r="AR955" s="60"/>
      <x:c r="AS955" s="58"/>
      <x:c r="AT955" s="47"/>
      <x:c r="AU955" s="60"/>
      <x:c r="AV955" s="58"/>
      <x:c r="AW955" s="47"/>
      <x:c r="AX955" s="60"/>
      <x:c r="AY955" s="58"/>
      <x:c r="AZ955" s="47"/>
      <x:c r="BA955" s="60"/>
      <x:c r="BB955" s="58"/>
      <x:c r="BC955" s="47"/>
      <x:c r="BD955" s="60"/>
      <x:c r="BE955" s="58"/>
      <x:c r="BF955" s="47"/>
      <x:c r="BG955" s="60"/>
      <x:c r="BH955" s="58"/>
      <x:c r="BI955" s="47"/>
      <x:c r="BJ955" s="60"/>
      <x:c r="BK955" s="58"/>
      <x:c r="BL955" s="47"/>
      <x:c r="BM955" s="60"/>
      <x:c r="BN955" s="58"/>
      <x:c r="BO955" s="47"/>
      <x:c r="BP955" s="60"/>
      <x:c r="BQ955" s="58"/>
      <x:c r="BR955" s="47"/>
      <x:c r="BS955" s="60"/>
      <x:c r="BT955" s="58"/>
      <x:c r="BU955" s="47"/>
      <x:c r="BV955" s="60"/>
      <x:c r="BW955" s="58"/>
      <x:c r="BX955" s="47"/>
      <x:c r="BY955" s="60"/>
      <x:c r="BZ955" s="58"/>
      <x:c r="CA955" s="47"/>
      <x:c r="CB955" s="60"/>
      <x:c r="CC955" s="58"/>
      <x:c r="CD955" s="47"/>
      <x:c r="CE955" s="60"/>
      <x:c r="CF955" s="58"/>
      <x:c r="CG955" s="47"/>
      <x:c r="CH955" s="60"/>
      <x:c r="CI955" s="58"/>
      <x:c r="CJ955" s="47"/>
      <x:c r="CK955" s="60"/>
      <x:c r="CL955" s="58"/>
      <x:c r="CM955" s="47"/>
      <x:c r="CN955" s="60"/>
      <x:c r="CO955" s="58"/>
      <x:c r="CP955" s="47"/>
      <x:c r="CQ955" s="60"/>
      <x:c r="CR955" s="58"/>
      <x:c r="CS955" s="47"/>
      <x:c r="CT955" s="60"/>
      <x:c r="CU955" s="58"/>
      <x:c r="CV955" s="47"/>
      <x:c r="CW955" s="60"/>
      <x:c r="CX955" s="58"/>
      <x:c r="CY955" s="47"/>
      <x:c r="CZ955" s="60"/>
      <x:c r="DA955" s="58"/>
      <x:c r="DB955" s="47"/>
      <x:c r="DC955" s="60"/>
      <x:c r="DD955" s="58"/>
      <x:c r="DE955" s="47"/>
      <x:c r="DF955" s="60"/>
      <x:c r="DG955" s="58"/>
      <x:c r="DH955" s="47"/>
      <x:c r="DI955" s="60"/>
      <x:c r="DJ955" s="58"/>
      <x:c r="DK955" s="47"/>
      <x:c r="DL955" s="60"/>
      <x:c r="DM955" s="58"/>
      <x:c r="DN955" s="11"/>
      <x:c r="DO955" s="61"/>
      <x:c r="DP955" s="62"/>
      <x:c r="DQ955" s="11"/>
      <x:c r="DR955" s="61"/>
      <x:c r="DS955" s="62"/>
      <x:c r="DT955" s="11"/>
      <x:c r="DU955" s="61"/>
      <x:c r="DV955" s="62"/>
    </x:row>
    <x:row r="956" spans="1:126" x14ac:dyDescent="0.3">
      <x:c r="A956" s="47"/>
      <x:c r="B956" s="70"/>
      <x:c r="C956" s="70"/>
      <x:c r="D956" s="70"/>
      <x:c r="E956" s="70"/>
      <x:c r="F956" s="70"/>
      <x:c r="G956" s="70"/>
      <x:c r="H956" s="70"/>
      <x:c r="I956" s="70"/>
      <x:c r="J956" s="70"/>
      <x:c r="K956" s="190"/>
      <x:c r="L956" s="195"/>
      <x:c r="M956" s="192"/>
      <x:c r="N956" s="192"/>
      <x:c r="O956" s="69"/>
      <x:c r="P956" s="47"/>
      <x:c r="Q956" s="60"/>
      <x:c r="R956" s="58"/>
      <x:c r="S956" s="47"/>
      <x:c r="T956" s="60"/>
      <x:c r="U956" s="58"/>
      <x:c r="V956" s="47"/>
      <x:c r="W956" s="60"/>
      <x:c r="X956" s="58"/>
      <x:c r="Y956" s="47"/>
      <x:c r="Z956" s="60"/>
      <x:c r="AA956" s="58"/>
      <x:c r="AB956" s="47"/>
      <x:c r="AC956" s="60"/>
      <x:c r="AD956" s="58"/>
      <x:c r="AE956" s="47"/>
      <x:c r="AF956" s="60"/>
      <x:c r="AG956" s="58"/>
      <x:c r="AH956" s="47"/>
      <x:c r="AI956" s="60"/>
      <x:c r="AJ956" s="58"/>
      <x:c r="AK956" s="47"/>
      <x:c r="AL956" s="60"/>
      <x:c r="AM956" s="58"/>
      <x:c r="AN956" s="47"/>
      <x:c r="AO956" s="60"/>
      <x:c r="AP956" s="58"/>
      <x:c r="AQ956" s="47"/>
      <x:c r="AR956" s="60"/>
      <x:c r="AS956" s="58"/>
      <x:c r="AT956" s="47"/>
      <x:c r="AU956" s="60"/>
      <x:c r="AV956" s="58"/>
      <x:c r="AW956" s="47"/>
      <x:c r="AX956" s="60"/>
      <x:c r="AY956" s="58"/>
      <x:c r="AZ956" s="47"/>
      <x:c r="BA956" s="60"/>
      <x:c r="BB956" s="58"/>
      <x:c r="BC956" s="47"/>
      <x:c r="BD956" s="60"/>
      <x:c r="BE956" s="58"/>
      <x:c r="BF956" s="47"/>
      <x:c r="BG956" s="60"/>
      <x:c r="BH956" s="58"/>
      <x:c r="BI956" s="47"/>
      <x:c r="BJ956" s="60"/>
      <x:c r="BK956" s="58"/>
      <x:c r="BL956" s="47"/>
      <x:c r="BM956" s="60"/>
      <x:c r="BN956" s="58"/>
      <x:c r="BO956" s="47"/>
      <x:c r="BP956" s="60"/>
      <x:c r="BQ956" s="58"/>
      <x:c r="BR956" s="47"/>
      <x:c r="BS956" s="60"/>
      <x:c r="BT956" s="58"/>
      <x:c r="BU956" s="47"/>
      <x:c r="BV956" s="60"/>
      <x:c r="BW956" s="58"/>
      <x:c r="BX956" s="47"/>
      <x:c r="BY956" s="60"/>
      <x:c r="BZ956" s="58"/>
      <x:c r="CA956" s="47"/>
      <x:c r="CB956" s="60"/>
      <x:c r="CC956" s="58"/>
      <x:c r="CD956" s="47"/>
      <x:c r="CE956" s="60"/>
      <x:c r="CF956" s="58"/>
      <x:c r="CG956" s="47"/>
      <x:c r="CH956" s="60"/>
      <x:c r="CI956" s="58"/>
      <x:c r="CJ956" s="47"/>
      <x:c r="CK956" s="60"/>
      <x:c r="CL956" s="58"/>
      <x:c r="CM956" s="47"/>
      <x:c r="CN956" s="60"/>
      <x:c r="CO956" s="58"/>
      <x:c r="CP956" s="47"/>
      <x:c r="CQ956" s="60"/>
      <x:c r="CR956" s="58"/>
      <x:c r="CS956" s="47"/>
      <x:c r="CT956" s="60"/>
      <x:c r="CU956" s="58"/>
      <x:c r="CV956" s="47"/>
      <x:c r="CW956" s="60"/>
      <x:c r="CX956" s="58"/>
      <x:c r="CY956" s="47"/>
      <x:c r="CZ956" s="60"/>
      <x:c r="DA956" s="58"/>
      <x:c r="DB956" s="47"/>
      <x:c r="DC956" s="60"/>
      <x:c r="DD956" s="58"/>
      <x:c r="DE956" s="47"/>
      <x:c r="DF956" s="60"/>
      <x:c r="DG956" s="58"/>
      <x:c r="DH956" s="47"/>
      <x:c r="DI956" s="60"/>
      <x:c r="DJ956" s="58"/>
      <x:c r="DK956" s="47"/>
      <x:c r="DL956" s="60"/>
      <x:c r="DM956" s="58"/>
      <x:c r="DN956" s="11"/>
      <x:c r="DO956" s="61"/>
      <x:c r="DP956" s="62"/>
      <x:c r="DQ956" s="11"/>
      <x:c r="DR956" s="61"/>
      <x:c r="DS956" s="62"/>
      <x:c r="DT956" s="11"/>
      <x:c r="DU956" s="61"/>
      <x:c r="DV956" s="62"/>
    </x:row>
    <x:row r="957" spans="1:126" x14ac:dyDescent="0.3">
      <x:c r="A957" s="47"/>
      <x:c r="B957" s="70"/>
      <x:c r="C957" s="70"/>
      <x:c r="D957" s="70"/>
      <x:c r="E957" s="70"/>
      <x:c r="F957" s="70"/>
      <x:c r="G957" s="70"/>
      <x:c r="H957" s="70"/>
      <x:c r="I957" s="70"/>
      <x:c r="J957" s="70"/>
      <x:c r="K957" s="190"/>
      <x:c r="L957" s="195"/>
      <x:c r="M957" s="192"/>
      <x:c r="N957" s="192"/>
      <x:c r="O957" s="69"/>
      <x:c r="P957" s="47"/>
      <x:c r="Q957" s="60"/>
      <x:c r="R957" s="58"/>
      <x:c r="S957" s="47"/>
      <x:c r="T957" s="60"/>
      <x:c r="U957" s="58"/>
      <x:c r="V957" s="47"/>
      <x:c r="W957" s="60"/>
      <x:c r="X957" s="58"/>
      <x:c r="Y957" s="47"/>
      <x:c r="Z957" s="60"/>
      <x:c r="AA957" s="58"/>
      <x:c r="AB957" s="47"/>
      <x:c r="AC957" s="60"/>
      <x:c r="AD957" s="58"/>
      <x:c r="AE957" s="47"/>
      <x:c r="AF957" s="60"/>
      <x:c r="AG957" s="58"/>
      <x:c r="AH957" s="47"/>
      <x:c r="AI957" s="60"/>
      <x:c r="AJ957" s="58"/>
      <x:c r="AK957" s="47"/>
      <x:c r="AL957" s="60"/>
      <x:c r="AM957" s="58"/>
      <x:c r="AN957" s="47"/>
      <x:c r="AO957" s="60"/>
      <x:c r="AP957" s="58"/>
      <x:c r="AQ957" s="47"/>
      <x:c r="AR957" s="60"/>
      <x:c r="AS957" s="58"/>
      <x:c r="AT957" s="47"/>
      <x:c r="AU957" s="60"/>
      <x:c r="AV957" s="58"/>
      <x:c r="AW957" s="47"/>
      <x:c r="AX957" s="60"/>
      <x:c r="AY957" s="58"/>
      <x:c r="AZ957" s="47"/>
      <x:c r="BA957" s="60"/>
      <x:c r="BB957" s="58"/>
      <x:c r="BC957" s="47"/>
      <x:c r="BD957" s="60"/>
      <x:c r="BE957" s="58"/>
      <x:c r="BF957" s="47"/>
      <x:c r="BG957" s="60"/>
      <x:c r="BH957" s="58"/>
      <x:c r="BI957" s="47"/>
      <x:c r="BJ957" s="60"/>
      <x:c r="BK957" s="58"/>
      <x:c r="BL957" s="47"/>
      <x:c r="BM957" s="60"/>
      <x:c r="BN957" s="58"/>
      <x:c r="BO957" s="47"/>
      <x:c r="BP957" s="60"/>
      <x:c r="BQ957" s="58"/>
      <x:c r="BR957" s="47"/>
      <x:c r="BS957" s="60"/>
      <x:c r="BT957" s="58"/>
      <x:c r="BU957" s="47"/>
      <x:c r="BV957" s="60"/>
      <x:c r="BW957" s="58"/>
      <x:c r="BX957" s="47"/>
      <x:c r="BY957" s="60"/>
      <x:c r="BZ957" s="58"/>
      <x:c r="CA957" s="47"/>
      <x:c r="CB957" s="60"/>
      <x:c r="CC957" s="58"/>
      <x:c r="CD957" s="47"/>
      <x:c r="CE957" s="60"/>
      <x:c r="CF957" s="58"/>
      <x:c r="CG957" s="47"/>
      <x:c r="CH957" s="60"/>
      <x:c r="CI957" s="58"/>
      <x:c r="CJ957" s="47"/>
      <x:c r="CK957" s="60"/>
      <x:c r="CL957" s="58"/>
      <x:c r="CM957" s="47"/>
      <x:c r="CN957" s="60"/>
      <x:c r="CO957" s="58"/>
      <x:c r="CP957" s="47"/>
      <x:c r="CQ957" s="60"/>
      <x:c r="CR957" s="58"/>
      <x:c r="CS957" s="47"/>
      <x:c r="CT957" s="60"/>
      <x:c r="CU957" s="58"/>
      <x:c r="CV957" s="47"/>
      <x:c r="CW957" s="60"/>
      <x:c r="CX957" s="58"/>
      <x:c r="CY957" s="47"/>
      <x:c r="CZ957" s="60"/>
      <x:c r="DA957" s="58"/>
      <x:c r="DB957" s="47"/>
      <x:c r="DC957" s="60"/>
      <x:c r="DD957" s="58"/>
      <x:c r="DE957" s="47"/>
      <x:c r="DF957" s="60"/>
      <x:c r="DG957" s="58"/>
      <x:c r="DH957" s="47"/>
      <x:c r="DI957" s="60"/>
      <x:c r="DJ957" s="58"/>
      <x:c r="DK957" s="47"/>
      <x:c r="DL957" s="60"/>
      <x:c r="DM957" s="58"/>
      <x:c r="DN957" s="11"/>
      <x:c r="DO957" s="61"/>
      <x:c r="DP957" s="62"/>
      <x:c r="DQ957" s="11"/>
      <x:c r="DR957" s="61"/>
      <x:c r="DS957" s="62"/>
      <x:c r="DT957" s="11"/>
      <x:c r="DU957" s="61"/>
      <x:c r="DV957" s="62"/>
    </x:row>
    <x:row r="958" spans="1:126" x14ac:dyDescent="0.3">
      <x:c r="A958" s="47"/>
      <x:c r="B958" s="70"/>
      <x:c r="C958" s="70"/>
      <x:c r="D958" s="70"/>
      <x:c r="E958" s="70"/>
      <x:c r="F958" s="70"/>
      <x:c r="G958" s="70"/>
      <x:c r="H958" s="70"/>
      <x:c r="I958" s="70"/>
      <x:c r="J958" s="70"/>
      <x:c r="K958" s="190"/>
      <x:c r="L958" s="195"/>
      <x:c r="M958" s="192"/>
      <x:c r="N958" s="192"/>
      <x:c r="O958" s="69"/>
      <x:c r="P958" s="47"/>
      <x:c r="Q958" s="60"/>
      <x:c r="R958" s="58"/>
      <x:c r="S958" s="47"/>
      <x:c r="T958" s="60"/>
      <x:c r="U958" s="58"/>
      <x:c r="V958" s="47"/>
      <x:c r="W958" s="60"/>
      <x:c r="X958" s="58"/>
      <x:c r="Y958" s="47"/>
      <x:c r="Z958" s="60"/>
      <x:c r="AA958" s="58"/>
      <x:c r="AB958" s="47"/>
      <x:c r="AC958" s="60"/>
      <x:c r="AD958" s="58"/>
      <x:c r="AE958" s="47"/>
      <x:c r="AF958" s="60"/>
      <x:c r="AG958" s="58"/>
      <x:c r="AH958" s="47"/>
      <x:c r="AI958" s="60"/>
      <x:c r="AJ958" s="58"/>
      <x:c r="AK958" s="47"/>
      <x:c r="AL958" s="60"/>
      <x:c r="AM958" s="58"/>
      <x:c r="AN958" s="47"/>
      <x:c r="AO958" s="60"/>
      <x:c r="AP958" s="58"/>
      <x:c r="AQ958" s="47"/>
      <x:c r="AR958" s="60"/>
      <x:c r="AS958" s="58"/>
      <x:c r="AT958" s="47"/>
      <x:c r="AU958" s="60"/>
      <x:c r="AV958" s="58"/>
      <x:c r="AW958" s="47"/>
      <x:c r="AX958" s="60"/>
      <x:c r="AY958" s="58"/>
      <x:c r="AZ958" s="47"/>
      <x:c r="BA958" s="60"/>
      <x:c r="BB958" s="58"/>
      <x:c r="BC958" s="47"/>
      <x:c r="BD958" s="60"/>
      <x:c r="BE958" s="58"/>
      <x:c r="BF958" s="47"/>
      <x:c r="BG958" s="60"/>
      <x:c r="BH958" s="58"/>
      <x:c r="BI958" s="47"/>
      <x:c r="BJ958" s="60"/>
      <x:c r="BK958" s="58"/>
      <x:c r="BL958" s="47"/>
      <x:c r="BM958" s="60"/>
      <x:c r="BN958" s="58"/>
      <x:c r="BO958" s="47"/>
      <x:c r="BP958" s="60"/>
      <x:c r="BQ958" s="58"/>
      <x:c r="BR958" s="47"/>
      <x:c r="BS958" s="60"/>
      <x:c r="BT958" s="58"/>
      <x:c r="BU958" s="47"/>
      <x:c r="BV958" s="60"/>
      <x:c r="BW958" s="58"/>
      <x:c r="BX958" s="47"/>
      <x:c r="BY958" s="60"/>
      <x:c r="BZ958" s="58"/>
      <x:c r="CA958" s="47"/>
      <x:c r="CB958" s="60"/>
      <x:c r="CC958" s="58"/>
      <x:c r="CD958" s="47"/>
      <x:c r="CE958" s="60"/>
      <x:c r="CF958" s="58"/>
      <x:c r="CG958" s="47"/>
      <x:c r="CH958" s="60"/>
      <x:c r="CI958" s="58"/>
      <x:c r="CJ958" s="47"/>
      <x:c r="CK958" s="60"/>
      <x:c r="CL958" s="58"/>
      <x:c r="CM958" s="47"/>
      <x:c r="CN958" s="60"/>
      <x:c r="CO958" s="58"/>
      <x:c r="CP958" s="47"/>
      <x:c r="CQ958" s="60"/>
      <x:c r="CR958" s="58"/>
      <x:c r="CS958" s="47"/>
      <x:c r="CT958" s="60"/>
      <x:c r="CU958" s="58"/>
      <x:c r="CV958" s="47"/>
      <x:c r="CW958" s="60"/>
      <x:c r="CX958" s="58"/>
      <x:c r="CY958" s="47"/>
      <x:c r="CZ958" s="60"/>
      <x:c r="DA958" s="58"/>
      <x:c r="DB958" s="47"/>
      <x:c r="DC958" s="60"/>
      <x:c r="DD958" s="58"/>
      <x:c r="DE958" s="47"/>
      <x:c r="DF958" s="60"/>
      <x:c r="DG958" s="58"/>
      <x:c r="DH958" s="47"/>
      <x:c r="DI958" s="60"/>
      <x:c r="DJ958" s="58"/>
      <x:c r="DK958" s="47"/>
      <x:c r="DL958" s="60"/>
      <x:c r="DM958" s="58"/>
      <x:c r="DN958" s="11"/>
      <x:c r="DO958" s="61"/>
      <x:c r="DP958" s="62"/>
      <x:c r="DQ958" s="11"/>
      <x:c r="DR958" s="61"/>
      <x:c r="DS958" s="62"/>
      <x:c r="DT958" s="11"/>
      <x:c r="DU958" s="61"/>
      <x:c r="DV958" s="62"/>
    </x:row>
    <x:row r="959" spans="1:126" x14ac:dyDescent="0.3">
      <x:c r="A959" s="47"/>
      <x:c r="B959" s="70"/>
      <x:c r="C959" s="70"/>
      <x:c r="D959" s="70"/>
      <x:c r="E959" s="70"/>
      <x:c r="F959" s="70"/>
      <x:c r="G959" s="70"/>
      <x:c r="H959" s="70"/>
      <x:c r="I959" s="70"/>
      <x:c r="J959" s="70"/>
      <x:c r="K959" s="190"/>
      <x:c r="L959" s="195"/>
      <x:c r="M959" s="192"/>
      <x:c r="N959" s="192"/>
      <x:c r="O959" s="69"/>
      <x:c r="P959" s="47"/>
      <x:c r="Q959" s="60"/>
      <x:c r="R959" s="58"/>
      <x:c r="S959" s="47"/>
      <x:c r="T959" s="60"/>
      <x:c r="U959" s="58"/>
      <x:c r="V959" s="47"/>
      <x:c r="W959" s="60"/>
      <x:c r="X959" s="58"/>
      <x:c r="Y959" s="47"/>
      <x:c r="Z959" s="60"/>
      <x:c r="AA959" s="58"/>
      <x:c r="AB959" s="47"/>
      <x:c r="AC959" s="60"/>
      <x:c r="AD959" s="58"/>
      <x:c r="AE959" s="47"/>
      <x:c r="AF959" s="60"/>
      <x:c r="AG959" s="58"/>
      <x:c r="AH959" s="47"/>
      <x:c r="AI959" s="60"/>
      <x:c r="AJ959" s="58"/>
      <x:c r="AK959" s="47"/>
      <x:c r="AL959" s="60"/>
      <x:c r="AM959" s="58"/>
      <x:c r="AN959" s="47"/>
      <x:c r="AO959" s="60"/>
      <x:c r="AP959" s="58"/>
      <x:c r="AQ959" s="47"/>
      <x:c r="AR959" s="60"/>
      <x:c r="AS959" s="58"/>
      <x:c r="AT959" s="47"/>
      <x:c r="AU959" s="60"/>
      <x:c r="AV959" s="58"/>
      <x:c r="AW959" s="47"/>
      <x:c r="AX959" s="60"/>
      <x:c r="AY959" s="58"/>
      <x:c r="AZ959" s="47"/>
      <x:c r="BA959" s="60"/>
      <x:c r="BB959" s="58"/>
      <x:c r="BC959" s="47"/>
      <x:c r="BD959" s="60"/>
      <x:c r="BE959" s="58"/>
      <x:c r="BF959" s="47"/>
      <x:c r="BG959" s="60"/>
      <x:c r="BH959" s="58"/>
      <x:c r="BI959" s="47"/>
      <x:c r="BJ959" s="60"/>
      <x:c r="BK959" s="58"/>
      <x:c r="BL959" s="47"/>
      <x:c r="BM959" s="60"/>
      <x:c r="BN959" s="58"/>
      <x:c r="BO959" s="47"/>
      <x:c r="BP959" s="60"/>
      <x:c r="BQ959" s="58"/>
      <x:c r="BR959" s="47"/>
      <x:c r="BS959" s="60"/>
      <x:c r="BT959" s="58"/>
      <x:c r="BU959" s="47"/>
      <x:c r="BV959" s="60"/>
      <x:c r="BW959" s="58"/>
      <x:c r="BX959" s="47"/>
      <x:c r="BY959" s="60"/>
      <x:c r="BZ959" s="58"/>
      <x:c r="CA959" s="47"/>
      <x:c r="CB959" s="60"/>
      <x:c r="CC959" s="58"/>
      <x:c r="CD959" s="47"/>
      <x:c r="CE959" s="60"/>
      <x:c r="CF959" s="58"/>
      <x:c r="CG959" s="47"/>
      <x:c r="CH959" s="60"/>
      <x:c r="CI959" s="58"/>
      <x:c r="CJ959" s="47"/>
      <x:c r="CK959" s="60"/>
      <x:c r="CL959" s="58"/>
      <x:c r="CM959" s="47"/>
      <x:c r="CN959" s="60"/>
      <x:c r="CO959" s="58"/>
      <x:c r="CP959" s="47"/>
      <x:c r="CQ959" s="60"/>
      <x:c r="CR959" s="58"/>
      <x:c r="CS959" s="47"/>
      <x:c r="CT959" s="60"/>
      <x:c r="CU959" s="58"/>
      <x:c r="CV959" s="47"/>
      <x:c r="CW959" s="60"/>
      <x:c r="CX959" s="58"/>
      <x:c r="CY959" s="47"/>
      <x:c r="CZ959" s="60"/>
      <x:c r="DA959" s="58"/>
      <x:c r="DB959" s="47"/>
      <x:c r="DC959" s="60"/>
      <x:c r="DD959" s="58"/>
      <x:c r="DE959" s="47"/>
      <x:c r="DF959" s="60"/>
      <x:c r="DG959" s="58"/>
      <x:c r="DH959" s="47"/>
      <x:c r="DI959" s="60"/>
      <x:c r="DJ959" s="58"/>
      <x:c r="DK959" s="47"/>
      <x:c r="DL959" s="60"/>
      <x:c r="DM959" s="58"/>
      <x:c r="DN959" s="11"/>
      <x:c r="DO959" s="61"/>
      <x:c r="DP959" s="62"/>
      <x:c r="DQ959" s="11"/>
      <x:c r="DR959" s="61"/>
      <x:c r="DS959" s="62"/>
      <x:c r="DT959" s="11"/>
      <x:c r="DU959" s="61"/>
      <x:c r="DV959" s="62"/>
    </x:row>
    <x:row r="960" spans="1:126" x14ac:dyDescent="0.3">
      <x:c r="A960" s="47"/>
      <x:c r="B960" s="70"/>
      <x:c r="C960" s="70"/>
      <x:c r="D960" s="70"/>
      <x:c r="E960" s="70"/>
      <x:c r="F960" s="70"/>
      <x:c r="G960" s="70"/>
      <x:c r="H960" s="70"/>
      <x:c r="I960" s="70"/>
      <x:c r="J960" s="70"/>
      <x:c r="K960" s="190"/>
      <x:c r="L960" s="195"/>
      <x:c r="M960" s="192"/>
      <x:c r="N960" s="192"/>
      <x:c r="O960" s="69"/>
      <x:c r="P960" s="47"/>
      <x:c r="Q960" s="60"/>
      <x:c r="R960" s="58"/>
      <x:c r="S960" s="47"/>
      <x:c r="T960" s="60"/>
      <x:c r="U960" s="58"/>
      <x:c r="V960" s="47"/>
      <x:c r="W960" s="60"/>
      <x:c r="X960" s="58"/>
      <x:c r="Y960" s="47"/>
      <x:c r="Z960" s="60"/>
      <x:c r="AA960" s="58"/>
      <x:c r="AB960" s="47"/>
      <x:c r="AC960" s="60"/>
      <x:c r="AD960" s="58"/>
      <x:c r="AE960" s="47"/>
      <x:c r="AF960" s="60"/>
      <x:c r="AG960" s="58"/>
      <x:c r="AH960" s="47"/>
      <x:c r="AI960" s="60"/>
      <x:c r="AJ960" s="58"/>
      <x:c r="AK960" s="47"/>
      <x:c r="AL960" s="60"/>
      <x:c r="AM960" s="58"/>
      <x:c r="AN960" s="47"/>
      <x:c r="AO960" s="60"/>
      <x:c r="AP960" s="58"/>
      <x:c r="AQ960" s="47"/>
      <x:c r="AR960" s="60"/>
      <x:c r="AS960" s="58"/>
      <x:c r="AT960" s="47"/>
      <x:c r="AU960" s="60"/>
      <x:c r="AV960" s="58"/>
      <x:c r="AW960" s="47"/>
      <x:c r="AX960" s="60"/>
      <x:c r="AY960" s="58"/>
      <x:c r="AZ960" s="47"/>
      <x:c r="BA960" s="60"/>
      <x:c r="BB960" s="58"/>
      <x:c r="BC960" s="47"/>
      <x:c r="BD960" s="60"/>
      <x:c r="BE960" s="58"/>
      <x:c r="BF960" s="47"/>
      <x:c r="BG960" s="60"/>
      <x:c r="BH960" s="58"/>
      <x:c r="BI960" s="47"/>
      <x:c r="BJ960" s="60"/>
      <x:c r="BK960" s="58"/>
      <x:c r="BL960" s="47"/>
      <x:c r="BM960" s="60"/>
      <x:c r="BN960" s="58"/>
      <x:c r="BO960" s="47"/>
      <x:c r="BP960" s="60"/>
      <x:c r="BQ960" s="58"/>
      <x:c r="BR960" s="47"/>
      <x:c r="BS960" s="60"/>
      <x:c r="BT960" s="58"/>
      <x:c r="BU960" s="47"/>
      <x:c r="BV960" s="60"/>
      <x:c r="BW960" s="58"/>
      <x:c r="BX960" s="47"/>
      <x:c r="BY960" s="60"/>
      <x:c r="BZ960" s="58"/>
      <x:c r="CA960" s="47"/>
      <x:c r="CB960" s="60"/>
      <x:c r="CC960" s="58"/>
      <x:c r="CD960" s="47"/>
      <x:c r="CE960" s="60"/>
      <x:c r="CF960" s="58"/>
      <x:c r="CG960" s="47"/>
      <x:c r="CH960" s="60"/>
      <x:c r="CI960" s="58"/>
      <x:c r="CJ960" s="47"/>
      <x:c r="CK960" s="60"/>
      <x:c r="CL960" s="58"/>
      <x:c r="CM960" s="47"/>
      <x:c r="CN960" s="60"/>
      <x:c r="CO960" s="58"/>
      <x:c r="CP960" s="47"/>
      <x:c r="CQ960" s="60"/>
      <x:c r="CR960" s="58"/>
      <x:c r="CS960" s="47"/>
      <x:c r="CT960" s="60"/>
      <x:c r="CU960" s="58"/>
      <x:c r="CV960" s="47"/>
      <x:c r="CW960" s="60"/>
      <x:c r="CX960" s="58"/>
      <x:c r="CY960" s="47"/>
      <x:c r="CZ960" s="60"/>
      <x:c r="DA960" s="58"/>
      <x:c r="DB960" s="47"/>
      <x:c r="DC960" s="60"/>
      <x:c r="DD960" s="58"/>
      <x:c r="DE960" s="47"/>
      <x:c r="DF960" s="60"/>
      <x:c r="DG960" s="58"/>
      <x:c r="DH960" s="47"/>
      <x:c r="DI960" s="60"/>
      <x:c r="DJ960" s="58"/>
      <x:c r="DK960" s="47"/>
      <x:c r="DL960" s="60"/>
      <x:c r="DM960" s="58"/>
      <x:c r="DN960" s="11"/>
      <x:c r="DO960" s="61"/>
      <x:c r="DP960" s="62"/>
      <x:c r="DQ960" s="11"/>
      <x:c r="DR960" s="61"/>
      <x:c r="DS960" s="62"/>
      <x:c r="DT960" s="11"/>
      <x:c r="DU960" s="61"/>
      <x:c r="DV960" s="62"/>
    </x:row>
    <x:row r="961" spans="1:126" x14ac:dyDescent="0.3">
      <x:c r="A961" s="47"/>
      <x:c r="B961" s="70"/>
      <x:c r="C961" s="70"/>
      <x:c r="D961" s="70"/>
      <x:c r="E961" s="70"/>
      <x:c r="F961" s="70"/>
      <x:c r="G961" s="70"/>
      <x:c r="H961" s="70"/>
      <x:c r="I961" s="70"/>
      <x:c r="J961" s="70"/>
      <x:c r="K961" s="190"/>
      <x:c r="L961" s="195"/>
      <x:c r="M961" s="192"/>
      <x:c r="N961" s="192"/>
      <x:c r="O961" s="69"/>
      <x:c r="P961" s="47"/>
      <x:c r="Q961" s="60"/>
      <x:c r="R961" s="58"/>
      <x:c r="S961" s="47"/>
      <x:c r="T961" s="60"/>
      <x:c r="U961" s="58"/>
      <x:c r="V961" s="47"/>
      <x:c r="W961" s="60"/>
      <x:c r="X961" s="58"/>
      <x:c r="Y961" s="47"/>
      <x:c r="Z961" s="60"/>
      <x:c r="AA961" s="58"/>
      <x:c r="AB961" s="47"/>
      <x:c r="AC961" s="60"/>
      <x:c r="AD961" s="58"/>
      <x:c r="AE961" s="47"/>
      <x:c r="AF961" s="60"/>
      <x:c r="AG961" s="58"/>
      <x:c r="AH961" s="47"/>
      <x:c r="AI961" s="60"/>
      <x:c r="AJ961" s="58"/>
      <x:c r="AK961" s="47"/>
      <x:c r="AL961" s="60"/>
      <x:c r="AM961" s="58"/>
      <x:c r="AN961" s="47"/>
      <x:c r="AO961" s="60"/>
      <x:c r="AP961" s="58"/>
      <x:c r="AQ961" s="47"/>
      <x:c r="AR961" s="60"/>
      <x:c r="AS961" s="58"/>
      <x:c r="AT961" s="47"/>
      <x:c r="AU961" s="60"/>
      <x:c r="AV961" s="58"/>
      <x:c r="AW961" s="47"/>
      <x:c r="AX961" s="60"/>
      <x:c r="AY961" s="58"/>
      <x:c r="AZ961" s="47"/>
      <x:c r="BA961" s="60"/>
      <x:c r="BB961" s="58"/>
      <x:c r="BC961" s="47"/>
      <x:c r="BD961" s="60"/>
      <x:c r="BE961" s="58"/>
      <x:c r="BF961" s="47"/>
      <x:c r="BG961" s="60"/>
      <x:c r="BH961" s="58"/>
      <x:c r="BI961" s="47"/>
      <x:c r="BJ961" s="60"/>
      <x:c r="BK961" s="58"/>
      <x:c r="BL961" s="47"/>
      <x:c r="BM961" s="60"/>
      <x:c r="BN961" s="58"/>
      <x:c r="BO961" s="47"/>
      <x:c r="BP961" s="60"/>
      <x:c r="BQ961" s="58"/>
      <x:c r="BR961" s="47"/>
      <x:c r="BS961" s="60"/>
      <x:c r="BT961" s="58"/>
      <x:c r="BU961" s="47"/>
      <x:c r="BV961" s="60"/>
      <x:c r="BW961" s="58"/>
      <x:c r="BX961" s="47"/>
      <x:c r="BY961" s="60"/>
      <x:c r="BZ961" s="58"/>
      <x:c r="CA961" s="47"/>
      <x:c r="CB961" s="60"/>
      <x:c r="CC961" s="58"/>
      <x:c r="CD961" s="47"/>
      <x:c r="CE961" s="60"/>
      <x:c r="CF961" s="58"/>
      <x:c r="CG961" s="47"/>
      <x:c r="CH961" s="60"/>
      <x:c r="CI961" s="58"/>
      <x:c r="CJ961" s="47"/>
      <x:c r="CK961" s="60"/>
      <x:c r="CL961" s="58"/>
      <x:c r="CM961" s="47"/>
      <x:c r="CN961" s="60"/>
      <x:c r="CO961" s="58"/>
      <x:c r="CP961" s="47"/>
      <x:c r="CQ961" s="60"/>
      <x:c r="CR961" s="58"/>
      <x:c r="CS961" s="47"/>
      <x:c r="CT961" s="60"/>
      <x:c r="CU961" s="58"/>
      <x:c r="CV961" s="47"/>
      <x:c r="CW961" s="60"/>
      <x:c r="CX961" s="58"/>
      <x:c r="CY961" s="47"/>
      <x:c r="CZ961" s="60"/>
      <x:c r="DA961" s="58"/>
      <x:c r="DB961" s="47"/>
      <x:c r="DC961" s="60"/>
      <x:c r="DD961" s="58"/>
      <x:c r="DE961" s="47"/>
      <x:c r="DF961" s="60"/>
      <x:c r="DG961" s="58"/>
      <x:c r="DH961" s="47"/>
      <x:c r="DI961" s="60"/>
      <x:c r="DJ961" s="58"/>
      <x:c r="DK961" s="47"/>
      <x:c r="DL961" s="60"/>
      <x:c r="DM961" s="58"/>
      <x:c r="DN961" s="11"/>
      <x:c r="DO961" s="61"/>
      <x:c r="DP961" s="62"/>
      <x:c r="DQ961" s="11"/>
      <x:c r="DR961" s="61"/>
      <x:c r="DS961" s="62"/>
      <x:c r="DT961" s="11"/>
      <x:c r="DU961" s="61"/>
      <x:c r="DV961" s="62"/>
    </x:row>
    <x:row r="962" spans="1:126" x14ac:dyDescent="0.3">
      <x:c r="A962" s="47"/>
      <x:c r="B962" s="70"/>
      <x:c r="C962" s="70"/>
      <x:c r="D962" s="70"/>
      <x:c r="E962" s="70"/>
      <x:c r="F962" s="70"/>
      <x:c r="G962" s="70"/>
      <x:c r="H962" s="70"/>
      <x:c r="I962" s="70"/>
      <x:c r="J962" s="70"/>
      <x:c r="K962" s="190"/>
      <x:c r="L962" s="195"/>
      <x:c r="M962" s="192"/>
      <x:c r="N962" s="192"/>
      <x:c r="O962" s="69"/>
      <x:c r="P962" s="47"/>
      <x:c r="Q962" s="60"/>
      <x:c r="R962" s="58"/>
      <x:c r="S962" s="47"/>
      <x:c r="T962" s="60"/>
      <x:c r="U962" s="58"/>
      <x:c r="V962" s="47"/>
      <x:c r="W962" s="60"/>
      <x:c r="X962" s="58"/>
      <x:c r="Y962" s="47"/>
      <x:c r="Z962" s="60"/>
      <x:c r="AA962" s="58"/>
      <x:c r="AB962" s="47"/>
      <x:c r="AC962" s="60"/>
      <x:c r="AD962" s="58"/>
      <x:c r="AE962" s="47"/>
      <x:c r="AF962" s="60"/>
      <x:c r="AG962" s="58"/>
      <x:c r="AH962" s="47"/>
      <x:c r="AI962" s="60"/>
      <x:c r="AJ962" s="58"/>
      <x:c r="AK962" s="47"/>
      <x:c r="AL962" s="60"/>
      <x:c r="AM962" s="58"/>
      <x:c r="AN962" s="47"/>
      <x:c r="AO962" s="60"/>
      <x:c r="AP962" s="58"/>
      <x:c r="AQ962" s="47"/>
      <x:c r="AR962" s="60"/>
      <x:c r="AS962" s="58"/>
      <x:c r="AT962" s="47"/>
      <x:c r="AU962" s="60"/>
      <x:c r="AV962" s="58"/>
      <x:c r="AW962" s="47"/>
      <x:c r="AX962" s="60"/>
      <x:c r="AY962" s="58"/>
      <x:c r="AZ962" s="47"/>
      <x:c r="BA962" s="60"/>
      <x:c r="BB962" s="58"/>
      <x:c r="BC962" s="47"/>
      <x:c r="BD962" s="60"/>
      <x:c r="BE962" s="58"/>
      <x:c r="BF962" s="47"/>
      <x:c r="BG962" s="60"/>
      <x:c r="BH962" s="58"/>
      <x:c r="BI962" s="47"/>
      <x:c r="BJ962" s="60"/>
      <x:c r="BK962" s="58"/>
      <x:c r="BL962" s="47"/>
      <x:c r="BM962" s="60"/>
      <x:c r="BN962" s="58"/>
      <x:c r="BO962" s="47"/>
      <x:c r="BP962" s="60"/>
      <x:c r="BQ962" s="58"/>
      <x:c r="BR962" s="47"/>
      <x:c r="BS962" s="60"/>
      <x:c r="BT962" s="58"/>
      <x:c r="BU962" s="47"/>
      <x:c r="BV962" s="60"/>
      <x:c r="BW962" s="58"/>
      <x:c r="BX962" s="47"/>
      <x:c r="BY962" s="60"/>
      <x:c r="BZ962" s="58"/>
      <x:c r="CA962" s="47"/>
      <x:c r="CB962" s="60"/>
      <x:c r="CC962" s="58"/>
      <x:c r="CD962" s="47"/>
      <x:c r="CE962" s="60"/>
      <x:c r="CF962" s="58"/>
      <x:c r="CG962" s="47"/>
      <x:c r="CH962" s="60"/>
      <x:c r="CI962" s="58"/>
      <x:c r="CJ962" s="47"/>
      <x:c r="CK962" s="60"/>
      <x:c r="CL962" s="58"/>
      <x:c r="CM962" s="47"/>
      <x:c r="CN962" s="60"/>
      <x:c r="CO962" s="58"/>
      <x:c r="CP962" s="47"/>
      <x:c r="CQ962" s="60"/>
      <x:c r="CR962" s="58"/>
      <x:c r="CS962" s="47"/>
      <x:c r="CT962" s="60"/>
      <x:c r="CU962" s="58"/>
      <x:c r="CV962" s="47"/>
      <x:c r="CW962" s="60"/>
      <x:c r="CX962" s="58"/>
      <x:c r="CY962" s="47"/>
      <x:c r="CZ962" s="60"/>
      <x:c r="DA962" s="58"/>
      <x:c r="DB962" s="47"/>
      <x:c r="DC962" s="60"/>
      <x:c r="DD962" s="58"/>
      <x:c r="DE962" s="47"/>
      <x:c r="DF962" s="60"/>
      <x:c r="DG962" s="58"/>
      <x:c r="DH962" s="47"/>
      <x:c r="DI962" s="60"/>
      <x:c r="DJ962" s="58"/>
      <x:c r="DK962" s="47"/>
      <x:c r="DL962" s="60"/>
      <x:c r="DM962" s="58"/>
      <x:c r="DN962" s="11"/>
      <x:c r="DO962" s="61"/>
      <x:c r="DP962" s="62"/>
      <x:c r="DQ962" s="11"/>
      <x:c r="DR962" s="61"/>
      <x:c r="DS962" s="62"/>
      <x:c r="DT962" s="11"/>
      <x:c r="DU962" s="61"/>
      <x:c r="DV962" s="62"/>
    </x:row>
    <x:row r="963" spans="1:126" x14ac:dyDescent="0.3">
      <x:c r="A963" s="47"/>
      <x:c r="B963" s="70"/>
      <x:c r="C963" s="70"/>
      <x:c r="D963" s="70"/>
      <x:c r="E963" s="70"/>
      <x:c r="F963" s="70"/>
      <x:c r="G963" s="70"/>
      <x:c r="H963" s="70"/>
      <x:c r="I963" s="70"/>
      <x:c r="J963" s="70"/>
      <x:c r="K963" s="190"/>
      <x:c r="L963" s="195"/>
      <x:c r="M963" s="192"/>
      <x:c r="N963" s="192"/>
      <x:c r="O963" s="69"/>
      <x:c r="P963" s="47"/>
      <x:c r="Q963" s="60"/>
      <x:c r="R963" s="58"/>
      <x:c r="S963" s="47"/>
      <x:c r="T963" s="60"/>
      <x:c r="U963" s="58"/>
      <x:c r="V963" s="47"/>
      <x:c r="W963" s="60"/>
      <x:c r="X963" s="58"/>
      <x:c r="Y963" s="47"/>
      <x:c r="Z963" s="60"/>
      <x:c r="AA963" s="58"/>
      <x:c r="AB963" s="47"/>
      <x:c r="AC963" s="60"/>
      <x:c r="AD963" s="58"/>
      <x:c r="AE963" s="47"/>
      <x:c r="AF963" s="60"/>
      <x:c r="AG963" s="58"/>
      <x:c r="AH963" s="47"/>
      <x:c r="AI963" s="60"/>
      <x:c r="AJ963" s="58"/>
      <x:c r="AK963" s="47"/>
      <x:c r="AL963" s="60"/>
      <x:c r="AM963" s="58"/>
      <x:c r="AN963" s="47"/>
      <x:c r="AO963" s="60"/>
      <x:c r="AP963" s="58"/>
      <x:c r="AQ963" s="47"/>
      <x:c r="AR963" s="60"/>
      <x:c r="AS963" s="58"/>
      <x:c r="AT963" s="47"/>
      <x:c r="AU963" s="60"/>
      <x:c r="AV963" s="58"/>
      <x:c r="AW963" s="47"/>
      <x:c r="AX963" s="60"/>
      <x:c r="AY963" s="58"/>
      <x:c r="AZ963" s="47"/>
      <x:c r="BA963" s="60"/>
      <x:c r="BB963" s="58"/>
      <x:c r="BC963" s="47"/>
      <x:c r="BD963" s="60"/>
      <x:c r="BE963" s="58"/>
      <x:c r="BF963" s="47"/>
      <x:c r="BG963" s="60"/>
      <x:c r="BH963" s="58"/>
      <x:c r="BI963" s="47"/>
      <x:c r="BJ963" s="60"/>
      <x:c r="BK963" s="58"/>
      <x:c r="BL963" s="47"/>
      <x:c r="BM963" s="60"/>
      <x:c r="BN963" s="58"/>
      <x:c r="BO963" s="47"/>
      <x:c r="BP963" s="60"/>
      <x:c r="BQ963" s="58"/>
      <x:c r="BR963" s="47"/>
      <x:c r="BS963" s="60"/>
      <x:c r="BT963" s="58"/>
      <x:c r="BU963" s="47"/>
      <x:c r="BV963" s="60"/>
      <x:c r="BW963" s="58"/>
      <x:c r="BX963" s="47"/>
      <x:c r="BY963" s="60"/>
      <x:c r="BZ963" s="58"/>
      <x:c r="CA963" s="47"/>
      <x:c r="CB963" s="60"/>
      <x:c r="CC963" s="58"/>
      <x:c r="CD963" s="47"/>
      <x:c r="CE963" s="60"/>
      <x:c r="CF963" s="58"/>
      <x:c r="CG963" s="47"/>
      <x:c r="CH963" s="60"/>
      <x:c r="CI963" s="58"/>
      <x:c r="CJ963" s="47"/>
      <x:c r="CK963" s="60"/>
      <x:c r="CL963" s="58"/>
      <x:c r="CM963" s="47"/>
      <x:c r="CN963" s="60"/>
      <x:c r="CO963" s="58"/>
      <x:c r="CP963" s="47"/>
      <x:c r="CQ963" s="60"/>
      <x:c r="CR963" s="58"/>
      <x:c r="CS963" s="47"/>
      <x:c r="CT963" s="60"/>
      <x:c r="CU963" s="58"/>
      <x:c r="CV963" s="47"/>
      <x:c r="CW963" s="60"/>
      <x:c r="CX963" s="58"/>
      <x:c r="CY963" s="47"/>
      <x:c r="CZ963" s="60"/>
      <x:c r="DA963" s="58"/>
      <x:c r="DB963" s="47"/>
      <x:c r="DC963" s="60"/>
      <x:c r="DD963" s="58"/>
      <x:c r="DE963" s="47"/>
      <x:c r="DF963" s="60"/>
      <x:c r="DG963" s="58"/>
      <x:c r="DH963" s="47"/>
      <x:c r="DI963" s="60"/>
      <x:c r="DJ963" s="58"/>
      <x:c r="DK963" s="47"/>
      <x:c r="DL963" s="60"/>
      <x:c r="DM963" s="58"/>
      <x:c r="DN963" s="11"/>
      <x:c r="DO963" s="61"/>
      <x:c r="DP963" s="62"/>
      <x:c r="DQ963" s="11"/>
      <x:c r="DR963" s="61"/>
      <x:c r="DS963" s="62"/>
      <x:c r="DT963" s="11"/>
      <x:c r="DU963" s="61"/>
      <x:c r="DV963" s="62"/>
    </x:row>
    <x:row r="964" spans="1:126" x14ac:dyDescent="0.3">
      <x:c r="A964" s="47"/>
      <x:c r="B964" s="70"/>
      <x:c r="C964" s="70"/>
      <x:c r="D964" s="70"/>
      <x:c r="E964" s="70"/>
      <x:c r="F964" s="70"/>
      <x:c r="G964" s="70"/>
      <x:c r="H964" s="70"/>
      <x:c r="I964" s="70"/>
      <x:c r="J964" s="70"/>
      <x:c r="K964" s="190"/>
      <x:c r="L964" s="195"/>
      <x:c r="M964" s="192"/>
      <x:c r="N964" s="192"/>
      <x:c r="O964" s="69"/>
      <x:c r="P964" s="47"/>
      <x:c r="Q964" s="60"/>
      <x:c r="R964" s="58"/>
      <x:c r="S964" s="47"/>
      <x:c r="T964" s="60"/>
      <x:c r="U964" s="58"/>
      <x:c r="V964" s="47"/>
      <x:c r="W964" s="60"/>
      <x:c r="X964" s="58"/>
      <x:c r="Y964" s="47"/>
      <x:c r="Z964" s="60"/>
      <x:c r="AA964" s="58"/>
      <x:c r="AB964" s="47"/>
      <x:c r="AC964" s="60"/>
      <x:c r="AD964" s="58"/>
      <x:c r="AE964" s="47"/>
      <x:c r="AF964" s="60"/>
      <x:c r="AG964" s="58"/>
      <x:c r="AH964" s="47"/>
      <x:c r="AI964" s="60"/>
      <x:c r="AJ964" s="58"/>
      <x:c r="AK964" s="47"/>
      <x:c r="AL964" s="60"/>
      <x:c r="AM964" s="58"/>
      <x:c r="AN964" s="47"/>
      <x:c r="AO964" s="60"/>
      <x:c r="AP964" s="58"/>
      <x:c r="AQ964" s="47"/>
      <x:c r="AR964" s="60"/>
      <x:c r="AS964" s="58"/>
      <x:c r="AT964" s="47"/>
      <x:c r="AU964" s="60"/>
      <x:c r="AV964" s="58"/>
      <x:c r="AW964" s="47"/>
      <x:c r="AX964" s="60"/>
      <x:c r="AY964" s="58"/>
      <x:c r="AZ964" s="47"/>
      <x:c r="BA964" s="60"/>
      <x:c r="BB964" s="58"/>
      <x:c r="BC964" s="47"/>
      <x:c r="BD964" s="60"/>
      <x:c r="BE964" s="58"/>
      <x:c r="BF964" s="47"/>
      <x:c r="BG964" s="60"/>
      <x:c r="BH964" s="58"/>
      <x:c r="BI964" s="47"/>
      <x:c r="BJ964" s="60"/>
      <x:c r="BK964" s="58"/>
      <x:c r="BL964" s="47"/>
      <x:c r="BM964" s="60"/>
      <x:c r="BN964" s="58"/>
      <x:c r="BO964" s="47"/>
      <x:c r="BP964" s="60"/>
      <x:c r="BQ964" s="58"/>
      <x:c r="BR964" s="47"/>
      <x:c r="BS964" s="60"/>
      <x:c r="BT964" s="58"/>
      <x:c r="BU964" s="47"/>
      <x:c r="BV964" s="60"/>
      <x:c r="BW964" s="58"/>
      <x:c r="BX964" s="47"/>
      <x:c r="BY964" s="60"/>
      <x:c r="BZ964" s="58"/>
      <x:c r="CA964" s="47"/>
      <x:c r="CB964" s="60"/>
      <x:c r="CC964" s="58"/>
      <x:c r="CD964" s="47"/>
      <x:c r="CE964" s="60"/>
      <x:c r="CF964" s="58"/>
      <x:c r="CG964" s="47"/>
      <x:c r="CH964" s="60"/>
      <x:c r="CI964" s="58"/>
      <x:c r="CJ964" s="47"/>
      <x:c r="CK964" s="60"/>
      <x:c r="CL964" s="58"/>
      <x:c r="CM964" s="47"/>
      <x:c r="CN964" s="60"/>
      <x:c r="CO964" s="58"/>
      <x:c r="CP964" s="47"/>
      <x:c r="CQ964" s="60"/>
      <x:c r="CR964" s="58"/>
      <x:c r="CS964" s="47"/>
      <x:c r="CT964" s="60"/>
      <x:c r="CU964" s="58"/>
      <x:c r="CV964" s="47"/>
      <x:c r="CW964" s="60"/>
      <x:c r="CX964" s="58"/>
      <x:c r="CY964" s="47"/>
      <x:c r="CZ964" s="60"/>
      <x:c r="DA964" s="58"/>
      <x:c r="DB964" s="47"/>
      <x:c r="DC964" s="60"/>
      <x:c r="DD964" s="58"/>
      <x:c r="DE964" s="47"/>
      <x:c r="DF964" s="60"/>
      <x:c r="DG964" s="58"/>
      <x:c r="DH964" s="47"/>
      <x:c r="DI964" s="60"/>
      <x:c r="DJ964" s="58"/>
      <x:c r="DK964" s="47"/>
      <x:c r="DL964" s="60"/>
      <x:c r="DM964" s="58"/>
      <x:c r="DN964" s="11"/>
      <x:c r="DO964" s="61"/>
      <x:c r="DP964" s="62"/>
      <x:c r="DQ964" s="11"/>
      <x:c r="DR964" s="61"/>
      <x:c r="DS964" s="62"/>
      <x:c r="DT964" s="11"/>
      <x:c r="DU964" s="61"/>
      <x:c r="DV964" s="62"/>
    </x:row>
    <x:row r="965" spans="1:126" x14ac:dyDescent="0.3">
      <x:c r="A965" s="47"/>
      <x:c r="B965" s="70"/>
      <x:c r="C965" s="70"/>
      <x:c r="D965" s="70"/>
      <x:c r="E965" s="70"/>
      <x:c r="F965" s="70"/>
      <x:c r="G965" s="70"/>
      <x:c r="H965" s="70"/>
      <x:c r="I965" s="70"/>
      <x:c r="J965" s="70"/>
      <x:c r="K965" s="190"/>
      <x:c r="L965" s="195"/>
      <x:c r="M965" s="192"/>
      <x:c r="N965" s="192"/>
      <x:c r="O965" s="69"/>
      <x:c r="P965" s="47"/>
      <x:c r="Q965" s="60"/>
      <x:c r="R965" s="58"/>
      <x:c r="S965" s="47"/>
      <x:c r="T965" s="60"/>
      <x:c r="U965" s="58"/>
      <x:c r="V965" s="47"/>
      <x:c r="W965" s="60"/>
      <x:c r="X965" s="58"/>
      <x:c r="Y965" s="47"/>
      <x:c r="Z965" s="60"/>
      <x:c r="AA965" s="58"/>
      <x:c r="AB965" s="47"/>
      <x:c r="AC965" s="60"/>
      <x:c r="AD965" s="58"/>
      <x:c r="AE965" s="47"/>
      <x:c r="AF965" s="60"/>
      <x:c r="AG965" s="58"/>
      <x:c r="AH965" s="47"/>
      <x:c r="AI965" s="60"/>
      <x:c r="AJ965" s="58"/>
      <x:c r="AK965" s="47"/>
      <x:c r="AL965" s="60"/>
      <x:c r="AM965" s="58"/>
      <x:c r="AN965" s="47"/>
      <x:c r="AO965" s="60"/>
      <x:c r="AP965" s="58"/>
      <x:c r="AQ965" s="47"/>
      <x:c r="AR965" s="60"/>
      <x:c r="AS965" s="58"/>
      <x:c r="AT965" s="47"/>
      <x:c r="AU965" s="60"/>
      <x:c r="AV965" s="58"/>
      <x:c r="AW965" s="47"/>
      <x:c r="AX965" s="60"/>
      <x:c r="AY965" s="58"/>
      <x:c r="AZ965" s="47"/>
      <x:c r="BA965" s="60"/>
      <x:c r="BB965" s="58"/>
      <x:c r="BC965" s="47"/>
      <x:c r="BD965" s="60"/>
      <x:c r="BE965" s="58"/>
      <x:c r="BF965" s="47"/>
      <x:c r="BG965" s="60"/>
      <x:c r="BH965" s="58"/>
      <x:c r="BI965" s="47"/>
      <x:c r="BJ965" s="60"/>
      <x:c r="BK965" s="58"/>
      <x:c r="BL965" s="47"/>
      <x:c r="BM965" s="60"/>
      <x:c r="BN965" s="58"/>
      <x:c r="BO965" s="47"/>
      <x:c r="BP965" s="60"/>
      <x:c r="BQ965" s="58"/>
      <x:c r="BR965" s="47"/>
      <x:c r="BS965" s="60"/>
      <x:c r="BT965" s="58"/>
      <x:c r="BU965" s="47"/>
      <x:c r="BV965" s="60"/>
      <x:c r="BW965" s="58"/>
      <x:c r="BX965" s="47"/>
      <x:c r="BY965" s="60"/>
      <x:c r="BZ965" s="58"/>
      <x:c r="CA965" s="47"/>
      <x:c r="CB965" s="60"/>
      <x:c r="CC965" s="58"/>
      <x:c r="CD965" s="47"/>
      <x:c r="CE965" s="60"/>
      <x:c r="CF965" s="58"/>
      <x:c r="CG965" s="47"/>
      <x:c r="CH965" s="60"/>
      <x:c r="CI965" s="58"/>
      <x:c r="CJ965" s="47"/>
      <x:c r="CK965" s="60"/>
      <x:c r="CL965" s="58"/>
      <x:c r="CM965" s="47"/>
      <x:c r="CN965" s="60"/>
      <x:c r="CO965" s="58"/>
      <x:c r="CP965" s="47"/>
      <x:c r="CQ965" s="60"/>
      <x:c r="CR965" s="58"/>
      <x:c r="CS965" s="47"/>
      <x:c r="CT965" s="60"/>
      <x:c r="CU965" s="58"/>
      <x:c r="CV965" s="47"/>
      <x:c r="CW965" s="60"/>
      <x:c r="CX965" s="58"/>
      <x:c r="CY965" s="47"/>
      <x:c r="CZ965" s="60"/>
      <x:c r="DA965" s="58"/>
      <x:c r="DB965" s="47"/>
      <x:c r="DC965" s="60"/>
      <x:c r="DD965" s="58"/>
      <x:c r="DE965" s="47"/>
      <x:c r="DF965" s="60"/>
      <x:c r="DG965" s="58"/>
      <x:c r="DH965" s="47"/>
      <x:c r="DI965" s="60"/>
      <x:c r="DJ965" s="58"/>
      <x:c r="DK965" s="47"/>
      <x:c r="DL965" s="60"/>
      <x:c r="DM965" s="58"/>
      <x:c r="DN965" s="11"/>
      <x:c r="DO965" s="61"/>
      <x:c r="DP965" s="62"/>
      <x:c r="DQ965" s="11"/>
      <x:c r="DR965" s="61"/>
      <x:c r="DS965" s="62"/>
      <x:c r="DT965" s="11"/>
      <x:c r="DU965" s="61"/>
      <x:c r="DV965" s="62"/>
    </x:row>
    <x:row r="966" spans="1:126" x14ac:dyDescent="0.3">
      <x:c r="A966" s="47"/>
      <x:c r="B966" s="70"/>
      <x:c r="C966" s="70"/>
      <x:c r="D966" s="70"/>
      <x:c r="E966" s="70"/>
      <x:c r="F966" s="70"/>
      <x:c r="G966" s="70"/>
      <x:c r="H966" s="70"/>
      <x:c r="I966" s="70"/>
      <x:c r="J966" s="70"/>
      <x:c r="K966" s="190"/>
      <x:c r="L966" s="195"/>
      <x:c r="M966" s="192"/>
      <x:c r="N966" s="192"/>
      <x:c r="O966" s="69"/>
      <x:c r="P966" s="47"/>
      <x:c r="Q966" s="60"/>
      <x:c r="R966" s="58"/>
      <x:c r="S966" s="47"/>
      <x:c r="T966" s="60"/>
      <x:c r="U966" s="58"/>
      <x:c r="V966" s="47"/>
      <x:c r="W966" s="60"/>
      <x:c r="X966" s="58"/>
      <x:c r="Y966" s="47"/>
      <x:c r="Z966" s="60"/>
      <x:c r="AA966" s="58"/>
      <x:c r="AB966" s="47"/>
      <x:c r="AC966" s="60"/>
      <x:c r="AD966" s="58"/>
      <x:c r="AE966" s="47"/>
      <x:c r="AF966" s="60"/>
      <x:c r="AG966" s="58"/>
      <x:c r="AH966" s="47"/>
      <x:c r="AI966" s="60"/>
      <x:c r="AJ966" s="58"/>
      <x:c r="AK966" s="47"/>
      <x:c r="AL966" s="60"/>
      <x:c r="AM966" s="58"/>
      <x:c r="AN966" s="47"/>
      <x:c r="AO966" s="60"/>
      <x:c r="AP966" s="58"/>
      <x:c r="AQ966" s="47"/>
      <x:c r="AR966" s="60"/>
      <x:c r="AS966" s="58"/>
      <x:c r="AT966" s="47"/>
      <x:c r="AU966" s="60"/>
      <x:c r="AV966" s="58"/>
      <x:c r="AW966" s="47"/>
      <x:c r="AX966" s="60"/>
      <x:c r="AY966" s="58"/>
      <x:c r="AZ966" s="47"/>
      <x:c r="BA966" s="60"/>
      <x:c r="BB966" s="58"/>
      <x:c r="BC966" s="47"/>
      <x:c r="BD966" s="60"/>
      <x:c r="BE966" s="58"/>
      <x:c r="BF966" s="47"/>
      <x:c r="BG966" s="60"/>
      <x:c r="BH966" s="58"/>
      <x:c r="BI966" s="47"/>
      <x:c r="BJ966" s="60"/>
      <x:c r="BK966" s="58"/>
      <x:c r="BL966" s="47"/>
      <x:c r="BM966" s="60"/>
      <x:c r="BN966" s="58"/>
      <x:c r="BO966" s="47"/>
      <x:c r="BP966" s="60"/>
      <x:c r="BQ966" s="58"/>
      <x:c r="BR966" s="47"/>
      <x:c r="BS966" s="60"/>
      <x:c r="BT966" s="58"/>
      <x:c r="BU966" s="47"/>
      <x:c r="BV966" s="60"/>
      <x:c r="BW966" s="58"/>
      <x:c r="BX966" s="47"/>
      <x:c r="BY966" s="60"/>
      <x:c r="BZ966" s="58"/>
      <x:c r="CA966" s="47"/>
      <x:c r="CB966" s="60"/>
      <x:c r="CC966" s="58"/>
      <x:c r="CD966" s="47"/>
      <x:c r="CE966" s="60"/>
      <x:c r="CF966" s="58"/>
      <x:c r="CG966" s="47"/>
      <x:c r="CH966" s="60"/>
      <x:c r="CI966" s="58"/>
      <x:c r="CJ966" s="47"/>
      <x:c r="CK966" s="60"/>
      <x:c r="CL966" s="58"/>
      <x:c r="CM966" s="47"/>
      <x:c r="CN966" s="60"/>
      <x:c r="CO966" s="58"/>
      <x:c r="CP966" s="47"/>
      <x:c r="CQ966" s="60"/>
      <x:c r="CR966" s="58"/>
      <x:c r="CS966" s="47"/>
      <x:c r="CT966" s="60"/>
      <x:c r="CU966" s="58"/>
      <x:c r="CV966" s="47"/>
      <x:c r="CW966" s="60"/>
      <x:c r="CX966" s="58"/>
      <x:c r="CY966" s="47"/>
      <x:c r="CZ966" s="60"/>
      <x:c r="DA966" s="58"/>
      <x:c r="DB966" s="47"/>
      <x:c r="DC966" s="60"/>
      <x:c r="DD966" s="58"/>
      <x:c r="DE966" s="47"/>
      <x:c r="DF966" s="60"/>
      <x:c r="DG966" s="58"/>
      <x:c r="DH966" s="47"/>
      <x:c r="DI966" s="60"/>
      <x:c r="DJ966" s="58"/>
      <x:c r="DK966" s="47"/>
      <x:c r="DL966" s="60"/>
      <x:c r="DM966" s="58"/>
      <x:c r="DN966" s="11"/>
      <x:c r="DO966" s="61"/>
      <x:c r="DP966" s="62"/>
      <x:c r="DQ966" s="11"/>
      <x:c r="DR966" s="61"/>
      <x:c r="DS966" s="62"/>
      <x:c r="DT966" s="11"/>
      <x:c r="DU966" s="61"/>
      <x:c r="DV966" s="62"/>
    </x:row>
    <x:row r="967" spans="1:126" x14ac:dyDescent="0.3">
      <x:c r="A967" s="47"/>
      <x:c r="B967" s="70"/>
      <x:c r="C967" s="70"/>
      <x:c r="D967" s="70"/>
      <x:c r="E967" s="70"/>
      <x:c r="F967" s="70"/>
      <x:c r="G967" s="70"/>
      <x:c r="H967" s="70"/>
      <x:c r="I967" s="70"/>
      <x:c r="J967" s="70"/>
      <x:c r="K967" s="190"/>
      <x:c r="L967" s="195"/>
      <x:c r="M967" s="192"/>
      <x:c r="N967" s="192"/>
      <x:c r="O967" s="69"/>
      <x:c r="P967" s="47"/>
      <x:c r="Q967" s="60"/>
      <x:c r="R967" s="58"/>
      <x:c r="S967" s="47"/>
      <x:c r="T967" s="60"/>
      <x:c r="U967" s="58"/>
      <x:c r="V967" s="47"/>
      <x:c r="W967" s="60"/>
      <x:c r="X967" s="58"/>
      <x:c r="Y967" s="47"/>
      <x:c r="Z967" s="60"/>
      <x:c r="AA967" s="58"/>
      <x:c r="AB967" s="47"/>
      <x:c r="AC967" s="60"/>
      <x:c r="AD967" s="58"/>
      <x:c r="AE967" s="47"/>
      <x:c r="AF967" s="60"/>
      <x:c r="AG967" s="58"/>
      <x:c r="AH967" s="47"/>
      <x:c r="AI967" s="60"/>
      <x:c r="AJ967" s="58"/>
      <x:c r="AK967" s="47"/>
      <x:c r="AL967" s="60"/>
      <x:c r="AM967" s="58"/>
      <x:c r="AN967" s="47"/>
      <x:c r="AO967" s="60"/>
      <x:c r="AP967" s="58"/>
      <x:c r="AQ967" s="47"/>
      <x:c r="AR967" s="60"/>
      <x:c r="AS967" s="58"/>
      <x:c r="AT967" s="47"/>
      <x:c r="AU967" s="60"/>
      <x:c r="AV967" s="58"/>
      <x:c r="AW967" s="47"/>
      <x:c r="AX967" s="60"/>
      <x:c r="AY967" s="58"/>
      <x:c r="AZ967" s="47"/>
      <x:c r="BA967" s="60"/>
      <x:c r="BB967" s="58"/>
      <x:c r="BC967" s="47"/>
      <x:c r="BD967" s="60"/>
      <x:c r="BE967" s="58"/>
      <x:c r="BF967" s="47"/>
      <x:c r="BG967" s="60"/>
      <x:c r="BH967" s="58"/>
      <x:c r="BI967" s="47"/>
      <x:c r="BJ967" s="60"/>
      <x:c r="BK967" s="58"/>
      <x:c r="BL967" s="47"/>
      <x:c r="BM967" s="60"/>
      <x:c r="BN967" s="58"/>
      <x:c r="BO967" s="47"/>
      <x:c r="BP967" s="60"/>
      <x:c r="BQ967" s="58"/>
      <x:c r="BR967" s="47"/>
      <x:c r="BS967" s="60"/>
      <x:c r="BT967" s="58"/>
      <x:c r="BU967" s="47"/>
      <x:c r="BV967" s="60"/>
      <x:c r="BW967" s="58"/>
      <x:c r="BX967" s="47"/>
      <x:c r="BY967" s="60"/>
      <x:c r="BZ967" s="58"/>
      <x:c r="CA967" s="47"/>
      <x:c r="CB967" s="60"/>
      <x:c r="CC967" s="58"/>
      <x:c r="CD967" s="47"/>
      <x:c r="CE967" s="60"/>
      <x:c r="CF967" s="58"/>
      <x:c r="CG967" s="47"/>
      <x:c r="CH967" s="60"/>
      <x:c r="CI967" s="58"/>
      <x:c r="CJ967" s="47"/>
      <x:c r="CK967" s="60"/>
      <x:c r="CL967" s="58"/>
      <x:c r="CM967" s="47"/>
      <x:c r="CN967" s="60"/>
      <x:c r="CO967" s="58"/>
      <x:c r="CP967" s="47"/>
      <x:c r="CQ967" s="60"/>
      <x:c r="CR967" s="58"/>
      <x:c r="CS967" s="47"/>
      <x:c r="CT967" s="60"/>
      <x:c r="CU967" s="58"/>
      <x:c r="CV967" s="47"/>
      <x:c r="CW967" s="60"/>
      <x:c r="CX967" s="58"/>
      <x:c r="CY967" s="47"/>
      <x:c r="CZ967" s="60"/>
      <x:c r="DA967" s="58"/>
      <x:c r="DB967" s="47"/>
      <x:c r="DC967" s="60"/>
      <x:c r="DD967" s="58"/>
      <x:c r="DE967" s="47"/>
      <x:c r="DF967" s="60"/>
      <x:c r="DG967" s="58"/>
      <x:c r="DH967" s="47"/>
      <x:c r="DI967" s="60"/>
      <x:c r="DJ967" s="58"/>
      <x:c r="DK967" s="47"/>
      <x:c r="DL967" s="60"/>
      <x:c r="DM967" s="58"/>
      <x:c r="DN967" s="11"/>
      <x:c r="DO967" s="61"/>
      <x:c r="DP967" s="62"/>
      <x:c r="DQ967" s="11"/>
      <x:c r="DR967" s="61"/>
      <x:c r="DS967" s="62"/>
      <x:c r="DT967" s="11"/>
      <x:c r="DU967" s="61"/>
      <x:c r="DV967" s="62"/>
    </x:row>
    <x:row r="968" spans="1:126" x14ac:dyDescent="0.3">
      <x:c r="A968" s="47"/>
      <x:c r="B968" s="70"/>
      <x:c r="C968" s="70"/>
      <x:c r="D968" s="70"/>
      <x:c r="E968" s="70"/>
      <x:c r="F968" s="70"/>
      <x:c r="G968" s="70"/>
      <x:c r="H968" s="70"/>
      <x:c r="I968" s="70"/>
      <x:c r="J968" s="70"/>
      <x:c r="K968" s="190"/>
      <x:c r="L968" s="195"/>
      <x:c r="M968" s="192"/>
      <x:c r="N968" s="192"/>
      <x:c r="O968" s="69"/>
      <x:c r="P968" s="47"/>
      <x:c r="Q968" s="60"/>
      <x:c r="R968" s="58"/>
      <x:c r="S968" s="47"/>
      <x:c r="T968" s="60"/>
      <x:c r="U968" s="58"/>
      <x:c r="V968" s="47"/>
      <x:c r="W968" s="60"/>
      <x:c r="X968" s="58"/>
      <x:c r="Y968" s="47"/>
      <x:c r="Z968" s="60"/>
      <x:c r="AA968" s="58"/>
      <x:c r="AB968" s="47"/>
      <x:c r="AC968" s="60"/>
      <x:c r="AD968" s="58"/>
      <x:c r="AE968" s="47"/>
      <x:c r="AF968" s="60"/>
      <x:c r="AG968" s="58"/>
      <x:c r="AH968" s="47"/>
      <x:c r="AI968" s="60"/>
      <x:c r="AJ968" s="58"/>
      <x:c r="AK968" s="47"/>
      <x:c r="AL968" s="60"/>
      <x:c r="AM968" s="58"/>
      <x:c r="AN968" s="47"/>
      <x:c r="AO968" s="60"/>
      <x:c r="AP968" s="58"/>
      <x:c r="AQ968" s="47"/>
      <x:c r="AR968" s="60"/>
      <x:c r="AS968" s="58"/>
      <x:c r="AT968" s="47"/>
      <x:c r="AU968" s="60"/>
      <x:c r="AV968" s="58"/>
      <x:c r="AW968" s="47"/>
      <x:c r="AX968" s="60"/>
      <x:c r="AY968" s="58"/>
      <x:c r="AZ968" s="47"/>
      <x:c r="BA968" s="60"/>
      <x:c r="BB968" s="58"/>
      <x:c r="BC968" s="47"/>
      <x:c r="BD968" s="60"/>
      <x:c r="BE968" s="58"/>
      <x:c r="BF968" s="47"/>
      <x:c r="BG968" s="60"/>
      <x:c r="BH968" s="58"/>
      <x:c r="BI968" s="47"/>
      <x:c r="BJ968" s="60"/>
      <x:c r="BK968" s="58"/>
      <x:c r="BL968" s="47"/>
      <x:c r="BM968" s="60"/>
      <x:c r="BN968" s="58"/>
      <x:c r="BO968" s="47"/>
      <x:c r="BP968" s="60"/>
      <x:c r="BQ968" s="58"/>
      <x:c r="BR968" s="47"/>
      <x:c r="BS968" s="60"/>
      <x:c r="BT968" s="58"/>
      <x:c r="BU968" s="47"/>
      <x:c r="BV968" s="60"/>
      <x:c r="BW968" s="58"/>
      <x:c r="BX968" s="47"/>
      <x:c r="BY968" s="60"/>
      <x:c r="BZ968" s="58"/>
      <x:c r="CA968" s="47"/>
      <x:c r="CB968" s="60"/>
      <x:c r="CC968" s="58"/>
      <x:c r="CD968" s="47"/>
      <x:c r="CE968" s="60"/>
      <x:c r="CF968" s="58"/>
      <x:c r="CG968" s="47"/>
      <x:c r="CH968" s="60"/>
      <x:c r="CI968" s="58"/>
      <x:c r="CJ968" s="47"/>
      <x:c r="CK968" s="60"/>
      <x:c r="CL968" s="58"/>
      <x:c r="CM968" s="47"/>
      <x:c r="CN968" s="60"/>
      <x:c r="CO968" s="58"/>
      <x:c r="CP968" s="47"/>
      <x:c r="CQ968" s="60"/>
      <x:c r="CR968" s="58"/>
      <x:c r="CS968" s="47"/>
      <x:c r="CT968" s="60"/>
      <x:c r="CU968" s="58"/>
      <x:c r="CV968" s="47"/>
      <x:c r="CW968" s="60"/>
      <x:c r="CX968" s="58"/>
      <x:c r="CY968" s="47"/>
      <x:c r="CZ968" s="60"/>
      <x:c r="DA968" s="58"/>
      <x:c r="DB968" s="47"/>
      <x:c r="DC968" s="60"/>
      <x:c r="DD968" s="58"/>
      <x:c r="DE968" s="47"/>
      <x:c r="DF968" s="60"/>
      <x:c r="DG968" s="58"/>
      <x:c r="DH968" s="47"/>
      <x:c r="DI968" s="60"/>
      <x:c r="DJ968" s="58"/>
      <x:c r="DK968" s="47"/>
      <x:c r="DL968" s="60"/>
      <x:c r="DM968" s="58"/>
      <x:c r="DN968" s="11"/>
      <x:c r="DO968" s="61"/>
      <x:c r="DP968" s="62"/>
      <x:c r="DQ968" s="11"/>
      <x:c r="DR968" s="61"/>
      <x:c r="DS968" s="62"/>
      <x:c r="DT968" s="11"/>
      <x:c r="DU968" s="61"/>
      <x:c r="DV968" s="62"/>
    </x:row>
    <x:row r="969" spans="1:126" x14ac:dyDescent="0.3">
      <x:c r="A969" s="47"/>
      <x:c r="B969" s="70"/>
      <x:c r="C969" s="70"/>
      <x:c r="D969" s="70"/>
      <x:c r="E969" s="70"/>
      <x:c r="F969" s="70"/>
      <x:c r="G969" s="70"/>
      <x:c r="H969" s="70"/>
      <x:c r="I969" s="70"/>
      <x:c r="J969" s="70"/>
      <x:c r="K969" s="190"/>
      <x:c r="L969" s="195"/>
      <x:c r="M969" s="192"/>
      <x:c r="N969" s="192"/>
      <x:c r="O969" s="69"/>
      <x:c r="P969" s="47"/>
      <x:c r="Q969" s="60"/>
      <x:c r="R969" s="58"/>
      <x:c r="S969" s="47"/>
      <x:c r="T969" s="60"/>
      <x:c r="U969" s="58"/>
      <x:c r="V969" s="47"/>
      <x:c r="W969" s="60"/>
      <x:c r="X969" s="58"/>
      <x:c r="Y969" s="47"/>
      <x:c r="Z969" s="60"/>
      <x:c r="AA969" s="58"/>
      <x:c r="AB969" s="47"/>
      <x:c r="AC969" s="60"/>
      <x:c r="AD969" s="58"/>
      <x:c r="AE969" s="47"/>
      <x:c r="AF969" s="60"/>
      <x:c r="AG969" s="58"/>
      <x:c r="AH969" s="47"/>
      <x:c r="AI969" s="60"/>
      <x:c r="AJ969" s="58"/>
      <x:c r="AK969" s="47"/>
      <x:c r="AL969" s="60"/>
      <x:c r="AM969" s="58"/>
      <x:c r="AN969" s="47"/>
      <x:c r="AO969" s="60"/>
      <x:c r="AP969" s="58"/>
      <x:c r="AQ969" s="47"/>
      <x:c r="AR969" s="60"/>
      <x:c r="AS969" s="58"/>
      <x:c r="AT969" s="47"/>
      <x:c r="AU969" s="60"/>
      <x:c r="AV969" s="58"/>
      <x:c r="AW969" s="47"/>
      <x:c r="AX969" s="60"/>
      <x:c r="AY969" s="58"/>
      <x:c r="AZ969" s="47"/>
      <x:c r="BA969" s="60"/>
      <x:c r="BB969" s="58"/>
      <x:c r="BC969" s="47"/>
      <x:c r="BD969" s="60"/>
      <x:c r="BE969" s="58"/>
      <x:c r="BF969" s="47"/>
      <x:c r="BG969" s="60"/>
      <x:c r="BH969" s="58"/>
      <x:c r="BI969" s="47"/>
      <x:c r="BJ969" s="60"/>
      <x:c r="BK969" s="58"/>
      <x:c r="BL969" s="47"/>
      <x:c r="BM969" s="60"/>
      <x:c r="BN969" s="58"/>
      <x:c r="BO969" s="47"/>
      <x:c r="BP969" s="60"/>
      <x:c r="BQ969" s="58"/>
      <x:c r="BR969" s="47"/>
      <x:c r="BS969" s="60"/>
      <x:c r="BT969" s="58"/>
      <x:c r="BU969" s="47"/>
      <x:c r="BV969" s="60"/>
      <x:c r="BW969" s="58"/>
      <x:c r="BX969" s="47"/>
      <x:c r="BY969" s="60"/>
      <x:c r="BZ969" s="58"/>
      <x:c r="CA969" s="47"/>
      <x:c r="CB969" s="60"/>
      <x:c r="CC969" s="58"/>
      <x:c r="CD969" s="47"/>
      <x:c r="CE969" s="60"/>
      <x:c r="CF969" s="58"/>
      <x:c r="CG969" s="47"/>
      <x:c r="CH969" s="60"/>
      <x:c r="CI969" s="58"/>
      <x:c r="CJ969" s="47"/>
      <x:c r="CK969" s="60"/>
      <x:c r="CL969" s="58"/>
      <x:c r="CM969" s="47"/>
      <x:c r="CN969" s="60"/>
      <x:c r="CO969" s="58"/>
      <x:c r="CP969" s="47"/>
      <x:c r="CQ969" s="60"/>
      <x:c r="CR969" s="58"/>
      <x:c r="CS969" s="47"/>
      <x:c r="CT969" s="60"/>
      <x:c r="CU969" s="58"/>
      <x:c r="CV969" s="47"/>
      <x:c r="CW969" s="60"/>
      <x:c r="CX969" s="58"/>
      <x:c r="CY969" s="47"/>
      <x:c r="CZ969" s="60"/>
      <x:c r="DA969" s="58"/>
      <x:c r="DB969" s="47"/>
      <x:c r="DC969" s="60"/>
      <x:c r="DD969" s="58"/>
      <x:c r="DE969" s="47"/>
      <x:c r="DF969" s="60"/>
      <x:c r="DG969" s="58"/>
      <x:c r="DH969" s="47"/>
      <x:c r="DI969" s="60"/>
      <x:c r="DJ969" s="58"/>
      <x:c r="DK969" s="47"/>
      <x:c r="DL969" s="60"/>
      <x:c r="DM969" s="58"/>
      <x:c r="DN969" s="11"/>
      <x:c r="DO969" s="61"/>
      <x:c r="DP969" s="62"/>
      <x:c r="DQ969" s="11"/>
      <x:c r="DR969" s="61"/>
      <x:c r="DS969" s="62"/>
      <x:c r="DT969" s="11"/>
      <x:c r="DU969" s="61"/>
      <x:c r="DV969" s="62"/>
    </x:row>
    <x:row r="970" spans="1:126" x14ac:dyDescent="0.3">
      <x:c r="A970" s="47"/>
      <x:c r="B970" s="70"/>
      <x:c r="C970" s="70"/>
      <x:c r="D970" s="70"/>
      <x:c r="E970" s="70"/>
      <x:c r="F970" s="70"/>
      <x:c r="G970" s="70"/>
      <x:c r="H970" s="70"/>
      <x:c r="I970" s="70"/>
      <x:c r="J970" s="70"/>
      <x:c r="K970" s="190"/>
      <x:c r="L970" s="195"/>
      <x:c r="M970" s="192"/>
      <x:c r="N970" s="192"/>
      <x:c r="O970" s="69"/>
      <x:c r="P970" s="47"/>
      <x:c r="Q970" s="60"/>
      <x:c r="R970" s="58"/>
      <x:c r="S970" s="47"/>
      <x:c r="T970" s="60"/>
      <x:c r="U970" s="58"/>
      <x:c r="V970" s="47"/>
      <x:c r="W970" s="60"/>
      <x:c r="X970" s="58"/>
      <x:c r="Y970" s="47"/>
      <x:c r="Z970" s="60"/>
      <x:c r="AA970" s="58"/>
      <x:c r="AB970" s="47"/>
      <x:c r="AC970" s="60"/>
      <x:c r="AD970" s="58"/>
      <x:c r="AE970" s="47"/>
      <x:c r="AF970" s="60"/>
      <x:c r="AG970" s="58"/>
      <x:c r="AH970" s="47"/>
      <x:c r="AI970" s="60"/>
      <x:c r="AJ970" s="58"/>
      <x:c r="AK970" s="47"/>
      <x:c r="AL970" s="60"/>
      <x:c r="AM970" s="58"/>
      <x:c r="AN970" s="47"/>
      <x:c r="AO970" s="60"/>
      <x:c r="AP970" s="58"/>
      <x:c r="AQ970" s="47"/>
      <x:c r="AR970" s="60"/>
      <x:c r="AS970" s="58"/>
      <x:c r="AT970" s="47"/>
      <x:c r="AU970" s="60"/>
      <x:c r="AV970" s="58"/>
      <x:c r="AW970" s="47"/>
      <x:c r="AX970" s="60"/>
      <x:c r="AY970" s="58"/>
      <x:c r="AZ970" s="47"/>
      <x:c r="BA970" s="60"/>
      <x:c r="BB970" s="58"/>
      <x:c r="BC970" s="47"/>
      <x:c r="BD970" s="60"/>
      <x:c r="BE970" s="58"/>
      <x:c r="BF970" s="47"/>
      <x:c r="BG970" s="60"/>
      <x:c r="BH970" s="58"/>
      <x:c r="BI970" s="47"/>
      <x:c r="BJ970" s="60"/>
      <x:c r="BK970" s="58"/>
      <x:c r="BL970" s="47"/>
      <x:c r="BM970" s="60"/>
      <x:c r="BN970" s="58"/>
      <x:c r="BO970" s="47"/>
      <x:c r="BP970" s="60"/>
      <x:c r="BQ970" s="58"/>
      <x:c r="BR970" s="47"/>
      <x:c r="BS970" s="60"/>
      <x:c r="BT970" s="58"/>
      <x:c r="BU970" s="47"/>
      <x:c r="BV970" s="60"/>
      <x:c r="BW970" s="58"/>
      <x:c r="BX970" s="47"/>
      <x:c r="BY970" s="60"/>
      <x:c r="BZ970" s="58"/>
      <x:c r="CA970" s="47"/>
      <x:c r="CB970" s="60"/>
      <x:c r="CC970" s="58"/>
      <x:c r="CD970" s="47"/>
      <x:c r="CE970" s="60"/>
      <x:c r="CF970" s="58"/>
      <x:c r="CG970" s="47"/>
      <x:c r="CH970" s="60"/>
      <x:c r="CI970" s="58"/>
      <x:c r="CJ970" s="47"/>
      <x:c r="CK970" s="60"/>
      <x:c r="CL970" s="58"/>
      <x:c r="CM970" s="47"/>
      <x:c r="CN970" s="60"/>
      <x:c r="CO970" s="58"/>
      <x:c r="CP970" s="47"/>
      <x:c r="CQ970" s="60"/>
      <x:c r="CR970" s="58"/>
      <x:c r="CS970" s="47"/>
      <x:c r="CT970" s="60"/>
      <x:c r="CU970" s="58"/>
      <x:c r="CV970" s="47"/>
      <x:c r="CW970" s="60"/>
      <x:c r="CX970" s="58"/>
      <x:c r="CY970" s="47"/>
      <x:c r="CZ970" s="60"/>
      <x:c r="DA970" s="58"/>
      <x:c r="DB970" s="47"/>
      <x:c r="DC970" s="60"/>
      <x:c r="DD970" s="58"/>
      <x:c r="DE970" s="47"/>
      <x:c r="DF970" s="60"/>
      <x:c r="DG970" s="58"/>
      <x:c r="DH970" s="47"/>
      <x:c r="DI970" s="60"/>
      <x:c r="DJ970" s="58"/>
      <x:c r="DK970" s="47"/>
      <x:c r="DL970" s="60"/>
      <x:c r="DM970" s="58"/>
      <x:c r="DN970" s="11"/>
      <x:c r="DO970" s="61"/>
      <x:c r="DP970" s="62"/>
      <x:c r="DQ970" s="11"/>
      <x:c r="DR970" s="61"/>
      <x:c r="DS970" s="62"/>
      <x:c r="DT970" s="11"/>
      <x:c r="DU970" s="61"/>
      <x:c r="DV970" s="62"/>
    </x:row>
    <x:row r="971" spans="1:126" x14ac:dyDescent="0.3">
      <x:c r="A971" s="47"/>
      <x:c r="B971" s="70"/>
      <x:c r="C971" s="70"/>
      <x:c r="D971" s="70"/>
      <x:c r="E971" s="70"/>
      <x:c r="F971" s="70"/>
      <x:c r="G971" s="70"/>
      <x:c r="H971" s="70"/>
      <x:c r="I971" s="70"/>
      <x:c r="J971" s="70"/>
      <x:c r="K971" s="190"/>
      <x:c r="L971" s="195"/>
      <x:c r="M971" s="192"/>
      <x:c r="N971" s="192"/>
      <x:c r="O971" s="69"/>
      <x:c r="P971" s="47"/>
      <x:c r="Q971" s="60"/>
      <x:c r="R971" s="58"/>
      <x:c r="S971" s="47"/>
      <x:c r="T971" s="60"/>
      <x:c r="U971" s="58"/>
      <x:c r="V971" s="47"/>
      <x:c r="W971" s="60"/>
      <x:c r="X971" s="58"/>
      <x:c r="Y971" s="47"/>
      <x:c r="Z971" s="60"/>
      <x:c r="AA971" s="58"/>
      <x:c r="AB971" s="47"/>
      <x:c r="AC971" s="60"/>
      <x:c r="AD971" s="58"/>
      <x:c r="AE971" s="47"/>
      <x:c r="AF971" s="60"/>
      <x:c r="AG971" s="58"/>
      <x:c r="AH971" s="47"/>
      <x:c r="AI971" s="60"/>
      <x:c r="AJ971" s="58"/>
      <x:c r="AK971" s="47"/>
      <x:c r="AL971" s="60"/>
      <x:c r="AM971" s="58"/>
      <x:c r="AN971" s="47"/>
      <x:c r="AO971" s="60"/>
      <x:c r="AP971" s="58"/>
      <x:c r="AQ971" s="47"/>
      <x:c r="AR971" s="60"/>
      <x:c r="AS971" s="58"/>
      <x:c r="AT971" s="47"/>
      <x:c r="AU971" s="60"/>
      <x:c r="AV971" s="58"/>
      <x:c r="AW971" s="47"/>
      <x:c r="AX971" s="60"/>
      <x:c r="AY971" s="58"/>
      <x:c r="AZ971" s="47"/>
      <x:c r="BA971" s="60"/>
      <x:c r="BB971" s="58"/>
      <x:c r="BC971" s="47"/>
      <x:c r="BD971" s="60"/>
      <x:c r="BE971" s="58"/>
      <x:c r="BF971" s="47"/>
      <x:c r="BG971" s="60"/>
      <x:c r="BH971" s="58"/>
      <x:c r="BI971" s="47"/>
      <x:c r="BJ971" s="60"/>
      <x:c r="BK971" s="58"/>
      <x:c r="BL971" s="47"/>
      <x:c r="BM971" s="60"/>
      <x:c r="BN971" s="58"/>
      <x:c r="BO971" s="47"/>
      <x:c r="BP971" s="60"/>
      <x:c r="BQ971" s="58"/>
      <x:c r="BR971" s="47"/>
      <x:c r="BS971" s="60"/>
      <x:c r="BT971" s="58"/>
      <x:c r="BU971" s="47"/>
      <x:c r="BV971" s="60"/>
      <x:c r="BW971" s="58"/>
      <x:c r="BX971" s="47"/>
      <x:c r="BY971" s="60"/>
      <x:c r="BZ971" s="58"/>
      <x:c r="CA971" s="47"/>
      <x:c r="CB971" s="60"/>
      <x:c r="CC971" s="58"/>
      <x:c r="CD971" s="47"/>
      <x:c r="CE971" s="60"/>
      <x:c r="CF971" s="58"/>
      <x:c r="CG971" s="47"/>
      <x:c r="CH971" s="60"/>
      <x:c r="CI971" s="58"/>
      <x:c r="CJ971" s="47"/>
      <x:c r="CK971" s="60"/>
      <x:c r="CL971" s="58"/>
      <x:c r="CM971" s="47"/>
      <x:c r="CN971" s="60"/>
      <x:c r="CO971" s="58"/>
      <x:c r="CP971" s="47"/>
      <x:c r="CQ971" s="60"/>
      <x:c r="CR971" s="58"/>
      <x:c r="CS971" s="47"/>
      <x:c r="CT971" s="60"/>
      <x:c r="CU971" s="58"/>
      <x:c r="CV971" s="47"/>
      <x:c r="CW971" s="60"/>
      <x:c r="CX971" s="58"/>
      <x:c r="CY971" s="47"/>
      <x:c r="CZ971" s="60"/>
      <x:c r="DA971" s="58"/>
      <x:c r="DB971" s="47"/>
      <x:c r="DC971" s="60"/>
      <x:c r="DD971" s="58"/>
      <x:c r="DE971" s="47"/>
      <x:c r="DF971" s="60"/>
      <x:c r="DG971" s="58"/>
      <x:c r="DH971" s="47"/>
      <x:c r="DI971" s="60"/>
      <x:c r="DJ971" s="58"/>
      <x:c r="DK971" s="47"/>
      <x:c r="DL971" s="60"/>
      <x:c r="DM971" s="58"/>
      <x:c r="DN971" s="11"/>
      <x:c r="DO971" s="61"/>
      <x:c r="DP971" s="62"/>
      <x:c r="DQ971" s="11"/>
      <x:c r="DR971" s="61"/>
      <x:c r="DS971" s="62"/>
      <x:c r="DT971" s="11"/>
      <x:c r="DU971" s="61"/>
      <x:c r="DV971" s="62"/>
    </x:row>
    <x:row r="972" spans="1:126" x14ac:dyDescent="0.3">
      <x:c r="A972" s="47"/>
      <x:c r="B972" s="70"/>
      <x:c r="C972" s="70"/>
      <x:c r="D972" s="70"/>
      <x:c r="E972" s="70"/>
      <x:c r="F972" s="70"/>
      <x:c r="G972" s="70"/>
      <x:c r="H972" s="70"/>
      <x:c r="I972" s="70"/>
      <x:c r="J972" s="70"/>
      <x:c r="K972" s="190"/>
      <x:c r="L972" s="195"/>
      <x:c r="M972" s="192"/>
      <x:c r="N972" s="192"/>
      <x:c r="O972" s="69"/>
      <x:c r="P972" s="47"/>
      <x:c r="Q972" s="60"/>
      <x:c r="R972" s="58"/>
      <x:c r="S972" s="47"/>
      <x:c r="T972" s="60"/>
      <x:c r="U972" s="58"/>
      <x:c r="V972" s="47"/>
      <x:c r="W972" s="60"/>
      <x:c r="X972" s="58"/>
      <x:c r="Y972" s="47"/>
      <x:c r="Z972" s="60"/>
      <x:c r="AA972" s="58"/>
      <x:c r="AB972" s="47"/>
      <x:c r="AC972" s="60"/>
      <x:c r="AD972" s="58"/>
      <x:c r="AE972" s="47"/>
      <x:c r="AF972" s="60"/>
      <x:c r="AG972" s="58"/>
      <x:c r="AH972" s="47"/>
      <x:c r="AI972" s="60"/>
      <x:c r="AJ972" s="58"/>
      <x:c r="AK972" s="47"/>
      <x:c r="AL972" s="60"/>
      <x:c r="AM972" s="58"/>
      <x:c r="AN972" s="47"/>
      <x:c r="AO972" s="60"/>
      <x:c r="AP972" s="58"/>
      <x:c r="AQ972" s="47"/>
      <x:c r="AR972" s="60"/>
      <x:c r="AS972" s="58"/>
      <x:c r="AT972" s="47"/>
      <x:c r="AU972" s="60"/>
      <x:c r="AV972" s="58"/>
      <x:c r="AW972" s="47"/>
      <x:c r="AX972" s="60"/>
      <x:c r="AY972" s="58"/>
      <x:c r="AZ972" s="47"/>
      <x:c r="BA972" s="60"/>
      <x:c r="BB972" s="58"/>
      <x:c r="BC972" s="47"/>
      <x:c r="BD972" s="60"/>
      <x:c r="BE972" s="58"/>
      <x:c r="BF972" s="47"/>
      <x:c r="BG972" s="60"/>
      <x:c r="BH972" s="58"/>
      <x:c r="BI972" s="47"/>
      <x:c r="BJ972" s="60"/>
      <x:c r="BK972" s="58"/>
      <x:c r="BL972" s="47"/>
      <x:c r="BM972" s="60"/>
      <x:c r="BN972" s="58"/>
      <x:c r="BO972" s="47"/>
      <x:c r="BP972" s="60"/>
      <x:c r="BQ972" s="58"/>
      <x:c r="BR972" s="47"/>
      <x:c r="BS972" s="60"/>
      <x:c r="BT972" s="58"/>
      <x:c r="BU972" s="47"/>
      <x:c r="BV972" s="60"/>
      <x:c r="BW972" s="58"/>
      <x:c r="BX972" s="47"/>
      <x:c r="BY972" s="60"/>
      <x:c r="BZ972" s="58"/>
      <x:c r="CA972" s="47"/>
      <x:c r="CB972" s="60"/>
      <x:c r="CC972" s="58"/>
      <x:c r="CD972" s="47"/>
      <x:c r="CE972" s="60"/>
      <x:c r="CF972" s="58"/>
      <x:c r="CG972" s="47"/>
      <x:c r="CH972" s="60"/>
      <x:c r="CI972" s="58"/>
      <x:c r="CJ972" s="47"/>
      <x:c r="CK972" s="60"/>
      <x:c r="CL972" s="58"/>
      <x:c r="CM972" s="47"/>
      <x:c r="CN972" s="60"/>
      <x:c r="CO972" s="58"/>
      <x:c r="CP972" s="47"/>
      <x:c r="CQ972" s="60"/>
      <x:c r="CR972" s="58"/>
      <x:c r="CS972" s="47"/>
      <x:c r="CT972" s="60"/>
      <x:c r="CU972" s="58"/>
      <x:c r="CV972" s="47"/>
      <x:c r="CW972" s="60"/>
      <x:c r="CX972" s="58"/>
      <x:c r="CY972" s="47"/>
      <x:c r="CZ972" s="60"/>
      <x:c r="DA972" s="58"/>
      <x:c r="DB972" s="47"/>
      <x:c r="DC972" s="60"/>
      <x:c r="DD972" s="58"/>
      <x:c r="DE972" s="47"/>
      <x:c r="DF972" s="60"/>
      <x:c r="DG972" s="58"/>
      <x:c r="DH972" s="47"/>
      <x:c r="DI972" s="60"/>
      <x:c r="DJ972" s="58"/>
      <x:c r="DK972" s="47"/>
      <x:c r="DL972" s="60"/>
      <x:c r="DM972" s="58"/>
      <x:c r="DN972" s="11"/>
      <x:c r="DO972" s="61"/>
      <x:c r="DP972" s="62"/>
      <x:c r="DQ972" s="11"/>
      <x:c r="DR972" s="61"/>
      <x:c r="DS972" s="62"/>
      <x:c r="DT972" s="11"/>
      <x:c r="DU972" s="61"/>
      <x:c r="DV972" s="62"/>
    </x:row>
    <x:row r="973" spans="1:126" x14ac:dyDescent="0.3">
      <x:c r="A973" s="47"/>
      <x:c r="B973" s="70"/>
      <x:c r="C973" s="70"/>
      <x:c r="D973" s="70"/>
      <x:c r="E973" s="70"/>
      <x:c r="F973" s="70"/>
      <x:c r="G973" s="70"/>
      <x:c r="H973" s="70"/>
      <x:c r="I973" s="70"/>
      <x:c r="J973" s="70"/>
      <x:c r="K973" s="190"/>
      <x:c r="L973" s="195"/>
      <x:c r="M973" s="192"/>
      <x:c r="N973" s="192"/>
      <x:c r="O973" s="69"/>
      <x:c r="P973" s="47"/>
      <x:c r="Q973" s="60"/>
      <x:c r="R973" s="58"/>
      <x:c r="S973" s="47"/>
      <x:c r="T973" s="60"/>
      <x:c r="U973" s="58"/>
      <x:c r="V973" s="47"/>
      <x:c r="W973" s="60"/>
      <x:c r="X973" s="58"/>
      <x:c r="Y973" s="47"/>
      <x:c r="Z973" s="60"/>
      <x:c r="AA973" s="58"/>
      <x:c r="AB973" s="47"/>
      <x:c r="AC973" s="60"/>
      <x:c r="AD973" s="58"/>
      <x:c r="AE973" s="47"/>
      <x:c r="AF973" s="60"/>
      <x:c r="AG973" s="58"/>
      <x:c r="AH973" s="47"/>
      <x:c r="AI973" s="60"/>
      <x:c r="AJ973" s="58"/>
      <x:c r="AK973" s="47"/>
      <x:c r="AL973" s="60"/>
      <x:c r="AM973" s="58"/>
      <x:c r="AN973" s="47"/>
      <x:c r="AO973" s="60"/>
      <x:c r="AP973" s="58"/>
      <x:c r="AQ973" s="47"/>
      <x:c r="AR973" s="60"/>
      <x:c r="AS973" s="58"/>
      <x:c r="AT973" s="47"/>
      <x:c r="AU973" s="60"/>
      <x:c r="AV973" s="58"/>
      <x:c r="AW973" s="47"/>
      <x:c r="AX973" s="60"/>
      <x:c r="AY973" s="58"/>
      <x:c r="AZ973" s="47"/>
      <x:c r="BA973" s="60"/>
      <x:c r="BB973" s="58"/>
      <x:c r="BC973" s="47"/>
      <x:c r="BD973" s="60"/>
      <x:c r="BE973" s="58"/>
      <x:c r="BF973" s="47"/>
      <x:c r="BG973" s="60"/>
      <x:c r="BH973" s="58"/>
      <x:c r="BI973" s="47"/>
      <x:c r="BJ973" s="60"/>
      <x:c r="BK973" s="58"/>
      <x:c r="BL973" s="47"/>
      <x:c r="BM973" s="60"/>
      <x:c r="BN973" s="58"/>
      <x:c r="BO973" s="47"/>
      <x:c r="BP973" s="60"/>
      <x:c r="BQ973" s="58"/>
      <x:c r="BR973" s="47"/>
      <x:c r="BS973" s="60"/>
      <x:c r="BT973" s="58"/>
      <x:c r="BU973" s="47"/>
      <x:c r="BV973" s="60"/>
      <x:c r="BW973" s="58"/>
      <x:c r="BX973" s="47"/>
      <x:c r="BY973" s="60"/>
      <x:c r="BZ973" s="58"/>
      <x:c r="CA973" s="47"/>
      <x:c r="CB973" s="60"/>
      <x:c r="CC973" s="58"/>
      <x:c r="CD973" s="47"/>
      <x:c r="CE973" s="60"/>
      <x:c r="CF973" s="58"/>
      <x:c r="CG973" s="47"/>
      <x:c r="CH973" s="60"/>
      <x:c r="CI973" s="58"/>
      <x:c r="CJ973" s="47"/>
      <x:c r="CK973" s="60"/>
      <x:c r="CL973" s="58"/>
      <x:c r="CM973" s="47"/>
      <x:c r="CN973" s="60"/>
      <x:c r="CO973" s="58"/>
      <x:c r="CP973" s="47"/>
      <x:c r="CQ973" s="60"/>
      <x:c r="CR973" s="58"/>
      <x:c r="CS973" s="47"/>
      <x:c r="CT973" s="60"/>
      <x:c r="CU973" s="58"/>
      <x:c r="CV973" s="47"/>
      <x:c r="CW973" s="60"/>
      <x:c r="CX973" s="58"/>
      <x:c r="CY973" s="47"/>
      <x:c r="CZ973" s="60"/>
      <x:c r="DA973" s="58"/>
      <x:c r="DB973" s="47"/>
      <x:c r="DC973" s="60"/>
      <x:c r="DD973" s="58"/>
      <x:c r="DE973" s="47"/>
      <x:c r="DF973" s="60"/>
      <x:c r="DG973" s="58"/>
      <x:c r="DH973" s="47"/>
      <x:c r="DI973" s="60"/>
      <x:c r="DJ973" s="58"/>
      <x:c r="DK973" s="47"/>
      <x:c r="DL973" s="60"/>
      <x:c r="DM973" s="58"/>
      <x:c r="DN973" s="11"/>
      <x:c r="DO973" s="61"/>
      <x:c r="DP973" s="62"/>
      <x:c r="DQ973" s="11"/>
      <x:c r="DR973" s="61"/>
      <x:c r="DS973" s="62"/>
      <x:c r="DT973" s="11"/>
      <x:c r="DU973" s="61"/>
      <x:c r="DV973" s="62"/>
    </x:row>
    <x:row r="974" spans="1:126" x14ac:dyDescent="0.3">
      <x:c r="A974" s="47"/>
      <x:c r="B974" s="70"/>
      <x:c r="C974" s="70"/>
      <x:c r="D974" s="70"/>
      <x:c r="E974" s="70"/>
      <x:c r="F974" s="70"/>
      <x:c r="G974" s="70"/>
      <x:c r="H974" s="70"/>
      <x:c r="I974" s="70"/>
      <x:c r="J974" s="70"/>
      <x:c r="K974" s="190"/>
      <x:c r="L974" s="195"/>
      <x:c r="M974" s="192"/>
      <x:c r="N974" s="192"/>
      <x:c r="O974" s="69"/>
      <x:c r="P974" s="47"/>
      <x:c r="Q974" s="60"/>
      <x:c r="R974" s="58"/>
      <x:c r="S974" s="47"/>
      <x:c r="T974" s="60"/>
      <x:c r="U974" s="58"/>
      <x:c r="V974" s="47"/>
      <x:c r="W974" s="60"/>
      <x:c r="X974" s="58"/>
      <x:c r="Y974" s="47"/>
      <x:c r="Z974" s="60"/>
      <x:c r="AA974" s="58"/>
      <x:c r="AB974" s="47"/>
      <x:c r="AC974" s="60"/>
      <x:c r="AD974" s="58"/>
      <x:c r="AE974" s="47"/>
      <x:c r="AF974" s="60"/>
      <x:c r="AG974" s="58"/>
      <x:c r="AH974" s="47"/>
      <x:c r="AI974" s="60"/>
      <x:c r="AJ974" s="58"/>
      <x:c r="AK974" s="47"/>
      <x:c r="AL974" s="60"/>
      <x:c r="AM974" s="58"/>
      <x:c r="AN974" s="47"/>
      <x:c r="AO974" s="60"/>
      <x:c r="AP974" s="58"/>
      <x:c r="AQ974" s="47"/>
      <x:c r="AR974" s="60"/>
      <x:c r="AS974" s="58"/>
      <x:c r="AT974" s="47"/>
      <x:c r="AU974" s="60"/>
      <x:c r="AV974" s="58"/>
      <x:c r="AW974" s="47"/>
      <x:c r="AX974" s="60"/>
      <x:c r="AY974" s="58"/>
      <x:c r="AZ974" s="47"/>
      <x:c r="BA974" s="60"/>
      <x:c r="BB974" s="58"/>
      <x:c r="BC974" s="47"/>
      <x:c r="BD974" s="60"/>
      <x:c r="BE974" s="58"/>
      <x:c r="BF974" s="47"/>
      <x:c r="BG974" s="60"/>
      <x:c r="BH974" s="58"/>
      <x:c r="BI974" s="47"/>
      <x:c r="BJ974" s="60"/>
      <x:c r="BK974" s="58"/>
      <x:c r="BL974" s="47"/>
      <x:c r="BM974" s="60"/>
      <x:c r="BN974" s="58"/>
      <x:c r="BO974" s="47"/>
      <x:c r="BP974" s="60"/>
      <x:c r="BQ974" s="58"/>
      <x:c r="BR974" s="47"/>
      <x:c r="BS974" s="60"/>
      <x:c r="BT974" s="58"/>
      <x:c r="BU974" s="47"/>
      <x:c r="BV974" s="60"/>
      <x:c r="BW974" s="58"/>
      <x:c r="BX974" s="47"/>
      <x:c r="BY974" s="60"/>
      <x:c r="BZ974" s="58"/>
      <x:c r="CA974" s="47"/>
      <x:c r="CB974" s="60"/>
      <x:c r="CC974" s="58"/>
      <x:c r="CD974" s="47"/>
      <x:c r="CE974" s="60"/>
      <x:c r="CF974" s="58"/>
      <x:c r="CG974" s="47"/>
      <x:c r="CH974" s="60"/>
      <x:c r="CI974" s="58"/>
      <x:c r="CJ974" s="47"/>
      <x:c r="CK974" s="60"/>
      <x:c r="CL974" s="58"/>
      <x:c r="CM974" s="47"/>
      <x:c r="CN974" s="60"/>
      <x:c r="CO974" s="58"/>
      <x:c r="CP974" s="47"/>
      <x:c r="CQ974" s="60"/>
      <x:c r="CR974" s="58"/>
      <x:c r="CS974" s="47"/>
      <x:c r="CT974" s="60"/>
      <x:c r="CU974" s="58"/>
      <x:c r="CV974" s="47"/>
      <x:c r="CW974" s="60"/>
      <x:c r="CX974" s="58"/>
      <x:c r="CY974" s="47"/>
      <x:c r="CZ974" s="60"/>
      <x:c r="DA974" s="58"/>
      <x:c r="DB974" s="47"/>
      <x:c r="DC974" s="60"/>
      <x:c r="DD974" s="58"/>
      <x:c r="DE974" s="47"/>
      <x:c r="DF974" s="60"/>
      <x:c r="DG974" s="58"/>
      <x:c r="DH974" s="47"/>
      <x:c r="DI974" s="60"/>
      <x:c r="DJ974" s="58"/>
      <x:c r="DK974" s="47"/>
      <x:c r="DL974" s="60"/>
      <x:c r="DM974" s="58"/>
      <x:c r="DN974" s="11"/>
      <x:c r="DO974" s="61"/>
      <x:c r="DP974" s="62"/>
      <x:c r="DQ974" s="11"/>
      <x:c r="DR974" s="61"/>
      <x:c r="DS974" s="62"/>
      <x:c r="DT974" s="11"/>
      <x:c r="DU974" s="61"/>
      <x:c r="DV974" s="62"/>
    </x:row>
    <x:row r="975" spans="1:126" x14ac:dyDescent="0.3">
      <x:c r="A975" s="47"/>
      <x:c r="B975" s="70"/>
      <x:c r="C975" s="70"/>
      <x:c r="D975" s="70"/>
      <x:c r="E975" s="70"/>
      <x:c r="F975" s="70"/>
      <x:c r="G975" s="70"/>
      <x:c r="H975" s="70"/>
      <x:c r="I975" s="70"/>
      <x:c r="J975" s="70"/>
      <x:c r="K975" s="190"/>
      <x:c r="L975" s="195"/>
      <x:c r="M975" s="192"/>
      <x:c r="N975" s="192"/>
      <x:c r="O975" s="69"/>
      <x:c r="P975" s="47"/>
      <x:c r="Q975" s="60"/>
      <x:c r="R975" s="58"/>
      <x:c r="S975" s="47"/>
      <x:c r="T975" s="60"/>
      <x:c r="U975" s="58"/>
      <x:c r="V975" s="47"/>
      <x:c r="W975" s="60"/>
      <x:c r="X975" s="58"/>
      <x:c r="Y975" s="47"/>
      <x:c r="Z975" s="60"/>
      <x:c r="AA975" s="58"/>
      <x:c r="AB975" s="47"/>
      <x:c r="AC975" s="60"/>
      <x:c r="AD975" s="58"/>
      <x:c r="AE975" s="47"/>
      <x:c r="AF975" s="60"/>
      <x:c r="AG975" s="58"/>
      <x:c r="AH975" s="47"/>
      <x:c r="AI975" s="60"/>
      <x:c r="AJ975" s="58"/>
      <x:c r="AK975" s="47"/>
      <x:c r="AL975" s="60"/>
      <x:c r="AM975" s="58"/>
      <x:c r="AN975" s="47"/>
      <x:c r="AO975" s="60"/>
      <x:c r="AP975" s="58"/>
      <x:c r="AQ975" s="47"/>
      <x:c r="AR975" s="60"/>
      <x:c r="AS975" s="58"/>
      <x:c r="AT975" s="47"/>
      <x:c r="AU975" s="60"/>
      <x:c r="AV975" s="58"/>
      <x:c r="AW975" s="47"/>
      <x:c r="AX975" s="60"/>
      <x:c r="AY975" s="58"/>
      <x:c r="AZ975" s="47"/>
      <x:c r="BA975" s="60"/>
      <x:c r="BB975" s="58"/>
      <x:c r="BC975" s="47"/>
      <x:c r="BD975" s="60"/>
      <x:c r="BE975" s="58"/>
      <x:c r="BF975" s="47"/>
      <x:c r="BG975" s="60"/>
      <x:c r="BH975" s="58"/>
      <x:c r="BI975" s="47"/>
      <x:c r="BJ975" s="60"/>
      <x:c r="BK975" s="58"/>
      <x:c r="BL975" s="47"/>
      <x:c r="BM975" s="60"/>
      <x:c r="BN975" s="58"/>
      <x:c r="BO975" s="47"/>
      <x:c r="BP975" s="60"/>
      <x:c r="BQ975" s="58"/>
      <x:c r="BR975" s="47"/>
      <x:c r="BS975" s="60"/>
      <x:c r="BT975" s="58"/>
      <x:c r="BU975" s="47"/>
      <x:c r="BV975" s="60"/>
      <x:c r="BW975" s="58"/>
      <x:c r="BX975" s="47"/>
      <x:c r="BY975" s="60"/>
      <x:c r="BZ975" s="58"/>
      <x:c r="CA975" s="47"/>
      <x:c r="CB975" s="60"/>
      <x:c r="CC975" s="58"/>
      <x:c r="CD975" s="47"/>
      <x:c r="CE975" s="60"/>
      <x:c r="CF975" s="58"/>
      <x:c r="CG975" s="47"/>
      <x:c r="CH975" s="60"/>
      <x:c r="CI975" s="58"/>
      <x:c r="CJ975" s="47"/>
      <x:c r="CK975" s="60"/>
      <x:c r="CL975" s="58"/>
      <x:c r="CM975" s="47"/>
      <x:c r="CN975" s="60"/>
      <x:c r="CO975" s="58"/>
      <x:c r="CP975" s="47"/>
      <x:c r="CQ975" s="60"/>
      <x:c r="CR975" s="58"/>
      <x:c r="CS975" s="47"/>
      <x:c r="CT975" s="60"/>
      <x:c r="CU975" s="58"/>
      <x:c r="CV975" s="47"/>
      <x:c r="CW975" s="60"/>
      <x:c r="CX975" s="58"/>
      <x:c r="CY975" s="47"/>
      <x:c r="CZ975" s="60"/>
      <x:c r="DA975" s="58"/>
      <x:c r="DB975" s="47"/>
      <x:c r="DC975" s="60"/>
      <x:c r="DD975" s="58"/>
      <x:c r="DE975" s="47"/>
      <x:c r="DF975" s="60"/>
      <x:c r="DG975" s="58"/>
      <x:c r="DH975" s="47"/>
      <x:c r="DI975" s="60"/>
      <x:c r="DJ975" s="58"/>
      <x:c r="DK975" s="47"/>
      <x:c r="DL975" s="60"/>
      <x:c r="DM975" s="58"/>
      <x:c r="DN975" s="11"/>
      <x:c r="DO975" s="61"/>
      <x:c r="DP975" s="62"/>
      <x:c r="DQ975" s="11"/>
      <x:c r="DR975" s="61"/>
      <x:c r="DS975" s="62"/>
      <x:c r="DT975" s="11"/>
      <x:c r="DU975" s="61"/>
      <x:c r="DV975" s="62"/>
    </x:row>
    <x:row r="976" spans="1:126" x14ac:dyDescent="0.3">
      <x:c r="A976" s="47"/>
      <x:c r="B976" s="70"/>
      <x:c r="C976" s="70"/>
      <x:c r="D976" s="70"/>
      <x:c r="E976" s="70"/>
      <x:c r="F976" s="70"/>
      <x:c r="G976" s="70"/>
      <x:c r="H976" s="70"/>
      <x:c r="I976" s="70"/>
      <x:c r="J976" s="70"/>
      <x:c r="K976" s="190"/>
      <x:c r="L976" s="195"/>
      <x:c r="M976" s="192"/>
      <x:c r="N976" s="192"/>
      <x:c r="O976" s="69"/>
      <x:c r="P976" s="47"/>
      <x:c r="Q976" s="60"/>
      <x:c r="R976" s="58"/>
      <x:c r="S976" s="47"/>
      <x:c r="T976" s="60"/>
      <x:c r="U976" s="58"/>
      <x:c r="V976" s="47"/>
      <x:c r="W976" s="60"/>
      <x:c r="X976" s="58"/>
      <x:c r="Y976" s="47"/>
      <x:c r="Z976" s="60"/>
      <x:c r="AA976" s="58"/>
      <x:c r="AB976" s="47"/>
      <x:c r="AC976" s="60"/>
      <x:c r="AD976" s="58"/>
      <x:c r="AE976" s="47"/>
      <x:c r="AF976" s="60"/>
      <x:c r="AG976" s="58"/>
      <x:c r="AH976" s="47"/>
      <x:c r="AI976" s="60"/>
      <x:c r="AJ976" s="58"/>
      <x:c r="AK976" s="47"/>
      <x:c r="AL976" s="60"/>
      <x:c r="AM976" s="58"/>
      <x:c r="AN976" s="47"/>
      <x:c r="AO976" s="60"/>
      <x:c r="AP976" s="58"/>
      <x:c r="AQ976" s="47"/>
      <x:c r="AR976" s="60"/>
      <x:c r="AS976" s="58"/>
      <x:c r="AT976" s="47"/>
      <x:c r="AU976" s="60"/>
      <x:c r="AV976" s="58"/>
      <x:c r="AW976" s="47"/>
      <x:c r="AX976" s="60"/>
      <x:c r="AY976" s="58"/>
      <x:c r="AZ976" s="47"/>
      <x:c r="BA976" s="60"/>
      <x:c r="BB976" s="58"/>
      <x:c r="BC976" s="47"/>
      <x:c r="BD976" s="60"/>
      <x:c r="BE976" s="58"/>
      <x:c r="BF976" s="47"/>
      <x:c r="BG976" s="60"/>
      <x:c r="BH976" s="58"/>
      <x:c r="BI976" s="47"/>
      <x:c r="BJ976" s="60"/>
      <x:c r="BK976" s="58"/>
      <x:c r="BL976" s="47"/>
      <x:c r="BM976" s="60"/>
      <x:c r="BN976" s="58"/>
      <x:c r="BO976" s="47"/>
      <x:c r="BP976" s="60"/>
      <x:c r="BQ976" s="58"/>
      <x:c r="BR976" s="47"/>
      <x:c r="BS976" s="60"/>
      <x:c r="BT976" s="58"/>
      <x:c r="BU976" s="47"/>
      <x:c r="BV976" s="60"/>
      <x:c r="BW976" s="58"/>
      <x:c r="BX976" s="47"/>
      <x:c r="BY976" s="60"/>
      <x:c r="BZ976" s="58"/>
      <x:c r="CA976" s="47"/>
      <x:c r="CB976" s="60"/>
      <x:c r="CC976" s="58"/>
      <x:c r="CD976" s="47"/>
      <x:c r="CE976" s="60"/>
      <x:c r="CF976" s="58"/>
      <x:c r="CG976" s="47"/>
      <x:c r="CH976" s="60"/>
      <x:c r="CI976" s="58"/>
      <x:c r="CJ976" s="47"/>
      <x:c r="CK976" s="60"/>
      <x:c r="CL976" s="58"/>
      <x:c r="CM976" s="47"/>
      <x:c r="CN976" s="60"/>
      <x:c r="CO976" s="58"/>
      <x:c r="CP976" s="47"/>
      <x:c r="CQ976" s="60"/>
      <x:c r="CR976" s="58"/>
      <x:c r="CS976" s="47"/>
      <x:c r="CT976" s="60"/>
      <x:c r="CU976" s="58"/>
      <x:c r="CV976" s="47"/>
      <x:c r="CW976" s="60"/>
      <x:c r="CX976" s="58"/>
      <x:c r="CY976" s="47"/>
      <x:c r="CZ976" s="60"/>
      <x:c r="DA976" s="58"/>
      <x:c r="DB976" s="47"/>
      <x:c r="DC976" s="60"/>
      <x:c r="DD976" s="58"/>
      <x:c r="DE976" s="47"/>
      <x:c r="DF976" s="60"/>
      <x:c r="DG976" s="58"/>
      <x:c r="DH976" s="47"/>
      <x:c r="DI976" s="60"/>
      <x:c r="DJ976" s="58"/>
      <x:c r="DK976" s="47"/>
      <x:c r="DL976" s="60"/>
      <x:c r="DM976" s="58"/>
      <x:c r="DN976" s="11"/>
      <x:c r="DO976" s="61"/>
      <x:c r="DP976" s="62"/>
      <x:c r="DQ976" s="11"/>
      <x:c r="DR976" s="61"/>
      <x:c r="DS976" s="62"/>
      <x:c r="DT976" s="11"/>
      <x:c r="DU976" s="61"/>
      <x:c r="DV976" s="62"/>
    </x:row>
    <x:row r="977" spans="1:126" x14ac:dyDescent="0.3">
      <x:c r="A977" s="47"/>
      <x:c r="B977" s="70"/>
      <x:c r="C977" s="70"/>
      <x:c r="D977" s="70"/>
      <x:c r="E977" s="70"/>
      <x:c r="F977" s="70"/>
      <x:c r="G977" s="70"/>
      <x:c r="H977" s="70"/>
      <x:c r="I977" s="70"/>
      <x:c r="J977" s="70"/>
      <x:c r="K977" s="190"/>
      <x:c r="L977" s="195"/>
      <x:c r="M977" s="192"/>
      <x:c r="N977" s="192"/>
      <x:c r="O977" s="69"/>
      <x:c r="P977" s="47"/>
      <x:c r="Q977" s="60"/>
      <x:c r="R977" s="58"/>
      <x:c r="S977" s="47"/>
      <x:c r="T977" s="60"/>
      <x:c r="U977" s="58"/>
      <x:c r="V977" s="47"/>
      <x:c r="W977" s="60"/>
      <x:c r="X977" s="58"/>
      <x:c r="Y977" s="47"/>
      <x:c r="Z977" s="60"/>
      <x:c r="AA977" s="58"/>
      <x:c r="AB977" s="47"/>
      <x:c r="AC977" s="60"/>
      <x:c r="AD977" s="58"/>
      <x:c r="AE977" s="47"/>
      <x:c r="AF977" s="60"/>
      <x:c r="AG977" s="58"/>
      <x:c r="AH977" s="47"/>
      <x:c r="AI977" s="60"/>
      <x:c r="AJ977" s="58"/>
      <x:c r="AK977" s="47"/>
      <x:c r="AL977" s="60"/>
      <x:c r="AM977" s="58"/>
      <x:c r="AN977" s="47"/>
      <x:c r="AO977" s="60"/>
      <x:c r="AP977" s="58"/>
      <x:c r="AQ977" s="47"/>
      <x:c r="AR977" s="60"/>
      <x:c r="AS977" s="58"/>
      <x:c r="AT977" s="47"/>
      <x:c r="AU977" s="60"/>
      <x:c r="AV977" s="58"/>
      <x:c r="AW977" s="47"/>
      <x:c r="AX977" s="60"/>
      <x:c r="AY977" s="58"/>
      <x:c r="AZ977" s="47"/>
      <x:c r="BA977" s="60"/>
      <x:c r="BB977" s="58"/>
      <x:c r="BC977" s="47"/>
      <x:c r="BD977" s="60"/>
      <x:c r="BE977" s="58"/>
      <x:c r="BF977" s="47"/>
      <x:c r="BG977" s="60"/>
      <x:c r="BH977" s="58"/>
      <x:c r="BI977" s="47"/>
      <x:c r="BJ977" s="60"/>
      <x:c r="BK977" s="58"/>
      <x:c r="BL977" s="47"/>
      <x:c r="BM977" s="60"/>
      <x:c r="BN977" s="58"/>
      <x:c r="BO977" s="47"/>
      <x:c r="BP977" s="60"/>
      <x:c r="BQ977" s="58"/>
      <x:c r="BR977" s="47"/>
      <x:c r="BS977" s="60"/>
      <x:c r="BT977" s="58"/>
      <x:c r="BU977" s="47"/>
      <x:c r="BV977" s="60"/>
      <x:c r="BW977" s="58"/>
      <x:c r="BX977" s="47"/>
      <x:c r="BY977" s="60"/>
      <x:c r="BZ977" s="58"/>
      <x:c r="CA977" s="47"/>
      <x:c r="CB977" s="60"/>
      <x:c r="CC977" s="58"/>
      <x:c r="CD977" s="47"/>
      <x:c r="CE977" s="60"/>
      <x:c r="CF977" s="58"/>
      <x:c r="CG977" s="47"/>
      <x:c r="CH977" s="60"/>
      <x:c r="CI977" s="58"/>
      <x:c r="CJ977" s="47"/>
      <x:c r="CK977" s="60"/>
      <x:c r="CL977" s="58"/>
      <x:c r="CM977" s="47"/>
      <x:c r="CN977" s="60"/>
      <x:c r="CO977" s="58"/>
      <x:c r="CP977" s="47"/>
      <x:c r="CQ977" s="60"/>
      <x:c r="CR977" s="58"/>
      <x:c r="CS977" s="47"/>
      <x:c r="CT977" s="60"/>
      <x:c r="CU977" s="58"/>
      <x:c r="CV977" s="47"/>
      <x:c r="CW977" s="60"/>
      <x:c r="CX977" s="58"/>
      <x:c r="CY977" s="47"/>
      <x:c r="CZ977" s="60"/>
      <x:c r="DA977" s="58"/>
      <x:c r="DB977" s="47"/>
      <x:c r="DC977" s="60"/>
      <x:c r="DD977" s="58"/>
      <x:c r="DE977" s="47"/>
      <x:c r="DF977" s="60"/>
      <x:c r="DG977" s="58"/>
      <x:c r="DH977" s="47"/>
      <x:c r="DI977" s="60"/>
      <x:c r="DJ977" s="58"/>
      <x:c r="DK977" s="47"/>
      <x:c r="DL977" s="60"/>
      <x:c r="DM977" s="58"/>
      <x:c r="DN977" s="11"/>
      <x:c r="DO977" s="61"/>
      <x:c r="DP977" s="62"/>
      <x:c r="DQ977" s="11"/>
      <x:c r="DR977" s="61"/>
      <x:c r="DS977" s="62"/>
      <x:c r="DT977" s="11"/>
      <x:c r="DU977" s="61"/>
      <x:c r="DV977" s="62"/>
    </x:row>
    <x:row r="978" spans="1:126" x14ac:dyDescent="0.3">
      <x:c r="A978" s="47"/>
      <x:c r="B978" s="70"/>
      <x:c r="C978" s="70"/>
      <x:c r="D978" s="70"/>
      <x:c r="E978" s="70"/>
      <x:c r="F978" s="70"/>
      <x:c r="G978" s="70"/>
      <x:c r="H978" s="70"/>
      <x:c r="I978" s="70"/>
      <x:c r="J978" s="70"/>
      <x:c r="K978" s="190"/>
      <x:c r="L978" s="195"/>
      <x:c r="M978" s="192"/>
      <x:c r="N978" s="192"/>
      <x:c r="O978" s="69"/>
      <x:c r="P978" s="47"/>
      <x:c r="Q978" s="60"/>
      <x:c r="R978" s="58"/>
      <x:c r="S978" s="47"/>
      <x:c r="T978" s="60"/>
      <x:c r="U978" s="58"/>
      <x:c r="V978" s="47"/>
      <x:c r="W978" s="60"/>
      <x:c r="X978" s="58"/>
      <x:c r="Y978" s="47"/>
      <x:c r="Z978" s="60"/>
      <x:c r="AA978" s="58"/>
      <x:c r="AB978" s="47"/>
      <x:c r="AC978" s="60"/>
      <x:c r="AD978" s="58"/>
      <x:c r="AE978" s="47"/>
      <x:c r="AF978" s="60"/>
      <x:c r="AG978" s="58"/>
      <x:c r="AH978" s="47"/>
      <x:c r="AI978" s="60"/>
      <x:c r="AJ978" s="58"/>
      <x:c r="AK978" s="47"/>
      <x:c r="AL978" s="60"/>
      <x:c r="AM978" s="58"/>
      <x:c r="AN978" s="47"/>
      <x:c r="AO978" s="60"/>
      <x:c r="AP978" s="58"/>
      <x:c r="AQ978" s="47"/>
      <x:c r="AR978" s="60"/>
      <x:c r="AS978" s="58"/>
      <x:c r="AT978" s="47"/>
      <x:c r="AU978" s="60"/>
      <x:c r="AV978" s="58"/>
      <x:c r="AW978" s="47"/>
      <x:c r="AX978" s="60"/>
      <x:c r="AY978" s="58"/>
      <x:c r="AZ978" s="47"/>
      <x:c r="BA978" s="60"/>
      <x:c r="BB978" s="58"/>
      <x:c r="BC978" s="47"/>
      <x:c r="BD978" s="60"/>
      <x:c r="BE978" s="58"/>
      <x:c r="BF978" s="47"/>
      <x:c r="BG978" s="60"/>
      <x:c r="BH978" s="58"/>
      <x:c r="BI978" s="47"/>
      <x:c r="BJ978" s="60"/>
      <x:c r="BK978" s="58"/>
      <x:c r="BL978" s="47"/>
      <x:c r="BM978" s="60"/>
      <x:c r="BN978" s="58"/>
      <x:c r="BO978" s="47"/>
      <x:c r="BP978" s="60"/>
      <x:c r="BQ978" s="58"/>
      <x:c r="BR978" s="47"/>
      <x:c r="BS978" s="60"/>
      <x:c r="BT978" s="58"/>
      <x:c r="BU978" s="47"/>
      <x:c r="BV978" s="60"/>
      <x:c r="BW978" s="58"/>
      <x:c r="BX978" s="47"/>
      <x:c r="BY978" s="60"/>
      <x:c r="BZ978" s="58"/>
      <x:c r="CA978" s="47"/>
      <x:c r="CB978" s="60"/>
      <x:c r="CC978" s="58"/>
      <x:c r="CD978" s="47"/>
      <x:c r="CE978" s="60"/>
      <x:c r="CF978" s="58"/>
      <x:c r="CG978" s="47"/>
      <x:c r="CH978" s="60"/>
      <x:c r="CI978" s="58"/>
      <x:c r="CJ978" s="47"/>
      <x:c r="CK978" s="60"/>
      <x:c r="CL978" s="58"/>
      <x:c r="CM978" s="47"/>
      <x:c r="CN978" s="60"/>
      <x:c r="CO978" s="58"/>
      <x:c r="CP978" s="47"/>
      <x:c r="CQ978" s="60"/>
      <x:c r="CR978" s="58"/>
      <x:c r="CS978" s="47"/>
      <x:c r="CT978" s="60"/>
      <x:c r="CU978" s="58"/>
      <x:c r="CV978" s="47"/>
      <x:c r="CW978" s="60"/>
      <x:c r="CX978" s="58"/>
      <x:c r="CY978" s="47"/>
      <x:c r="CZ978" s="60"/>
      <x:c r="DA978" s="58"/>
      <x:c r="DB978" s="47"/>
      <x:c r="DC978" s="60"/>
      <x:c r="DD978" s="58"/>
      <x:c r="DE978" s="47"/>
      <x:c r="DF978" s="60"/>
      <x:c r="DG978" s="58"/>
      <x:c r="DH978" s="47"/>
      <x:c r="DI978" s="60"/>
      <x:c r="DJ978" s="58"/>
      <x:c r="DK978" s="47"/>
      <x:c r="DL978" s="60"/>
      <x:c r="DM978" s="58"/>
      <x:c r="DN978" s="11"/>
      <x:c r="DO978" s="61"/>
      <x:c r="DP978" s="62"/>
      <x:c r="DQ978" s="11"/>
      <x:c r="DR978" s="61"/>
      <x:c r="DS978" s="62"/>
      <x:c r="DT978" s="11"/>
      <x:c r="DU978" s="61"/>
      <x:c r="DV978" s="62"/>
    </x:row>
    <x:row r="979" spans="1:126" x14ac:dyDescent="0.3">
      <x:c r="A979" s="47"/>
      <x:c r="B979" s="70"/>
      <x:c r="C979" s="70"/>
      <x:c r="D979" s="70"/>
      <x:c r="E979" s="70"/>
      <x:c r="F979" s="70"/>
      <x:c r="G979" s="70"/>
      <x:c r="H979" s="70"/>
      <x:c r="I979" s="70"/>
      <x:c r="J979" s="70"/>
      <x:c r="K979" s="190"/>
      <x:c r="L979" s="195"/>
      <x:c r="M979" s="192"/>
      <x:c r="N979" s="192"/>
      <x:c r="O979" s="69"/>
      <x:c r="P979" s="47"/>
      <x:c r="Q979" s="60"/>
      <x:c r="R979" s="58"/>
      <x:c r="S979" s="47"/>
      <x:c r="T979" s="60"/>
      <x:c r="U979" s="58"/>
      <x:c r="V979" s="47"/>
      <x:c r="W979" s="60"/>
      <x:c r="X979" s="58"/>
      <x:c r="Y979" s="47"/>
      <x:c r="Z979" s="60"/>
      <x:c r="AA979" s="58"/>
      <x:c r="AB979" s="47"/>
      <x:c r="AC979" s="60"/>
      <x:c r="AD979" s="58"/>
      <x:c r="AE979" s="47"/>
      <x:c r="AF979" s="60"/>
      <x:c r="AG979" s="58"/>
      <x:c r="AH979" s="47"/>
      <x:c r="AI979" s="60"/>
      <x:c r="AJ979" s="58"/>
      <x:c r="AK979" s="47"/>
      <x:c r="AL979" s="60"/>
      <x:c r="AM979" s="58"/>
      <x:c r="AN979" s="47"/>
      <x:c r="AO979" s="60"/>
      <x:c r="AP979" s="58"/>
      <x:c r="AQ979" s="47"/>
      <x:c r="AR979" s="60"/>
      <x:c r="AS979" s="58"/>
      <x:c r="AT979" s="47"/>
      <x:c r="AU979" s="60"/>
      <x:c r="AV979" s="58"/>
      <x:c r="AW979" s="47"/>
      <x:c r="AX979" s="60"/>
      <x:c r="AY979" s="58"/>
      <x:c r="AZ979" s="47"/>
      <x:c r="BA979" s="60"/>
      <x:c r="BB979" s="58"/>
      <x:c r="BC979" s="47"/>
      <x:c r="BD979" s="60"/>
      <x:c r="BE979" s="58"/>
      <x:c r="BF979" s="47"/>
      <x:c r="BG979" s="60"/>
      <x:c r="BH979" s="58"/>
      <x:c r="BI979" s="47"/>
      <x:c r="BJ979" s="60"/>
      <x:c r="BK979" s="58"/>
      <x:c r="BL979" s="47"/>
      <x:c r="BM979" s="60"/>
      <x:c r="BN979" s="58"/>
      <x:c r="BO979" s="47"/>
      <x:c r="BP979" s="60"/>
      <x:c r="BQ979" s="58"/>
      <x:c r="BR979" s="47"/>
      <x:c r="BS979" s="60"/>
      <x:c r="BT979" s="58"/>
      <x:c r="BU979" s="47"/>
      <x:c r="BV979" s="60"/>
      <x:c r="BW979" s="58"/>
      <x:c r="BX979" s="47"/>
      <x:c r="BY979" s="60"/>
      <x:c r="BZ979" s="58"/>
      <x:c r="CA979" s="47"/>
      <x:c r="CB979" s="60"/>
      <x:c r="CC979" s="58"/>
      <x:c r="CD979" s="47"/>
      <x:c r="CE979" s="60"/>
      <x:c r="CF979" s="58"/>
      <x:c r="CG979" s="47"/>
      <x:c r="CH979" s="60"/>
      <x:c r="CI979" s="58"/>
      <x:c r="CJ979" s="47"/>
      <x:c r="CK979" s="60"/>
      <x:c r="CL979" s="58"/>
      <x:c r="CM979" s="47"/>
      <x:c r="CN979" s="60"/>
      <x:c r="CO979" s="58"/>
      <x:c r="CP979" s="47"/>
      <x:c r="CQ979" s="60"/>
      <x:c r="CR979" s="58"/>
      <x:c r="CS979" s="47"/>
      <x:c r="CT979" s="60"/>
      <x:c r="CU979" s="58"/>
      <x:c r="CV979" s="47"/>
      <x:c r="CW979" s="60"/>
      <x:c r="CX979" s="58"/>
      <x:c r="CY979" s="47"/>
      <x:c r="CZ979" s="60"/>
      <x:c r="DA979" s="58"/>
      <x:c r="DB979" s="47"/>
      <x:c r="DC979" s="60"/>
      <x:c r="DD979" s="58"/>
      <x:c r="DE979" s="47"/>
      <x:c r="DF979" s="60"/>
      <x:c r="DG979" s="58"/>
      <x:c r="DH979" s="47"/>
      <x:c r="DI979" s="60"/>
      <x:c r="DJ979" s="58"/>
      <x:c r="DK979" s="47"/>
      <x:c r="DL979" s="60"/>
      <x:c r="DM979" s="58"/>
      <x:c r="DN979" s="11"/>
      <x:c r="DO979" s="61"/>
      <x:c r="DP979" s="62"/>
      <x:c r="DQ979" s="11"/>
      <x:c r="DR979" s="61"/>
      <x:c r="DS979" s="62"/>
      <x:c r="DT979" s="11"/>
      <x:c r="DU979" s="61"/>
      <x:c r="DV979" s="62"/>
    </x:row>
    <x:row r="980" spans="1:126" x14ac:dyDescent="0.3">
      <x:c r="A980" s="47"/>
      <x:c r="B980" s="70"/>
      <x:c r="C980" s="70"/>
      <x:c r="D980" s="70"/>
      <x:c r="E980" s="70"/>
      <x:c r="F980" s="70"/>
      <x:c r="G980" s="70"/>
      <x:c r="H980" s="70"/>
      <x:c r="I980" s="70"/>
      <x:c r="J980" s="70"/>
      <x:c r="K980" s="190"/>
      <x:c r="L980" s="195"/>
      <x:c r="M980" s="192"/>
      <x:c r="N980" s="192"/>
      <x:c r="O980" s="69"/>
      <x:c r="P980" s="47"/>
      <x:c r="Q980" s="60"/>
      <x:c r="R980" s="58"/>
      <x:c r="S980" s="47"/>
      <x:c r="T980" s="60"/>
      <x:c r="U980" s="58"/>
      <x:c r="V980" s="47"/>
      <x:c r="W980" s="60"/>
      <x:c r="X980" s="58"/>
      <x:c r="Y980" s="47"/>
      <x:c r="Z980" s="60"/>
      <x:c r="AA980" s="58"/>
      <x:c r="AB980" s="47"/>
      <x:c r="AC980" s="60"/>
      <x:c r="AD980" s="58"/>
      <x:c r="AE980" s="47"/>
      <x:c r="AF980" s="60"/>
      <x:c r="AG980" s="58"/>
      <x:c r="AH980" s="47"/>
      <x:c r="AI980" s="60"/>
      <x:c r="AJ980" s="58"/>
      <x:c r="AK980" s="47"/>
      <x:c r="AL980" s="60"/>
      <x:c r="AM980" s="58"/>
      <x:c r="AN980" s="47"/>
      <x:c r="AO980" s="60"/>
      <x:c r="AP980" s="58"/>
      <x:c r="AQ980" s="47"/>
      <x:c r="AR980" s="60"/>
      <x:c r="AS980" s="58"/>
      <x:c r="AT980" s="47"/>
      <x:c r="AU980" s="60"/>
      <x:c r="AV980" s="58"/>
      <x:c r="AW980" s="47"/>
      <x:c r="AX980" s="60"/>
      <x:c r="AY980" s="58"/>
      <x:c r="AZ980" s="47"/>
      <x:c r="BA980" s="60"/>
      <x:c r="BB980" s="58"/>
      <x:c r="BC980" s="47"/>
      <x:c r="BD980" s="60"/>
      <x:c r="BE980" s="58"/>
      <x:c r="BF980" s="47"/>
      <x:c r="BG980" s="60"/>
      <x:c r="BH980" s="58"/>
      <x:c r="BI980" s="47"/>
      <x:c r="BJ980" s="60"/>
      <x:c r="BK980" s="58"/>
      <x:c r="BL980" s="47"/>
      <x:c r="BM980" s="60"/>
      <x:c r="BN980" s="58"/>
      <x:c r="BO980" s="47"/>
      <x:c r="BP980" s="60"/>
      <x:c r="BQ980" s="58"/>
      <x:c r="BR980" s="47"/>
      <x:c r="BS980" s="60"/>
      <x:c r="BT980" s="58"/>
      <x:c r="BU980" s="47"/>
      <x:c r="BV980" s="60"/>
      <x:c r="BW980" s="58"/>
      <x:c r="BX980" s="47"/>
      <x:c r="BY980" s="60"/>
      <x:c r="BZ980" s="58"/>
      <x:c r="CA980" s="47"/>
      <x:c r="CB980" s="60"/>
      <x:c r="CC980" s="58"/>
      <x:c r="CD980" s="47"/>
      <x:c r="CE980" s="60"/>
      <x:c r="CF980" s="58"/>
      <x:c r="CG980" s="47"/>
      <x:c r="CH980" s="60"/>
      <x:c r="CI980" s="58"/>
      <x:c r="CJ980" s="47"/>
      <x:c r="CK980" s="60"/>
      <x:c r="CL980" s="58"/>
      <x:c r="CM980" s="47"/>
      <x:c r="CN980" s="60"/>
      <x:c r="CO980" s="58"/>
      <x:c r="CP980" s="47"/>
      <x:c r="CQ980" s="60"/>
      <x:c r="CR980" s="58"/>
      <x:c r="CS980" s="47"/>
      <x:c r="CT980" s="60"/>
      <x:c r="CU980" s="58"/>
      <x:c r="CV980" s="47"/>
      <x:c r="CW980" s="60"/>
      <x:c r="CX980" s="58"/>
      <x:c r="CY980" s="47"/>
      <x:c r="CZ980" s="60"/>
      <x:c r="DA980" s="58"/>
      <x:c r="DB980" s="47"/>
      <x:c r="DC980" s="60"/>
      <x:c r="DD980" s="58"/>
      <x:c r="DE980" s="47"/>
      <x:c r="DF980" s="60"/>
      <x:c r="DG980" s="58"/>
      <x:c r="DH980" s="47"/>
      <x:c r="DI980" s="60"/>
      <x:c r="DJ980" s="58"/>
      <x:c r="DK980" s="47"/>
      <x:c r="DL980" s="60"/>
      <x:c r="DM980" s="58"/>
      <x:c r="DN980" s="11"/>
      <x:c r="DO980" s="61"/>
      <x:c r="DP980" s="62"/>
      <x:c r="DQ980" s="11"/>
      <x:c r="DR980" s="61"/>
      <x:c r="DS980" s="62"/>
      <x:c r="DT980" s="11"/>
      <x:c r="DU980" s="61"/>
      <x:c r="DV980" s="62"/>
    </x:row>
    <x:row r="981" spans="1:126" x14ac:dyDescent="0.3">
      <x:c r="A981" s="47"/>
      <x:c r="B981" s="70"/>
      <x:c r="C981" s="70"/>
      <x:c r="D981" s="70"/>
      <x:c r="E981" s="70"/>
      <x:c r="F981" s="70"/>
      <x:c r="G981" s="70"/>
      <x:c r="H981" s="70"/>
      <x:c r="I981" s="70"/>
      <x:c r="J981" s="70"/>
      <x:c r="K981" s="190"/>
      <x:c r="L981" s="195"/>
      <x:c r="M981" s="192"/>
      <x:c r="N981" s="192"/>
      <x:c r="O981" s="69"/>
      <x:c r="P981" s="47"/>
      <x:c r="Q981" s="60"/>
      <x:c r="R981" s="58"/>
      <x:c r="S981" s="47"/>
      <x:c r="T981" s="60"/>
      <x:c r="U981" s="58"/>
      <x:c r="V981" s="47"/>
      <x:c r="W981" s="60"/>
      <x:c r="X981" s="58"/>
      <x:c r="Y981" s="47"/>
      <x:c r="Z981" s="60"/>
      <x:c r="AA981" s="58"/>
      <x:c r="AB981" s="47"/>
      <x:c r="AC981" s="60"/>
      <x:c r="AD981" s="58"/>
      <x:c r="AE981" s="47"/>
      <x:c r="AF981" s="60"/>
      <x:c r="AG981" s="58"/>
      <x:c r="AH981" s="47"/>
      <x:c r="AI981" s="60"/>
      <x:c r="AJ981" s="58"/>
      <x:c r="AK981" s="47"/>
      <x:c r="AL981" s="60"/>
      <x:c r="AM981" s="58"/>
      <x:c r="AN981" s="47"/>
      <x:c r="AO981" s="60"/>
      <x:c r="AP981" s="58"/>
      <x:c r="AQ981" s="47"/>
      <x:c r="AR981" s="60"/>
      <x:c r="AS981" s="58"/>
      <x:c r="AT981" s="47"/>
      <x:c r="AU981" s="60"/>
      <x:c r="AV981" s="58"/>
      <x:c r="AW981" s="47"/>
      <x:c r="AX981" s="60"/>
      <x:c r="AY981" s="58"/>
      <x:c r="AZ981" s="47"/>
      <x:c r="BA981" s="60"/>
      <x:c r="BB981" s="58"/>
      <x:c r="BC981" s="47"/>
      <x:c r="BD981" s="60"/>
      <x:c r="BE981" s="58"/>
      <x:c r="BF981" s="47"/>
      <x:c r="BG981" s="60"/>
      <x:c r="BH981" s="58"/>
      <x:c r="BI981" s="47"/>
      <x:c r="BJ981" s="60"/>
      <x:c r="BK981" s="58"/>
      <x:c r="BL981" s="47"/>
      <x:c r="BM981" s="60"/>
      <x:c r="BN981" s="58"/>
      <x:c r="BO981" s="47"/>
      <x:c r="BP981" s="60"/>
      <x:c r="BQ981" s="58"/>
      <x:c r="BR981" s="47"/>
      <x:c r="BS981" s="60"/>
      <x:c r="BT981" s="58"/>
      <x:c r="BU981" s="47"/>
      <x:c r="BV981" s="60"/>
      <x:c r="BW981" s="58"/>
      <x:c r="BX981" s="47"/>
      <x:c r="BY981" s="60"/>
      <x:c r="BZ981" s="58"/>
      <x:c r="CA981" s="47"/>
      <x:c r="CB981" s="60"/>
      <x:c r="CC981" s="58"/>
      <x:c r="CD981" s="47"/>
      <x:c r="CE981" s="60"/>
      <x:c r="CF981" s="58"/>
      <x:c r="CG981" s="47"/>
      <x:c r="CH981" s="60"/>
      <x:c r="CI981" s="58"/>
      <x:c r="CJ981" s="47"/>
      <x:c r="CK981" s="60"/>
      <x:c r="CL981" s="58"/>
      <x:c r="CM981" s="47"/>
      <x:c r="CN981" s="60"/>
      <x:c r="CO981" s="58"/>
      <x:c r="CP981" s="47"/>
      <x:c r="CQ981" s="60"/>
      <x:c r="CR981" s="58"/>
      <x:c r="CS981" s="47"/>
      <x:c r="CT981" s="60"/>
      <x:c r="CU981" s="58"/>
      <x:c r="CV981" s="47"/>
      <x:c r="CW981" s="60"/>
      <x:c r="CX981" s="58"/>
      <x:c r="CY981" s="47"/>
      <x:c r="CZ981" s="60"/>
      <x:c r="DA981" s="58"/>
      <x:c r="DB981" s="47"/>
      <x:c r="DC981" s="60"/>
      <x:c r="DD981" s="58"/>
      <x:c r="DE981" s="47"/>
      <x:c r="DF981" s="60"/>
      <x:c r="DG981" s="58"/>
      <x:c r="DH981" s="47"/>
      <x:c r="DI981" s="60"/>
      <x:c r="DJ981" s="58"/>
      <x:c r="DK981" s="47"/>
      <x:c r="DL981" s="60"/>
      <x:c r="DM981" s="58"/>
      <x:c r="DN981" s="11"/>
      <x:c r="DO981" s="61"/>
      <x:c r="DP981" s="62"/>
      <x:c r="DQ981" s="11"/>
      <x:c r="DR981" s="61"/>
      <x:c r="DS981" s="62"/>
      <x:c r="DT981" s="11"/>
      <x:c r="DU981" s="61"/>
      <x:c r="DV981" s="62"/>
    </x:row>
    <x:row r="982" spans="1:126" x14ac:dyDescent="0.3">
      <x:c r="A982" s="47"/>
      <x:c r="B982" s="70"/>
      <x:c r="C982" s="70"/>
      <x:c r="D982" s="70"/>
      <x:c r="E982" s="70"/>
      <x:c r="F982" s="70"/>
      <x:c r="G982" s="70"/>
      <x:c r="H982" s="70"/>
      <x:c r="I982" s="70"/>
      <x:c r="J982" s="70"/>
      <x:c r="K982" s="190"/>
      <x:c r="L982" s="195"/>
      <x:c r="M982" s="192"/>
      <x:c r="N982" s="192"/>
      <x:c r="O982" s="69"/>
      <x:c r="P982" s="47"/>
      <x:c r="Q982" s="60"/>
      <x:c r="R982" s="58"/>
      <x:c r="S982" s="47"/>
      <x:c r="T982" s="60"/>
      <x:c r="U982" s="58"/>
      <x:c r="V982" s="47"/>
      <x:c r="W982" s="60"/>
      <x:c r="X982" s="58"/>
      <x:c r="Y982" s="47"/>
      <x:c r="Z982" s="60"/>
      <x:c r="AA982" s="58"/>
      <x:c r="AB982" s="47"/>
      <x:c r="AC982" s="60"/>
      <x:c r="AD982" s="58"/>
      <x:c r="AE982" s="47"/>
      <x:c r="AF982" s="60"/>
      <x:c r="AG982" s="58"/>
      <x:c r="AH982" s="47"/>
      <x:c r="AI982" s="60"/>
      <x:c r="AJ982" s="58"/>
      <x:c r="AK982" s="47"/>
      <x:c r="AL982" s="60"/>
      <x:c r="AM982" s="58"/>
      <x:c r="AN982" s="47"/>
      <x:c r="AO982" s="60"/>
      <x:c r="AP982" s="58"/>
      <x:c r="AQ982" s="47"/>
      <x:c r="AR982" s="60"/>
      <x:c r="AS982" s="58"/>
      <x:c r="AT982" s="47"/>
      <x:c r="AU982" s="60"/>
      <x:c r="AV982" s="58"/>
      <x:c r="AW982" s="47"/>
      <x:c r="AX982" s="60"/>
      <x:c r="AY982" s="58"/>
      <x:c r="AZ982" s="47"/>
      <x:c r="BA982" s="60"/>
      <x:c r="BB982" s="58"/>
      <x:c r="BC982" s="47"/>
      <x:c r="BD982" s="60"/>
      <x:c r="BE982" s="58"/>
      <x:c r="BF982" s="47"/>
      <x:c r="BG982" s="60"/>
      <x:c r="BH982" s="58"/>
      <x:c r="BI982" s="47"/>
      <x:c r="BJ982" s="60"/>
      <x:c r="BK982" s="58"/>
      <x:c r="BL982" s="47"/>
      <x:c r="BM982" s="60"/>
      <x:c r="BN982" s="58"/>
      <x:c r="BO982" s="47"/>
      <x:c r="BP982" s="60"/>
      <x:c r="BQ982" s="58"/>
      <x:c r="BR982" s="47"/>
      <x:c r="BS982" s="60"/>
      <x:c r="BT982" s="58"/>
      <x:c r="BU982" s="47"/>
      <x:c r="BV982" s="60"/>
      <x:c r="BW982" s="58"/>
      <x:c r="BX982" s="47"/>
      <x:c r="BY982" s="60"/>
      <x:c r="BZ982" s="58"/>
      <x:c r="CA982" s="47"/>
      <x:c r="CB982" s="60"/>
      <x:c r="CC982" s="58"/>
      <x:c r="CD982" s="47"/>
      <x:c r="CE982" s="60"/>
      <x:c r="CF982" s="58"/>
      <x:c r="CG982" s="47"/>
      <x:c r="CH982" s="60"/>
      <x:c r="CI982" s="58"/>
      <x:c r="CJ982" s="47"/>
      <x:c r="CK982" s="60"/>
      <x:c r="CL982" s="58"/>
      <x:c r="CM982" s="47"/>
      <x:c r="CN982" s="60"/>
      <x:c r="CO982" s="58"/>
      <x:c r="CP982" s="47"/>
      <x:c r="CQ982" s="60"/>
      <x:c r="CR982" s="58"/>
      <x:c r="CS982" s="47"/>
      <x:c r="CT982" s="60"/>
      <x:c r="CU982" s="58"/>
      <x:c r="CV982" s="47"/>
      <x:c r="CW982" s="60"/>
      <x:c r="CX982" s="58"/>
      <x:c r="CY982" s="47"/>
      <x:c r="CZ982" s="60"/>
      <x:c r="DA982" s="58"/>
      <x:c r="DB982" s="47"/>
      <x:c r="DC982" s="60"/>
      <x:c r="DD982" s="58"/>
      <x:c r="DE982" s="47"/>
      <x:c r="DF982" s="60"/>
      <x:c r="DG982" s="58"/>
      <x:c r="DH982" s="47"/>
      <x:c r="DI982" s="60"/>
      <x:c r="DJ982" s="58"/>
      <x:c r="DK982" s="47"/>
      <x:c r="DL982" s="60"/>
      <x:c r="DM982" s="58"/>
      <x:c r="DN982" s="11"/>
      <x:c r="DO982" s="61"/>
      <x:c r="DP982" s="62"/>
      <x:c r="DQ982" s="11"/>
      <x:c r="DR982" s="61"/>
      <x:c r="DS982" s="62"/>
      <x:c r="DT982" s="11"/>
      <x:c r="DU982" s="61"/>
      <x:c r="DV982" s="62"/>
    </x:row>
    <x:row r="983" spans="1:126" x14ac:dyDescent="0.3">
      <x:c r="A983" s="47"/>
      <x:c r="B983" s="70"/>
      <x:c r="C983" s="70"/>
      <x:c r="D983" s="70"/>
      <x:c r="E983" s="70"/>
      <x:c r="F983" s="70"/>
      <x:c r="G983" s="70"/>
      <x:c r="H983" s="70"/>
      <x:c r="I983" s="70"/>
      <x:c r="J983" s="70"/>
      <x:c r="K983" s="190"/>
      <x:c r="L983" s="195"/>
      <x:c r="M983" s="192"/>
      <x:c r="N983" s="192"/>
      <x:c r="O983" s="69"/>
      <x:c r="P983" s="47"/>
      <x:c r="Q983" s="60"/>
      <x:c r="R983" s="58"/>
      <x:c r="S983" s="47"/>
      <x:c r="T983" s="60"/>
      <x:c r="U983" s="58"/>
      <x:c r="V983" s="47"/>
      <x:c r="W983" s="60"/>
      <x:c r="X983" s="58"/>
      <x:c r="Y983" s="47"/>
      <x:c r="Z983" s="60"/>
      <x:c r="AA983" s="58"/>
      <x:c r="AB983" s="47"/>
      <x:c r="AC983" s="60"/>
      <x:c r="AD983" s="58"/>
      <x:c r="AE983" s="47"/>
      <x:c r="AF983" s="60"/>
      <x:c r="AG983" s="58"/>
      <x:c r="AH983" s="47"/>
      <x:c r="AI983" s="60"/>
      <x:c r="AJ983" s="58"/>
      <x:c r="AK983" s="47"/>
      <x:c r="AL983" s="60"/>
      <x:c r="AM983" s="58"/>
      <x:c r="AN983" s="47"/>
      <x:c r="AO983" s="60"/>
      <x:c r="AP983" s="58"/>
      <x:c r="AQ983" s="47"/>
      <x:c r="AR983" s="60"/>
      <x:c r="AS983" s="58"/>
      <x:c r="AT983" s="47"/>
      <x:c r="AU983" s="60"/>
      <x:c r="AV983" s="58"/>
      <x:c r="AW983" s="47"/>
      <x:c r="AX983" s="60"/>
      <x:c r="AY983" s="58"/>
      <x:c r="AZ983" s="47"/>
      <x:c r="BA983" s="60"/>
      <x:c r="BB983" s="58"/>
      <x:c r="BC983" s="47"/>
      <x:c r="BD983" s="60"/>
      <x:c r="BE983" s="58"/>
      <x:c r="BF983" s="47"/>
      <x:c r="BG983" s="60"/>
      <x:c r="BH983" s="58"/>
      <x:c r="BI983" s="47"/>
      <x:c r="BJ983" s="60"/>
      <x:c r="BK983" s="58"/>
      <x:c r="BL983" s="47"/>
      <x:c r="BM983" s="60"/>
      <x:c r="BN983" s="58"/>
      <x:c r="BO983" s="47"/>
      <x:c r="BP983" s="60"/>
      <x:c r="BQ983" s="58"/>
      <x:c r="BR983" s="47"/>
      <x:c r="BS983" s="60"/>
      <x:c r="BT983" s="58"/>
      <x:c r="BU983" s="47"/>
      <x:c r="BV983" s="60"/>
      <x:c r="BW983" s="58"/>
      <x:c r="BX983" s="47"/>
      <x:c r="BY983" s="60"/>
      <x:c r="BZ983" s="58"/>
      <x:c r="CA983" s="47"/>
      <x:c r="CB983" s="60"/>
      <x:c r="CC983" s="58"/>
      <x:c r="CD983" s="47"/>
      <x:c r="CE983" s="60"/>
      <x:c r="CF983" s="58"/>
      <x:c r="CG983" s="47"/>
      <x:c r="CH983" s="60"/>
      <x:c r="CI983" s="58"/>
      <x:c r="CJ983" s="47"/>
      <x:c r="CK983" s="60"/>
      <x:c r="CL983" s="58"/>
      <x:c r="CM983" s="47"/>
      <x:c r="CN983" s="60"/>
      <x:c r="CO983" s="58"/>
      <x:c r="CP983" s="47"/>
      <x:c r="CQ983" s="60"/>
      <x:c r="CR983" s="58"/>
      <x:c r="CS983" s="47"/>
      <x:c r="CT983" s="60"/>
      <x:c r="CU983" s="58"/>
      <x:c r="CV983" s="47"/>
      <x:c r="CW983" s="60"/>
      <x:c r="CX983" s="58"/>
      <x:c r="CY983" s="47"/>
      <x:c r="CZ983" s="60"/>
      <x:c r="DA983" s="58"/>
      <x:c r="DB983" s="47"/>
      <x:c r="DC983" s="60"/>
      <x:c r="DD983" s="58"/>
      <x:c r="DE983" s="47"/>
      <x:c r="DF983" s="60"/>
      <x:c r="DG983" s="58"/>
      <x:c r="DH983" s="47"/>
      <x:c r="DI983" s="60"/>
      <x:c r="DJ983" s="58"/>
      <x:c r="DK983" s="47"/>
      <x:c r="DL983" s="60"/>
      <x:c r="DM983" s="58"/>
      <x:c r="DN983" s="11"/>
      <x:c r="DO983" s="61"/>
      <x:c r="DP983" s="62"/>
      <x:c r="DQ983" s="11"/>
      <x:c r="DR983" s="61"/>
      <x:c r="DS983" s="62"/>
      <x:c r="DT983" s="11"/>
      <x:c r="DU983" s="61"/>
      <x:c r="DV983" s="62"/>
    </x:row>
    <x:row r="984" spans="1:126" x14ac:dyDescent="0.3">
      <x:c r="A984" s="47"/>
      <x:c r="B984" s="70"/>
      <x:c r="C984" s="70"/>
      <x:c r="D984" s="70"/>
      <x:c r="E984" s="70"/>
      <x:c r="F984" s="70"/>
      <x:c r="G984" s="70"/>
      <x:c r="H984" s="70"/>
      <x:c r="I984" s="70"/>
      <x:c r="J984" s="70"/>
      <x:c r="K984" s="190"/>
      <x:c r="L984" s="195"/>
      <x:c r="M984" s="192"/>
      <x:c r="N984" s="192"/>
      <x:c r="O984" s="69"/>
      <x:c r="P984" s="47"/>
      <x:c r="Q984" s="60"/>
      <x:c r="R984" s="58"/>
      <x:c r="S984" s="47"/>
      <x:c r="T984" s="60"/>
      <x:c r="U984" s="58"/>
      <x:c r="V984" s="47"/>
      <x:c r="W984" s="60"/>
      <x:c r="X984" s="58"/>
      <x:c r="Y984" s="47"/>
      <x:c r="Z984" s="60"/>
      <x:c r="AA984" s="58"/>
      <x:c r="AB984" s="47"/>
      <x:c r="AC984" s="60"/>
      <x:c r="AD984" s="58"/>
      <x:c r="AE984" s="47"/>
      <x:c r="AF984" s="60"/>
      <x:c r="AG984" s="58"/>
      <x:c r="AH984" s="47"/>
      <x:c r="AI984" s="60"/>
      <x:c r="AJ984" s="58"/>
      <x:c r="AK984" s="47"/>
      <x:c r="AL984" s="60"/>
      <x:c r="AM984" s="58"/>
      <x:c r="AN984" s="47"/>
      <x:c r="AO984" s="60"/>
      <x:c r="AP984" s="58"/>
      <x:c r="AQ984" s="47"/>
      <x:c r="AR984" s="60"/>
      <x:c r="AS984" s="58"/>
      <x:c r="AT984" s="47"/>
      <x:c r="AU984" s="60"/>
      <x:c r="AV984" s="58"/>
      <x:c r="AW984" s="47"/>
      <x:c r="AX984" s="60"/>
      <x:c r="AY984" s="58"/>
      <x:c r="AZ984" s="47"/>
      <x:c r="BA984" s="60"/>
      <x:c r="BB984" s="58"/>
      <x:c r="BC984" s="47"/>
      <x:c r="BD984" s="60"/>
      <x:c r="BE984" s="58"/>
      <x:c r="BF984" s="47"/>
      <x:c r="BG984" s="60"/>
      <x:c r="BH984" s="58"/>
      <x:c r="BI984" s="47"/>
      <x:c r="BJ984" s="60"/>
      <x:c r="BK984" s="58"/>
      <x:c r="BL984" s="47"/>
      <x:c r="BM984" s="60"/>
      <x:c r="BN984" s="58"/>
      <x:c r="BO984" s="47"/>
      <x:c r="BP984" s="60"/>
      <x:c r="BQ984" s="58"/>
      <x:c r="BR984" s="47"/>
      <x:c r="BS984" s="60"/>
      <x:c r="BT984" s="58"/>
      <x:c r="BU984" s="47"/>
      <x:c r="BV984" s="60"/>
      <x:c r="BW984" s="58"/>
      <x:c r="BX984" s="47"/>
      <x:c r="BY984" s="60"/>
      <x:c r="BZ984" s="58"/>
      <x:c r="CA984" s="47"/>
      <x:c r="CB984" s="60"/>
      <x:c r="CC984" s="58"/>
      <x:c r="CD984" s="47"/>
      <x:c r="CE984" s="60"/>
      <x:c r="CF984" s="58"/>
      <x:c r="CG984" s="47"/>
      <x:c r="CH984" s="60"/>
      <x:c r="CI984" s="58"/>
      <x:c r="CJ984" s="47"/>
      <x:c r="CK984" s="60"/>
      <x:c r="CL984" s="58"/>
      <x:c r="CM984" s="47"/>
      <x:c r="CN984" s="60"/>
      <x:c r="CO984" s="58"/>
      <x:c r="CP984" s="47"/>
      <x:c r="CQ984" s="60"/>
      <x:c r="CR984" s="58"/>
      <x:c r="CS984" s="47"/>
      <x:c r="CT984" s="60"/>
      <x:c r="CU984" s="58"/>
      <x:c r="CV984" s="47"/>
      <x:c r="CW984" s="60"/>
      <x:c r="CX984" s="58"/>
      <x:c r="CY984" s="47"/>
      <x:c r="CZ984" s="60"/>
      <x:c r="DA984" s="58"/>
      <x:c r="DB984" s="47"/>
      <x:c r="DC984" s="60"/>
      <x:c r="DD984" s="58"/>
      <x:c r="DE984" s="47"/>
      <x:c r="DF984" s="60"/>
      <x:c r="DG984" s="58"/>
      <x:c r="DH984" s="47"/>
      <x:c r="DI984" s="60"/>
      <x:c r="DJ984" s="58"/>
      <x:c r="DK984" s="47"/>
      <x:c r="DL984" s="60"/>
      <x:c r="DM984" s="58"/>
      <x:c r="DN984" s="11"/>
      <x:c r="DO984" s="61"/>
      <x:c r="DP984" s="62"/>
      <x:c r="DQ984" s="11"/>
      <x:c r="DR984" s="61"/>
      <x:c r="DS984" s="62"/>
      <x:c r="DT984" s="11"/>
      <x:c r="DU984" s="61"/>
      <x:c r="DV984" s="62"/>
    </x:row>
    <x:row r="985" spans="1:126" x14ac:dyDescent="0.3">
      <x:c r="A985" s="47"/>
      <x:c r="B985" s="70"/>
      <x:c r="C985" s="70"/>
      <x:c r="D985" s="70"/>
      <x:c r="E985" s="70"/>
      <x:c r="F985" s="70"/>
      <x:c r="G985" s="70"/>
      <x:c r="H985" s="70"/>
      <x:c r="I985" s="70"/>
      <x:c r="J985" s="70"/>
      <x:c r="K985" s="190"/>
      <x:c r="L985" s="195"/>
      <x:c r="M985" s="192"/>
      <x:c r="N985" s="192"/>
      <x:c r="O985" s="69"/>
      <x:c r="P985" s="47"/>
      <x:c r="Q985" s="60"/>
      <x:c r="R985" s="58"/>
      <x:c r="S985" s="47"/>
      <x:c r="T985" s="60"/>
      <x:c r="U985" s="58"/>
      <x:c r="V985" s="47"/>
      <x:c r="W985" s="60"/>
      <x:c r="X985" s="58"/>
      <x:c r="Y985" s="47"/>
      <x:c r="Z985" s="60"/>
      <x:c r="AA985" s="58"/>
      <x:c r="AB985" s="47"/>
      <x:c r="AC985" s="60"/>
      <x:c r="AD985" s="58"/>
      <x:c r="AE985" s="47"/>
      <x:c r="AF985" s="60"/>
      <x:c r="AG985" s="58"/>
      <x:c r="AH985" s="47"/>
      <x:c r="AI985" s="60"/>
      <x:c r="AJ985" s="58"/>
      <x:c r="AK985" s="47"/>
      <x:c r="AL985" s="60"/>
      <x:c r="AM985" s="58"/>
      <x:c r="AN985" s="47"/>
      <x:c r="AO985" s="60"/>
      <x:c r="AP985" s="58"/>
      <x:c r="AQ985" s="47"/>
      <x:c r="AR985" s="60"/>
      <x:c r="AS985" s="58"/>
      <x:c r="AT985" s="47"/>
      <x:c r="AU985" s="60"/>
      <x:c r="AV985" s="58"/>
      <x:c r="AW985" s="47"/>
      <x:c r="AX985" s="60"/>
      <x:c r="AY985" s="58"/>
      <x:c r="AZ985" s="47"/>
      <x:c r="BA985" s="60"/>
      <x:c r="BB985" s="58"/>
      <x:c r="BC985" s="47"/>
      <x:c r="BD985" s="60"/>
      <x:c r="BE985" s="58"/>
      <x:c r="BF985" s="47"/>
      <x:c r="BG985" s="60"/>
      <x:c r="BH985" s="58"/>
      <x:c r="BI985" s="47"/>
      <x:c r="BJ985" s="60"/>
      <x:c r="BK985" s="58"/>
      <x:c r="BL985" s="47"/>
      <x:c r="BM985" s="60"/>
      <x:c r="BN985" s="58"/>
      <x:c r="BO985" s="47"/>
      <x:c r="BP985" s="60"/>
      <x:c r="BQ985" s="58"/>
      <x:c r="BR985" s="47"/>
      <x:c r="BS985" s="60"/>
      <x:c r="BT985" s="58"/>
      <x:c r="BU985" s="47"/>
      <x:c r="BV985" s="60"/>
      <x:c r="BW985" s="58"/>
      <x:c r="BX985" s="47"/>
      <x:c r="BY985" s="60"/>
      <x:c r="BZ985" s="58"/>
      <x:c r="CA985" s="47"/>
      <x:c r="CB985" s="60"/>
      <x:c r="CC985" s="58"/>
      <x:c r="CD985" s="47"/>
      <x:c r="CE985" s="60"/>
      <x:c r="CF985" s="58"/>
      <x:c r="CG985" s="47"/>
      <x:c r="CH985" s="60"/>
      <x:c r="CI985" s="58"/>
      <x:c r="CJ985" s="47"/>
      <x:c r="CK985" s="60"/>
      <x:c r="CL985" s="58"/>
      <x:c r="CM985" s="47"/>
      <x:c r="CN985" s="60"/>
      <x:c r="CO985" s="58"/>
      <x:c r="CP985" s="47"/>
      <x:c r="CQ985" s="60"/>
      <x:c r="CR985" s="58"/>
      <x:c r="CS985" s="47"/>
      <x:c r="CT985" s="60"/>
      <x:c r="CU985" s="58"/>
      <x:c r="CV985" s="47"/>
      <x:c r="CW985" s="60"/>
      <x:c r="CX985" s="58"/>
      <x:c r="CY985" s="47"/>
      <x:c r="CZ985" s="60"/>
      <x:c r="DA985" s="58"/>
      <x:c r="DB985" s="47"/>
      <x:c r="DC985" s="60"/>
      <x:c r="DD985" s="58"/>
      <x:c r="DE985" s="47"/>
      <x:c r="DF985" s="60"/>
      <x:c r="DG985" s="58"/>
      <x:c r="DH985" s="47"/>
      <x:c r="DI985" s="60"/>
      <x:c r="DJ985" s="58"/>
      <x:c r="DK985" s="47"/>
      <x:c r="DL985" s="60"/>
      <x:c r="DM985" s="58"/>
      <x:c r="DN985" s="11"/>
      <x:c r="DO985" s="61"/>
      <x:c r="DP985" s="62"/>
      <x:c r="DQ985" s="11"/>
      <x:c r="DR985" s="61"/>
      <x:c r="DS985" s="62"/>
      <x:c r="DT985" s="11"/>
      <x:c r="DU985" s="61"/>
      <x:c r="DV985" s="62"/>
    </x:row>
    <x:row r="986" spans="1:126" x14ac:dyDescent="0.3">
      <x:c r="A986" s="47"/>
      <x:c r="B986" s="70"/>
      <x:c r="C986" s="70"/>
      <x:c r="D986" s="70"/>
      <x:c r="E986" s="70"/>
      <x:c r="F986" s="70"/>
      <x:c r="G986" s="70"/>
      <x:c r="H986" s="70"/>
      <x:c r="I986" s="70"/>
      <x:c r="J986" s="70"/>
      <x:c r="K986" s="190"/>
      <x:c r="L986" s="195"/>
      <x:c r="M986" s="192"/>
      <x:c r="N986" s="192"/>
      <x:c r="O986" s="69"/>
      <x:c r="P986" s="47"/>
      <x:c r="Q986" s="60"/>
      <x:c r="R986" s="58"/>
      <x:c r="S986" s="47"/>
      <x:c r="T986" s="60"/>
      <x:c r="U986" s="58"/>
      <x:c r="V986" s="47"/>
      <x:c r="W986" s="60"/>
      <x:c r="X986" s="58"/>
      <x:c r="Y986" s="47"/>
      <x:c r="Z986" s="60"/>
      <x:c r="AA986" s="58"/>
      <x:c r="AB986" s="47"/>
      <x:c r="AC986" s="60"/>
      <x:c r="AD986" s="58"/>
      <x:c r="AE986" s="47"/>
      <x:c r="AF986" s="60"/>
      <x:c r="AG986" s="58"/>
      <x:c r="AH986" s="47"/>
      <x:c r="AI986" s="60"/>
      <x:c r="AJ986" s="58"/>
      <x:c r="AK986" s="47"/>
      <x:c r="AL986" s="60"/>
      <x:c r="AM986" s="58"/>
      <x:c r="AN986" s="47"/>
      <x:c r="AO986" s="60"/>
      <x:c r="AP986" s="58"/>
      <x:c r="AQ986" s="47"/>
      <x:c r="AR986" s="60"/>
      <x:c r="AS986" s="58"/>
      <x:c r="AT986" s="47"/>
      <x:c r="AU986" s="60"/>
      <x:c r="AV986" s="58"/>
      <x:c r="AW986" s="47"/>
      <x:c r="AX986" s="60"/>
      <x:c r="AY986" s="58"/>
      <x:c r="AZ986" s="47"/>
      <x:c r="BA986" s="60"/>
      <x:c r="BB986" s="58"/>
      <x:c r="BC986" s="47"/>
      <x:c r="BD986" s="60"/>
      <x:c r="BE986" s="58"/>
      <x:c r="BF986" s="47"/>
      <x:c r="BG986" s="60"/>
      <x:c r="BH986" s="58"/>
      <x:c r="BI986" s="47"/>
      <x:c r="BJ986" s="60"/>
      <x:c r="BK986" s="58"/>
      <x:c r="BL986" s="47"/>
      <x:c r="BM986" s="60"/>
      <x:c r="BN986" s="58"/>
      <x:c r="BO986" s="47"/>
      <x:c r="BP986" s="60"/>
      <x:c r="BQ986" s="58"/>
      <x:c r="BR986" s="47"/>
      <x:c r="BS986" s="60"/>
      <x:c r="BT986" s="58"/>
      <x:c r="BU986" s="47"/>
      <x:c r="BV986" s="60"/>
      <x:c r="BW986" s="58"/>
      <x:c r="BX986" s="47"/>
      <x:c r="BY986" s="60"/>
      <x:c r="BZ986" s="58"/>
      <x:c r="CA986" s="47"/>
      <x:c r="CB986" s="60"/>
      <x:c r="CC986" s="58"/>
      <x:c r="CD986" s="47"/>
      <x:c r="CE986" s="60"/>
      <x:c r="CF986" s="58"/>
      <x:c r="CG986" s="47"/>
      <x:c r="CH986" s="60"/>
      <x:c r="CI986" s="58"/>
      <x:c r="CJ986" s="47"/>
      <x:c r="CK986" s="60"/>
      <x:c r="CL986" s="58"/>
      <x:c r="CM986" s="47"/>
      <x:c r="CN986" s="60"/>
      <x:c r="CO986" s="58"/>
      <x:c r="CP986" s="47"/>
      <x:c r="CQ986" s="60"/>
      <x:c r="CR986" s="58"/>
      <x:c r="CS986" s="47"/>
      <x:c r="CT986" s="60"/>
      <x:c r="CU986" s="58"/>
      <x:c r="CV986" s="47"/>
      <x:c r="CW986" s="60"/>
      <x:c r="CX986" s="58"/>
      <x:c r="CY986" s="47"/>
      <x:c r="CZ986" s="60"/>
      <x:c r="DA986" s="58"/>
      <x:c r="DB986" s="47"/>
      <x:c r="DC986" s="60"/>
      <x:c r="DD986" s="58"/>
      <x:c r="DE986" s="47"/>
      <x:c r="DF986" s="60"/>
      <x:c r="DG986" s="58"/>
      <x:c r="DH986" s="47"/>
      <x:c r="DI986" s="60"/>
      <x:c r="DJ986" s="58"/>
      <x:c r="DK986" s="47"/>
      <x:c r="DL986" s="60"/>
      <x:c r="DM986" s="58"/>
      <x:c r="DN986" s="11"/>
      <x:c r="DO986" s="61"/>
      <x:c r="DP986" s="62"/>
      <x:c r="DQ986" s="11"/>
      <x:c r="DR986" s="61"/>
      <x:c r="DS986" s="62"/>
      <x:c r="DT986" s="11"/>
      <x:c r="DU986" s="61"/>
      <x:c r="DV986" s="62"/>
    </x:row>
    <x:row r="987" spans="1:126" x14ac:dyDescent="0.3">
      <x:c r="A987" s="47"/>
      <x:c r="B987" s="70"/>
      <x:c r="C987" s="70"/>
      <x:c r="D987" s="70"/>
      <x:c r="E987" s="70"/>
      <x:c r="F987" s="70"/>
      <x:c r="G987" s="70"/>
      <x:c r="H987" s="70"/>
      <x:c r="I987" s="70"/>
      <x:c r="J987" s="70"/>
      <x:c r="K987" s="190"/>
      <x:c r="L987" s="195"/>
      <x:c r="M987" s="192"/>
      <x:c r="N987" s="192"/>
      <x:c r="O987" s="69"/>
      <x:c r="P987" s="47"/>
      <x:c r="Q987" s="60"/>
      <x:c r="R987" s="58"/>
      <x:c r="S987" s="47"/>
      <x:c r="T987" s="60"/>
      <x:c r="U987" s="58"/>
      <x:c r="V987" s="47"/>
      <x:c r="W987" s="60"/>
      <x:c r="X987" s="58"/>
      <x:c r="Y987" s="47"/>
      <x:c r="Z987" s="60"/>
      <x:c r="AA987" s="58"/>
      <x:c r="AB987" s="47"/>
      <x:c r="AC987" s="60"/>
      <x:c r="AD987" s="58"/>
      <x:c r="AE987" s="47"/>
      <x:c r="AF987" s="60"/>
      <x:c r="AG987" s="58"/>
      <x:c r="AH987" s="47"/>
      <x:c r="AI987" s="60"/>
      <x:c r="AJ987" s="58"/>
      <x:c r="AK987" s="47"/>
      <x:c r="AL987" s="60"/>
      <x:c r="AM987" s="58"/>
      <x:c r="AN987" s="47"/>
      <x:c r="AO987" s="60"/>
      <x:c r="AP987" s="58"/>
      <x:c r="AQ987" s="47"/>
      <x:c r="AR987" s="60"/>
      <x:c r="AS987" s="58"/>
      <x:c r="AT987" s="47"/>
      <x:c r="AU987" s="60"/>
      <x:c r="AV987" s="58"/>
      <x:c r="AW987" s="47"/>
      <x:c r="AX987" s="60"/>
      <x:c r="AY987" s="58"/>
      <x:c r="AZ987" s="47"/>
      <x:c r="BA987" s="60"/>
      <x:c r="BB987" s="58"/>
      <x:c r="BC987" s="47"/>
      <x:c r="BD987" s="60"/>
      <x:c r="BE987" s="58"/>
      <x:c r="BF987" s="47"/>
      <x:c r="BG987" s="60"/>
      <x:c r="BH987" s="58"/>
      <x:c r="BI987" s="47"/>
      <x:c r="BJ987" s="60"/>
      <x:c r="BK987" s="58"/>
      <x:c r="BL987" s="47"/>
      <x:c r="BM987" s="60"/>
      <x:c r="BN987" s="58"/>
      <x:c r="BO987" s="47"/>
      <x:c r="BP987" s="60"/>
      <x:c r="BQ987" s="58"/>
      <x:c r="BR987" s="47"/>
      <x:c r="BS987" s="60"/>
      <x:c r="BT987" s="58"/>
      <x:c r="BU987" s="47"/>
      <x:c r="BV987" s="60"/>
      <x:c r="BW987" s="58"/>
      <x:c r="BX987" s="47"/>
      <x:c r="BY987" s="60"/>
      <x:c r="BZ987" s="58"/>
      <x:c r="CA987" s="47"/>
      <x:c r="CB987" s="60"/>
      <x:c r="CC987" s="58"/>
      <x:c r="CD987" s="47"/>
      <x:c r="CE987" s="60"/>
      <x:c r="CF987" s="58"/>
      <x:c r="CG987" s="47"/>
      <x:c r="CH987" s="60"/>
      <x:c r="CI987" s="58"/>
      <x:c r="CJ987" s="47"/>
      <x:c r="CK987" s="60"/>
      <x:c r="CL987" s="58"/>
      <x:c r="CM987" s="47"/>
      <x:c r="CN987" s="60"/>
      <x:c r="CO987" s="58"/>
      <x:c r="CP987" s="47"/>
      <x:c r="CQ987" s="60"/>
      <x:c r="CR987" s="58"/>
      <x:c r="CS987" s="47"/>
      <x:c r="CT987" s="60"/>
      <x:c r="CU987" s="58"/>
      <x:c r="CV987" s="47"/>
      <x:c r="CW987" s="60"/>
      <x:c r="CX987" s="58"/>
      <x:c r="CY987" s="47"/>
      <x:c r="CZ987" s="60"/>
      <x:c r="DA987" s="58"/>
      <x:c r="DB987" s="47"/>
      <x:c r="DC987" s="60"/>
      <x:c r="DD987" s="58"/>
      <x:c r="DE987" s="47"/>
      <x:c r="DF987" s="60"/>
      <x:c r="DG987" s="58"/>
      <x:c r="DH987" s="47"/>
      <x:c r="DI987" s="60"/>
      <x:c r="DJ987" s="58"/>
      <x:c r="DK987" s="47"/>
      <x:c r="DL987" s="60"/>
      <x:c r="DM987" s="58"/>
      <x:c r="DN987" s="11"/>
      <x:c r="DO987" s="61"/>
      <x:c r="DP987" s="62"/>
      <x:c r="DQ987" s="11"/>
      <x:c r="DR987" s="61"/>
      <x:c r="DS987" s="62"/>
      <x:c r="DT987" s="11"/>
      <x:c r="DU987" s="61"/>
      <x:c r="DV987" s="62"/>
    </x:row>
    <x:row r="988" spans="1:126" x14ac:dyDescent="0.3">
      <x:c r="A988" s="47"/>
      <x:c r="B988" s="70"/>
      <x:c r="C988" s="70"/>
      <x:c r="D988" s="70"/>
      <x:c r="E988" s="70"/>
      <x:c r="F988" s="70"/>
      <x:c r="G988" s="70"/>
      <x:c r="H988" s="70"/>
      <x:c r="I988" s="70"/>
      <x:c r="J988" s="70"/>
      <x:c r="K988" s="190"/>
      <x:c r="L988" s="195"/>
      <x:c r="M988" s="192"/>
      <x:c r="N988" s="192"/>
      <x:c r="O988" s="69"/>
      <x:c r="P988" s="47"/>
      <x:c r="Q988" s="60"/>
      <x:c r="R988" s="58"/>
      <x:c r="S988" s="47"/>
      <x:c r="T988" s="60"/>
      <x:c r="U988" s="58"/>
      <x:c r="V988" s="47"/>
      <x:c r="W988" s="60"/>
      <x:c r="X988" s="58"/>
      <x:c r="Y988" s="47"/>
      <x:c r="Z988" s="60"/>
      <x:c r="AA988" s="58"/>
      <x:c r="AB988" s="47"/>
      <x:c r="AC988" s="60"/>
      <x:c r="AD988" s="58"/>
      <x:c r="AE988" s="47"/>
      <x:c r="AF988" s="60"/>
      <x:c r="AG988" s="58"/>
      <x:c r="AH988" s="47"/>
      <x:c r="AI988" s="60"/>
      <x:c r="AJ988" s="58"/>
      <x:c r="AK988" s="47"/>
      <x:c r="AL988" s="60"/>
      <x:c r="AM988" s="58"/>
      <x:c r="AN988" s="47"/>
      <x:c r="AO988" s="60"/>
      <x:c r="AP988" s="58"/>
      <x:c r="AQ988" s="47"/>
      <x:c r="AR988" s="60"/>
      <x:c r="AS988" s="58"/>
      <x:c r="AT988" s="47"/>
      <x:c r="AU988" s="60"/>
      <x:c r="AV988" s="58"/>
      <x:c r="AW988" s="47"/>
      <x:c r="AX988" s="60"/>
      <x:c r="AY988" s="58"/>
      <x:c r="AZ988" s="47"/>
      <x:c r="BA988" s="60"/>
      <x:c r="BB988" s="58"/>
      <x:c r="BC988" s="47"/>
      <x:c r="BD988" s="60"/>
      <x:c r="BE988" s="58"/>
      <x:c r="BF988" s="47"/>
      <x:c r="BG988" s="60"/>
      <x:c r="BH988" s="58"/>
      <x:c r="BI988" s="47"/>
      <x:c r="BJ988" s="60"/>
      <x:c r="BK988" s="58"/>
      <x:c r="BL988" s="47"/>
      <x:c r="BM988" s="60"/>
      <x:c r="BN988" s="58"/>
      <x:c r="BO988" s="47"/>
      <x:c r="BP988" s="60"/>
      <x:c r="BQ988" s="58"/>
      <x:c r="BR988" s="47"/>
      <x:c r="BS988" s="60"/>
      <x:c r="BT988" s="58"/>
      <x:c r="BU988" s="47"/>
      <x:c r="BV988" s="60"/>
      <x:c r="BW988" s="58"/>
      <x:c r="BX988" s="47"/>
      <x:c r="BY988" s="60"/>
      <x:c r="BZ988" s="58"/>
      <x:c r="CA988" s="47"/>
      <x:c r="CB988" s="60"/>
      <x:c r="CC988" s="58"/>
      <x:c r="CD988" s="47"/>
      <x:c r="CE988" s="60"/>
      <x:c r="CF988" s="58"/>
      <x:c r="CG988" s="47"/>
      <x:c r="CH988" s="60"/>
      <x:c r="CI988" s="58"/>
      <x:c r="CJ988" s="47"/>
      <x:c r="CK988" s="60"/>
      <x:c r="CL988" s="58"/>
      <x:c r="CM988" s="47"/>
      <x:c r="CN988" s="60"/>
      <x:c r="CO988" s="58"/>
      <x:c r="CP988" s="47"/>
      <x:c r="CQ988" s="60"/>
      <x:c r="CR988" s="58"/>
      <x:c r="CS988" s="47"/>
      <x:c r="CT988" s="60"/>
      <x:c r="CU988" s="58"/>
      <x:c r="CV988" s="47"/>
      <x:c r="CW988" s="60"/>
      <x:c r="CX988" s="58"/>
      <x:c r="CY988" s="47"/>
      <x:c r="CZ988" s="60"/>
      <x:c r="DA988" s="58"/>
      <x:c r="DB988" s="47"/>
      <x:c r="DC988" s="60"/>
      <x:c r="DD988" s="58"/>
      <x:c r="DE988" s="47"/>
      <x:c r="DF988" s="60"/>
      <x:c r="DG988" s="58"/>
      <x:c r="DH988" s="47"/>
      <x:c r="DI988" s="60"/>
      <x:c r="DJ988" s="58"/>
      <x:c r="DK988" s="47"/>
      <x:c r="DL988" s="60"/>
      <x:c r="DM988" s="58"/>
      <x:c r="DN988" s="11"/>
      <x:c r="DO988" s="61"/>
      <x:c r="DP988" s="62"/>
      <x:c r="DQ988" s="11"/>
      <x:c r="DR988" s="61"/>
      <x:c r="DS988" s="62"/>
      <x:c r="DT988" s="11"/>
      <x:c r="DU988" s="61"/>
      <x:c r="DV988" s="62"/>
    </x:row>
    <x:row r="989" spans="1:126" x14ac:dyDescent="0.3">
      <x:c r="A989" s="47"/>
      <x:c r="B989" s="70"/>
      <x:c r="C989" s="70"/>
      <x:c r="D989" s="70"/>
      <x:c r="E989" s="70"/>
      <x:c r="F989" s="70"/>
      <x:c r="G989" s="70"/>
      <x:c r="H989" s="70"/>
      <x:c r="I989" s="70"/>
      <x:c r="J989" s="70"/>
      <x:c r="K989" s="190"/>
      <x:c r="L989" s="195"/>
      <x:c r="M989" s="192"/>
      <x:c r="N989" s="192"/>
      <x:c r="O989" s="69"/>
      <x:c r="P989" s="47"/>
      <x:c r="Q989" s="60"/>
      <x:c r="R989" s="58"/>
      <x:c r="S989" s="47"/>
      <x:c r="T989" s="60"/>
      <x:c r="U989" s="58"/>
      <x:c r="V989" s="47"/>
      <x:c r="W989" s="60"/>
      <x:c r="X989" s="58"/>
      <x:c r="Y989" s="47"/>
      <x:c r="Z989" s="60"/>
      <x:c r="AA989" s="58"/>
      <x:c r="AB989" s="47"/>
      <x:c r="AC989" s="60"/>
      <x:c r="AD989" s="58"/>
      <x:c r="AE989" s="47"/>
      <x:c r="AF989" s="60"/>
      <x:c r="AG989" s="58"/>
      <x:c r="AH989" s="47"/>
      <x:c r="AI989" s="60"/>
      <x:c r="AJ989" s="58"/>
      <x:c r="AK989" s="47"/>
      <x:c r="AL989" s="60"/>
      <x:c r="AM989" s="58"/>
      <x:c r="AN989" s="47"/>
      <x:c r="AO989" s="60"/>
      <x:c r="AP989" s="58"/>
      <x:c r="AQ989" s="47"/>
      <x:c r="AR989" s="60"/>
      <x:c r="AS989" s="58"/>
      <x:c r="AT989" s="47"/>
      <x:c r="AU989" s="60"/>
      <x:c r="AV989" s="58"/>
      <x:c r="AW989" s="47"/>
      <x:c r="AX989" s="60"/>
      <x:c r="AY989" s="58"/>
      <x:c r="AZ989" s="47"/>
      <x:c r="BA989" s="60"/>
      <x:c r="BB989" s="58"/>
      <x:c r="BC989" s="47"/>
      <x:c r="BD989" s="60"/>
      <x:c r="BE989" s="58"/>
      <x:c r="BF989" s="47"/>
      <x:c r="BG989" s="60"/>
      <x:c r="BH989" s="58"/>
      <x:c r="BI989" s="47"/>
      <x:c r="BJ989" s="60"/>
      <x:c r="BK989" s="58"/>
      <x:c r="BL989" s="47"/>
      <x:c r="BM989" s="60"/>
      <x:c r="BN989" s="58"/>
      <x:c r="BO989" s="47"/>
      <x:c r="BP989" s="60"/>
      <x:c r="BQ989" s="58"/>
      <x:c r="BR989" s="47"/>
      <x:c r="BS989" s="60"/>
      <x:c r="BT989" s="58"/>
      <x:c r="BU989" s="47"/>
      <x:c r="BV989" s="60"/>
      <x:c r="BW989" s="58"/>
      <x:c r="BX989" s="47"/>
      <x:c r="BY989" s="60"/>
      <x:c r="BZ989" s="58"/>
      <x:c r="CA989" s="47"/>
      <x:c r="CB989" s="60"/>
      <x:c r="CC989" s="58"/>
      <x:c r="CD989" s="47"/>
      <x:c r="CE989" s="60"/>
      <x:c r="CF989" s="58"/>
      <x:c r="CG989" s="47"/>
      <x:c r="CH989" s="60"/>
      <x:c r="CI989" s="58"/>
      <x:c r="CJ989" s="47"/>
      <x:c r="CK989" s="60"/>
      <x:c r="CL989" s="58"/>
      <x:c r="CM989" s="47"/>
      <x:c r="CN989" s="60"/>
      <x:c r="CO989" s="58"/>
      <x:c r="CP989" s="47"/>
      <x:c r="CQ989" s="60"/>
      <x:c r="CR989" s="58"/>
      <x:c r="CS989" s="47"/>
      <x:c r="CT989" s="60"/>
      <x:c r="CU989" s="58"/>
      <x:c r="CV989" s="47"/>
      <x:c r="CW989" s="60"/>
      <x:c r="CX989" s="58"/>
      <x:c r="CY989" s="47"/>
      <x:c r="CZ989" s="60"/>
      <x:c r="DA989" s="58"/>
      <x:c r="DB989" s="47"/>
      <x:c r="DC989" s="60"/>
      <x:c r="DD989" s="58"/>
      <x:c r="DE989" s="47"/>
      <x:c r="DF989" s="60"/>
      <x:c r="DG989" s="58"/>
      <x:c r="DH989" s="47"/>
      <x:c r="DI989" s="60"/>
      <x:c r="DJ989" s="58"/>
      <x:c r="DK989" s="47"/>
      <x:c r="DL989" s="60"/>
      <x:c r="DM989" s="58"/>
      <x:c r="DN989" s="11"/>
      <x:c r="DO989" s="61"/>
      <x:c r="DP989" s="62"/>
      <x:c r="DQ989" s="11"/>
      <x:c r="DR989" s="61"/>
      <x:c r="DS989" s="62"/>
      <x:c r="DT989" s="11"/>
      <x:c r="DU989" s="61"/>
      <x:c r="DV989" s="62"/>
    </x:row>
    <x:row r="990" spans="1:126" x14ac:dyDescent="0.3">
      <x:c r="A990" s="47"/>
      <x:c r="B990" s="70"/>
      <x:c r="C990" s="70"/>
      <x:c r="D990" s="70"/>
      <x:c r="E990" s="70"/>
      <x:c r="F990" s="70"/>
      <x:c r="G990" s="70"/>
      <x:c r="H990" s="70"/>
      <x:c r="I990" s="70"/>
      <x:c r="J990" s="70"/>
      <x:c r="K990" s="190"/>
      <x:c r="L990" s="195"/>
      <x:c r="M990" s="192"/>
      <x:c r="N990" s="192"/>
      <x:c r="O990" s="69"/>
      <x:c r="P990" s="47"/>
      <x:c r="Q990" s="60"/>
      <x:c r="R990" s="58"/>
      <x:c r="S990" s="47"/>
      <x:c r="T990" s="60"/>
      <x:c r="U990" s="58"/>
      <x:c r="V990" s="47"/>
      <x:c r="W990" s="60"/>
      <x:c r="X990" s="58"/>
      <x:c r="Y990" s="47"/>
      <x:c r="Z990" s="60"/>
      <x:c r="AA990" s="58"/>
      <x:c r="AB990" s="47"/>
      <x:c r="AC990" s="60"/>
      <x:c r="AD990" s="58"/>
      <x:c r="AE990" s="47"/>
      <x:c r="AF990" s="60"/>
      <x:c r="AG990" s="58"/>
      <x:c r="AH990" s="47"/>
      <x:c r="AI990" s="60"/>
      <x:c r="AJ990" s="58"/>
      <x:c r="AK990" s="47"/>
      <x:c r="AL990" s="60"/>
      <x:c r="AM990" s="58"/>
      <x:c r="AN990" s="47"/>
      <x:c r="AO990" s="60"/>
      <x:c r="AP990" s="58"/>
      <x:c r="AQ990" s="47"/>
      <x:c r="AR990" s="60"/>
      <x:c r="AS990" s="58"/>
      <x:c r="AT990" s="47"/>
      <x:c r="AU990" s="60"/>
      <x:c r="AV990" s="58"/>
      <x:c r="AW990" s="47"/>
      <x:c r="AX990" s="60"/>
      <x:c r="AY990" s="58"/>
      <x:c r="AZ990" s="47"/>
      <x:c r="BA990" s="60"/>
      <x:c r="BB990" s="58"/>
      <x:c r="BC990" s="47"/>
      <x:c r="BD990" s="60"/>
      <x:c r="BE990" s="58"/>
      <x:c r="BF990" s="47"/>
      <x:c r="BG990" s="60"/>
      <x:c r="BH990" s="58"/>
      <x:c r="BI990" s="47"/>
      <x:c r="BJ990" s="60"/>
      <x:c r="BK990" s="58"/>
      <x:c r="BL990" s="47"/>
      <x:c r="BM990" s="60"/>
      <x:c r="BN990" s="58"/>
      <x:c r="BO990" s="47"/>
      <x:c r="BP990" s="60"/>
      <x:c r="BQ990" s="58"/>
      <x:c r="BR990" s="47"/>
      <x:c r="BS990" s="60"/>
      <x:c r="BT990" s="58"/>
      <x:c r="BU990" s="47"/>
      <x:c r="BV990" s="60"/>
      <x:c r="BW990" s="58"/>
      <x:c r="BX990" s="47"/>
      <x:c r="BY990" s="60"/>
      <x:c r="BZ990" s="58"/>
      <x:c r="CA990" s="47"/>
      <x:c r="CB990" s="60"/>
      <x:c r="CC990" s="58"/>
      <x:c r="CD990" s="47"/>
      <x:c r="CE990" s="60"/>
      <x:c r="CF990" s="58"/>
      <x:c r="CG990" s="47"/>
      <x:c r="CH990" s="60"/>
      <x:c r="CI990" s="58"/>
      <x:c r="CJ990" s="47"/>
      <x:c r="CK990" s="60"/>
      <x:c r="CL990" s="58"/>
      <x:c r="CM990" s="47"/>
      <x:c r="CN990" s="60"/>
      <x:c r="CO990" s="58"/>
      <x:c r="CP990" s="47"/>
      <x:c r="CQ990" s="60"/>
      <x:c r="CR990" s="58"/>
      <x:c r="CS990" s="47"/>
      <x:c r="CT990" s="60"/>
      <x:c r="CU990" s="58"/>
      <x:c r="CV990" s="47"/>
      <x:c r="CW990" s="60"/>
      <x:c r="CX990" s="58"/>
      <x:c r="CY990" s="47"/>
      <x:c r="CZ990" s="60"/>
      <x:c r="DA990" s="58"/>
      <x:c r="DB990" s="47"/>
      <x:c r="DC990" s="60"/>
      <x:c r="DD990" s="58"/>
      <x:c r="DE990" s="47"/>
      <x:c r="DF990" s="60"/>
      <x:c r="DG990" s="58"/>
      <x:c r="DH990" s="47"/>
      <x:c r="DI990" s="60"/>
      <x:c r="DJ990" s="58"/>
      <x:c r="DK990" s="47"/>
      <x:c r="DL990" s="60"/>
      <x:c r="DM990" s="58"/>
      <x:c r="DN990" s="11"/>
      <x:c r="DO990" s="61"/>
      <x:c r="DP990" s="62"/>
      <x:c r="DQ990" s="11"/>
      <x:c r="DR990" s="61"/>
      <x:c r="DS990" s="62"/>
      <x:c r="DT990" s="11"/>
      <x:c r="DU990" s="61"/>
      <x:c r="DV990" s="62"/>
    </x:row>
    <x:row r="991" spans="1:126" x14ac:dyDescent="0.3">
      <x:c r="A991" s="47"/>
      <x:c r="B991" s="70"/>
      <x:c r="C991" s="70"/>
      <x:c r="D991" s="70"/>
      <x:c r="E991" s="70"/>
      <x:c r="F991" s="70"/>
      <x:c r="G991" s="70"/>
      <x:c r="H991" s="70"/>
      <x:c r="I991" s="70"/>
      <x:c r="J991" s="70"/>
      <x:c r="K991" s="190"/>
      <x:c r="L991" s="195"/>
      <x:c r="M991" s="192"/>
      <x:c r="N991" s="192"/>
      <x:c r="O991" s="69"/>
      <x:c r="P991" s="47"/>
      <x:c r="Q991" s="60"/>
      <x:c r="R991" s="58"/>
      <x:c r="S991" s="47"/>
      <x:c r="T991" s="60"/>
      <x:c r="U991" s="58"/>
      <x:c r="V991" s="47"/>
      <x:c r="W991" s="60"/>
      <x:c r="X991" s="58"/>
      <x:c r="Y991" s="47"/>
      <x:c r="Z991" s="60"/>
      <x:c r="AA991" s="58"/>
      <x:c r="AB991" s="47"/>
      <x:c r="AC991" s="60"/>
      <x:c r="AD991" s="58"/>
      <x:c r="AE991" s="47"/>
      <x:c r="AF991" s="60"/>
      <x:c r="AG991" s="58"/>
      <x:c r="AH991" s="47"/>
      <x:c r="AI991" s="60"/>
      <x:c r="AJ991" s="58"/>
      <x:c r="AK991" s="47"/>
      <x:c r="AL991" s="60"/>
      <x:c r="AM991" s="58"/>
      <x:c r="AN991" s="47"/>
      <x:c r="AO991" s="60"/>
      <x:c r="AP991" s="58"/>
      <x:c r="AQ991" s="47"/>
      <x:c r="AR991" s="60"/>
      <x:c r="AS991" s="58"/>
      <x:c r="AT991" s="47"/>
      <x:c r="AU991" s="60"/>
      <x:c r="AV991" s="58"/>
      <x:c r="AW991" s="47"/>
      <x:c r="AX991" s="60"/>
      <x:c r="AY991" s="58"/>
      <x:c r="AZ991" s="47"/>
      <x:c r="BA991" s="60"/>
      <x:c r="BB991" s="58"/>
      <x:c r="BC991" s="47"/>
      <x:c r="BD991" s="60"/>
      <x:c r="BE991" s="58"/>
      <x:c r="BF991" s="47"/>
      <x:c r="BG991" s="60"/>
      <x:c r="BH991" s="58"/>
      <x:c r="BI991" s="47"/>
      <x:c r="BJ991" s="60"/>
      <x:c r="BK991" s="58"/>
      <x:c r="BL991" s="47"/>
      <x:c r="BM991" s="60"/>
      <x:c r="BN991" s="58"/>
      <x:c r="BO991" s="47"/>
      <x:c r="BP991" s="60"/>
      <x:c r="BQ991" s="58"/>
      <x:c r="BR991" s="47"/>
      <x:c r="BS991" s="60"/>
      <x:c r="BT991" s="58"/>
      <x:c r="BU991" s="47"/>
      <x:c r="BV991" s="60"/>
      <x:c r="BW991" s="58"/>
      <x:c r="BX991" s="47"/>
      <x:c r="BY991" s="60"/>
      <x:c r="BZ991" s="58"/>
      <x:c r="CA991" s="47"/>
      <x:c r="CB991" s="60"/>
      <x:c r="CC991" s="58"/>
      <x:c r="CD991" s="47"/>
      <x:c r="CE991" s="60"/>
      <x:c r="CF991" s="58"/>
      <x:c r="CG991" s="47"/>
      <x:c r="CH991" s="60"/>
      <x:c r="CI991" s="58"/>
      <x:c r="CJ991" s="47"/>
      <x:c r="CK991" s="60"/>
      <x:c r="CL991" s="58"/>
      <x:c r="CM991" s="47"/>
      <x:c r="CN991" s="60"/>
      <x:c r="CO991" s="58"/>
      <x:c r="CP991" s="47"/>
      <x:c r="CQ991" s="60"/>
      <x:c r="CR991" s="58"/>
      <x:c r="CS991" s="47"/>
      <x:c r="CT991" s="60"/>
      <x:c r="CU991" s="58"/>
      <x:c r="CV991" s="47"/>
      <x:c r="CW991" s="60"/>
      <x:c r="CX991" s="58"/>
      <x:c r="CY991" s="47"/>
      <x:c r="CZ991" s="60"/>
      <x:c r="DA991" s="58"/>
      <x:c r="DB991" s="47"/>
      <x:c r="DC991" s="60"/>
      <x:c r="DD991" s="58"/>
      <x:c r="DE991" s="47"/>
      <x:c r="DF991" s="60"/>
      <x:c r="DG991" s="58"/>
      <x:c r="DH991" s="47"/>
      <x:c r="DI991" s="60"/>
      <x:c r="DJ991" s="58"/>
      <x:c r="DK991" s="47"/>
      <x:c r="DL991" s="60"/>
      <x:c r="DM991" s="58"/>
      <x:c r="DN991" s="11"/>
      <x:c r="DO991" s="61"/>
      <x:c r="DP991" s="62"/>
      <x:c r="DQ991" s="11"/>
      <x:c r="DR991" s="61"/>
      <x:c r="DS991" s="62"/>
      <x:c r="DT991" s="11"/>
      <x:c r="DU991" s="61"/>
      <x:c r="DV991" s="62"/>
    </x:row>
    <x:row r="992" spans="1:126" x14ac:dyDescent="0.3">
      <x:c r="A992" s="47"/>
      <x:c r="B992" s="70"/>
      <x:c r="C992" s="70"/>
      <x:c r="D992" s="70"/>
      <x:c r="E992" s="70"/>
      <x:c r="F992" s="70"/>
      <x:c r="G992" s="70"/>
      <x:c r="H992" s="70"/>
      <x:c r="I992" s="70"/>
      <x:c r="J992" s="70"/>
      <x:c r="K992" s="190"/>
      <x:c r="L992" s="195"/>
      <x:c r="M992" s="192"/>
      <x:c r="N992" s="192"/>
      <x:c r="O992" s="69"/>
      <x:c r="P992" s="47"/>
      <x:c r="Q992" s="60"/>
      <x:c r="R992" s="58"/>
      <x:c r="S992" s="47"/>
      <x:c r="T992" s="60"/>
      <x:c r="U992" s="58"/>
      <x:c r="V992" s="47"/>
      <x:c r="W992" s="60"/>
      <x:c r="X992" s="58"/>
      <x:c r="Y992" s="47"/>
      <x:c r="Z992" s="60"/>
      <x:c r="AA992" s="58"/>
      <x:c r="AB992" s="47"/>
      <x:c r="AC992" s="60"/>
      <x:c r="AD992" s="58"/>
      <x:c r="AE992" s="47"/>
      <x:c r="AF992" s="60"/>
      <x:c r="AG992" s="58"/>
      <x:c r="AH992" s="47"/>
      <x:c r="AI992" s="60"/>
      <x:c r="AJ992" s="58"/>
      <x:c r="AK992" s="47"/>
      <x:c r="AL992" s="60"/>
      <x:c r="AM992" s="58"/>
      <x:c r="AN992" s="47"/>
      <x:c r="AO992" s="60"/>
      <x:c r="AP992" s="58"/>
      <x:c r="AQ992" s="47"/>
      <x:c r="AR992" s="60"/>
      <x:c r="AS992" s="58"/>
      <x:c r="AT992" s="47"/>
      <x:c r="AU992" s="60"/>
      <x:c r="AV992" s="58"/>
      <x:c r="AW992" s="47"/>
      <x:c r="AX992" s="60"/>
      <x:c r="AY992" s="58"/>
      <x:c r="AZ992" s="47"/>
      <x:c r="BA992" s="60"/>
      <x:c r="BB992" s="58"/>
      <x:c r="BC992" s="47"/>
      <x:c r="BD992" s="60"/>
      <x:c r="BE992" s="58"/>
      <x:c r="BF992" s="47"/>
      <x:c r="BG992" s="60"/>
      <x:c r="BH992" s="58"/>
      <x:c r="BI992" s="47"/>
      <x:c r="BJ992" s="60"/>
      <x:c r="BK992" s="58"/>
      <x:c r="BL992" s="47"/>
      <x:c r="BM992" s="60"/>
      <x:c r="BN992" s="58"/>
      <x:c r="BO992" s="47"/>
      <x:c r="BP992" s="60"/>
      <x:c r="BQ992" s="58"/>
      <x:c r="BR992" s="47"/>
      <x:c r="BS992" s="60"/>
      <x:c r="BT992" s="58"/>
      <x:c r="BU992" s="47"/>
      <x:c r="BV992" s="60"/>
      <x:c r="BW992" s="58"/>
      <x:c r="BX992" s="47"/>
      <x:c r="BY992" s="60"/>
      <x:c r="BZ992" s="58"/>
      <x:c r="CA992" s="47"/>
      <x:c r="CB992" s="60"/>
      <x:c r="CC992" s="58"/>
      <x:c r="CD992" s="47"/>
      <x:c r="CE992" s="60"/>
      <x:c r="CF992" s="58"/>
      <x:c r="CG992" s="47"/>
      <x:c r="CH992" s="60"/>
      <x:c r="CI992" s="58"/>
      <x:c r="CJ992" s="47"/>
      <x:c r="CK992" s="60"/>
      <x:c r="CL992" s="58"/>
      <x:c r="CM992" s="47"/>
      <x:c r="CN992" s="60"/>
      <x:c r="CO992" s="58"/>
      <x:c r="CP992" s="47"/>
      <x:c r="CQ992" s="60"/>
      <x:c r="CR992" s="58"/>
      <x:c r="CS992" s="47"/>
      <x:c r="CT992" s="60"/>
      <x:c r="CU992" s="58"/>
      <x:c r="CV992" s="47"/>
      <x:c r="CW992" s="60"/>
      <x:c r="CX992" s="58"/>
      <x:c r="CY992" s="47"/>
      <x:c r="CZ992" s="60"/>
      <x:c r="DA992" s="58"/>
      <x:c r="DB992" s="47"/>
      <x:c r="DC992" s="60"/>
      <x:c r="DD992" s="58"/>
      <x:c r="DE992" s="47"/>
      <x:c r="DF992" s="60"/>
      <x:c r="DG992" s="58"/>
      <x:c r="DH992" s="47"/>
      <x:c r="DI992" s="60"/>
      <x:c r="DJ992" s="58"/>
      <x:c r="DK992" s="47"/>
      <x:c r="DL992" s="60"/>
      <x:c r="DM992" s="58"/>
      <x:c r="DN992" s="11"/>
      <x:c r="DO992" s="61"/>
      <x:c r="DP992" s="62"/>
      <x:c r="DQ992" s="11"/>
      <x:c r="DR992" s="61"/>
      <x:c r="DS992" s="62"/>
      <x:c r="DT992" s="11"/>
      <x:c r="DU992" s="61"/>
      <x:c r="DV992" s="62"/>
    </x:row>
    <x:row r="993" spans="1:126" x14ac:dyDescent="0.3">
      <x:c r="A993" s="47"/>
      <x:c r="B993" s="70"/>
      <x:c r="C993" s="70"/>
      <x:c r="D993" s="70"/>
      <x:c r="E993" s="70"/>
      <x:c r="F993" s="70"/>
      <x:c r="G993" s="70"/>
      <x:c r="H993" s="70"/>
      <x:c r="I993" s="70"/>
      <x:c r="J993" s="70"/>
      <x:c r="K993" s="190"/>
      <x:c r="L993" s="195"/>
      <x:c r="M993" s="192"/>
      <x:c r="N993" s="192"/>
      <x:c r="O993" s="69"/>
      <x:c r="P993" s="47"/>
      <x:c r="Q993" s="60"/>
      <x:c r="R993" s="58"/>
      <x:c r="S993" s="47"/>
      <x:c r="T993" s="60"/>
      <x:c r="U993" s="58"/>
      <x:c r="V993" s="47"/>
      <x:c r="W993" s="60"/>
      <x:c r="X993" s="58"/>
      <x:c r="Y993" s="47"/>
      <x:c r="Z993" s="60"/>
      <x:c r="AA993" s="58"/>
      <x:c r="AB993" s="47"/>
      <x:c r="AC993" s="60"/>
      <x:c r="AD993" s="58"/>
      <x:c r="AE993" s="47"/>
      <x:c r="AF993" s="60"/>
      <x:c r="AG993" s="58"/>
      <x:c r="AH993" s="47"/>
      <x:c r="AI993" s="60"/>
      <x:c r="AJ993" s="58"/>
      <x:c r="AK993" s="47"/>
      <x:c r="AL993" s="60"/>
      <x:c r="AM993" s="58"/>
      <x:c r="AN993" s="47"/>
      <x:c r="AO993" s="60"/>
      <x:c r="AP993" s="58"/>
      <x:c r="AQ993" s="47"/>
      <x:c r="AR993" s="60"/>
      <x:c r="AS993" s="58"/>
      <x:c r="AT993" s="47"/>
      <x:c r="AU993" s="60"/>
      <x:c r="AV993" s="58"/>
      <x:c r="AW993" s="47"/>
      <x:c r="AX993" s="60"/>
      <x:c r="AY993" s="58"/>
      <x:c r="AZ993" s="47"/>
      <x:c r="BA993" s="60"/>
      <x:c r="BB993" s="58"/>
      <x:c r="BC993" s="47"/>
      <x:c r="BD993" s="60"/>
      <x:c r="BE993" s="58"/>
      <x:c r="BF993" s="47"/>
      <x:c r="BG993" s="60"/>
      <x:c r="BH993" s="58"/>
      <x:c r="BI993" s="47"/>
      <x:c r="BJ993" s="60"/>
      <x:c r="BK993" s="58"/>
      <x:c r="BL993" s="47"/>
      <x:c r="BM993" s="60"/>
      <x:c r="BN993" s="58"/>
      <x:c r="BO993" s="47"/>
      <x:c r="BP993" s="60"/>
      <x:c r="BQ993" s="58"/>
      <x:c r="BR993" s="47"/>
      <x:c r="BS993" s="60"/>
      <x:c r="BT993" s="58"/>
      <x:c r="BU993" s="47"/>
      <x:c r="BV993" s="60"/>
      <x:c r="BW993" s="58"/>
      <x:c r="BX993" s="47"/>
      <x:c r="BY993" s="60"/>
      <x:c r="BZ993" s="58"/>
      <x:c r="CA993" s="47"/>
      <x:c r="CB993" s="60"/>
      <x:c r="CC993" s="58"/>
      <x:c r="CD993" s="47"/>
      <x:c r="CE993" s="60"/>
      <x:c r="CF993" s="58"/>
      <x:c r="CG993" s="47"/>
      <x:c r="CH993" s="60"/>
      <x:c r="CI993" s="58"/>
      <x:c r="CJ993" s="47"/>
      <x:c r="CK993" s="60"/>
      <x:c r="CL993" s="58"/>
      <x:c r="CM993" s="47"/>
      <x:c r="CN993" s="60"/>
      <x:c r="CO993" s="58"/>
      <x:c r="CP993" s="47"/>
      <x:c r="CQ993" s="60"/>
      <x:c r="CR993" s="58"/>
      <x:c r="CS993" s="47"/>
      <x:c r="CT993" s="60"/>
      <x:c r="CU993" s="58"/>
      <x:c r="CV993" s="47"/>
      <x:c r="CW993" s="60"/>
      <x:c r="CX993" s="58"/>
      <x:c r="CY993" s="47"/>
      <x:c r="CZ993" s="60"/>
      <x:c r="DA993" s="58"/>
      <x:c r="DB993" s="47"/>
      <x:c r="DC993" s="60"/>
      <x:c r="DD993" s="58"/>
      <x:c r="DE993" s="47"/>
      <x:c r="DF993" s="60"/>
      <x:c r="DG993" s="58"/>
      <x:c r="DH993" s="47"/>
      <x:c r="DI993" s="60"/>
      <x:c r="DJ993" s="58"/>
      <x:c r="DK993" s="47"/>
      <x:c r="DL993" s="60"/>
      <x:c r="DM993" s="58"/>
      <x:c r="DN993" s="11"/>
      <x:c r="DO993" s="61"/>
      <x:c r="DP993" s="62"/>
      <x:c r="DQ993" s="11"/>
      <x:c r="DR993" s="61"/>
      <x:c r="DS993" s="62"/>
      <x:c r="DT993" s="11"/>
      <x:c r="DU993" s="61"/>
      <x:c r="DV993" s="62"/>
    </x:row>
    <x:row r="994" spans="1:126" x14ac:dyDescent="0.3">
      <x:c r="A994" s="47"/>
      <x:c r="B994" s="70"/>
      <x:c r="C994" s="70"/>
      <x:c r="D994" s="70"/>
      <x:c r="E994" s="70"/>
      <x:c r="F994" s="70"/>
      <x:c r="G994" s="70"/>
      <x:c r="H994" s="70"/>
      <x:c r="I994" s="70"/>
      <x:c r="J994" s="70"/>
      <x:c r="K994" s="190"/>
      <x:c r="L994" s="195"/>
      <x:c r="M994" s="192"/>
      <x:c r="N994" s="192"/>
      <x:c r="O994" s="69"/>
      <x:c r="P994" s="47"/>
      <x:c r="Q994" s="60"/>
      <x:c r="R994" s="58"/>
      <x:c r="S994" s="47"/>
      <x:c r="T994" s="60"/>
      <x:c r="U994" s="58"/>
      <x:c r="V994" s="47"/>
      <x:c r="W994" s="60"/>
      <x:c r="X994" s="58"/>
      <x:c r="Y994" s="47"/>
      <x:c r="Z994" s="60"/>
      <x:c r="AA994" s="58"/>
      <x:c r="AB994" s="47"/>
      <x:c r="AC994" s="60"/>
      <x:c r="AD994" s="58"/>
      <x:c r="AE994" s="47"/>
      <x:c r="AF994" s="60"/>
      <x:c r="AG994" s="58"/>
      <x:c r="AH994" s="47"/>
      <x:c r="AI994" s="60"/>
      <x:c r="AJ994" s="58"/>
      <x:c r="AK994" s="47"/>
      <x:c r="AL994" s="60"/>
      <x:c r="AM994" s="58"/>
      <x:c r="AN994" s="47"/>
      <x:c r="AO994" s="60"/>
      <x:c r="AP994" s="58"/>
      <x:c r="AQ994" s="47"/>
      <x:c r="AR994" s="60"/>
      <x:c r="AS994" s="58"/>
      <x:c r="AT994" s="47"/>
      <x:c r="AU994" s="60"/>
      <x:c r="AV994" s="58"/>
      <x:c r="AW994" s="47"/>
      <x:c r="AX994" s="60"/>
      <x:c r="AY994" s="58"/>
      <x:c r="AZ994" s="47"/>
      <x:c r="BA994" s="60"/>
      <x:c r="BB994" s="58"/>
      <x:c r="BC994" s="47"/>
      <x:c r="BD994" s="60"/>
      <x:c r="BE994" s="58"/>
      <x:c r="BF994" s="47"/>
      <x:c r="BG994" s="60"/>
      <x:c r="BH994" s="58"/>
      <x:c r="BI994" s="47"/>
      <x:c r="BJ994" s="60"/>
      <x:c r="BK994" s="58"/>
      <x:c r="BL994" s="47"/>
      <x:c r="BM994" s="60"/>
      <x:c r="BN994" s="58"/>
      <x:c r="BO994" s="47"/>
      <x:c r="BP994" s="60"/>
      <x:c r="BQ994" s="58"/>
      <x:c r="BR994" s="47"/>
      <x:c r="BS994" s="60"/>
      <x:c r="BT994" s="58"/>
      <x:c r="BU994" s="47"/>
      <x:c r="BV994" s="60"/>
      <x:c r="BW994" s="58"/>
      <x:c r="BX994" s="47"/>
      <x:c r="BY994" s="60"/>
      <x:c r="BZ994" s="58"/>
      <x:c r="CA994" s="47"/>
      <x:c r="CB994" s="60"/>
      <x:c r="CC994" s="58"/>
      <x:c r="CD994" s="47"/>
      <x:c r="CE994" s="60"/>
      <x:c r="CF994" s="58"/>
      <x:c r="CG994" s="47"/>
      <x:c r="CH994" s="60"/>
      <x:c r="CI994" s="58"/>
      <x:c r="CJ994" s="47"/>
      <x:c r="CK994" s="60"/>
      <x:c r="CL994" s="58"/>
      <x:c r="CM994" s="47"/>
      <x:c r="CN994" s="60"/>
      <x:c r="CO994" s="58"/>
      <x:c r="CP994" s="47"/>
      <x:c r="CQ994" s="60"/>
      <x:c r="CR994" s="58"/>
      <x:c r="CS994" s="47"/>
      <x:c r="CT994" s="60"/>
      <x:c r="CU994" s="58"/>
      <x:c r="CV994" s="47"/>
      <x:c r="CW994" s="60"/>
      <x:c r="CX994" s="58"/>
      <x:c r="CY994" s="47"/>
      <x:c r="CZ994" s="60"/>
      <x:c r="DA994" s="58"/>
      <x:c r="DB994" s="47"/>
      <x:c r="DC994" s="60"/>
      <x:c r="DD994" s="58"/>
      <x:c r="DE994" s="47"/>
      <x:c r="DF994" s="60"/>
      <x:c r="DG994" s="58"/>
      <x:c r="DH994" s="47"/>
      <x:c r="DI994" s="60"/>
      <x:c r="DJ994" s="58"/>
      <x:c r="DK994" s="47"/>
      <x:c r="DL994" s="60"/>
      <x:c r="DM994" s="58"/>
      <x:c r="DN994" s="11"/>
      <x:c r="DO994" s="61"/>
      <x:c r="DP994" s="62"/>
      <x:c r="DQ994" s="11"/>
      <x:c r="DR994" s="61"/>
      <x:c r="DS994" s="62"/>
      <x:c r="DT994" s="11"/>
      <x:c r="DU994" s="61"/>
      <x:c r="DV994" s="62"/>
    </x:row>
    <x:row r="995" spans="1:126" x14ac:dyDescent="0.3">
      <x:c r="A995" s="47"/>
      <x:c r="B995" s="70"/>
      <x:c r="C995" s="70"/>
      <x:c r="D995" s="70"/>
      <x:c r="E995" s="70"/>
      <x:c r="F995" s="70"/>
      <x:c r="G995" s="70"/>
      <x:c r="H995" s="70"/>
      <x:c r="I995" s="70"/>
      <x:c r="J995" s="70"/>
      <x:c r="K995" s="190"/>
      <x:c r="L995" s="195"/>
      <x:c r="M995" s="192"/>
      <x:c r="N995" s="192"/>
      <x:c r="O995" s="69"/>
      <x:c r="P995" s="47"/>
      <x:c r="Q995" s="60"/>
      <x:c r="R995" s="58"/>
      <x:c r="S995" s="47"/>
      <x:c r="T995" s="60"/>
      <x:c r="U995" s="58"/>
      <x:c r="V995" s="47"/>
      <x:c r="W995" s="60"/>
      <x:c r="X995" s="58"/>
      <x:c r="Y995" s="47"/>
      <x:c r="Z995" s="60"/>
      <x:c r="AA995" s="58"/>
      <x:c r="AB995" s="47"/>
      <x:c r="AC995" s="60"/>
      <x:c r="AD995" s="58"/>
      <x:c r="AE995" s="47"/>
      <x:c r="AF995" s="60"/>
      <x:c r="AG995" s="58"/>
      <x:c r="AH995" s="47"/>
      <x:c r="AI995" s="60"/>
      <x:c r="AJ995" s="58"/>
      <x:c r="AK995" s="47"/>
      <x:c r="AL995" s="60"/>
      <x:c r="AM995" s="58"/>
      <x:c r="AN995" s="47"/>
      <x:c r="AO995" s="60"/>
      <x:c r="AP995" s="58"/>
      <x:c r="AQ995" s="47"/>
      <x:c r="AR995" s="60"/>
      <x:c r="AS995" s="58"/>
      <x:c r="AT995" s="47"/>
      <x:c r="AU995" s="60"/>
      <x:c r="AV995" s="58"/>
      <x:c r="AW995" s="47"/>
      <x:c r="AX995" s="60"/>
      <x:c r="AY995" s="58"/>
      <x:c r="AZ995" s="47"/>
      <x:c r="BA995" s="60"/>
      <x:c r="BB995" s="58"/>
      <x:c r="BC995" s="47"/>
      <x:c r="BD995" s="60"/>
      <x:c r="BE995" s="58"/>
      <x:c r="BF995" s="47"/>
      <x:c r="BG995" s="60"/>
      <x:c r="BH995" s="58"/>
      <x:c r="BI995" s="47"/>
      <x:c r="BJ995" s="60"/>
      <x:c r="BK995" s="58"/>
      <x:c r="BL995" s="47"/>
      <x:c r="BM995" s="60"/>
      <x:c r="BN995" s="58"/>
      <x:c r="BO995" s="47"/>
      <x:c r="BP995" s="60"/>
      <x:c r="BQ995" s="58"/>
      <x:c r="BR995" s="47"/>
      <x:c r="BS995" s="60"/>
      <x:c r="BT995" s="58"/>
      <x:c r="BU995" s="47"/>
      <x:c r="BV995" s="60"/>
      <x:c r="BW995" s="58"/>
      <x:c r="BX995" s="47"/>
      <x:c r="BY995" s="60"/>
      <x:c r="BZ995" s="58"/>
      <x:c r="CA995" s="47"/>
      <x:c r="CB995" s="60"/>
      <x:c r="CC995" s="58"/>
      <x:c r="CD995" s="47"/>
      <x:c r="CE995" s="60"/>
      <x:c r="CF995" s="58"/>
      <x:c r="CG995" s="47"/>
      <x:c r="CH995" s="60"/>
      <x:c r="CI995" s="58"/>
      <x:c r="CJ995" s="47"/>
      <x:c r="CK995" s="60"/>
      <x:c r="CL995" s="58"/>
      <x:c r="CM995" s="47"/>
      <x:c r="CN995" s="60"/>
      <x:c r="CO995" s="58"/>
      <x:c r="CP995" s="47"/>
      <x:c r="CQ995" s="60"/>
      <x:c r="CR995" s="58"/>
      <x:c r="CS995" s="47"/>
      <x:c r="CT995" s="60"/>
      <x:c r="CU995" s="58"/>
      <x:c r="CV995" s="47"/>
      <x:c r="CW995" s="60"/>
      <x:c r="CX995" s="58"/>
      <x:c r="CY995" s="47"/>
      <x:c r="CZ995" s="60"/>
      <x:c r="DA995" s="58"/>
      <x:c r="DB995" s="47"/>
      <x:c r="DC995" s="60"/>
      <x:c r="DD995" s="58"/>
      <x:c r="DE995" s="47"/>
      <x:c r="DF995" s="60"/>
      <x:c r="DG995" s="58"/>
      <x:c r="DH995" s="47"/>
      <x:c r="DI995" s="60"/>
      <x:c r="DJ995" s="58"/>
      <x:c r="DK995" s="47"/>
      <x:c r="DL995" s="60"/>
      <x:c r="DM995" s="58"/>
      <x:c r="DN995" s="11"/>
      <x:c r="DO995" s="61"/>
      <x:c r="DP995" s="62"/>
      <x:c r="DQ995" s="11"/>
      <x:c r="DR995" s="61"/>
      <x:c r="DS995" s="62"/>
      <x:c r="DT995" s="11"/>
      <x:c r="DU995" s="61"/>
      <x:c r="DV995" s="62"/>
    </x:row>
    <x:row r="996" spans="1:126" x14ac:dyDescent="0.3">
      <x:c r="A996" s="47"/>
      <x:c r="B996" s="70"/>
      <x:c r="C996" s="70"/>
      <x:c r="D996" s="70"/>
      <x:c r="E996" s="70"/>
      <x:c r="F996" s="70"/>
      <x:c r="G996" s="70"/>
      <x:c r="H996" s="70"/>
      <x:c r="I996" s="70"/>
      <x:c r="J996" s="70"/>
      <x:c r="K996" s="190"/>
      <x:c r="L996" s="195"/>
      <x:c r="M996" s="192"/>
      <x:c r="N996" s="192"/>
      <x:c r="O996" s="69"/>
      <x:c r="P996" s="47"/>
      <x:c r="Q996" s="60"/>
      <x:c r="R996" s="58"/>
      <x:c r="S996" s="47"/>
      <x:c r="T996" s="60"/>
      <x:c r="U996" s="58"/>
      <x:c r="V996" s="47"/>
      <x:c r="W996" s="60"/>
      <x:c r="X996" s="58"/>
      <x:c r="Y996" s="47"/>
      <x:c r="Z996" s="60"/>
      <x:c r="AA996" s="58"/>
      <x:c r="AB996" s="47"/>
      <x:c r="AC996" s="60"/>
      <x:c r="AD996" s="58"/>
      <x:c r="AE996" s="47"/>
      <x:c r="AF996" s="60"/>
      <x:c r="AG996" s="58"/>
      <x:c r="AH996" s="47"/>
      <x:c r="AI996" s="60"/>
      <x:c r="AJ996" s="58"/>
      <x:c r="AK996" s="47"/>
      <x:c r="AL996" s="60"/>
      <x:c r="AM996" s="58"/>
      <x:c r="AN996" s="47"/>
      <x:c r="AO996" s="60"/>
      <x:c r="AP996" s="58"/>
      <x:c r="AQ996" s="47"/>
      <x:c r="AR996" s="60"/>
      <x:c r="AS996" s="58"/>
      <x:c r="AT996" s="47"/>
      <x:c r="AU996" s="60"/>
      <x:c r="AV996" s="58"/>
      <x:c r="AW996" s="47"/>
      <x:c r="AX996" s="60"/>
      <x:c r="AY996" s="58"/>
      <x:c r="AZ996" s="47"/>
      <x:c r="BA996" s="60"/>
      <x:c r="BB996" s="58"/>
      <x:c r="BC996" s="47"/>
      <x:c r="BD996" s="60"/>
      <x:c r="BE996" s="58"/>
      <x:c r="BF996" s="47"/>
      <x:c r="BG996" s="60"/>
      <x:c r="BH996" s="58"/>
      <x:c r="BI996" s="47"/>
      <x:c r="BJ996" s="60"/>
      <x:c r="BK996" s="58"/>
      <x:c r="BL996" s="47"/>
      <x:c r="BM996" s="60"/>
      <x:c r="BN996" s="58"/>
      <x:c r="BO996" s="47"/>
      <x:c r="BP996" s="60"/>
      <x:c r="BQ996" s="58"/>
      <x:c r="BR996" s="47"/>
      <x:c r="BS996" s="60"/>
      <x:c r="BT996" s="58"/>
      <x:c r="BU996" s="47"/>
      <x:c r="BV996" s="60"/>
      <x:c r="BW996" s="58"/>
      <x:c r="BX996" s="47"/>
      <x:c r="BY996" s="60"/>
      <x:c r="BZ996" s="58"/>
      <x:c r="CA996" s="47"/>
      <x:c r="CB996" s="60"/>
      <x:c r="CC996" s="58"/>
      <x:c r="CD996" s="47"/>
      <x:c r="CE996" s="60"/>
      <x:c r="CF996" s="58"/>
      <x:c r="CG996" s="47"/>
      <x:c r="CH996" s="60"/>
      <x:c r="CI996" s="58"/>
      <x:c r="CJ996" s="47"/>
      <x:c r="CK996" s="60"/>
      <x:c r="CL996" s="58"/>
      <x:c r="CM996" s="47"/>
      <x:c r="CN996" s="60"/>
      <x:c r="CO996" s="58"/>
      <x:c r="CP996" s="47"/>
      <x:c r="CQ996" s="60"/>
      <x:c r="CR996" s="58"/>
      <x:c r="CS996" s="47"/>
      <x:c r="CT996" s="60"/>
      <x:c r="CU996" s="58"/>
      <x:c r="CV996" s="47"/>
      <x:c r="CW996" s="60"/>
      <x:c r="CX996" s="58"/>
      <x:c r="CY996" s="47"/>
      <x:c r="CZ996" s="60"/>
      <x:c r="DA996" s="58"/>
      <x:c r="DB996" s="47"/>
      <x:c r="DC996" s="60"/>
      <x:c r="DD996" s="58"/>
      <x:c r="DE996" s="47"/>
      <x:c r="DF996" s="60"/>
      <x:c r="DG996" s="58"/>
      <x:c r="DH996" s="47"/>
      <x:c r="DI996" s="60"/>
      <x:c r="DJ996" s="58"/>
      <x:c r="DK996" s="47"/>
      <x:c r="DL996" s="60"/>
      <x:c r="DM996" s="58"/>
      <x:c r="DN996" s="11"/>
      <x:c r="DO996" s="61"/>
      <x:c r="DP996" s="62"/>
      <x:c r="DQ996" s="11"/>
      <x:c r="DR996" s="61"/>
      <x:c r="DS996" s="62"/>
      <x:c r="DT996" s="11"/>
      <x:c r="DU996" s="61"/>
      <x:c r="DV996" s="62"/>
    </x:row>
    <x:row r="997" spans="1:126" x14ac:dyDescent="0.3">
      <x:c r="A997" s="47"/>
      <x:c r="B997" s="70"/>
      <x:c r="C997" s="70"/>
      <x:c r="D997" s="70"/>
      <x:c r="E997" s="70"/>
      <x:c r="F997" s="70"/>
      <x:c r="G997" s="70"/>
      <x:c r="H997" s="70"/>
      <x:c r="I997" s="70"/>
      <x:c r="J997" s="70"/>
      <x:c r="K997" s="190"/>
      <x:c r="L997" s="195"/>
      <x:c r="M997" s="192"/>
      <x:c r="N997" s="192"/>
      <x:c r="O997" s="69"/>
      <x:c r="P997" s="47"/>
      <x:c r="Q997" s="60"/>
      <x:c r="R997" s="58"/>
      <x:c r="S997" s="47"/>
      <x:c r="T997" s="60"/>
      <x:c r="U997" s="58"/>
      <x:c r="V997" s="47"/>
      <x:c r="W997" s="60"/>
      <x:c r="X997" s="58"/>
      <x:c r="Y997" s="47"/>
      <x:c r="Z997" s="60"/>
      <x:c r="AA997" s="58"/>
      <x:c r="AB997" s="47"/>
      <x:c r="AC997" s="60"/>
      <x:c r="AD997" s="58"/>
      <x:c r="AE997" s="47"/>
      <x:c r="AF997" s="60"/>
      <x:c r="AG997" s="58"/>
      <x:c r="AH997" s="47"/>
      <x:c r="AI997" s="60"/>
      <x:c r="AJ997" s="58"/>
      <x:c r="AK997" s="47"/>
      <x:c r="AL997" s="60"/>
      <x:c r="AM997" s="58"/>
      <x:c r="AN997" s="47"/>
      <x:c r="AO997" s="60"/>
      <x:c r="AP997" s="58"/>
      <x:c r="AQ997" s="47"/>
      <x:c r="AR997" s="60"/>
      <x:c r="AS997" s="58"/>
      <x:c r="AT997" s="47"/>
      <x:c r="AU997" s="60"/>
      <x:c r="AV997" s="58"/>
      <x:c r="AW997" s="47"/>
      <x:c r="AX997" s="60"/>
      <x:c r="AY997" s="58"/>
      <x:c r="AZ997" s="47"/>
      <x:c r="BA997" s="60"/>
      <x:c r="BB997" s="58"/>
      <x:c r="BC997" s="47"/>
      <x:c r="BD997" s="60"/>
      <x:c r="BE997" s="58"/>
      <x:c r="BF997" s="47"/>
      <x:c r="BG997" s="60"/>
      <x:c r="BH997" s="58"/>
      <x:c r="BI997" s="47"/>
      <x:c r="BJ997" s="60"/>
      <x:c r="BK997" s="58"/>
      <x:c r="BL997" s="47"/>
      <x:c r="BM997" s="60"/>
      <x:c r="BN997" s="58"/>
      <x:c r="BO997" s="47"/>
      <x:c r="BP997" s="60"/>
      <x:c r="BQ997" s="58"/>
      <x:c r="BR997" s="47"/>
      <x:c r="BS997" s="60"/>
      <x:c r="BT997" s="58"/>
      <x:c r="BU997" s="47"/>
      <x:c r="BV997" s="60"/>
      <x:c r="BW997" s="58"/>
      <x:c r="BX997" s="47"/>
      <x:c r="BY997" s="60"/>
      <x:c r="BZ997" s="58"/>
      <x:c r="CA997" s="47"/>
      <x:c r="CB997" s="60"/>
      <x:c r="CC997" s="58"/>
      <x:c r="CD997" s="47"/>
      <x:c r="CE997" s="60"/>
      <x:c r="CF997" s="58"/>
      <x:c r="CG997" s="47"/>
      <x:c r="CH997" s="60"/>
      <x:c r="CI997" s="58"/>
      <x:c r="CJ997" s="47"/>
      <x:c r="CK997" s="60"/>
      <x:c r="CL997" s="58"/>
      <x:c r="CM997" s="47"/>
      <x:c r="CN997" s="60"/>
      <x:c r="CO997" s="58"/>
      <x:c r="CP997" s="47"/>
      <x:c r="CQ997" s="60"/>
      <x:c r="CR997" s="58"/>
      <x:c r="CS997" s="47"/>
      <x:c r="CT997" s="60"/>
      <x:c r="CU997" s="58"/>
      <x:c r="CV997" s="47"/>
      <x:c r="CW997" s="60"/>
      <x:c r="CX997" s="58"/>
      <x:c r="CY997" s="47"/>
      <x:c r="CZ997" s="60"/>
      <x:c r="DA997" s="58"/>
      <x:c r="DB997" s="47"/>
      <x:c r="DC997" s="60"/>
      <x:c r="DD997" s="58"/>
      <x:c r="DE997" s="47"/>
      <x:c r="DF997" s="60"/>
      <x:c r="DG997" s="58"/>
      <x:c r="DH997" s="47"/>
      <x:c r="DI997" s="60"/>
      <x:c r="DJ997" s="58"/>
      <x:c r="DK997" s="47"/>
      <x:c r="DL997" s="60"/>
      <x:c r="DM997" s="58"/>
      <x:c r="DN997" s="11"/>
      <x:c r="DO997" s="61"/>
      <x:c r="DP997" s="62"/>
      <x:c r="DQ997" s="11"/>
      <x:c r="DR997" s="61"/>
      <x:c r="DS997" s="62"/>
      <x:c r="DT997" s="11"/>
      <x:c r="DU997" s="61"/>
      <x:c r="DV997" s="62"/>
    </x:row>
    <x:row r="998" spans="1:126" x14ac:dyDescent="0.3">
      <x:c r="A998" s="47"/>
      <x:c r="B998" s="70"/>
      <x:c r="C998" s="70"/>
      <x:c r="D998" s="70"/>
      <x:c r="E998" s="70"/>
      <x:c r="F998" s="70"/>
      <x:c r="G998" s="70"/>
      <x:c r="H998" s="70"/>
      <x:c r="I998" s="70"/>
      <x:c r="J998" s="70"/>
      <x:c r="K998" s="190"/>
      <x:c r="L998" s="195"/>
      <x:c r="M998" s="192"/>
      <x:c r="N998" s="192"/>
      <x:c r="O998" s="69"/>
      <x:c r="P998" s="47"/>
      <x:c r="Q998" s="60"/>
      <x:c r="R998" s="58"/>
      <x:c r="S998" s="47"/>
      <x:c r="T998" s="60"/>
      <x:c r="U998" s="58"/>
      <x:c r="V998" s="47"/>
      <x:c r="W998" s="60"/>
      <x:c r="X998" s="58"/>
      <x:c r="Y998" s="47"/>
      <x:c r="Z998" s="60"/>
      <x:c r="AA998" s="58"/>
      <x:c r="AB998" s="47"/>
      <x:c r="AC998" s="60"/>
      <x:c r="AD998" s="58"/>
      <x:c r="AE998" s="47"/>
      <x:c r="AF998" s="60"/>
      <x:c r="AG998" s="58"/>
      <x:c r="AH998" s="47"/>
      <x:c r="AI998" s="60"/>
      <x:c r="AJ998" s="58"/>
      <x:c r="AK998" s="47"/>
      <x:c r="AL998" s="60"/>
      <x:c r="AM998" s="58"/>
      <x:c r="AN998" s="47"/>
      <x:c r="AO998" s="60"/>
      <x:c r="AP998" s="58"/>
      <x:c r="AQ998" s="47"/>
      <x:c r="AR998" s="60"/>
      <x:c r="AS998" s="58"/>
      <x:c r="AT998" s="47"/>
      <x:c r="AU998" s="60"/>
      <x:c r="AV998" s="58"/>
      <x:c r="AW998" s="47"/>
      <x:c r="AX998" s="60"/>
      <x:c r="AY998" s="58"/>
      <x:c r="AZ998" s="47"/>
      <x:c r="BA998" s="60"/>
      <x:c r="BB998" s="58"/>
      <x:c r="BC998" s="47"/>
      <x:c r="BD998" s="60"/>
      <x:c r="BE998" s="58"/>
      <x:c r="BF998" s="47"/>
      <x:c r="BG998" s="60"/>
      <x:c r="BH998" s="58"/>
      <x:c r="BI998" s="47"/>
      <x:c r="BJ998" s="60"/>
      <x:c r="BK998" s="58"/>
      <x:c r="BL998" s="47"/>
      <x:c r="BM998" s="60"/>
      <x:c r="BN998" s="58"/>
      <x:c r="BO998" s="47"/>
      <x:c r="BP998" s="60"/>
      <x:c r="BQ998" s="58"/>
      <x:c r="BR998" s="47"/>
      <x:c r="BS998" s="60"/>
      <x:c r="BT998" s="58"/>
      <x:c r="BU998" s="47"/>
      <x:c r="BV998" s="60"/>
      <x:c r="BW998" s="58"/>
      <x:c r="BX998" s="47"/>
      <x:c r="BY998" s="60"/>
      <x:c r="BZ998" s="58"/>
      <x:c r="CA998" s="47"/>
      <x:c r="CB998" s="60"/>
      <x:c r="CC998" s="58"/>
      <x:c r="CD998" s="47"/>
      <x:c r="CE998" s="60"/>
      <x:c r="CF998" s="58"/>
      <x:c r="CG998" s="47"/>
      <x:c r="CH998" s="60"/>
      <x:c r="CI998" s="58"/>
      <x:c r="CJ998" s="47"/>
      <x:c r="CK998" s="60"/>
      <x:c r="CL998" s="58"/>
      <x:c r="CM998" s="47"/>
      <x:c r="CN998" s="60"/>
      <x:c r="CO998" s="58"/>
      <x:c r="CP998" s="47"/>
      <x:c r="CQ998" s="60"/>
      <x:c r="CR998" s="58"/>
      <x:c r="CS998" s="47"/>
      <x:c r="CT998" s="60"/>
      <x:c r="CU998" s="58"/>
      <x:c r="CV998" s="47"/>
      <x:c r="CW998" s="60"/>
      <x:c r="CX998" s="58"/>
      <x:c r="CY998" s="47"/>
      <x:c r="CZ998" s="60"/>
      <x:c r="DA998" s="58"/>
      <x:c r="DB998" s="47"/>
      <x:c r="DC998" s="60"/>
      <x:c r="DD998" s="58"/>
      <x:c r="DE998" s="47"/>
      <x:c r="DF998" s="60"/>
      <x:c r="DG998" s="58"/>
      <x:c r="DH998" s="47"/>
      <x:c r="DI998" s="60"/>
      <x:c r="DJ998" s="58"/>
      <x:c r="DK998" s="47"/>
      <x:c r="DL998" s="60"/>
      <x:c r="DM998" s="58"/>
      <x:c r="DN998" s="11"/>
      <x:c r="DO998" s="61"/>
      <x:c r="DP998" s="62"/>
      <x:c r="DQ998" s="11"/>
      <x:c r="DR998" s="61"/>
      <x:c r="DS998" s="62"/>
      <x:c r="DT998" s="11"/>
      <x:c r="DU998" s="61"/>
      <x:c r="DV998" s="62"/>
    </x:row>
    <x:row r="999" spans="1:126" x14ac:dyDescent="0.3">
      <x:c r="A999" s="47"/>
      <x:c r="B999" s="70"/>
      <x:c r="C999" s="70"/>
      <x:c r="D999" s="70"/>
      <x:c r="E999" s="70"/>
      <x:c r="F999" s="70"/>
      <x:c r="G999" s="70"/>
      <x:c r="H999" s="70"/>
      <x:c r="I999" s="70"/>
      <x:c r="J999" s="70"/>
      <x:c r="K999" s="190"/>
      <x:c r="L999" s="195"/>
      <x:c r="M999" s="192"/>
      <x:c r="N999" s="192"/>
      <x:c r="O999" s="69"/>
      <x:c r="P999" s="47"/>
      <x:c r="Q999" s="60"/>
      <x:c r="R999" s="58"/>
      <x:c r="S999" s="47"/>
      <x:c r="T999" s="60"/>
      <x:c r="U999" s="58"/>
      <x:c r="V999" s="47"/>
      <x:c r="W999" s="60"/>
      <x:c r="X999" s="58"/>
      <x:c r="Y999" s="47"/>
      <x:c r="Z999" s="60"/>
      <x:c r="AA999" s="58"/>
      <x:c r="AB999" s="47"/>
      <x:c r="AC999" s="60"/>
      <x:c r="AD999" s="58"/>
      <x:c r="AE999" s="47"/>
      <x:c r="AF999" s="60"/>
      <x:c r="AG999" s="58"/>
      <x:c r="AH999" s="47"/>
      <x:c r="AI999" s="60"/>
      <x:c r="AJ999" s="58"/>
      <x:c r="AK999" s="47"/>
      <x:c r="AL999" s="60"/>
      <x:c r="AM999" s="58"/>
      <x:c r="AN999" s="47"/>
      <x:c r="AO999" s="60"/>
      <x:c r="AP999" s="58"/>
      <x:c r="AQ999" s="47"/>
      <x:c r="AR999" s="60"/>
      <x:c r="AS999" s="58"/>
      <x:c r="AT999" s="47"/>
      <x:c r="AU999" s="60"/>
      <x:c r="AV999" s="58"/>
      <x:c r="AW999" s="47"/>
      <x:c r="AX999" s="60"/>
      <x:c r="AY999" s="58"/>
      <x:c r="AZ999" s="47"/>
      <x:c r="BA999" s="60"/>
      <x:c r="BB999" s="58"/>
      <x:c r="BC999" s="47"/>
      <x:c r="BD999" s="60"/>
      <x:c r="BE999" s="58"/>
      <x:c r="BF999" s="47"/>
      <x:c r="BG999" s="60"/>
      <x:c r="BH999" s="58"/>
      <x:c r="BI999" s="47"/>
      <x:c r="BJ999" s="60"/>
      <x:c r="BK999" s="58"/>
      <x:c r="BL999" s="47"/>
      <x:c r="BM999" s="60"/>
      <x:c r="BN999" s="58"/>
      <x:c r="BO999" s="47"/>
      <x:c r="BP999" s="60"/>
      <x:c r="BQ999" s="58"/>
      <x:c r="BR999" s="47"/>
      <x:c r="BS999" s="60"/>
      <x:c r="BT999" s="58"/>
      <x:c r="BU999" s="47"/>
      <x:c r="BV999" s="60"/>
      <x:c r="BW999" s="58"/>
      <x:c r="BX999" s="47"/>
      <x:c r="BY999" s="60"/>
      <x:c r="BZ999" s="58"/>
      <x:c r="CA999" s="47"/>
      <x:c r="CB999" s="60"/>
      <x:c r="CC999" s="58"/>
      <x:c r="CD999" s="47"/>
      <x:c r="CE999" s="60"/>
      <x:c r="CF999" s="58"/>
      <x:c r="CG999" s="47"/>
      <x:c r="CH999" s="60"/>
      <x:c r="CI999" s="58"/>
      <x:c r="CJ999" s="47"/>
      <x:c r="CK999" s="60"/>
      <x:c r="CL999" s="58"/>
      <x:c r="CM999" s="47"/>
      <x:c r="CN999" s="60"/>
      <x:c r="CO999" s="58"/>
      <x:c r="CP999" s="47"/>
      <x:c r="CQ999" s="60"/>
      <x:c r="CR999" s="58"/>
      <x:c r="CS999" s="47"/>
      <x:c r="CT999" s="60"/>
      <x:c r="CU999" s="58"/>
      <x:c r="CV999" s="47"/>
      <x:c r="CW999" s="60"/>
      <x:c r="CX999" s="58"/>
      <x:c r="CY999" s="47"/>
      <x:c r="CZ999" s="60"/>
      <x:c r="DA999" s="58"/>
      <x:c r="DB999" s="47"/>
      <x:c r="DC999" s="60"/>
      <x:c r="DD999" s="58"/>
      <x:c r="DE999" s="47"/>
      <x:c r="DF999" s="60"/>
      <x:c r="DG999" s="58"/>
      <x:c r="DH999" s="47"/>
      <x:c r="DI999" s="60"/>
      <x:c r="DJ999" s="58"/>
      <x:c r="DK999" s="47"/>
      <x:c r="DL999" s="60"/>
      <x:c r="DM999" s="58"/>
      <x:c r="DN999" s="11"/>
      <x:c r="DO999" s="61"/>
      <x:c r="DP999" s="62"/>
      <x:c r="DQ999" s="11"/>
      <x:c r="DR999" s="61"/>
      <x:c r="DS999" s="62"/>
      <x:c r="DT999" s="11"/>
      <x:c r="DU999" s="61"/>
      <x:c r="DV999" s="62"/>
    </x:row>
    <x:row r="1000" spans="1:126" x14ac:dyDescent="0.3">
      <x:c r="A1000" s="47"/>
      <x:c r="B1000" s="70"/>
      <x:c r="C1000" s="70"/>
      <x:c r="D1000" s="70"/>
      <x:c r="E1000" s="70"/>
      <x:c r="F1000" s="70"/>
      <x:c r="G1000" s="70"/>
      <x:c r="H1000" s="70"/>
      <x:c r="I1000" s="70"/>
      <x:c r="J1000" s="70"/>
      <x:c r="K1000" s="190"/>
      <x:c r="L1000" s="195"/>
      <x:c r="M1000" s="192"/>
      <x:c r="N1000" s="192"/>
      <x:c r="O1000" s="69"/>
      <x:c r="P1000" s="47"/>
      <x:c r="Q1000" s="60"/>
      <x:c r="R1000" s="58"/>
      <x:c r="S1000" s="47"/>
      <x:c r="T1000" s="60"/>
      <x:c r="U1000" s="58"/>
      <x:c r="V1000" s="47"/>
      <x:c r="W1000" s="60"/>
      <x:c r="X1000" s="58"/>
      <x:c r="Y1000" s="47"/>
      <x:c r="Z1000" s="60"/>
      <x:c r="AA1000" s="58"/>
      <x:c r="AB1000" s="47"/>
      <x:c r="AC1000" s="60"/>
      <x:c r="AD1000" s="58"/>
      <x:c r="AE1000" s="47"/>
      <x:c r="AF1000" s="60"/>
      <x:c r="AG1000" s="58"/>
      <x:c r="AH1000" s="47"/>
      <x:c r="AI1000" s="60"/>
      <x:c r="AJ1000" s="58"/>
      <x:c r="AK1000" s="47"/>
      <x:c r="AL1000" s="60"/>
      <x:c r="AM1000" s="58"/>
      <x:c r="AN1000" s="47"/>
      <x:c r="AO1000" s="60"/>
      <x:c r="AP1000" s="58"/>
      <x:c r="AQ1000" s="47"/>
      <x:c r="AR1000" s="60"/>
      <x:c r="AS1000" s="58"/>
      <x:c r="AT1000" s="47"/>
      <x:c r="AU1000" s="60"/>
      <x:c r="AV1000" s="58"/>
      <x:c r="AW1000" s="47"/>
      <x:c r="AX1000" s="60"/>
      <x:c r="AY1000" s="58"/>
      <x:c r="AZ1000" s="47"/>
      <x:c r="BA1000" s="60"/>
      <x:c r="BB1000" s="58"/>
      <x:c r="BC1000" s="47"/>
      <x:c r="BD1000" s="60"/>
      <x:c r="BE1000" s="58"/>
      <x:c r="BF1000" s="47"/>
      <x:c r="BG1000" s="60"/>
      <x:c r="BH1000" s="58"/>
      <x:c r="BI1000" s="47"/>
      <x:c r="BJ1000" s="60"/>
      <x:c r="BK1000" s="58"/>
      <x:c r="BL1000" s="47"/>
      <x:c r="BM1000" s="60"/>
      <x:c r="BN1000" s="58"/>
      <x:c r="BO1000" s="47"/>
      <x:c r="BP1000" s="60"/>
      <x:c r="BQ1000" s="58"/>
      <x:c r="BR1000" s="47"/>
      <x:c r="BS1000" s="60"/>
      <x:c r="BT1000" s="58"/>
      <x:c r="BU1000" s="47"/>
      <x:c r="BV1000" s="60"/>
      <x:c r="BW1000" s="58"/>
      <x:c r="BX1000" s="47"/>
      <x:c r="BY1000" s="60"/>
      <x:c r="BZ1000" s="58"/>
      <x:c r="CA1000" s="47"/>
      <x:c r="CB1000" s="60"/>
      <x:c r="CC1000" s="58"/>
      <x:c r="CD1000" s="47"/>
      <x:c r="CE1000" s="60"/>
      <x:c r="CF1000" s="58"/>
      <x:c r="CG1000" s="47"/>
      <x:c r="CH1000" s="60"/>
      <x:c r="CI1000" s="58"/>
      <x:c r="CJ1000" s="47"/>
      <x:c r="CK1000" s="60"/>
      <x:c r="CL1000" s="58"/>
      <x:c r="CM1000" s="47"/>
      <x:c r="CN1000" s="60"/>
      <x:c r="CO1000" s="58"/>
      <x:c r="CP1000" s="47"/>
      <x:c r="CQ1000" s="60"/>
      <x:c r="CR1000" s="58"/>
      <x:c r="CS1000" s="47"/>
      <x:c r="CT1000" s="60"/>
      <x:c r="CU1000" s="58"/>
      <x:c r="CV1000" s="47"/>
      <x:c r="CW1000" s="60"/>
      <x:c r="CX1000" s="58"/>
      <x:c r="CY1000" s="47"/>
      <x:c r="CZ1000" s="60"/>
      <x:c r="DA1000" s="58"/>
      <x:c r="DB1000" s="47"/>
      <x:c r="DC1000" s="60"/>
      <x:c r="DD1000" s="58"/>
      <x:c r="DE1000" s="47"/>
      <x:c r="DF1000" s="60"/>
      <x:c r="DG1000" s="58"/>
      <x:c r="DH1000" s="47"/>
      <x:c r="DI1000" s="60"/>
      <x:c r="DJ1000" s="58"/>
      <x:c r="DK1000" s="47"/>
      <x:c r="DL1000" s="60"/>
      <x:c r="DM1000" s="58"/>
      <x:c r="DN1000" s="11"/>
      <x:c r="DO1000" s="61"/>
      <x:c r="DP1000" s="62"/>
      <x:c r="DQ1000" s="11"/>
      <x:c r="DR1000" s="61"/>
      <x:c r="DS1000" s="62"/>
      <x:c r="DT1000" s="11"/>
      <x:c r="DU1000" s="61"/>
      <x:c r="DV1000" s="62"/>
    </x:row>
    <x:row r="1001" spans="1:126" x14ac:dyDescent="0.3"/>
    <x:row r="1002" spans="1:126" x14ac:dyDescent="0.3"/>
    <x:row r="1003" spans="1:126" x14ac:dyDescent="0.3"/>
    <x:row r="1004" spans="1:126" x14ac:dyDescent="0.3"/>
    <x:row r="1005" spans="1:126" x14ac:dyDescent="0.3"/>
    <x:row r="1006" spans="1:126" x14ac:dyDescent="0.3"/>
    <x:row r="1007" spans="1:126" x14ac:dyDescent="0.3"/>
    <x:row r="1008" spans="1:126" x14ac:dyDescent="0.3"/>
    <x:row r="1009" spans="1:126" x14ac:dyDescent="0.3"/>
    <x:row r="1010" spans="1:126" x14ac:dyDescent="0.3"/>
    <x:row r="1011" spans="1:126" x14ac:dyDescent="0.3"/>
    <x:row r="1012" spans="1:126" x14ac:dyDescent="0.3"/>
    <x:row r="1013" spans="1:126" x14ac:dyDescent="0.3"/>
    <x:row r="1014" spans="1:126" x14ac:dyDescent="0.3"/>
    <x:row r="1015" spans="1:126" x14ac:dyDescent="0.3"/>
    <x:row r="1016" spans="1:126" x14ac:dyDescent="0.3"/>
    <x:row r="1017" spans="1:126" x14ac:dyDescent="0.3"/>
    <x:row r="1018" spans="1:126" x14ac:dyDescent="0.3"/>
    <x:row r="1019" spans="1:126" x14ac:dyDescent="0.3"/>
    <x:row r="1020" spans="1:126" x14ac:dyDescent="0.3"/>
    <x:row r="1021" spans="1:126" x14ac:dyDescent="0.3"/>
    <x:row r="1022" spans="1:126" x14ac:dyDescent="0.3"/>
    <x:row r="1023" spans="1:126" x14ac:dyDescent="0.3"/>
    <x:row r="1024" spans="1:126" x14ac:dyDescent="0.3"/>
    <x:row r="1025" spans="1:126" x14ac:dyDescent="0.3"/>
    <x:row r="1026" spans="1:126" x14ac:dyDescent="0.3"/>
    <x:row r="1027" spans="1:126" x14ac:dyDescent="0.3"/>
    <x:row r="1028" spans="1:126" x14ac:dyDescent="0.3"/>
    <x:row r="1029" spans="1:126" x14ac:dyDescent="0.3"/>
    <x:row r="1030" spans="1:126" x14ac:dyDescent="0.3"/>
    <x:row r="1031" spans="1:126" x14ac:dyDescent="0.3"/>
    <x:row r="1032" spans="1:126" x14ac:dyDescent="0.3"/>
    <x:row r="1033" spans="1:126" x14ac:dyDescent="0.3"/>
    <x:row r="1034" spans="1:126" x14ac:dyDescent="0.3"/>
    <x:row r="1035" spans="1:126" x14ac:dyDescent="0.3"/>
    <x:row r="1036" spans="1:126" x14ac:dyDescent="0.3"/>
    <x:row r="1037" spans="1:126" x14ac:dyDescent="0.3"/>
    <x:row r="1038" spans="1:126" x14ac:dyDescent="0.3"/>
    <x:row r="1039" spans="1:126" x14ac:dyDescent="0.3"/>
    <x:row r="1040" spans="1:126" x14ac:dyDescent="0.3"/>
    <x:row r="1041" spans="1:126" x14ac:dyDescent="0.3"/>
    <x:row r="1042" spans="1:126" x14ac:dyDescent="0.3"/>
    <x:row r="1043" spans="1:126" x14ac:dyDescent="0.3"/>
    <x:row r="1044" spans="1:126" x14ac:dyDescent="0.3"/>
    <x:row r="1045" spans="1:126" x14ac:dyDescent="0.3"/>
    <x:row r="1046" spans="1:126" x14ac:dyDescent="0.3"/>
    <x:row r="1047" spans="1:126" x14ac:dyDescent="0.3"/>
    <x:row r="1048" spans="1:126" x14ac:dyDescent="0.3"/>
    <x:row r="1049" spans="1:126" x14ac:dyDescent="0.3"/>
    <x:row r="1050" spans="1:126" x14ac:dyDescent="0.3"/>
    <x:row r="1051" spans="1:126" x14ac:dyDescent="0.3"/>
    <x:row r="1052" spans="1:126" x14ac:dyDescent="0.3"/>
    <x:row r="1053" spans="1:126" x14ac:dyDescent="0.3"/>
    <x:row r="1054" spans="1:126" x14ac:dyDescent="0.3"/>
    <x:row r="1055" spans="1:126" x14ac:dyDescent="0.3"/>
    <x:row r="1056" spans="1:126" x14ac:dyDescent="0.3"/>
    <x:row r="1057" spans="1:126" x14ac:dyDescent="0.3"/>
    <x:row r="1058" spans="1:126" x14ac:dyDescent="0.3"/>
    <x:row r="1059" spans="1:126" x14ac:dyDescent="0.3"/>
    <x:row r="1060" spans="1:126" x14ac:dyDescent="0.3"/>
    <x:row r="1061" spans="1:126" x14ac:dyDescent="0.3"/>
    <x:row r="1062" spans="1:126" x14ac:dyDescent="0.3"/>
    <x:row r="1063" spans="1:126" x14ac:dyDescent="0.3"/>
    <x:row r="1064" spans="1:126" x14ac:dyDescent="0.3"/>
    <x:row r="1065" spans="1:126" x14ac:dyDescent="0.3"/>
    <x:row r="1066" spans="1:126" x14ac:dyDescent="0.3"/>
    <x:row r="1067" spans="1:126" x14ac:dyDescent="0.3"/>
    <x:row r="1068" spans="1:126" x14ac:dyDescent="0.3"/>
    <x:row r="1069" spans="1:126" x14ac:dyDescent="0.3"/>
    <x:row r="1070" spans="1:126" x14ac:dyDescent="0.3"/>
    <x:row r="1071" spans="1:126" x14ac:dyDescent="0.3"/>
    <x:row r="1072" spans="1:126" x14ac:dyDescent="0.3"/>
    <x:row r="1073" spans="1:126" x14ac:dyDescent="0.3"/>
    <x:row r="1074" spans="1:126" x14ac:dyDescent="0.3"/>
    <x:row r="1075" spans="1:126" x14ac:dyDescent="0.3"/>
    <x:row r="1076" spans="1:126" x14ac:dyDescent="0.3"/>
    <x:row r="1077" spans="1:126" x14ac:dyDescent="0.3"/>
    <x:row r="1078" spans="1:126" x14ac:dyDescent="0.3"/>
    <x:row r="1079" spans="1:126" x14ac:dyDescent="0.3"/>
    <x:row r="1080" spans="1:126" x14ac:dyDescent="0.3"/>
    <x:row r="1081" spans="1:126" x14ac:dyDescent="0.3"/>
    <x:row r="1082" spans="1:126" x14ac:dyDescent="0.3"/>
    <x:row r="1083" spans="1:126" x14ac:dyDescent="0.3"/>
    <x:row r="1084" spans="1:126" x14ac:dyDescent="0.3"/>
    <x:row r="1085" spans="1:126" x14ac:dyDescent="0.3"/>
    <x:row r="1086" spans="1:126" x14ac:dyDescent="0.3"/>
    <x:row r="1087" spans="1:126" x14ac:dyDescent="0.3"/>
    <x:row r="1088" spans="1:126" x14ac:dyDescent="0.3"/>
    <x:row r="1089" spans="1:126" x14ac:dyDescent="0.3"/>
    <x:row r="1090" spans="1:126" x14ac:dyDescent="0.3"/>
    <x:row r="1091" spans="1:126" x14ac:dyDescent="0.3"/>
    <x:row r="1092" spans="1:126" x14ac:dyDescent="0.3"/>
    <x:row r="1093" spans="1:126" x14ac:dyDescent="0.3"/>
    <x:row r="1094" spans="1:126" x14ac:dyDescent="0.3"/>
    <x:row r="1095" spans="1:126" x14ac:dyDescent="0.3"/>
    <x:row r="1096" spans="1:126" x14ac:dyDescent="0.3"/>
    <x:row r="1097" spans="1:126" x14ac:dyDescent="0.3"/>
    <x:row r="1098" spans="1:126" x14ac:dyDescent="0.3"/>
    <x:row r="1099" spans="1:126" x14ac:dyDescent="0.3"/>
    <x:row r="1100" spans="1:126" x14ac:dyDescent="0.3"/>
    <x:row r="1101" spans="1:126" x14ac:dyDescent="0.3"/>
    <x:row r="1102" spans="1:126" x14ac:dyDescent="0.3"/>
    <x:row r="1103" spans="1:126" x14ac:dyDescent="0.3"/>
    <x:row r="1104" spans="1:126" x14ac:dyDescent="0.3"/>
    <x:row r="1105" spans="1:126" x14ac:dyDescent="0.3"/>
    <x:row r="1106" spans="1:126" x14ac:dyDescent="0.3"/>
    <x:row r="1107" spans="1:126" x14ac:dyDescent="0.3"/>
    <x:row r="1108" spans="1:126" x14ac:dyDescent="0.3"/>
    <x:row r="1109" spans="1:126" x14ac:dyDescent="0.3"/>
    <x:row r="1110" spans="1:126" x14ac:dyDescent="0.3"/>
    <x:row r="1111" spans="1:126" x14ac:dyDescent="0.3"/>
    <x:row r="1112" spans="1:126" x14ac:dyDescent="0.3"/>
    <x:row r="1113" spans="1:126" x14ac:dyDescent="0.3"/>
    <x:row r="1114" spans="1:126" x14ac:dyDescent="0.3"/>
    <x:row r="1115" spans="1:126" x14ac:dyDescent="0.3"/>
    <x:row r="1116" spans="1:126" x14ac:dyDescent="0.3"/>
    <x:row r="1117" spans="1:126" x14ac:dyDescent="0.3"/>
    <x:row r="1118" spans="1:126" x14ac:dyDescent="0.3"/>
    <x:row r="1119" spans="1:126" x14ac:dyDescent="0.3"/>
    <x:row r="1120" spans="1:126" x14ac:dyDescent="0.3"/>
    <x:row r="1121" spans="1:126" x14ac:dyDescent="0.3"/>
    <x:row r="1122" spans="1:126" x14ac:dyDescent="0.3"/>
    <x:row r="1123" spans="1:126" x14ac:dyDescent="0.3"/>
    <x:row r="1124" spans="1:126" x14ac:dyDescent="0.3"/>
    <x:row r="1125" spans="1:126" x14ac:dyDescent="0.3"/>
    <x:row r="1126" spans="1:126" x14ac:dyDescent="0.3"/>
    <x:row r="1127" spans="1:126" x14ac:dyDescent="0.3"/>
    <x:row r="1128" spans="1:126" x14ac:dyDescent="0.3"/>
    <x:row r="1129" spans="1:126" x14ac:dyDescent="0.3"/>
    <x:row r="1130" spans="1:126" x14ac:dyDescent="0.3"/>
    <x:row r="1131" spans="1:126" x14ac:dyDescent="0.3"/>
    <x:row r="1132" spans="1:126" x14ac:dyDescent="0.3"/>
    <x:row r="1133" spans="1:126" x14ac:dyDescent="0.3"/>
    <x:row r="1134" spans="1:126" x14ac:dyDescent="0.3"/>
    <x:row r="1135" spans="1:126" x14ac:dyDescent="0.3"/>
    <x:row r="1136" spans="1:126" x14ac:dyDescent="0.3"/>
    <x:row r="1137" spans="1:126" x14ac:dyDescent="0.3"/>
    <x:row r="1138" spans="1:126" x14ac:dyDescent="0.3"/>
    <x:row r="1139" spans="1:126" x14ac:dyDescent="0.3"/>
    <x:row r="1140" spans="1:126" x14ac:dyDescent="0.3"/>
    <x:row r="1141" spans="1:126" x14ac:dyDescent="0.3"/>
    <x:row r="1142" spans="1:126" x14ac:dyDescent="0.3"/>
    <x:row r="1143" spans="1:126" x14ac:dyDescent="0.3"/>
    <x:row r="1144" spans="1:126" x14ac:dyDescent="0.3"/>
    <x:row r="1145" spans="1:126" x14ac:dyDescent="0.3"/>
    <x:row r="1146" spans="1:126" x14ac:dyDescent="0.3"/>
    <x:row r="1147" spans="1:126" x14ac:dyDescent="0.3"/>
    <x:row r="1148" spans="1:126" x14ac:dyDescent="0.3"/>
    <x:row r="1149" spans="1:126" x14ac:dyDescent="0.3"/>
    <x:row r="1150" spans="1:126" x14ac:dyDescent="0.3"/>
    <x:row r="1151" spans="1:126" x14ac:dyDescent="0.3"/>
    <x:row r="1152" spans="1:126" x14ac:dyDescent="0.3"/>
    <x:row r="1153" spans="1:126" x14ac:dyDescent="0.3"/>
    <x:row r="1154" spans="1:126" x14ac:dyDescent="0.3"/>
    <x:row r="1155" spans="1:126" x14ac:dyDescent="0.3"/>
    <x:row r="1156" spans="1:126" x14ac:dyDescent="0.3"/>
    <x:row r="1157" spans="1:126" x14ac:dyDescent="0.3"/>
    <x:row r="1158" spans="1:126" x14ac:dyDescent="0.3"/>
    <x:row r="1159" spans="1:126" x14ac:dyDescent="0.3"/>
    <x:row r="1160" spans="1:126" x14ac:dyDescent="0.3"/>
    <x:row r="1161" spans="1:126" x14ac:dyDescent="0.3"/>
    <x:row r="1162" spans="1:126" x14ac:dyDescent="0.3"/>
    <x:row r="1163" spans="1:126" x14ac:dyDescent="0.3"/>
    <x:row r="1164" spans="1:126" x14ac:dyDescent="0.3"/>
    <x:row r="1165" spans="1:126" x14ac:dyDescent="0.3"/>
    <x:row r="1166" spans="1:126" x14ac:dyDescent="0.3"/>
    <x:row r="1167" spans="1:126" x14ac:dyDescent="0.3"/>
    <x:row r="1168" spans="1:126" x14ac:dyDescent="0.3"/>
    <x:row r="1169" spans="1:126" x14ac:dyDescent="0.3"/>
    <x:row r="1170" spans="1:126" x14ac:dyDescent="0.3"/>
    <x:row r="1171" spans="1:126" x14ac:dyDescent="0.3"/>
    <x:row r="1172" spans="1:126" x14ac:dyDescent="0.3"/>
    <x:row r="1173" spans="1:126" x14ac:dyDescent="0.3"/>
    <x:row r="1174" spans="1:126" x14ac:dyDescent="0.3"/>
    <x:row r="1175" spans="1:126" x14ac:dyDescent="0.3"/>
    <x:row r="1176" spans="1:126" x14ac:dyDescent="0.3"/>
    <x:row r="1177" spans="1:126" x14ac:dyDescent="0.3"/>
    <x:row r="1178" spans="1:126" x14ac:dyDescent="0.3"/>
    <x:row r="1179" spans="1:126" x14ac:dyDescent="0.3"/>
    <x:row r="1180" spans="1:126" x14ac:dyDescent="0.3"/>
    <x:row r="1181" spans="1:126" x14ac:dyDescent="0.3"/>
    <x:row r="1182" spans="1:126" x14ac:dyDescent="0.3"/>
    <x:row r="1183" spans="1:126" x14ac:dyDescent="0.3"/>
    <x:row r="1184" spans="1:126" x14ac:dyDescent="0.3"/>
    <x:row r="1185" spans="1:126" x14ac:dyDescent="0.3"/>
    <x:row r="1186" spans="1:126" x14ac:dyDescent="0.3"/>
    <x:row r="1187" spans="1:126" x14ac:dyDescent="0.3"/>
    <x:row r="1188" spans="1:126" x14ac:dyDescent="0.3"/>
    <x:row r="1189" spans="1:126" x14ac:dyDescent="0.3"/>
    <x:row r="1190" spans="1:126" x14ac:dyDescent="0.3"/>
    <x:row r="1191" spans="1:126" x14ac:dyDescent="0.3"/>
    <x:row r="1192" spans="1:126" x14ac:dyDescent="0.3"/>
    <x:row r="1193" spans="1:126" x14ac:dyDescent="0.3"/>
    <x:row r="1194" spans="1:126" x14ac:dyDescent="0.3"/>
    <x:row r="1195" spans="1:126" x14ac:dyDescent="0.3"/>
    <x:row r="1196" spans="1:126" x14ac:dyDescent="0.3"/>
    <x:row r="1197" spans="1:126" x14ac:dyDescent="0.3"/>
    <x:row r="1198" spans="1:126" x14ac:dyDescent="0.3"/>
    <x:row r="1199" spans="1:126" x14ac:dyDescent="0.3"/>
    <x:row r="1200" spans="1:126" x14ac:dyDescent="0.3"/>
    <x:row r="1201" spans="1:126" x14ac:dyDescent="0.3"/>
    <x:row r="1202" spans="1:126" x14ac:dyDescent="0.3"/>
    <x:row r="1203" spans="1:126" x14ac:dyDescent="0.3"/>
    <x:row r="1204" spans="1:126" x14ac:dyDescent="0.3"/>
    <x:row r="1205" spans="1:126" x14ac:dyDescent="0.3"/>
    <x:row r="1206" spans="1:126" x14ac:dyDescent="0.3"/>
    <x:row r="1207" spans="1:126" x14ac:dyDescent="0.3"/>
    <x:row r="1208" spans="1:126" x14ac:dyDescent="0.3"/>
    <x:row r="1209" spans="1:126" x14ac:dyDescent="0.3"/>
    <x:row r="1210" spans="1:126" x14ac:dyDescent="0.3"/>
    <x:row r="1211" spans="1:126" x14ac:dyDescent="0.3"/>
    <x:row r="1212" spans="1:126" x14ac:dyDescent="0.3"/>
    <x:row r="1213" spans="1:126" x14ac:dyDescent="0.3"/>
    <x:row r="1214" spans="1:126" x14ac:dyDescent="0.3"/>
    <x:row r="1215" spans="1:126" x14ac:dyDescent="0.3"/>
    <x:row r="1216" spans="1:126" x14ac:dyDescent="0.3"/>
    <x:row r="1217" spans="1:126" x14ac:dyDescent="0.3"/>
    <x:row r="1218" spans="1:126" x14ac:dyDescent="0.3"/>
    <x:row r="1219" spans="1:126" x14ac:dyDescent="0.3"/>
    <x:row r="1220" spans="1:126" x14ac:dyDescent="0.3"/>
    <x:row r="1221" spans="1:126" x14ac:dyDescent="0.3"/>
    <x:row r="1222" spans="1:126" x14ac:dyDescent="0.3"/>
    <x:row r="1223" spans="1:126" x14ac:dyDescent="0.3"/>
    <x:row r="1224" spans="1:126" x14ac:dyDescent="0.3"/>
    <x:row r="1225" spans="1:126" x14ac:dyDescent="0.3"/>
    <x:row r="1226" spans="1:126" x14ac:dyDescent="0.3"/>
    <x:row r="1227" spans="1:126" x14ac:dyDescent="0.3"/>
    <x:row r="1228" spans="1:126" x14ac:dyDescent="0.3"/>
    <x:row r="1229" spans="1:126" x14ac:dyDescent="0.3"/>
    <x:row r="1230" spans="1:126" x14ac:dyDescent="0.3"/>
    <x:row r="1231" spans="1:126" x14ac:dyDescent="0.3"/>
    <x:row r="1232" spans="1:126" x14ac:dyDescent="0.3"/>
    <x:row r="1233" spans="1:126" x14ac:dyDescent="0.3"/>
    <x:row r="1234" spans="1:126" x14ac:dyDescent="0.3"/>
    <x:row r="1235" spans="1:126" x14ac:dyDescent="0.3"/>
    <x:row r="1236" spans="1:126" x14ac:dyDescent="0.3"/>
    <x:row r="1237" spans="1:126" x14ac:dyDescent="0.3"/>
    <x:row r="1238" spans="1:126" x14ac:dyDescent="0.3"/>
    <x:row r="1239" spans="1:126" x14ac:dyDescent="0.3"/>
    <x:row r="1240" spans="1:126" x14ac:dyDescent="0.3"/>
    <x:row r="1241" spans="1:126" x14ac:dyDescent="0.3"/>
    <x:row r="1242" spans="1:126" x14ac:dyDescent="0.3"/>
    <x:row r="1243" spans="1:126" x14ac:dyDescent="0.3"/>
    <x:row r="1244" spans="1:126" x14ac:dyDescent="0.3"/>
    <x:row r="1245" spans="1:126" x14ac:dyDescent="0.3"/>
    <x:row r="1246" spans="1:126" x14ac:dyDescent="0.3"/>
    <x:row r="1247" spans="1:126" x14ac:dyDescent="0.3"/>
    <x:row r="1248" spans="1:126" x14ac:dyDescent="0.3"/>
    <x:row r="1249" spans="1:126" x14ac:dyDescent="0.3"/>
    <x:row r="1250" spans="1:126" x14ac:dyDescent="0.3"/>
    <x:row r="1251" spans="1:126" x14ac:dyDescent="0.3"/>
    <x:row r="1252" spans="1:126" x14ac:dyDescent="0.3"/>
    <x:row r="1253" spans="1:126" x14ac:dyDescent="0.3"/>
    <x:row r="1254" spans="1:126" x14ac:dyDescent="0.3"/>
    <x:row r="1255" spans="1:126" x14ac:dyDescent="0.3"/>
    <x:row r="1256" spans="1:126" x14ac:dyDescent="0.3"/>
    <x:row r="1257" spans="1:126" x14ac:dyDescent="0.3"/>
    <x:row r="1258" spans="1:126" x14ac:dyDescent="0.3"/>
    <x:row r="1259" spans="1:126" x14ac:dyDescent="0.3"/>
    <x:row r="1260" spans="1:126" x14ac:dyDescent="0.3"/>
    <x:row r="1261" spans="1:126" x14ac:dyDescent="0.3"/>
    <x:row r="1262" spans="1:126" x14ac:dyDescent="0.3"/>
    <x:row r="1263" spans="1:126" x14ac:dyDescent="0.3"/>
    <x:row r="1264" spans="1:126" x14ac:dyDescent="0.3"/>
    <x:row r="1265" spans="1:126" x14ac:dyDescent="0.3"/>
    <x:row r="1266" spans="1:126" x14ac:dyDescent="0.3"/>
    <x:row r="1267" spans="1:126" x14ac:dyDescent="0.3"/>
    <x:row r="1268" spans="1:126" x14ac:dyDescent="0.3"/>
    <x:row r="1269" spans="1:126" x14ac:dyDescent="0.3"/>
    <x:row r="1270" spans="1:126" x14ac:dyDescent="0.3"/>
    <x:row r="1271" spans="1:126" x14ac:dyDescent="0.3"/>
    <x:row r="1272" spans="1:126" x14ac:dyDescent="0.3"/>
    <x:row r="1273" spans="1:126" x14ac:dyDescent="0.3"/>
    <x:row r="1274" spans="1:126" x14ac:dyDescent="0.3"/>
    <x:row r="1275" spans="1:126" x14ac:dyDescent="0.3"/>
    <x:row r="1276" spans="1:126" x14ac:dyDescent="0.3"/>
    <x:row r="1277" spans="1:126" x14ac:dyDescent="0.3"/>
    <x:row r="1278" spans="1:126" x14ac:dyDescent="0.3"/>
    <x:row r="1279" spans="1:126" x14ac:dyDescent="0.3"/>
    <x:row r="1280" spans="1:126" x14ac:dyDescent="0.3"/>
    <x:row r="1281" spans="1:126" x14ac:dyDescent="0.3"/>
    <x:row r="1282" spans="1:126" x14ac:dyDescent="0.3"/>
    <x:row r="1283" spans="1:126" x14ac:dyDescent="0.3"/>
    <x:row r="1284" spans="1:126" x14ac:dyDescent="0.3"/>
    <x:row r="1285" spans="1:126" x14ac:dyDescent="0.3"/>
    <x:row r="1286" spans="1:126" x14ac:dyDescent="0.3"/>
    <x:row r="1287" spans="1:126" x14ac:dyDescent="0.3"/>
    <x:row r="1288" spans="1:126" x14ac:dyDescent="0.3"/>
    <x:row r="1289" spans="1:126" x14ac:dyDescent="0.3"/>
    <x:row r="1290" spans="1:126" x14ac:dyDescent="0.3"/>
    <x:row r="1291" spans="1:126" x14ac:dyDescent="0.3"/>
    <x:row r="1292" spans="1:126" x14ac:dyDescent="0.3"/>
    <x:row r="1293" spans="1:126" x14ac:dyDescent="0.3"/>
    <x:row r="1294" spans="1:126" x14ac:dyDescent="0.3"/>
    <x:row r="1295" spans="1:126" x14ac:dyDescent="0.3"/>
    <x:row r="1296" spans="1:126" x14ac:dyDescent="0.3"/>
    <x:row r="1297" spans="1:126" x14ac:dyDescent="0.3"/>
    <x:row r="1298" spans="1:126" x14ac:dyDescent="0.3"/>
    <x:row r="1299" spans="1:126" x14ac:dyDescent="0.3"/>
    <x:row r="1300" spans="1:126" x14ac:dyDescent="0.3"/>
    <x:row r="1301" spans="1:126" x14ac:dyDescent="0.3"/>
    <x:row r="1302" spans="1:126" x14ac:dyDescent="0.3"/>
    <x:row r="1303" spans="1:126" x14ac:dyDescent="0.3"/>
    <x:row r="1304" spans="1:126" x14ac:dyDescent="0.3"/>
    <x:row r="1305" spans="1:126" x14ac:dyDescent="0.3"/>
    <x:row r="1306" spans="1:126" x14ac:dyDescent="0.3"/>
    <x:row r="1307" spans="1:126" x14ac:dyDescent="0.3"/>
    <x:row r="1308" spans="1:126" x14ac:dyDescent="0.3"/>
    <x:row r="1309" spans="1:126" x14ac:dyDescent="0.3"/>
    <x:row r="1310" spans="1:126" x14ac:dyDescent="0.3"/>
    <x:row r="1311" spans="1:126" x14ac:dyDescent="0.3"/>
    <x:row r="1312" spans="1:126" x14ac:dyDescent="0.3"/>
    <x:row r="1313" spans="1:126" x14ac:dyDescent="0.3"/>
    <x:row r="1314" spans="1:126" x14ac:dyDescent="0.3"/>
    <x:row r="1315" spans="1:126" x14ac:dyDescent="0.3"/>
    <x:row r="1316" spans="1:126" x14ac:dyDescent="0.3"/>
    <x:row r="1317" spans="1:126" x14ac:dyDescent="0.3"/>
    <x:row r="1318" spans="1:126" x14ac:dyDescent="0.3"/>
    <x:row r="1319" spans="1:126" x14ac:dyDescent="0.3"/>
    <x:row r="1320" spans="1:126" x14ac:dyDescent="0.3"/>
    <x:row r="1321" spans="1:126" x14ac:dyDescent="0.3"/>
    <x:row r="1322" spans="1:126" x14ac:dyDescent="0.3"/>
    <x:row r="1323" spans="1:126" x14ac:dyDescent="0.3"/>
    <x:row r="1324" spans="1:126" x14ac:dyDescent="0.3"/>
    <x:row r="1325" spans="1:126" x14ac:dyDescent="0.3"/>
    <x:row r="1326" spans="1:126" x14ac:dyDescent="0.3"/>
    <x:row r="1327" spans="1:126" x14ac:dyDescent="0.3"/>
    <x:row r="1328" spans="1:126" x14ac:dyDescent="0.3"/>
    <x:row r="1329" spans="1:126" x14ac:dyDescent="0.3"/>
    <x:row r="1330" spans="1:126" x14ac:dyDescent="0.3"/>
    <x:row r="1331" spans="1:126" x14ac:dyDescent="0.3"/>
    <x:row r="1332" spans="1:126" x14ac:dyDescent="0.3"/>
    <x:row r="1333" spans="1:126" x14ac:dyDescent="0.3"/>
    <x:row r="1334" spans="1:126" x14ac:dyDescent="0.3"/>
    <x:row r="1335" spans="1:126" x14ac:dyDescent="0.3"/>
    <x:row r="1336" spans="1:126" x14ac:dyDescent="0.3"/>
    <x:row r="1337" spans="1:126" x14ac:dyDescent="0.3"/>
    <x:row r="1338" spans="1:126" x14ac:dyDescent="0.3"/>
    <x:row r="1339" spans="1:126" x14ac:dyDescent="0.3"/>
    <x:row r="1340" spans="1:126" x14ac:dyDescent="0.3"/>
    <x:row r="1341" spans="1:126" x14ac:dyDescent="0.3"/>
    <x:row r="1342" spans="1:126" x14ac:dyDescent="0.3"/>
    <x:row r="1343" spans="1:126" x14ac:dyDescent="0.3"/>
    <x:row r="1344" spans="1:126" x14ac:dyDescent="0.3"/>
    <x:row r="1345" spans="1:126" x14ac:dyDescent="0.3"/>
    <x:row r="1346" spans="1:126" x14ac:dyDescent="0.3"/>
    <x:row r="1347" spans="1:126" x14ac:dyDescent="0.3"/>
    <x:row r="1348" spans="1:126" x14ac:dyDescent="0.3"/>
    <x:row r="1349" spans="1:126" x14ac:dyDescent="0.3"/>
    <x:row r="1350" spans="1:126" x14ac:dyDescent="0.3"/>
    <x:row r="1351" spans="1:126" x14ac:dyDescent="0.3"/>
    <x:row r="1352" spans="1:126" x14ac:dyDescent="0.3"/>
    <x:row r="1353" spans="1:126" x14ac:dyDescent="0.3"/>
    <x:row r="1354" spans="1:126" x14ac:dyDescent="0.3"/>
    <x:row r="1355" spans="1:126" x14ac:dyDescent="0.3"/>
    <x:row r="1356" spans="1:126" x14ac:dyDescent="0.3"/>
    <x:row r="1357" spans="1:126" x14ac:dyDescent="0.3"/>
    <x:row r="1358" spans="1:126" x14ac:dyDescent="0.3"/>
    <x:row r="1359" spans="1:126" x14ac:dyDescent="0.3"/>
    <x:row r="1360" spans="1:126" x14ac:dyDescent="0.3"/>
    <x:row r="1361" spans="1:126" x14ac:dyDescent="0.3"/>
    <x:row r="1362" spans="1:126" x14ac:dyDescent="0.3"/>
    <x:row r="1363" spans="1:126" x14ac:dyDescent="0.3"/>
    <x:row r="1364" spans="1:126" x14ac:dyDescent="0.3"/>
    <x:row r="1365" spans="1:126" x14ac:dyDescent="0.3"/>
    <x:row r="1366" spans="1:126" x14ac:dyDescent="0.3"/>
    <x:row r="1367" spans="1:126" x14ac:dyDescent="0.3"/>
    <x:row r="1368" spans="1:126" x14ac:dyDescent="0.3"/>
    <x:row r="1369" spans="1:126" x14ac:dyDescent="0.3"/>
    <x:row r="1370" spans="1:126" x14ac:dyDescent="0.3"/>
    <x:row r="1371" spans="1:126" x14ac:dyDescent="0.3"/>
    <x:row r="1372" spans="1:126" x14ac:dyDescent="0.3"/>
    <x:row r="1373" spans="1:126" x14ac:dyDescent="0.3"/>
    <x:row r="1374" spans="1:126" x14ac:dyDescent="0.3"/>
    <x:row r="1375" spans="1:126" x14ac:dyDescent="0.3"/>
    <x:row r="1376" spans="1:126" x14ac:dyDescent="0.3"/>
    <x:row r="1377" spans="1:126" x14ac:dyDescent="0.3"/>
    <x:row r="1378" spans="1:126" x14ac:dyDescent="0.3"/>
    <x:row r="1379" spans="1:126" x14ac:dyDescent="0.3"/>
    <x:row r="1380" spans="1:126" x14ac:dyDescent="0.3"/>
    <x:row r="1381" spans="1:126" x14ac:dyDescent="0.3"/>
    <x:row r="1382" spans="1:126" x14ac:dyDescent="0.3"/>
    <x:row r="1383" spans="1:126" x14ac:dyDescent="0.3"/>
    <x:row r="1384" spans="1:126" x14ac:dyDescent="0.3"/>
    <x:row r="1385" spans="1:126" x14ac:dyDescent="0.3"/>
    <x:row r="1386" spans="1:126" x14ac:dyDescent="0.3"/>
    <x:row r="1387" spans="1:126" x14ac:dyDescent="0.3"/>
    <x:row r="1388" spans="1:126" x14ac:dyDescent="0.3"/>
    <x:row r="1389" spans="1:126" x14ac:dyDescent="0.3"/>
    <x:row r="1390" spans="1:126" x14ac:dyDescent="0.3"/>
    <x:row r="1391" spans="1:126" x14ac:dyDescent="0.3"/>
    <x:row r="1392" spans="1:126" x14ac:dyDescent="0.3"/>
    <x:row r="1393" spans="1:126" x14ac:dyDescent="0.3"/>
    <x:row r="1394" spans="1:126" x14ac:dyDescent="0.3"/>
    <x:row r="1395" spans="1:126" x14ac:dyDescent="0.3"/>
    <x:row r="1396" spans="1:126" x14ac:dyDescent="0.3"/>
    <x:row r="1397" spans="1:126" x14ac:dyDescent="0.3"/>
    <x:row r="1398" spans="1:126" x14ac:dyDescent="0.3"/>
    <x:row r="1399" spans="1:126" x14ac:dyDescent="0.3"/>
    <x:row r="1400" spans="1:126" x14ac:dyDescent="0.3"/>
    <x:row r="1401" spans="1:126" x14ac:dyDescent="0.3"/>
    <x:row r="1402" spans="1:126" x14ac:dyDescent="0.3"/>
    <x:row r="1403" spans="1:126" x14ac:dyDescent="0.3"/>
    <x:row r="1404" spans="1:126" x14ac:dyDescent="0.3"/>
    <x:row r="1405" spans="1:126" x14ac:dyDescent="0.3"/>
    <x:row r="1406" spans="1:126" x14ac:dyDescent="0.3"/>
    <x:row r="1407" spans="1:126" x14ac:dyDescent="0.3"/>
    <x:row r="1408" spans="1:126" x14ac:dyDescent="0.3"/>
    <x:row r="1409" spans="1:126" x14ac:dyDescent="0.3"/>
    <x:row r="1410" spans="1:126" x14ac:dyDescent="0.3"/>
    <x:row r="1411" spans="1:126" x14ac:dyDescent="0.3"/>
    <x:row r="1412" spans="1:126" x14ac:dyDescent="0.3"/>
    <x:row r="1413" spans="1:126" x14ac:dyDescent="0.3"/>
    <x:row r="1414" spans="1:126" x14ac:dyDescent="0.3"/>
    <x:row r="1415" spans="1:126" x14ac:dyDescent="0.3"/>
    <x:row r="1416" spans="1:126" x14ac:dyDescent="0.3"/>
    <x:row r="1417" spans="1:126" x14ac:dyDescent="0.3"/>
    <x:row r="1418" spans="1:126" x14ac:dyDescent="0.3"/>
    <x:row r="1419" spans="1:126" x14ac:dyDescent="0.3"/>
    <x:row r="1420" spans="1:126" x14ac:dyDescent="0.3"/>
    <x:row r="1421" spans="1:126" x14ac:dyDescent="0.3"/>
    <x:row r="1422" spans="1:126" x14ac:dyDescent="0.3"/>
    <x:row r="1423" spans="1:126" x14ac:dyDescent="0.3"/>
    <x:row r="1424" spans="1:126" x14ac:dyDescent="0.3"/>
    <x:row r="1425" spans="1:126" x14ac:dyDescent="0.3"/>
    <x:row r="1426" spans="1:126" x14ac:dyDescent="0.3"/>
    <x:row r="1427" spans="1:126" x14ac:dyDescent="0.3"/>
    <x:row r="1428" spans="1:126" x14ac:dyDescent="0.3"/>
    <x:row r="1429" spans="1:126" x14ac:dyDescent="0.3"/>
    <x:row r="1430" spans="1:126" x14ac:dyDescent="0.3"/>
    <x:row r="1431" spans="1:126" x14ac:dyDescent="0.3"/>
    <x:row r="1432" spans="1:126" x14ac:dyDescent="0.3"/>
    <x:row r="1433" spans="1:126" x14ac:dyDescent="0.3"/>
    <x:row r="1434" spans="1:126" x14ac:dyDescent="0.3"/>
    <x:row r="1435" spans="1:126" x14ac:dyDescent="0.3"/>
    <x:row r="1436" spans="1:126" x14ac:dyDescent="0.3"/>
    <x:row r="1437" spans="1:126" x14ac:dyDescent="0.3"/>
    <x:row r="1438" spans="1:126" x14ac:dyDescent="0.3"/>
    <x:row r="1439" spans="1:126" x14ac:dyDescent="0.3"/>
    <x:row r="1440" spans="1:126" x14ac:dyDescent="0.3"/>
    <x:row r="1441" spans="1:126" x14ac:dyDescent="0.3"/>
    <x:row r="1442" spans="1:126" x14ac:dyDescent="0.3"/>
    <x:row r="1443" spans="1:126" x14ac:dyDescent="0.3"/>
    <x:row r="1444" spans="1:126" x14ac:dyDescent="0.3"/>
    <x:row r="1445" spans="1:126" x14ac:dyDescent="0.3"/>
    <x:row r="1446" spans="1:126" x14ac:dyDescent="0.3"/>
    <x:row r="1447" spans="1:126" x14ac:dyDescent="0.3"/>
    <x:row r="1448" spans="1:126" x14ac:dyDescent="0.3"/>
    <x:row r="1449" spans="1:126" x14ac:dyDescent="0.3"/>
    <x:row r="1450" spans="1:126" x14ac:dyDescent="0.3"/>
    <x:row r="1451" spans="1:126" x14ac:dyDescent="0.3"/>
    <x:row r="1452" spans="1:126" x14ac:dyDescent="0.3"/>
    <x:row r="1453" spans="1:126" x14ac:dyDescent="0.3"/>
    <x:row r="1454" spans="1:126" x14ac:dyDescent="0.3"/>
    <x:row r="1455" spans="1:126" x14ac:dyDescent="0.3"/>
    <x:row r="1456" spans="1:126" x14ac:dyDescent="0.3"/>
    <x:row r="1457" spans="1:126" x14ac:dyDescent="0.3"/>
    <x:row r="1458" spans="1:126" x14ac:dyDescent="0.3"/>
    <x:row r="1459" spans="1:126" x14ac:dyDescent="0.3"/>
    <x:row r="1460" spans="1:126" x14ac:dyDescent="0.3"/>
    <x:row r="1461" spans="1:126" x14ac:dyDescent="0.3"/>
    <x:row r="1462" spans="1:126" x14ac:dyDescent="0.3"/>
    <x:row r="1463" spans="1:126" x14ac:dyDescent="0.3"/>
    <x:row r="1464" spans="1:126" x14ac:dyDescent="0.3"/>
    <x:row r="1465" spans="1:126" x14ac:dyDescent="0.3"/>
    <x:row r="1466" spans="1:126" x14ac:dyDescent="0.3"/>
    <x:row r="1467" spans="1:126" x14ac:dyDescent="0.3"/>
    <x:row r="1468" spans="1:126" x14ac:dyDescent="0.3"/>
    <x:row r="1469" spans="1:126" x14ac:dyDescent="0.3"/>
  </x:sheetData>
  <x:mergeCells count="77">
    <x:mergeCell ref="P7:R7"/>
    <x:mergeCell ref="S7:U7"/>
    <x:mergeCell ref="V7:X7"/>
    <x:mergeCell ref="Y7:AA7"/>
    <x:mergeCell ref="AB7:AD7"/>
    <x:mergeCell ref="AE7:AG7"/>
    <x:mergeCell ref="AH7:AJ7"/>
    <x:mergeCell ref="AK7:AM7"/>
    <x:mergeCell ref="AN7:AP7"/>
    <x:mergeCell ref="AQ7:AS7"/>
    <x:mergeCell ref="AT7:AV7"/>
    <x:mergeCell ref="AW7:AY7"/>
    <x:mergeCell ref="AZ7:BB7"/>
    <x:mergeCell ref="BC7:BE7"/>
    <x:mergeCell ref="BF7:BH7"/>
    <x:mergeCell ref="BI7:BK7"/>
    <x:mergeCell ref="BL7:BN7"/>
    <x:mergeCell ref="BO7:BQ7"/>
    <x:mergeCell ref="BR7:BT7"/>
    <x:mergeCell ref="BU7:BW7"/>
    <x:mergeCell ref="BX7:BZ7"/>
    <x:mergeCell ref="CA7:CC7"/>
    <x:mergeCell ref="CD7:CF7"/>
    <x:mergeCell ref="CG7:CI7"/>
    <x:mergeCell ref="CJ7:CL7"/>
    <x:mergeCell ref="CM7:CO7"/>
    <x:mergeCell ref="CP7:CR7"/>
    <x:mergeCell ref="CS7:CU7"/>
    <x:mergeCell ref="CV7:CX7"/>
    <x:mergeCell ref="CY7:DA7"/>
    <x:mergeCell ref="DB7:DD7"/>
    <x:mergeCell ref="DE7:DG7"/>
    <x:mergeCell ref="DH7:DJ7"/>
    <x:mergeCell ref="DK7:DM7"/>
    <x:mergeCell ref="DN7:DP7"/>
    <x:mergeCell ref="DQ7:DS7"/>
    <x:mergeCell ref="DT7:DV7"/>
    <x:mergeCell ref="B8:H8"/>
    <x:mergeCell ref="K8:N8"/>
    <x:mergeCell ref="P8:R8"/>
    <x:mergeCell ref="S8:U8"/>
    <x:mergeCell ref="V8:X8"/>
    <x:mergeCell ref="Y8:AA8"/>
    <x:mergeCell ref="AB8:AD8"/>
    <x:mergeCell ref="AE8:AG8"/>
    <x:mergeCell ref="AH8:AJ8"/>
    <x:mergeCell ref="AK8:AM8"/>
    <x:mergeCell ref="AN8:AP8"/>
    <x:mergeCell ref="AQ8:AS8"/>
    <x:mergeCell ref="AT8:AV8"/>
    <x:mergeCell ref="AW8:AY8"/>
    <x:mergeCell ref="AZ8:BB8"/>
    <x:mergeCell ref="BC8:BE8"/>
    <x:mergeCell ref="BF8:BH8"/>
    <x:mergeCell ref="BI8:BK8"/>
    <x:mergeCell ref="BL8:BN8"/>
    <x:mergeCell ref="BO8:BQ8"/>
    <x:mergeCell ref="BR8:BT8"/>
    <x:mergeCell ref="BU8:BW8"/>
    <x:mergeCell ref="BX8:BZ8"/>
    <x:mergeCell ref="CA8:CC8"/>
    <x:mergeCell ref="CD8:CF8"/>
    <x:mergeCell ref="CG8:CI8"/>
    <x:mergeCell ref="CJ8:CL8"/>
    <x:mergeCell ref="CM8:CO8"/>
    <x:mergeCell ref="CP8:CR8"/>
    <x:mergeCell ref="CS8:CU8"/>
    <x:mergeCell ref="CV8:CX8"/>
    <x:mergeCell ref="CY8:DA8"/>
    <x:mergeCell ref="DB8:DD8"/>
    <x:mergeCell ref="DE8:DG8"/>
    <x:mergeCell ref="DH8:DJ8"/>
    <x:mergeCell ref="DK8:DM8"/>
    <x:mergeCell ref="DN8:DP8"/>
    <x:mergeCell ref="DQ8:DS8"/>
    <x:mergeCell ref="DT8:DV8"/>
    <x:mergeCell ref="D9:H9"/>
  </x:mergeCells>
  <x:conditionalFormatting sqref="S287:S1000">
    <x:cfRule type="expression" dxfId="2" priority="1" operator="equal">
      <x:formula>OR(AND(NOT(ISBLANK(O287)),ISBLANK(S287)),AND(ISBLANK(O287),NOT(ISBLANK(S287))))</x:formula>
    </x:cfRule>
  </x:conditionalFormatting>
  <x:conditionalFormatting sqref="P17:P45 P53:P81 P89:P1000">
    <x:cfRule type="expression" dxfId="2" priority="2" operator="equal">
      <x:formula>OR(AND(NOT(ISBLANK(O17)),ISBLANK(P17)),AND(ISBLANK(O17),NOT(ISBLANK(P17))))</x:formula>
    </x:cfRule>
  </x:conditionalFormatting>
  <x:conditionalFormatting sqref="V10:V1000">
    <x:cfRule type="expression" dxfId="2" priority="3" operator="equal">
      <x:formula>OR(AND(NOT(ISBLANK(O10)),ISBLANK(S10)),AND(ISBLANK(O10),NOT(ISBLANK(S10))))</x:formula>
    </x:cfRule>
  </x:conditionalFormatting>
  <x:conditionalFormatting sqref="Y10:Y1000">
    <x:cfRule type="expression" dxfId="2" priority="4" operator="equal">
      <x:formula>OR(AND(NOT(ISBLANK(O10)),ISBLANK(S10)),AND(ISBLANK(O10),NOT(ISBLANK(S10))))</x:formula>
    </x:cfRule>
  </x:conditionalFormatting>
  <x:conditionalFormatting sqref="AB10:AB1000">
    <x:cfRule type="expression" dxfId="2" priority="5" operator="equal">
      <x:formula>OR(AND(NOT(ISBLANK(O10)),ISBLANK(S10)),AND(ISBLANK(O10),NOT(ISBLANK(S10))))</x:formula>
    </x:cfRule>
  </x:conditionalFormatting>
  <x:conditionalFormatting sqref="AE10:AE1000">
    <x:cfRule type="expression" dxfId="2" priority="6" operator="equal">
      <x:formula>OR(AND(NOT(ISBLANK(O10)),ISBLANK(S10)),AND(ISBLANK(O10),NOT(ISBLANK(S10))))</x:formula>
    </x:cfRule>
  </x:conditionalFormatting>
  <x:conditionalFormatting sqref="AH10:AH1000">
    <x:cfRule type="expression" dxfId="2" priority="7" operator="equal">
      <x:formula>OR(AND(NOT(ISBLANK(O10)),ISBLANK(S10)),AND(ISBLANK(O10),NOT(ISBLANK(S10))))</x:formula>
    </x:cfRule>
  </x:conditionalFormatting>
  <x:conditionalFormatting sqref="AK10:AK1000">
    <x:cfRule type="expression" dxfId="2" priority="8" operator="equal">
      <x:formula>OR(AND(NOT(ISBLANK(O10)),ISBLANK(S10)),AND(ISBLANK(O10),NOT(ISBLANK(S10))))</x:formula>
    </x:cfRule>
  </x:conditionalFormatting>
  <x:conditionalFormatting sqref="AN10:AN1000">
    <x:cfRule type="expression" dxfId="2" priority="9" operator="equal">
      <x:formula>OR(AND(NOT(ISBLANK(O10)),ISBLANK(S10)),AND(ISBLANK(O10),NOT(ISBLANK(S10))))</x:formula>
    </x:cfRule>
  </x:conditionalFormatting>
  <x:conditionalFormatting sqref="CV10:CV1000">
    <x:cfRule type="expression" dxfId="2" priority="10" operator="equal">
      <x:formula>OR(AND(NOT(ISBLANK(O10)),ISBLANK(S10)),AND(ISBLANK(O10),NOT(ISBLANK(S10))))</x:formula>
    </x:cfRule>
  </x:conditionalFormatting>
  <x:conditionalFormatting sqref="CY10:CY1000">
    <x:cfRule type="expression" dxfId="2" priority="11" operator="equal">
      <x:formula>OR(AND(NOT(ISBLANK(O10)),ISBLANK(S10)),AND(ISBLANK(O10),NOT(ISBLANK(S10))))</x:formula>
    </x:cfRule>
  </x:conditionalFormatting>
  <x:conditionalFormatting sqref="DB10:DB1000">
    <x:cfRule type="expression" dxfId="2" priority="12" operator="equal">
      <x:formula>OR(AND(NOT(ISBLANK(O10)),ISBLANK(S10)),AND(ISBLANK(O10),NOT(ISBLANK(S10))))</x:formula>
    </x:cfRule>
  </x:conditionalFormatting>
  <x:conditionalFormatting sqref="DE10:DE1000">
    <x:cfRule type="expression" dxfId="2" priority="13" operator="equal">
      <x:formula>OR(AND(NOT(ISBLANK(O10)),ISBLANK(S10)),AND(ISBLANK(O10),NOT(ISBLANK(S10))))</x:formula>
    </x:cfRule>
  </x:conditionalFormatting>
  <x:conditionalFormatting sqref="DH10:DH1000">
    <x:cfRule type="expression" dxfId="2" priority="14" operator="equal">
      <x:formula>OR(AND(NOT(ISBLANK(O10)),ISBLANK(S10)),AND(ISBLANK(O10),NOT(ISBLANK(S10))))</x:formula>
    </x:cfRule>
  </x:conditionalFormatting>
  <x:conditionalFormatting sqref="DK10:DK1000">
    <x:cfRule type="expression" dxfId="2" priority="15" operator="equal">
      <x:formula>OR(AND(NOT(ISBLANK(O10)),ISBLANK(S10)),AND(ISBLANK(O10),NOT(ISBLANK(S10))))</x:formula>
    </x:cfRule>
  </x:conditionalFormatting>
  <x:conditionalFormatting sqref="DN10:DN1000">
    <x:cfRule type="expression" dxfId="2" priority="16" operator="equal">
      <x:formula>OR(AND(NOT(ISBLANK(O10)),ISBLANK(S10)),AND(ISBLANK(O10),NOT(ISBLANK(S10))))</x:formula>
    </x:cfRule>
  </x:conditionalFormatting>
  <x:conditionalFormatting sqref="DQ10:DQ1000">
    <x:cfRule type="expression" dxfId="2" priority="17" operator="equal">
      <x:formula>OR(AND(NOT(ISBLANK(O10)),ISBLANK(S10)),AND(ISBLANK(O10),NOT(ISBLANK(S10))))</x:formula>
    </x:cfRule>
  </x:conditionalFormatting>
  <x:conditionalFormatting sqref="DT10:DT1000">
    <x:cfRule type="expression" dxfId="2" priority="18" operator="equal">
      <x:formula>OR(AND(NOT(ISBLANK(O10)),ISBLANK(S10)),AND(ISBLANK(O10),NOT(ISBLANK(S10))))</x:formula>
    </x:cfRule>
  </x:conditionalFormatting>
  <x:conditionalFormatting sqref="AQ10:AQ1000">
    <x:cfRule type="expression" dxfId="2" priority="19" operator="equal">
      <x:formula>OR(AND(NOT(ISBLANK(O10)),ISBLANK(S10)),AND(ISBLANK(O10),NOT(ISBLANK(S10))))</x:formula>
    </x:cfRule>
  </x:conditionalFormatting>
  <x:conditionalFormatting sqref="AT10:AT1000">
    <x:cfRule type="expression" dxfId="2" priority="20" operator="equal">
      <x:formula>OR(AND(NOT(ISBLANK(O10)),ISBLANK(S10)),AND(ISBLANK(O10),NOT(ISBLANK(S10))))</x:formula>
    </x:cfRule>
  </x:conditionalFormatting>
  <x:conditionalFormatting sqref="AW10:AW1000">
    <x:cfRule type="expression" dxfId="2" priority="21" operator="equal">
      <x:formula>OR(AND(NOT(ISBLANK(O10)),ISBLANK(S10)),AND(ISBLANK(O10),NOT(ISBLANK(S10))))</x:formula>
    </x:cfRule>
  </x:conditionalFormatting>
  <x:conditionalFormatting sqref="AZ10:AZ1000">
    <x:cfRule type="expression" dxfId="2" priority="22" operator="equal">
      <x:formula>OR(AND(NOT(ISBLANK(O10)),ISBLANK(S10)),AND(ISBLANK(O10),NOT(ISBLANK(S10))))</x:formula>
    </x:cfRule>
  </x:conditionalFormatting>
  <x:conditionalFormatting sqref="BC10:BC1000">
    <x:cfRule type="expression" dxfId="2" priority="23" operator="equal">
      <x:formula>OR(AND(NOT(ISBLANK(O10)),ISBLANK(S10)),AND(ISBLANK(O10),NOT(ISBLANK(S10))))</x:formula>
    </x:cfRule>
  </x:conditionalFormatting>
  <x:conditionalFormatting sqref="BF10:BF1000">
    <x:cfRule type="expression" dxfId="2" priority="24" operator="equal">
      <x:formula>OR(AND(NOT(ISBLANK(O10)),ISBLANK(S10)),AND(ISBLANK(O10),NOT(ISBLANK(S10))))</x:formula>
    </x:cfRule>
  </x:conditionalFormatting>
  <x:conditionalFormatting sqref="BI10:BI1000">
    <x:cfRule type="expression" dxfId="2" priority="25" operator="equal">
      <x:formula>OR(AND(NOT(ISBLANK(O10)),ISBLANK(S10)),AND(ISBLANK(O10),NOT(ISBLANK(S10))))</x:formula>
    </x:cfRule>
  </x:conditionalFormatting>
  <x:conditionalFormatting sqref="BL10:BL1000">
    <x:cfRule type="expression" dxfId="2" priority="26" operator="equal">
      <x:formula>OR(AND(NOT(ISBLANK(O10)),ISBLANK(S10)),AND(ISBLANK(O10),NOT(ISBLANK(S10))))</x:formula>
    </x:cfRule>
  </x:conditionalFormatting>
  <x:conditionalFormatting sqref="BO10:BO1000">
    <x:cfRule type="expression" dxfId="2" priority="27" operator="equal">
      <x:formula>OR(AND(NOT(ISBLANK(O10)),ISBLANK(S10)),AND(ISBLANK(O10),NOT(ISBLANK(S10))))</x:formula>
    </x:cfRule>
  </x:conditionalFormatting>
  <x:conditionalFormatting sqref="BR10:BR1000">
    <x:cfRule type="expression" dxfId="2" priority="28" operator="equal">
      <x:formula>OR(AND(NOT(ISBLANK(O10)),ISBLANK(S10)),AND(ISBLANK(O10),NOT(ISBLANK(S10))))</x:formula>
    </x:cfRule>
  </x:conditionalFormatting>
  <x:conditionalFormatting sqref="BU10:BU1000">
    <x:cfRule type="expression" dxfId="2" priority="29" operator="equal">
      <x:formula>OR(AND(NOT(ISBLANK(O10)),ISBLANK(S10)),AND(ISBLANK(O10),NOT(ISBLANK(S10))))</x:formula>
    </x:cfRule>
  </x:conditionalFormatting>
  <x:conditionalFormatting sqref="BX10:BX1000">
    <x:cfRule type="expression" dxfId="2" priority="30" operator="equal">
      <x:formula>OR(AND(NOT(ISBLANK(O10)),ISBLANK(S10)),AND(ISBLANK(O10),NOT(ISBLANK(S10))))</x:formula>
    </x:cfRule>
  </x:conditionalFormatting>
  <x:conditionalFormatting sqref="CA10:CA1000">
    <x:cfRule type="expression" dxfId="2" priority="31" operator="equal">
      <x:formula>OR(AND(NOT(ISBLANK(O10)),ISBLANK(S10)),AND(ISBLANK(O10),NOT(ISBLANK(S10))))</x:formula>
    </x:cfRule>
  </x:conditionalFormatting>
  <x:conditionalFormatting sqref="CD10:CD1000">
    <x:cfRule type="expression" dxfId="2" priority="32" operator="equal">
      <x:formula>OR(AND(NOT(ISBLANK(O10)),ISBLANK(S10)),AND(ISBLANK(O10),NOT(ISBLANK(S10))))</x:formula>
    </x:cfRule>
  </x:conditionalFormatting>
  <x:conditionalFormatting sqref="CG10:CG1000">
    <x:cfRule type="expression" dxfId="2" priority="33" operator="equal">
      <x:formula>OR(AND(NOT(ISBLANK(O10)),ISBLANK(S10)),AND(ISBLANK(O10),NOT(ISBLANK(S10))))</x:formula>
    </x:cfRule>
  </x:conditionalFormatting>
  <x:conditionalFormatting sqref="CJ10:CJ1000">
    <x:cfRule type="expression" dxfId="2" priority="34" operator="equal">
      <x:formula>OR(AND(NOT(ISBLANK(O10)),ISBLANK(S10)),AND(ISBLANK(O10),NOT(ISBLANK(S10))))</x:formula>
    </x:cfRule>
  </x:conditionalFormatting>
  <x:conditionalFormatting sqref="CM10:CM1000">
    <x:cfRule type="expression" dxfId="2" priority="35" operator="equal">
      <x:formula>OR(AND(NOT(ISBLANK(O10)),ISBLANK(S10)),AND(ISBLANK(O10),NOT(ISBLANK(S10))))</x:formula>
    </x:cfRule>
  </x:conditionalFormatting>
  <x:conditionalFormatting sqref="CP10:CP1000">
    <x:cfRule type="expression" dxfId="2" priority="36" operator="equal">
      <x:formula>OR(AND(NOT(ISBLANK(O10)),ISBLANK(S10)),AND(ISBLANK(O10),NOT(ISBLANK(S10))))</x:formula>
    </x:cfRule>
  </x:conditionalFormatting>
  <x:conditionalFormatting sqref="CS10:CS1000">
    <x:cfRule type="expression" dxfId="2" priority="37" operator="equal">
      <x:formula>OR(AND(NOT(ISBLANK(O10)),ISBLANK(S10)),AND(ISBLANK(O10),NOT(ISBLANK(S10))))</x:formula>
    </x:cfRule>
  </x:conditionalFormatting>
  <x:printOptions horizontalCentered="0" verticalCentered="0" headings="0" gridLines="0"/>
  <x:pageMargins left="0.7086614173228347" right="0.7086614173228347" top="0.7480314960629921" bottom="0.7480314960629921" header="0.31496062992125984" footer="0.31496062992125984"/>
  <x:pageSetup paperSize="9" fitToHeight="3" pageOrder="downThenOver" orientation="portrait" blackAndWhite="0" draft="0" cellComments="none" errors="displayed" r:id="rId1"/>
  <x:headerFooter/>
  <x:tableParts count="0"/>
  <x:extLst>
    <x:ext xmlns:x14="http://schemas.microsoft.com/office/spreadsheetml/2009/9/main" uri="{CCE6A557-97BC-4b89-ADB6-D9C93CAAB3DF}">
      <x14:dataValidations xmlns:xm="http://schemas.microsoft.com/office/excel/2006/main" count="3">
        <x14:dataValidation type="list" errorStyle="stop" operator="between" allowBlank="1" showDropDown="0" showInputMessage="1" showErrorMessage="1" errorTitle="" error="" promptTitle="" prompt="">
          <x14:formula1>
            <xm:f>Keys!$D$8:$D$9</xm:f>
          </x14:formula1>
          <xm:sqref>C5:C5</xm:sqref>
        </x14:dataValidation>
        <x14:dataValidation type="list" errorStyle="stop" operator="between" allowBlank="1" showDropDown="0" showInputMessage="1" showErrorMessage="1" errorTitle="" error="" promptTitle="" prompt="">
          <x14:formula1>
            <xm:f>Keys!$A$22:$A$31</xm:f>
          </x14:formula1>
          <xm:sqref>C4:C4</xm:sqref>
        </x14:dataValidation>
        <x14:dataValidation type="list" errorStyle="stop" operator="between" allowBlank="1" showDropDown="0" showInputMessage="1" showErrorMessage="1" errorTitle="" error="" promptTitle="TEST" prompt="">
          <x14:formula1>
            <xm:f>'Summary Info'!AE10:AE43</xm:f>
          </x14:formula1>
          <xm:sqref>P8:R8</xm:sqref>
        </x14:dataValidation>
      </x14:dataValidations>
    </x:ext>
  </x:extLst>
</x:worksheet>
</file>

<file path=xl/worksheets/sheet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300-000000000000}" mc:Ignorable="x14ac xr xr2 xr3">
  <x:sheetPr codeName="Sheet4">
    <x:outlinePr summaryBelow="1" summaryRight="1"/>
  </x:sheetPr>
  <x:dimension ref="A1:I33"/>
  <x:sheetViews>
    <x:sheetView showGridLines="0" tabSelected="1" topLeftCell="A15" zoomScale="80" zoomScaleNormal="70" zoomScaleSheetLayoutView="90" zoomScalePageLayoutView="80" workbookViewId="0">
      <x:selection activeCell="B25" sqref="B25"/>
    </x:sheetView>
  </x:sheetViews>
  <x:sheetFormatPr defaultColWidth="9.140625" defaultRowHeight="15" x14ac:dyDescent="0.25"/>
  <x:cols>
    <x:col min="1" max="1" width="21.855469" style="2" bestFit="1" customWidth="1"/>
    <x:col min="2" max="2" width="12.425781" style="2" bestFit="1" customWidth="1"/>
    <x:col min="3" max="3" width="16.570312" style="2" customWidth="1"/>
    <x:col min="4" max="4" width="17.425781" style="2" bestFit="1" customWidth="1"/>
    <x:col min="5" max="5" width="12.425781" style="2" bestFit="1" customWidth="1"/>
    <x:col min="6" max="6" width="16.570312" style="2" customWidth="1"/>
    <x:col min="7" max="7" width="25.425781" style="2" customWidth="1"/>
    <x:col min="8" max="9" width="9.140625" style="2" customWidth="1"/>
    <x:col min="10" max="16384" width="9.140625" style="2" hidden="1" customWidth="1"/>
  </x:cols>
  <x:sheetData>
    <x:row r="1" spans="1:9" ht="16.5" customHeight="1" x14ac:dyDescent="0.3">
      <x:c r="A1" s="196" t="s">
        <x:v>29</x:v>
      </x:c>
      <x:c r="B1" s="196" t="s">
        <x:v>94</x:v>
      </x:c>
      <x:c r="C1" s="197"/>
      <x:c r="D1" s="196" t="s">
        <x:v>30</x:v>
      </x:c>
      <x:c r="E1" s="196" t="s">
        <x:v>94</x:v>
      </x:c>
      <x:c r="F1" s="198"/>
    </x:row>
    <x:row r="2" spans="1:9" ht="16.5" customHeight="1" x14ac:dyDescent="0.3">
      <x:c r="A2" s="199" t="s">
        <x:v>95</x:v>
      </x:c>
      <x:c r="B2" s="199" t="s">
        <x:v>15</x:v>
      </x:c>
      <x:c r="C2" s="197"/>
      <x:c r="D2" s="199" t="s">
        <x:v>43</x:v>
      </x:c>
      <x:c r="E2" s="199" t="s">
        <x:v>96</x:v>
      </x:c>
      <x:c r="F2" s="198"/>
    </x:row>
    <x:row r="3" spans="1:9" ht="33" customHeight="1" x14ac:dyDescent="0.3">
      <x:c r="A3" s="199" t="s">
        <x:v>97</x:v>
      </x:c>
      <x:c r="B3" s="199" t="s">
        <x:v>98</x:v>
      </x:c>
      <x:c r="C3" s="197"/>
      <x:c r="D3" s="200" t="s">
        <x:v>99</x:v>
      </x:c>
      <x:c r="E3" s="200" t="s">
        <x:v>100</x:v>
      </x:c>
      <x:c r="F3" s="198"/>
    </x:row>
    <x:row r="4" spans="1:9" ht="33" customHeight="1" x14ac:dyDescent="0.3">
      <x:c r="A4" s="199" t="s">
        <x:v>42</x:v>
      </x:c>
      <x:c r="B4" s="199" t="s">
        <x:v>101</x:v>
      </x:c>
      <x:c r="C4" s="197"/>
      <x:c r="D4" s="201" t="s">
        <x:v>102</x:v>
      </x:c>
      <x:c r="E4" s="201" t="s">
        <x:v>103</x:v>
      </x:c>
      <x:c r="F4" s="198"/>
    </x:row>
    <x:row r="5" spans="1:9" ht="16.5" customHeight="1" x14ac:dyDescent="0.3">
      <x:c r="A5" s="197"/>
      <x:c r="B5" s="197"/>
      <x:c r="C5" s="197"/>
      <x:c r="D5" s="197"/>
      <x:c r="E5" s="197"/>
      <x:c r="F5" s="198"/>
    </x:row>
    <x:row r="6" spans="1:9" ht="30" customHeight="1" x14ac:dyDescent="0.3">
      <x:c r="A6" s="197"/>
      <x:c r="B6" s="197"/>
      <x:c r="C6" s="197"/>
      <x:c r="D6" s="197"/>
      <x:c r="E6" s="197"/>
      <x:c r="F6" s="198"/>
    </x:row>
    <x:row r="7" spans="1:9" ht="16.5" customHeight="1" x14ac:dyDescent="0.3">
      <x:c r="A7" s="197"/>
      <x:c r="B7" s="197"/>
      <x:c r="C7" s="197"/>
      <x:c r="D7" s="197"/>
      <x:c r="E7" s="197"/>
      <x:c r="F7" s="198"/>
    </x:row>
    <x:row r="8" spans="1:9" ht="16.5" customHeight="1" x14ac:dyDescent="0.3">
      <x:c r="A8" s="197"/>
      <x:c r="B8" s="197"/>
      <x:c r="C8" s="197"/>
      <x:c r="D8" s="197" t="s">
        <x:v>104</x:v>
      </x:c>
      <x:c r="E8" s="197"/>
      <x:c r="F8" s="198"/>
    </x:row>
    <x:row r="9" spans="1:9" ht="16.5" customHeight="1" x14ac:dyDescent="0.3">
      <x:c r="A9" s="197"/>
      <x:c r="B9" s="197"/>
      <x:c r="C9" s="197"/>
      <x:c r="D9" s="197" t="s">
        <x:v>27</x:v>
      </x:c>
      <x:c r="E9" s="197"/>
      <x:c r="F9" s="198"/>
    </x:row>
    <x:row r="10" spans="1:9" ht="16.5" customHeight="1" x14ac:dyDescent="0.3">
      <x:c r="A10" s="197"/>
      <x:c r="B10" s="197"/>
      <x:c r="C10" s="197"/>
      <x:c r="D10" s="197"/>
      <x:c r="E10" s="197"/>
      <x:c r="F10" s="198"/>
      <x:c r="G10" s="198"/>
    </x:row>
    <x:row r="11" spans="1:9" ht="16.5" customHeight="1" x14ac:dyDescent="0.3">
      <x:c r="A11" s="197"/>
      <x:c r="B11" s="197"/>
      <x:c r="C11" s="197"/>
      <x:c r="D11" s="23"/>
      <x:c r="E11" s="23"/>
      <x:c r="F11" s="198"/>
      <x:c r="G11" s="198"/>
    </x:row>
    <x:row r="12" spans="1:9" ht="16.5" customHeight="1" x14ac:dyDescent="0.3">
      <x:c r="A12" s="197"/>
      <x:c r="B12" s="197"/>
      <x:c r="C12" s="197"/>
      <x:c r="D12" s="23"/>
      <x:c r="E12" s="23"/>
      <x:c r="F12" s="198"/>
      <x:c r="G12" s="198"/>
    </x:row>
    <x:row r="13" spans="1:9" ht="16.5" customHeight="1" x14ac:dyDescent="0.3">
      <x:c r="A13" s="23"/>
      <x:c r="B13" s="23"/>
      <x:c r="C13" s="197"/>
      <x:c r="D13" s="23"/>
      <x:c r="E13" s="23"/>
      <x:c r="F13" s="198"/>
      <x:c r="G13" s="198"/>
    </x:row>
    <x:row r="14" spans="1:9" ht="16.5" customHeight="1" x14ac:dyDescent="0.3">
      <x:c r="A14" s="23"/>
      <x:c r="B14" s="23"/>
      <x:c r="C14" s="197"/>
      <x:c r="D14" s="23"/>
      <x:c r="E14" s="23"/>
      <x:c r="F14" s="198"/>
      <x:c r="G14" s="198"/>
    </x:row>
    <x:row r="15" spans="1:9" ht="16.5" customHeight="1" x14ac:dyDescent="0.3">
      <x:c r="A15" s="23"/>
      <x:c r="B15" s="23"/>
      <x:c r="C15" s="197"/>
      <x:c r="D15" s="197"/>
      <x:c r="E15" s="197"/>
      <x:c r="F15" s="198"/>
      <x:c r="G15" s="198"/>
    </x:row>
    <x:row r="16" spans="1:9" ht="16.5" customHeight="1" x14ac:dyDescent="0.3">
      <x:c r="A16" s="196" t="s">
        <x:v>31</x:v>
      </x:c>
      <x:c r="B16" s="196" t="s">
        <x:v>94</x:v>
      </x:c>
      <x:c r="C16" s="197"/>
      <x:c r="D16" s="196" t="s">
        <x:v>32</x:v>
      </x:c>
      <x:c r="E16" s="196" t="s">
        <x:v>94</x:v>
      </x:c>
      <x:c r="F16" s="198"/>
      <x:c r="G16" s="198"/>
    </x:row>
    <x:row r="17" spans="1:9" ht="16.5" customHeight="1" x14ac:dyDescent="0.3">
      <x:c r="A17" s="199" t="s">
        <x:v>44</x:v>
      </x:c>
      <x:c r="B17" s="24" t="s">
        <x:v>105</x:v>
      </x:c>
      <x:c r="C17" s="197"/>
      <x:c r="D17" s="199" t="s">
        <x:v>106</x:v>
      </x:c>
      <x:c r="E17" s="24">
        <x:v>10</x:v>
      </x:c>
      <x:c r="F17" s="198"/>
      <x:c r="G17" s="198"/>
    </x:row>
    <x:row r="18" spans="1:9" ht="16.5" customHeight="1" x14ac:dyDescent="0.3">
      <x:c r="A18" s="199" t="s">
        <x:v>107</x:v>
      </x:c>
      <x:c r="B18" s="24" t="s">
        <x:v>108</x:v>
      </x:c>
      <x:c r="C18" s="23"/>
      <x:c r="D18" s="199" t="s">
        <x:v>109</x:v>
      </x:c>
      <x:c r="E18" s="24">
        <x:v>14</x:v>
      </x:c>
    </x:row>
    <x:row r="19" spans="1:9" ht="16.5" customHeight="1" x14ac:dyDescent="0.3">
      <x:c r="A19" s="199" t="s">
        <x:v>110</x:v>
      </x:c>
      <x:c r="B19" s="24" t="s">
        <x:v>111</x:v>
      </x:c>
      <x:c r="C19" s="23"/>
      <x:c r="D19" s="199" t="s">
        <x:v>45</x:v>
      </x:c>
      <x:c r="E19" s="24">
        <x:v>21</x:v>
      </x:c>
    </x:row>
    <x:row r="20" spans="1:9" ht="16.5" customHeight="1" x14ac:dyDescent="0.3">
      <x:c r="A20" s="23"/>
      <x:c r="B20" s="23"/>
      <x:c r="C20" s="23"/>
      <x:c r="D20" s="199" t="s">
        <x:v>112</x:v>
      </x:c>
      <x:c r="E20" s="24">
        <x:v>28</x:v>
      </x:c>
    </x:row>
    <x:row r="21" spans="1:9" ht="16.5" customHeight="1" x14ac:dyDescent="0.3">
      <x:c r="A21" s="23" t="s">
        <x:v>113</x:v>
      </x:c>
      <x:c r="B21" s="23"/>
      <x:c r="C21" s="23"/>
      <x:c r="D21" s="23"/>
      <x:c r="E21" s="23"/>
    </x:row>
    <x:row r="22" spans="1:9" ht="16.5" customHeight="1" x14ac:dyDescent="0.3">
      <x:c r="A22" s="23" t="s">
        <x:v>114</x:v>
      </x:c>
      <x:c r="B22" s="23"/>
      <x:c r="C22" s="23"/>
      <x:c r="D22" s="23">
        <x:v>12</x:v>
      </x:c>
      <x:c r="E22" s="23"/>
    </x:row>
    <x:row r="23" spans="1:9" ht="16.5" customHeight="1" x14ac:dyDescent="0.3">
      <x:c r="A23" s="23" t="s">
        <x:v>115</x:v>
      </x:c>
      <x:c r="B23" s="23"/>
      <x:c r="C23" s="23"/>
      <x:c r="D23" s="23">
        <x:v>24</x:v>
      </x:c>
      <x:c r="E23" s="23"/>
    </x:row>
    <x:row r="24" spans="1:9" ht="16.5" customHeight="1" x14ac:dyDescent="0.3">
      <x:c r="A24" s="23" t="s">
        <x:v>116</x:v>
      </x:c>
      <x:c r="B24" s="23"/>
      <x:c r="C24" s="23"/>
      <x:c r="D24" s="23"/>
      <x:c r="E24" s="23"/>
    </x:row>
    <x:row r="25" spans="1:9" ht="16.5" customHeight="1" x14ac:dyDescent="0.3">
      <x:c r="A25" s="23" t="s">
        <x:v>117</x:v>
      </x:c>
      <x:c r="B25" s="23"/>
      <x:c r="C25" s="23"/>
      <x:c r="D25" s="23">
        <x:v>36</x:v>
      </x:c>
      <x:c r="E25" s="23"/>
    </x:row>
    <x:row r="26" spans="1:9" ht="16.5" customHeight="1" x14ac:dyDescent="0.3">
      <x:c r="A26" s="23" t="s">
        <x:v>118</x:v>
      </x:c>
      <x:c r="B26" s="23"/>
      <x:c r="C26" s="23"/>
      <x:c r="D26" s="23">
        <x:v>34</x:v>
      </x:c>
      <x:c r="E26" s="23"/>
    </x:row>
    <x:row r="27" spans="1:9" ht="16.5" customHeight="1" x14ac:dyDescent="0.3">
      <x:c r="A27" s="23" t="s">
        <x:v>11</x:v>
      </x:c>
      <x:c r="B27" s="23"/>
      <x:c r="C27" s="23"/>
      <x:c r="D27" s="23"/>
      <x:c r="E27" s="23"/>
    </x:row>
    <x:row r="28" spans="1:9" ht="16.5" customHeight="1" x14ac:dyDescent="0.3">
      <x:c r="A28" s="23" t="s">
        <x:v>6</x:v>
      </x:c>
      <x:c r="B28" s="23"/>
      <x:c r="C28" s="23"/>
      <x:c r="D28" s="23"/>
      <x:c r="E28" s="23"/>
    </x:row>
    <x:row r="29" spans="1:9" ht="16.5" customHeight="1" x14ac:dyDescent="0.3">
      <x:c r="A29" s="23" t="s">
        <x:v>119</x:v>
      </x:c>
      <x:c r="B29" s="23"/>
      <x:c r="C29" s="23"/>
      <x:c r="D29" s="23"/>
      <x:c r="E29" s="23"/>
    </x:row>
    <x:row r="30" spans="1:9" ht="16.5" customHeight="1" x14ac:dyDescent="0.3">
      <x:c r="A30" s="23" t="s">
        <x:v>120</x:v>
      </x:c>
      <x:c r="B30" s="23"/>
      <x:c r="C30" s="23"/>
      <x:c r="D30" s="23"/>
      <x:c r="E30" s="23"/>
    </x:row>
    <x:row r="31" spans="1:9" ht="16.5" customHeight="1" x14ac:dyDescent="0.3">
      <x:c r="A31" s="23" t="s">
        <x:v>121</x:v>
      </x:c>
      <x:c r="B31" s="23"/>
      <x:c r="C31" s="23"/>
      <x:c r="D31" s="23"/>
      <x:c r="E31" s="23"/>
    </x:row>
    <x:row r="32" spans="1:9" ht="16.5" customHeight="1" x14ac:dyDescent="0.3">
      <x:c r="A32" s="23" t="s">
        <x:v>12</x:v>
      </x:c>
      <x:c r="B32" s="23"/>
      <x:c r="C32" s="23"/>
      <x:c r="D32" s="23"/>
      <x:c r="E32" s="23"/>
    </x:row>
    <x:row r="33" spans="1:9" ht="16.5" customHeight="1" x14ac:dyDescent="0.3">
      <x:c r="B33" s="23"/>
      <x:c r="C33" s="23"/>
      <x:c r="D33" s="23"/>
      <x:c r="E33" s="23"/>
    </x:row>
  </x:sheetData>
  <x:printOptions horizontalCentered="0" verticalCentered="0" headings="0" gridLines="0"/>
  <x:pageMargins left="0.2362204724409449" right="0.2362204724409449" top="0.7480314960629921" bottom="0.7480314960629921" header="0.31496062992125984" footer="0.31496062992125984"/>
  <x:pageSetup paperSize="9" scale="100" pageOrder="downThenOver" orientation="landscape" blackAndWhite="0" draft="0" cellComments="none" errors="displayed" r:id="rId1"/>
  <x:headerFooter/>
  <x:tableParts count="0"/>
</x:worksheet>
</file>

<file path=xl/worksheets/sheet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400-000000000000}" mc:Ignorable="x14ac xr xr2 xr3">
  <x:sheetPr codeName="Sheet5">
    <x:outlinePr summaryBelow="1" summaryRight="1"/>
  </x:sheetPr>
  <x:dimension ref="B1:G2661"/>
  <x:sheetViews>
    <x:sheetView topLeftCell="A7" workbookViewId="0">
      <x:selection activeCell="G22" sqref="G22"/>
    </x:sheetView>
  </x:sheetViews>
  <x:sheetFormatPr defaultColWidth="9.140625" defaultRowHeight="16.5" x14ac:dyDescent="0.3"/>
  <x:cols>
    <x:col min="1" max="1" width="9.140625" style="6" customWidth="1"/>
    <x:col min="2" max="2" width="12.425781" style="15" customWidth="1"/>
    <x:col min="3" max="3" width="15.425781" style="15" customWidth="1"/>
    <x:col min="4" max="4" width="29.425781" style="6" bestFit="1" customWidth="1"/>
    <x:col min="5" max="5" width="13.425781" style="6" bestFit="1" customWidth="1"/>
    <x:col min="6" max="6" width="11" style="6" bestFit="1" customWidth="1"/>
    <x:col min="7" max="7" width="12.425781" style="6" customWidth="1"/>
    <x:col min="8" max="16384" width="9.140625" style="6" customWidth="1"/>
  </x:cols>
  <x:sheetData>
    <x:row r="1" spans="1:7" x14ac:dyDescent="0.3">
      <x:c r="B1" s="144" t="s">
        <x:v>122</x:v>
      </x:c>
      <x:c r="C1" s="144"/>
      <x:c r="D1" s="11" t="s">
        <x:v>123</x:v>
      </x:c>
      <x:c r="E1" s="11" t="s">
        <x:v>124</x:v>
      </x:c>
    </x:row>
    <x:row r="2" spans="1:7" x14ac:dyDescent="0.3">
      <x:c r="B2" s="12">
        <x:v>7400000100</x:v>
      </x:c>
      <x:c r="C2" s="13">
        <x:v>7425000000</x:v>
      </x:c>
      <x:c r="D2" s="14" t="s">
        <x:v>125</x:v>
      </x:c>
      <x:c r="E2" s="11" t="s">
        <x:v>126</x:v>
      </x:c>
      <x:c r="F2" s="15"/>
      <x:c r="G2" s="15"/>
    </x:row>
    <x:row r="3" spans="1:7" x14ac:dyDescent="0.3">
      <x:c r="B3" s="12">
        <x:v>7425000100</x:v>
      </x:c>
      <x:c r="C3" s="13">
        <x:v>7440000000</x:v>
      </x:c>
      <x:c r="D3" s="14" t="s">
        <x:v>127</x:v>
      </x:c>
      <x:c r="E3" s="11" t="s">
        <x:v>126</x:v>
      </x:c>
      <x:c r="F3" s="15"/>
      <x:c r="G3" s="15"/>
    </x:row>
    <x:row r="4" spans="1:7" x14ac:dyDescent="0.3">
      <x:c r="B4" s="12">
        <x:v>7440000100</x:v>
      </x:c>
      <x:c r="C4" s="13">
        <x:v>7455000000</x:v>
      </x:c>
      <x:c r="D4" s="14" t="s">
        <x:v>128</x:v>
      </x:c>
      <x:c r="E4" s="11" t="s">
        <x:v>126</x:v>
      </x:c>
      <x:c r="F4" s="15"/>
      <x:c r="G4" s="15"/>
    </x:row>
    <x:row r="5" spans="1:7" x14ac:dyDescent="0.3">
      <x:c r="B5" s="12">
        <x:v>7455000100</x:v>
      </x:c>
      <x:c r="C5" s="12">
        <x:v>7465000000</x:v>
      </x:c>
      <x:c r="D5" s="14" t="s">
        <x:v>129</x:v>
      </x:c>
      <x:c r="E5" s="11" t="s">
        <x:v>126</x:v>
      </x:c>
      <x:c r="F5" s="15"/>
      <x:c r="G5" s="15"/>
    </x:row>
    <x:row r="6" spans="1:7" x14ac:dyDescent="0.3">
      <x:c r="B6" s="12">
        <x:v>7465000100</x:v>
      </x:c>
      <x:c r="C6" s="13">
        <x:v>7475000000</x:v>
      </x:c>
      <x:c r="D6" s="14" t="s">
        <x:v>127</x:v>
      </x:c>
      <x:c r="E6" s="11" t="s">
        <x:v>126</x:v>
      </x:c>
      <x:c r="F6" s="15"/>
      <x:c r="G6" s="15"/>
    </x:row>
    <x:row r="7" spans="1:7" x14ac:dyDescent="0.3">
      <x:c r="B7" s="12">
        <x:v>7475000100</x:v>
      </x:c>
      <x:c r="C7" s="13">
        <x:v>7480000000</x:v>
      </x:c>
      <x:c r="D7" s="11" t="s">
        <x:v>130</x:v>
      </x:c>
      <x:c r="E7" s="11" t="s">
        <x:v>126</x:v>
      </x:c>
      <x:c r="F7" s="15"/>
      <x:c r="G7" s="15"/>
    </x:row>
    <x:row r="8" spans="1:7" x14ac:dyDescent="0.3">
      <x:c r="B8" s="12">
        <x:v>7480000100</x:v>
      </x:c>
      <x:c r="C8" s="13">
        <x:v>7482000000</x:v>
      </x:c>
      <x:c r="D8" s="11" t="s">
        <x:v>127</x:v>
      </x:c>
      <x:c r="E8" s="11" t="s">
        <x:v>126</x:v>
      </x:c>
      <x:c r="F8" s="15"/>
      <x:c r="G8" s="15"/>
    </x:row>
    <x:row r="9" spans="1:7" x14ac:dyDescent="0.3">
      <x:c r="B9" s="12">
        <x:v>7482000100</x:v>
      </x:c>
      <x:c r="C9" s="12">
        <x:v>7485000000</x:v>
      </x:c>
      <x:c r="D9" s="14" t="s">
        <x:v>129</x:v>
      </x:c>
      <x:c r="E9" s="11" t="s">
        <x:v>126</x:v>
      </x:c>
      <x:c r="F9" s="15"/>
      <x:c r="G9" s="15"/>
    </x:row>
    <x:row r="10" spans="1:7" x14ac:dyDescent="0.3">
      <x:c r="B10" s="12">
        <x:v>7485000100</x:v>
      </x:c>
      <x:c r="C10" s="13">
        <x:v>7490000000</x:v>
      </x:c>
      <x:c r="D10" s="11" t="s">
        <x:v>131</x:v>
      </x:c>
      <x:c r="E10" s="11" t="s">
        <x:v>126</x:v>
      </x:c>
      <x:c r="F10" s="15"/>
      <x:c r="G10" s="15"/>
    </x:row>
    <x:row r="11" spans="1:7" x14ac:dyDescent="0.3">
      <x:c r="B11" s="12">
        <x:v>7490000100</x:v>
      </x:c>
      <x:c r="C11" s="13">
        <x:v>7493000000</x:v>
      </x:c>
      <x:c r="D11" s="14" t="s">
        <x:v>129</x:v>
      </x:c>
      <x:c r="E11" s="11" t="s">
        <x:v>126</x:v>
      </x:c>
      <x:c r="F11" s="15"/>
      <x:c r="G11" s="15"/>
    </x:row>
    <x:row r="12" spans="1:7" x14ac:dyDescent="0.3">
      <x:c r="B12" s="12">
        <x:v>7493000100</x:v>
      </x:c>
      <x:c r="C12" s="13">
        <x:v>7495000000</x:v>
      </x:c>
      <x:c r="D12" s="11" t="s">
        <x:v>132</x:v>
      </x:c>
      <x:c r="E12" s="11" t="s">
        <x:v>126</x:v>
      </x:c>
      <x:c r="F12" s="15"/>
      <x:c r="G12" s="15"/>
    </x:row>
    <x:row r="13" spans="1:7" x14ac:dyDescent="0.3">
      <x:c r="B13" s="12">
        <x:v>7495000100</x:v>
      </x:c>
      <x:c r="C13" s="13">
        <x:v>7498000000</x:v>
      </x:c>
      <x:c r="D13" s="11" t="s">
        <x:v>133</x:v>
      </x:c>
      <x:c r="E13" s="11" t="s">
        <x:v>126</x:v>
      </x:c>
      <x:c r="F13" s="15"/>
      <x:c r="G13" s="15"/>
    </x:row>
    <x:row r="14" spans="1:7" x14ac:dyDescent="0.3">
      <x:c r="B14" s="12">
        <x:v>7498000100</x:v>
      </x:c>
      <x:c r="C14" s="13">
        <x:v>7499500000</x:v>
      </x:c>
      <x:c r="D14" s="11" t="s">
        <x:v>127</x:v>
      </x:c>
      <x:c r="E14" s="11" t="s">
        <x:v>126</x:v>
      </x:c>
      <x:c r="F14" s="15"/>
      <x:c r="G14" s="15"/>
    </x:row>
    <x:row r="15" spans="1:7" x14ac:dyDescent="0.3">
      <x:c r="B15" s="12">
        <x:v>7499500100</x:v>
      </x:c>
      <x:c r="C15" s="13">
        <x:v>7499949900</x:v>
      </x:c>
      <x:c r="D15" s="14" t="s">
        <x:v>127</x:v>
      </x:c>
      <x:c r="E15" s="11" t="s">
        <x:v>126</x:v>
      </x:c>
      <x:c r="F15" s="15"/>
      <x:c r="G15" s="15"/>
    </x:row>
    <x:row r="16" spans="1:7" x14ac:dyDescent="0.3">
      <x:c r="B16" s="12">
        <x:v>7499950000</x:v>
      </x:c>
      <x:c r="C16" s="12">
        <x:v>7499979900</x:v>
      </x:c>
      <x:c r="D16" s="14" t="s">
        <x:v>134</x:v>
      </x:c>
      <x:c r="E16" s="11" t="s">
        <x:v>126</x:v>
      </x:c>
      <x:c r="F16" s="15"/>
      <x:c r="G16" s="15"/>
    </x:row>
    <x:row r="17" spans="1:7" x14ac:dyDescent="0.3">
      <x:c r="B17" s="12">
        <x:v>7499980000</x:v>
      </x:c>
      <x:c r="C17" s="12">
        <x:v>7499989900</x:v>
      </x:c>
      <x:c r="D17" s="14" t="s">
        <x:v>134</x:v>
      </x:c>
      <x:c r="E17" s="11" t="s">
        <x:v>126</x:v>
      </x:c>
      <x:c r="F17" s="15"/>
      <x:c r="G17" s="15"/>
    </x:row>
    <x:row r="18" spans="1:7" x14ac:dyDescent="0.3">
      <x:c r="B18" s="12">
        <x:v>7499990000</x:v>
      </x:c>
      <x:c r="C18" s="12">
        <x:v>7500000000</x:v>
      </x:c>
      <x:c r="D18" s="14" t="s">
        <x:v>134</x:v>
      </x:c>
      <x:c r="E18" s="11" t="s">
        <x:v>126</x:v>
      </x:c>
      <x:c r="F18" s="15"/>
      <x:c r="G18" s="15"/>
    </x:row>
    <x:row r="19" spans="1:7" x14ac:dyDescent="0.3">
      <x:c r="B19" s="12">
        <x:v>7500000100</x:v>
      </x:c>
      <x:c r="C19" s="13">
        <x:v>7530000000</x:v>
      </x:c>
      <x:c r="D19" s="14" t="s">
        <x:v>125</x:v>
      </x:c>
      <x:c r="E19" s="11" t="s">
        <x:v>126</x:v>
      </x:c>
      <x:c r="F19" s="15"/>
      <x:c r="G19" s="15"/>
    </x:row>
    <x:row r="20" spans="1:7" x14ac:dyDescent="0.3">
      <x:c r="B20" s="12">
        <x:v>7530000100</x:v>
      </x:c>
      <x:c r="C20" s="13">
        <x:v>7550000000</x:v>
      </x:c>
      <x:c r="D20" s="14" t="s">
        <x:v>127</x:v>
      </x:c>
      <x:c r="E20" s="11" t="s">
        <x:v>126</x:v>
      </x:c>
      <x:c r="F20" s="15"/>
      <x:c r="G20" s="15"/>
    </x:row>
    <x:row r="21" spans="1:7" x14ac:dyDescent="0.3">
      <x:c r="B21" s="12">
        <x:v>7550000100</x:v>
      </x:c>
      <x:c r="C21" s="13">
        <x:v>7551000000</x:v>
      </x:c>
      <x:c r="D21" s="14" t="s">
        <x:v>127</x:v>
      </x:c>
      <x:c r="E21" s="11" t="s">
        <x:v>126</x:v>
      </x:c>
      <x:c r="F21" s="15"/>
      <x:c r="G21" s="15"/>
    </x:row>
    <x:row r="22" spans="1:7" x14ac:dyDescent="0.3">
      <x:c r="B22" s="12">
        <x:v>7551000100</x:v>
      </x:c>
      <x:c r="C22" s="12">
        <x:v>7555000000</x:v>
      </x:c>
      <x:c r="D22" s="14" t="s">
        <x:v>130</x:v>
      </x:c>
      <x:c r="E22" s="11" t="s">
        <x:v>126</x:v>
      </x:c>
      <x:c r="F22" s="15"/>
      <x:c r="G22" s="15"/>
    </x:row>
    <x:row r="23" spans="1:7" x14ac:dyDescent="0.3">
      <x:c r="B23" s="12">
        <x:v>7555000100</x:v>
      </x:c>
      <x:c r="C23" s="13">
        <x:v>7570000000</x:v>
      </x:c>
      <x:c r="D23" s="14" t="s">
        <x:v>128</x:v>
      </x:c>
      <x:c r="E23" s="11" t="s">
        <x:v>126</x:v>
      </x:c>
      <x:c r="F23" s="15"/>
      <x:c r="G23" s="15"/>
    </x:row>
    <x:row r="24" spans="1:7" x14ac:dyDescent="0.3">
      <x:c r="B24" s="12">
        <x:v>7570000100</x:v>
      </x:c>
      <x:c r="C24" s="13">
        <x:v>7580000000</x:v>
      </x:c>
      <x:c r="D24" s="14" t="s">
        <x:v>127</x:v>
      </x:c>
      <x:c r="E24" s="11" t="s">
        <x:v>126</x:v>
      </x:c>
      <x:c r="F24" s="15"/>
      <x:c r="G24" s="15"/>
    </x:row>
    <x:row r="25" spans="1:7" x14ac:dyDescent="0.3">
      <x:c r="B25" s="12">
        <x:v>7580000100</x:v>
      </x:c>
      <x:c r="C25" s="12">
        <x:v>7585000000</x:v>
      </x:c>
      <x:c r="D25" s="14" t="s">
        <x:v>135</x:v>
      </x:c>
      <x:c r="E25" s="11" t="s">
        <x:v>126</x:v>
      </x:c>
      <x:c r="F25" s="15"/>
      <x:c r="G25" s="15"/>
    </x:row>
    <x:row r="26" spans="1:7" x14ac:dyDescent="0.3">
      <x:c r="B26" s="16">
        <x:v>7585000100</x:v>
      </x:c>
      <x:c r="C26" s="16">
        <x:v>7585250000</x:v>
      </x:c>
      <x:c r="D26" s="14" t="s">
        <x:v>134</x:v>
      </x:c>
      <x:c r="E26" s="11" t="s">
        <x:v>126</x:v>
      </x:c>
      <x:c r="F26" s="15"/>
      <x:c r="G26" s="15"/>
    </x:row>
    <x:row r="27" spans="1:7" x14ac:dyDescent="0.3">
      <x:c r="B27" s="12">
        <x:v>7585250100</x:v>
      </x:c>
      <x:c r="C27" s="12">
        <x:v>7599999900</x:v>
      </x:c>
      <x:c r="D27" s="14" t="s">
        <x:v>129</x:v>
      </x:c>
      <x:c r="E27" s="11" t="s">
        <x:v>126</x:v>
      </x:c>
      <x:c r="F27" s="15"/>
      <x:c r="G27" s="15"/>
    </x:row>
    <x:row r="28" spans="1:7" x14ac:dyDescent="0.3">
      <x:c r="B28" s="12">
        <x:v>7600000000</x:v>
      </x:c>
      <x:c r="C28" s="12">
        <x:v>7639999900</x:v>
      </x:c>
      <x:c r="D28" s="14" t="s">
        <x:v>127</x:v>
      </x:c>
      <x:c r="E28" s="11" t="s">
        <x:v>126</x:v>
      </x:c>
      <x:c r="F28" s="15"/>
      <x:c r="G28" s="15"/>
    </x:row>
    <x:row r="29" spans="1:7" x14ac:dyDescent="0.3">
      <x:c r="B29" s="12">
        <x:v>7640000000</x:v>
      </x:c>
      <x:c r="C29" s="12">
        <x:v>7654321300</x:v>
      </x:c>
      <x:c r="D29" s="14" t="s">
        <x:v>125</x:v>
      </x:c>
      <x:c r="E29" s="11" t="s">
        <x:v>126</x:v>
      </x:c>
      <x:c r="F29" s="15"/>
      <x:c r="G29" s="15"/>
    </x:row>
    <x:row r="30" spans="1:7" x14ac:dyDescent="0.3">
      <x:c r="B30" s="12">
        <x:v>7654321400</x:v>
      </x:c>
      <x:c r="C30" s="13">
        <x:v>7654321400</x:v>
      </x:c>
      <x:c r="D30" s="14" t="s">
        <x:v>136</x:v>
      </x:c>
      <x:c r="E30" s="11" t="s">
        <x:v>126</x:v>
      </x:c>
      <x:c r="F30" s="15"/>
      <x:c r="G30" s="15"/>
    </x:row>
    <x:row r="31" spans="1:7" x14ac:dyDescent="0.3">
      <x:c r="B31" s="12">
        <x:v>7654321500</x:v>
      </x:c>
      <x:c r="C31" s="12">
        <x:v>7675360500</x:v>
      </x:c>
      <x:c r="D31" s="14" t="s">
        <x:v>125</x:v>
      </x:c>
      <x:c r="E31" s="11" t="s">
        <x:v>126</x:v>
      </x:c>
      <x:c r="F31" s="15"/>
      <x:c r="G31" s="15"/>
    </x:row>
    <x:row r="32" spans="1:7" x14ac:dyDescent="0.3">
      <x:c r="B32" s="12">
        <x:v>7675360600</x:v>
      </x:c>
      <x:c r="C32" s="12">
        <x:v>7675360600</x:v>
      </x:c>
      <x:c r="D32" s="14" t="s">
        <x:v>136</x:v>
      </x:c>
      <x:c r="E32" s="11" t="s">
        <x:v>126</x:v>
      </x:c>
      <x:c r="F32" s="15"/>
      <x:c r="G32" s="15"/>
    </x:row>
    <x:row r="33" spans="1:7" x14ac:dyDescent="0.3">
      <x:c r="B33" s="12">
        <x:v>7675360700</x:v>
      </x:c>
      <x:c r="C33" s="12">
        <x:v>7675372500</x:v>
      </x:c>
      <x:c r="D33" s="11" t="s">
        <x:v>137</x:v>
      </x:c>
      <x:c r="E33" s="11" t="s">
        <x:v>126</x:v>
      </x:c>
      <x:c r="F33" s="15"/>
      <x:c r="G33" s="15"/>
    </x:row>
    <x:row r="34" spans="1:7" x14ac:dyDescent="0.3">
      <x:c r="B34" s="12">
        <x:v>7675372600</x:v>
      </x:c>
      <x:c r="C34" s="12">
        <x:v>7675373600</x:v>
      </x:c>
      <x:c r="D34" s="11" t="s">
        <x:v>138</x:v>
      </x:c>
      <x:c r="E34" s="11" t="s">
        <x:v>126</x:v>
      </x:c>
      <x:c r="F34" s="15"/>
      <x:c r="G34" s="15"/>
    </x:row>
    <x:row r="35" spans="1:7" x14ac:dyDescent="0.3">
      <x:c r="B35" s="12">
        <x:v>7675373700</x:v>
      </x:c>
      <x:c r="C35" s="12">
        <x:v>7675376000</x:v>
      </x:c>
      <x:c r="D35" s="11" t="s">
        <x:v>137</x:v>
      </x:c>
      <x:c r="E35" s="11" t="s">
        <x:v>126</x:v>
      </x:c>
      <x:c r="F35" s="15"/>
      <x:c r="G35" s="15"/>
    </x:row>
    <x:row r="36" spans="1:7" x14ac:dyDescent="0.3">
      <x:c r="B36" s="12">
        <x:v>7675376100</x:v>
      </x:c>
      <x:c r="C36" s="12">
        <x:v>7675377700</x:v>
      </x:c>
      <x:c r="D36" s="11" t="s">
        <x:v>138</x:v>
      </x:c>
      <x:c r="E36" s="11" t="s">
        <x:v>126</x:v>
      </x:c>
      <x:c r="F36" s="15"/>
      <x:c r="G36" s="15"/>
    </x:row>
    <x:row r="37" spans="1:7" x14ac:dyDescent="0.3">
      <x:c r="B37" s="12">
        <x:v>7675377800</x:v>
      </x:c>
      <x:c r="C37" s="12">
        <x:v>7675382700</x:v>
      </x:c>
      <x:c r="D37" s="11" t="s">
        <x:v>137</x:v>
      </x:c>
      <x:c r="E37" s="11" t="s">
        <x:v>126</x:v>
      </x:c>
      <x:c r="F37" s="15"/>
      <x:c r="G37" s="15"/>
    </x:row>
    <x:row r="38" spans="1:7" x14ac:dyDescent="0.3">
      <x:c r="B38" s="12">
        <x:v>7675382800</x:v>
      </x:c>
      <x:c r="C38" s="12">
        <x:v>7675384000</x:v>
      </x:c>
      <x:c r="D38" s="11" t="s">
        <x:v>138</x:v>
      </x:c>
      <x:c r="E38" s="11" t="s">
        <x:v>126</x:v>
      </x:c>
      <x:c r="F38" s="15"/>
      <x:c r="G38" s="15"/>
    </x:row>
    <x:row r="39" spans="1:7" x14ac:dyDescent="0.3">
      <x:c r="B39" s="12">
        <x:v>7675384100</x:v>
      </x:c>
      <x:c r="C39" s="12">
        <x:v>7675393500</x:v>
      </x:c>
      <x:c r="D39" s="11" t="s">
        <x:v>137</x:v>
      </x:c>
      <x:c r="E39" s="11" t="s">
        <x:v>126</x:v>
      </x:c>
      <x:c r="F39" s="15"/>
      <x:c r="G39" s="15"/>
    </x:row>
    <x:row r="40" spans="1:7" x14ac:dyDescent="0.3">
      <x:c r="B40" s="12">
        <x:v>7675393600</x:v>
      </x:c>
      <x:c r="C40" s="12">
        <x:v>7675393700</x:v>
      </x:c>
      <x:c r="D40" s="11" t="s">
        <x:v>138</x:v>
      </x:c>
      <x:c r="E40" s="11" t="s">
        <x:v>126</x:v>
      </x:c>
      <x:c r="F40" s="15"/>
      <x:c r="G40" s="15"/>
    </x:row>
    <x:row r="41" spans="1:7" x14ac:dyDescent="0.3">
      <x:c r="B41" s="12">
        <x:v>7675393800</x:v>
      </x:c>
      <x:c r="C41" s="12">
        <x:v>7675394000</x:v>
      </x:c>
      <x:c r="D41" s="11" t="s">
        <x:v>137</x:v>
      </x:c>
      <x:c r="E41" s="11" t="s">
        <x:v>126</x:v>
      </x:c>
      <x:c r="F41" s="15"/>
      <x:c r="G41" s="15"/>
    </x:row>
    <x:row r="42" spans="1:7" x14ac:dyDescent="0.3">
      <x:c r="B42" s="12">
        <x:v>7675394100</x:v>
      </x:c>
      <x:c r="C42" s="12">
        <x:v>7675396200</x:v>
      </x:c>
      <x:c r="D42" s="11" t="s">
        <x:v>138</x:v>
      </x:c>
      <x:c r="E42" s="11" t="s">
        <x:v>126</x:v>
      </x:c>
      <x:c r="F42" s="15"/>
      <x:c r="G42" s="15"/>
    </x:row>
    <x:row r="43" spans="1:7" x14ac:dyDescent="0.3">
      <x:c r="B43" s="12">
        <x:v>7675396300</x:v>
      </x:c>
      <x:c r="C43" s="12">
        <x:v>7675398400</x:v>
      </x:c>
      <x:c r="D43" s="11" t="s">
        <x:v>137</x:v>
      </x:c>
      <x:c r="E43" s="11" t="s">
        <x:v>126</x:v>
      </x:c>
      <x:c r="F43" s="15"/>
      <x:c r="G43" s="15"/>
    </x:row>
    <x:row r="44" spans="1:7" x14ac:dyDescent="0.3">
      <x:c r="B44" s="12">
        <x:v>7675398500</x:v>
      </x:c>
      <x:c r="C44" s="12">
        <x:v>7675399000</x:v>
      </x:c>
      <x:c r="D44" s="11" t="s">
        <x:v>138</x:v>
      </x:c>
      <x:c r="E44" s="11" t="s">
        <x:v>126</x:v>
      </x:c>
      <x:c r="F44" s="15"/>
      <x:c r="G44" s="15"/>
    </x:row>
    <x:row r="45" spans="1:7" x14ac:dyDescent="0.3">
      <x:c r="B45" s="12">
        <x:v>7675399100</x:v>
      </x:c>
      <x:c r="C45" s="12">
        <x:v>7675416200</x:v>
      </x:c>
      <x:c r="D45" s="11" t="s">
        <x:v>137</x:v>
      </x:c>
      <x:c r="E45" s="11" t="s">
        <x:v>126</x:v>
      </x:c>
      <x:c r="F45" s="15"/>
      <x:c r="G45" s="15"/>
    </x:row>
    <x:row r="46" spans="1:7" x14ac:dyDescent="0.3">
      <x:c r="B46" s="12">
        <x:v>7675416300</x:v>
      </x:c>
      <x:c r="C46" s="12">
        <x:v>7675417200</x:v>
      </x:c>
      <x:c r="D46" s="11" t="s">
        <x:v>138</x:v>
      </x:c>
      <x:c r="E46" s="11" t="s">
        <x:v>126</x:v>
      </x:c>
      <x:c r="F46" s="15"/>
      <x:c r="G46" s="15"/>
    </x:row>
    <x:row r="47" spans="1:7" x14ac:dyDescent="0.3">
      <x:c r="B47" s="12">
        <x:v>7675417300</x:v>
      </x:c>
      <x:c r="C47" s="12">
        <x:v>7675421200</x:v>
      </x:c>
      <x:c r="D47" s="11" t="s">
        <x:v>137</x:v>
      </x:c>
      <x:c r="E47" s="11" t="s">
        <x:v>126</x:v>
      </x:c>
      <x:c r="F47" s="15"/>
      <x:c r="G47" s="15"/>
    </x:row>
    <x:row r="48" spans="1:7" x14ac:dyDescent="0.3">
      <x:c r="B48" s="12">
        <x:v>7675421300</x:v>
      </x:c>
      <x:c r="C48" s="12">
        <x:v>7675421500</x:v>
      </x:c>
      <x:c r="D48" s="11" t="s">
        <x:v>138</x:v>
      </x:c>
      <x:c r="E48" s="11" t="s">
        <x:v>126</x:v>
      </x:c>
      <x:c r="F48" s="15"/>
      <x:c r="G48" s="15"/>
    </x:row>
    <x:row r="49" spans="1:7" x14ac:dyDescent="0.3">
      <x:c r="B49" s="12">
        <x:v>7675421600</x:v>
      </x:c>
      <x:c r="C49" s="12">
        <x:v>7675422700</x:v>
      </x:c>
      <x:c r="D49" s="11" t="s">
        <x:v>137</x:v>
      </x:c>
      <x:c r="E49" s="11" t="s">
        <x:v>126</x:v>
      </x:c>
      <x:c r="F49" s="15"/>
      <x:c r="G49" s="15"/>
    </x:row>
    <x:row r="50" spans="1:7" x14ac:dyDescent="0.3">
      <x:c r="B50" s="12">
        <x:v>7675422800</x:v>
      </x:c>
      <x:c r="C50" s="12">
        <x:v>7675423200</x:v>
      </x:c>
      <x:c r="D50" s="11" t="s">
        <x:v>138</x:v>
      </x:c>
      <x:c r="E50" s="11" t="s">
        <x:v>126</x:v>
      </x:c>
      <x:c r="F50" s="15"/>
      <x:c r="G50" s="15"/>
    </x:row>
    <x:row r="51" spans="1:7" x14ac:dyDescent="0.3">
      <x:c r="B51" s="12">
        <x:v>7675423300</x:v>
      </x:c>
      <x:c r="C51" s="12">
        <x:v>7675438100</x:v>
      </x:c>
      <x:c r="D51" s="11" t="s">
        <x:v>137</x:v>
      </x:c>
      <x:c r="E51" s="11" t="s">
        <x:v>126</x:v>
      </x:c>
      <x:c r="F51" s="15"/>
      <x:c r="G51" s="15"/>
    </x:row>
    <x:row r="52" spans="1:7" x14ac:dyDescent="0.3">
      <x:c r="B52" s="12">
        <x:v>7675438200</x:v>
      </x:c>
      <x:c r="C52" s="12">
        <x:v>7675438700</x:v>
      </x:c>
      <x:c r="D52" s="11" t="s">
        <x:v>138</x:v>
      </x:c>
      <x:c r="E52" s="11" t="s">
        <x:v>126</x:v>
      </x:c>
      <x:c r="F52" s="15"/>
      <x:c r="G52" s="15"/>
    </x:row>
    <x:row r="53" spans="1:7" x14ac:dyDescent="0.3">
      <x:c r="B53" s="12">
        <x:v>7675438800</x:v>
      </x:c>
      <x:c r="C53" s="12">
        <x:v>7675452800</x:v>
      </x:c>
      <x:c r="D53" s="11" t="s">
        <x:v>137</x:v>
      </x:c>
      <x:c r="E53" s="11" t="s">
        <x:v>126</x:v>
      </x:c>
      <x:c r="F53" s="15"/>
      <x:c r="G53" s="15"/>
    </x:row>
    <x:row r="54" spans="1:7" x14ac:dyDescent="0.3">
      <x:c r="B54" s="12">
        <x:v>7675452900</x:v>
      </x:c>
      <x:c r="C54" s="12">
        <x:v>7675452900</x:v>
      </x:c>
      <x:c r="D54" s="11" t="s">
        <x:v>138</x:v>
      </x:c>
      <x:c r="E54" s="11" t="s">
        <x:v>126</x:v>
      </x:c>
      <x:c r="F54" s="15"/>
      <x:c r="G54" s="15"/>
    </x:row>
    <x:row r="55" spans="1:7" x14ac:dyDescent="0.3">
      <x:c r="B55" s="12">
        <x:v>7675453000</x:v>
      </x:c>
      <x:c r="C55" s="12">
        <x:v>7675470600</x:v>
      </x:c>
      <x:c r="D55" s="11" t="s">
        <x:v>137</x:v>
      </x:c>
      <x:c r="E55" s="11" t="s">
        <x:v>126</x:v>
      </x:c>
      <x:c r="F55" s="15"/>
      <x:c r="G55" s="15"/>
    </x:row>
    <x:row r="56" spans="1:7" x14ac:dyDescent="0.3">
      <x:c r="B56" s="12">
        <x:v>7675470700</x:v>
      </x:c>
      <x:c r="C56" s="12">
        <x:v>7675470700</x:v>
      </x:c>
      <x:c r="D56" s="11" t="s">
        <x:v>138</x:v>
      </x:c>
      <x:c r="E56" s="11" t="s">
        <x:v>126</x:v>
      </x:c>
      <x:c r="F56" s="15"/>
      <x:c r="G56" s="15"/>
    </x:row>
    <x:row r="57" spans="1:7" x14ac:dyDescent="0.3">
      <x:c r="B57" s="12">
        <x:v>7675470800</x:v>
      </x:c>
      <x:c r="C57" s="12">
        <x:v>7675477100</x:v>
      </x:c>
      <x:c r="D57" s="11" t="s">
        <x:v>137</x:v>
      </x:c>
      <x:c r="E57" s="11" t="s">
        <x:v>126</x:v>
      </x:c>
      <x:c r="F57" s="15"/>
      <x:c r="G57" s="15"/>
    </x:row>
    <x:row r="58" spans="1:7" x14ac:dyDescent="0.3">
      <x:c r="B58" s="12">
        <x:v>7675477200</x:v>
      </x:c>
      <x:c r="C58" s="12">
        <x:v>7675477200</x:v>
      </x:c>
      <x:c r="D58" s="11" t="s">
        <x:v>138</x:v>
      </x:c>
      <x:c r="E58" s="11" t="s">
        <x:v>126</x:v>
      </x:c>
      <x:c r="F58" s="15"/>
      <x:c r="G58" s="15"/>
    </x:row>
    <x:row r="59" spans="1:7" x14ac:dyDescent="0.3">
      <x:c r="B59" s="12">
        <x:v>7675477300</x:v>
      </x:c>
      <x:c r="C59" s="12">
        <x:v>7675477400</x:v>
      </x:c>
      <x:c r="D59" s="11" t="s">
        <x:v>137</x:v>
      </x:c>
      <x:c r="E59" s="11" t="s">
        <x:v>126</x:v>
      </x:c>
      <x:c r="F59" s="15"/>
      <x:c r="G59" s="15"/>
    </x:row>
    <x:row r="60" spans="1:7" x14ac:dyDescent="0.3">
      <x:c r="B60" s="12">
        <x:v>7675477500</x:v>
      </x:c>
      <x:c r="C60" s="12">
        <x:v>7675477700</x:v>
      </x:c>
      <x:c r="D60" s="11" t="s">
        <x:v>138</x:v>
      </x:c>
      <x:c r="E60" s="11" t="s">
        <x:v>126</x:v>
      </x:c>
      <x:c r="F60" s="15"/>
      <x:c r="G60" s="15"/>
    </x:row>
    <x:row r="61" spans="1:7" x14ac:dyDescent="0.3">
      <x:c r="B61" s="12">
        <x:v>7675477800</x:v>
      </x:c>
      <x:c r="C61" s="12">
        <x:v>7675480000</x:v>
      </x:c>
      <x:c r="D61" s="11" t="s">
        <x:v>137</x:v>
      </x:c>
      <x:c r="E61" s="11" t="s">
        <x:v>126</x:v>
      </x:c>
      <x:c r="F61" s="15"/>
      <x:c r="G61" s="15"/>
    </x:row>
    <x:row r="62" spans="1:7" x14ac:dyDescent="0.3">
      <x:c r="B62" s="12">
        <x:v>7675480100</x:v>
      </x:c>
      <x:c r="C62" s="12">
        <x:v>7675480900</x:v>
      </x:c>
      <x:c r="D62" s="11" t="s">
        <x:v>138</x:v>
      </x:c>
      <x:c r="E62" s="11" t="s">
        <x:v>126</x:v>
      </x:c>
      <x:c r="F62" s="15"/>
      <x:c r="G62" s="15"/>
    </x:row>
    <x:row r="63" spans="1:7" x14ac:dyDescent="0.3">
      <x:c r="B63" s="12">
        <x:v>7675481000</x:v>
      </x:c>
      <x:c r="C63" s="12">
        <x:v>7675491300</x:v>
      </x:c>
      <x:c r="D63" s="11" t="s">
        <x:v>137</x:v>
      </x:c>
      <x:c r="E63" s="11" t="s">
        <x:v>126</x:v>
      </x:c>
      <x:c r="F63" s="15"/>
      <x:c r="G63" s="15"/>
    </x:row>
    <x:row r="64" spans="1:7" x14ac:dyDescent="0.3">
      <x:c r="B64" s="12">
        <x:v>7675491400</x:v>
      </x:c>
      <x:c r="C64" s="12">
        <x:v>7675492000</x:v>
      </x:c>
      <x:c r="D64" s="11" t="s">
        <x:v>138</x:v>
      </x:c>
      <x:c r="E64" s="11" t="s">
        <x:v>126</x:v>
      </x:c>
      <x:c r="F64" s="15"/>
      <x:c r="G64" s="15"/>
    </x:row>
    <x:row r="65" spans="1:7" x14ac:dyDescent="0.3">
      <x:c r="B65" s="12">
        <x:v>7675492100</x:v>
      </x:c>
      <x:c r="C65" s="12">
        <x:v>7675499900</x:v>
      </x:c>
      <x:c r="D65" s="11" t="s">
        <x:v>137</x:v>
      </x:c>
      <x:c r="E65" s="11" t="s">
        <x:v>126</x:v>
      </x:c>
      <x:c r="F65" s="15"/>
      <x:c r="G65" s="15"/>
    </x:row>
    <x:row r="66" spans="1:7" x14ac:dyDescent="0.3">
      <x:c r="B66" s="12">
        <x:v>7675500000</x:v>
      </x:c>
      <x:c r="C66" s="12">
        <x:v>7675500400</x:v>
      </x:c>
      <x:c r="D66" s="11" t="s">
        <x:v>138</x:v>
      </x:c>
      <x:c r="E66" s="11" t="s">
        <x:v>126</x:v>
      </x:c>
      <x:c r="F66" s="15"/>
      <x:c r="G66" s="15"/>
    </x:row>
    <x:row r="67" spans="1:7" x14ac:dyDescent="0.3">
      <x:c r="B67" s="12">
        <x:v>7675500500</x:v>
      </x:c>
      <x:c r="C67" s="12">
        <x:v>7675508800</x:v>
      </x:c>
      <x:c r="D67" s="11" t="s">
        <x:v>137</x:v>
      </x:c>
      <x:c r="E67" s="11" t="s">
        <x:v>126</x:v>
      </x:c>
      <x:c r="F67" s="15"/>
      <x:c r="G67" s="15"/>
    </x:row>
    <x:row r="68" spans="1:7" x14ac:dyDescent="0.3">
      <x:c r="B68" s="12">
        <x:v>7675508900</x:v>
      </x:c>
      <x:c r="C68" s="12">
        <x:v>7675509400</x:v>
      </x:c>
      <x:c r="D68" s="11" t="s">
        <x:v>138</x:v>
      </x:c>
      <x:c r="E68" s="11" t="s">
        <x:v>126</x:v>
      </x:c>
      <x:c r="F68" s="15"/>
      <x:c r="G68" s="15"/>
    </x:row>
    <x:row r="69" spans="1:7" x14ac:dyDescent="0.3">
      <x:c r="B69" s="12">
        <x:v>7675509500</x:v>
      </x:c>
      <x:c r="C69" s="12">
        <x:v>7675533600</x:v>
      </x:c>
      <x:c r="D69" s="11" t="s">
        <x:v>137</x:v>
      </x:c>
      <x:c r="E69" s="11" t="s">
        <x:v>126</x:v>
      </x:c>
      <x:c r="F69" s="15"/>
      <x:c r="G69" s="15"/>
    </x:row>
    <x:row r="70" spans="1:7" x14ac:dyDescent="0.3">
      <x:c r="B70" s="12">
        <x:v>7675533700</x:v>
      </x:c>
      <x:c r="C70" s="12">
        <x:v>7675534000</x:v>
      </x:c>
      <x:c r="D70" s="11" t="s">
        <x:v>138</x:v>
      </x:c>
      <x:c r="E70" s="11" t="s">
        <x:v>126</x:v>
      </x:c>
      <x:c r="F70" s="15"/>
      <x:c r="G70" s="15"/>
    </x:row>
    <x:row r="71" spans="1:7" x14ac:dyDescent="0.3">
      <x:c r="B71" s="12">
        <x:v>7675534100</x:v>
      </x:c>
      <x:c r="C71" s="12">
        <x:v>7675535400</x:v>
      </x:c>
      <x:c r="D71" s="11" t="s">
        <x:v>137</x:v>
      </x:c>
      <x:c r="E71" s="11" t="s">
        <x:v>126</x:v>
      </x:c>
      <x:c r="F71" s="15"/>
      <x:c r="G71" s="15"/>
    </x:row>
    <x:row r="72" spans="1:7" x14ac:dyDescent="0.3">
      <x:c r="B72" s="12">
        <x:v>7675535500</x:v>
      </x:c>
      <x:c r="C72" s="12">
        <x:v>7675537700</x:v>
      </x:c>
      <x:c r="D72" s="11" t="s">
        <x:v>138</x:v>
      </x:c>
      <x:c r="E72" s="11" t="s">
        <x:v>126</x:v>
      </x:c>
      <x:c r="F72" s="15"/>
      <x:c r="G72" s="15"/>
    </x:row>
    <x:row r="73" spans="1:7" x14ac:dyDescent="0.3">
      <x:c r="B73" s="12">
        <x:v>7675537800</x:v>
      </x:c>
      <x:c r="C73" s="12">
        <x:v>7675547700</x:v>
      </x:c>
      <x:c r="D73" s="11" t="s">
        <x:v>137</x:v>
      </x:c>
      <x:c r="E73" s="11" t="s">
        <x:v>126</x:v>
      </x:c>
      <x:c r="F73" s="15"/>
      <x:c r="G73" s="15"/>
    </x:row>
    <x:row r="74" spans="1:7" x14ac:dyDescent="0.3">
      <x:c r="B74" s="12">
        <x:v>7675547800</x:v>
      </x:c>
      <x:c r="C74" s="12">
        <x:v>7675549300</x:v>
      </x:c>
      <x:c r="D74" s="11" t="s">
        <x:v>138</x:v>
      </x:c>
      <x:c r="E74" s="11" t="s">
        <x:v>126</x:v>
      </x:c>
      <x:c r="F74" s="15"/>
      <x:c r="G74" s="15"/>
    </x:row>
    <x:row r="75" spans="1:7" x14ac:dyDescent="0.3">
      <x:c r="B75" s="12">
        <x:v>7675549400</x:v>
      </x:c>
      <x:c r="C75" s="12">
        <x:v>7675552300</x:v>
      </x:c>
      <x:c r="D75" s="11" t="s">
        <x:v>137</x:v>
      </x:c>
      <x:c r="E75" s="11" t="s">
        <x:v>126</x:v>
      </x:c>
      <x:c r="F75" s="15"/>
      <x:c r="G75" s="15"/>
    </x:row>
    <x:row r="76" spans="1:7" x14ac:dyDescent="0.3">
      <x:c r="B76" s="12">
        <x:v>7675552400</x:v>
      </x:c>
      <x:c r="C76" s="12">
        <x:v>7675552600</x:v>
      </x:c>
      <x:c r="D76" s="11" t="s">
        <x:v>138</x:v>
      </x:c>
      <x:c r="E76" s="11" t="s">
        <x:v>126</x:v>
      </x:c>
      <x:c r="F76" s="15"/>
      <x:c r="G76" s="15"/>
    </x:row>
    <x:row r="77" spans="1:7" x14ac:dyDescent="0.3">
      <x:c r="B77" s="12">
        <x:v>7675552700</x:v>
      </x:c>
      <x:c r="C77" s="12">
        <x:v>7675565200</x:v>
      </x:c>
      <x:c r="D77" s="11" t="s">
        <x:v>137</x:v>
      </x:c>
      <x:c r="E77" s="11" t="s">
        <x:v>126</x:v>
      </x:c>
      <x:c r="F77" s="15"/>
      <x:c r="G77" s="15"/>
    </x:row>
    <x:row r="78" spans="1:7" x14ac:dyDescent="0.3">
      <x:c r="B78" s="12">
        <x:v>7675565300</x:v>
      </x:c>
      <x:c r="C78" s="12">
        <x:v>7675566700</x:v>
      </x:c>
      <x:c r="D78" s="11" t="s">
        <x:v>138</x:v>
      </x:c>
      <x:c r="E78" s="11" t="s">
        <x:v>126</x:v>
      </x:c>
      <x:c r="F78" s="15"/>
      <x:c r="G78" s="15"/>
    </x:row>
    <x:row r="79" spans="1:7" x14ac:dyDescent="0.3">
      <x:c r="B79" s="12">
        <x:v>7675566800</x:v>
      </x:c>
      <x:c r="C79" s="12">
        <x:v>7675569500</x:v>
      </x:c>
      <x:c r="D79" s="11" t="s">
        <x:v>137</x:v>
      </x:c>
      <x:c r="E79" s="11" t="s">
        <x:v>126</x:v>
      </x:c>
      <x:c r="F79" s="15"/>
      <x:c r="G79" s="15"/>
    </x:row>
    <x:row r="80" spans="1:7" x14ac:dyDescent="0.3">
      <x:c r="B80" s="12">
        <x:v>7675569600</x:v>
      </x:c>
      <x:c r="C80" s="12">
        <x:v>7675570000</x:v>
      </x:c>
      <x:c r="D80" s="11" t="s">
        <x:v>138</x:v>
      </x:c>
      <x:c r="E80" s="11" t="s">
        <x:v>126</x:v>
      </x:c>
      <x:c r="F80" s="15"/>
      <x:c r="G80" s="15"/>
    </x:row>
    <x:row r="81" spans="1:7" x14ac:dyDescent="0.3">
      <x:c r="B81" s="12">
        <x:v>7675570100</x:v>
      </x:c>
      <x:c r="C81" s="12">
        <x:v>7675589500</x:v>
      </x:c>
      <x:c r="D81" s="11" t="s">
        <x:v>137</x:v>
      </x:c>
      <x:c r="E81" s="11" t="s">
        <x:v>126</x:v>
      </x:c>
      <x:c r="F81" s="15"/>
      <x:c r="G81" s="15"/>
    </x:row>
    <x:row r="82" spans="1:7" x14ac:dyDescent="0.3">
      <x:c r="B82" s="12">
        <x:v>7675589600</x:v>
      </x:c>
      <x:c r="C82" s="12">
        <x:v>7675590500</x:v>
      </x:c>
      <x:c r="D82" s="11" t="s">
        <x:v>138</x:v>
      </x:c>
      <x:c r="E82" s="11" t="s">
        <x:v>126</x:v>
      </x:c>
      <x:c r="F82" s="15"/>
      <x:c r="G82" s="15"/>
    </x:row>
    <x:row r="83" spans="1:7" x14ac:dyDescent="0.3">
      <x:c r="B83" s="12">
        <x:v>7675590600</x:v>
      </x:c>
      <x:c r="C83" s="12">
        <x:v>7675595900</x:v>
      </x:c>
      <x:c r="D83" s="11" t="s">
        <x:v>137</x:v>
      </x:c>
      <x:c r="E83" s="11" t="s">
        <x:v>126</x:v>
      </x:c>
      <x:c r="F83" s="15"/>
      <x:c r="G83" s="15"/>
    </x:row>
    <x:row r="84" spans="1:7" x14ac:dyDescent="0.3">
      <x:c r="B84" s="12">
        <x:v>7675596000</x:v>
      </x:c>
      <x:c r="C84" s="12">
        <x:v>7675597300</x:v>
      </x:c>
      <x:c r="D84" s="11" t="s">
        <x:v>138</x:v>
      </x:c>
      <x:c r="E84" s="11" t="s">
        <x:v>126</x:v>
      </x:c>
      <x:c r="F84" s="15"/>
      <x:c r="G84" s="15"/>
    </x:row>
    <x:row r="85" spans="1:7" x14ac:dyDescent="0.3">
      <x:c r="B85" s="12">
        <x:v>7675597400</x:v>
      </x:c>
      <x:c r="C85" s="12">
        <x:v>7675599700</x:v>
      </x:c>
      <x:c r="D85" s="11" t="s">
        <x:v>137</x:v>
      </x:c>
      <x:c r="E85" s="11" t="s">
        <x:v>126</x:v>
      </x:c>
      <x:c r="F85" s="15"/>
      <x:c r="G85" s="15"/>
    </x:row>
    <x:row r="86" spans="1:7" x14ac:dyDescent="0.3">
      <x:c r="B86" s="12">
        <x:v>7675599800</x:v>
      </x:c>
      <x:c r="C86" s="12">
        <x:v>7675600700</x:v>
      </x:c>
      <x:c r="D86" s="11" t="s">
        <x:v>138</x:v>
      </x:c>
      <x:c r="E86" s="11" t="s">
        <x:v>126</x:v>
      </x:c>
      <x:c r="F86" s="15"/>
      <x:c r="G86" s="15"/>
    </x:row>
    <x:row r="87" spans="1:7" x14ac:dyDescent="0.3">
      <x:c r="B87" s="12">
        <x:v>7675600800</x:v>
      </x:c>
      <x:c r="C87" s="12">
        <x:v>7675601700</x:v>
      </x:c>
      <x:c r="D87" s="11" t="s">
        <x:v>137</x:v>
      </x:c>
      <x:c r="E87" s="11" t="s">
        <x:v>126</x:v>
      </x:c>
      <x:c r="F87" s="15"/>
      <x:c r="G87" s="15"/>
    </x:row>
    <x:row r="88" spans="1:7" x14ac:dyDescent="0.3">
      <x:c r="B88" s="12">
        <x:v>7675601800</x:v>
      </x:c>
      <x:c r="C88" s="12">
        <x:v>7675605400</x:v>
      </x:c>
      <x:c r="D88" s="11" t="s">
        <x:v>138</x:v>
      </x:c>
      <x:c r="E88" s="11" t="s">
        <x:v>126</x:v>
      </x:c>
      <x:c r="F88" s="15"/>
      <x:c r="G88" s="15"/>
    </x:row>
    <x:row r="89" spans="1:7" x14ac:dyDescent="0.3">
      <x:c r="B89" s="12">
        <x:v>7675605500</x:v>
      </x:c>
      <x:c r="C89" s="12">
        <x:v>7675609100</x:v>
      </x:c>
      <x:c r="D89" s="11" t="s">
        <x:v>137</x:v>
      </x:c>
      <x:c r="E89" s="11" t="s">
        <x:v>126</x:v>
      </x:c>
      <x:c r="F89" s="15"/>
      <x:c r="G89" s="15"/>
    </x:row>
    <x:row r="90" spans="1:7" x14ac:dyDescent="0.3">
      <x:c r="B90" s="12">
        <x:v>7675609200</x:v>
      </x:c>
      <x:c r="C90" s="12">
        <x:v>7675610900</x:v>
      </x:c>
      <x:c r="D90" s="11" t="s">
        <x:v>138</x:v>
      </x:c>
      <x:c r="E90" s="11" t="s">
        <x:v>126</x:v>
      </x:c>
      <x:c r="F90" s="15"/>
      <x:c r="G90" s="15"/>
    </x:row>
    <x:row r="91" spans="1:7" x14ac:dyDescent="0.3">
      <x:c r="B91" s="12">
        <x:v>7675611000</x:v>
      </x:c>
      <x:c r="C91" s="12">
        <x:v>7675614100</x:v>
      </x:c>
      <x:c r="D91" s="11" t="s">
        <x:v>137</x:v>
      </x:c>
      <x:c r="E91" s="11" t="s">
        <x:v>126</x:v>
      </x:c>
      <x:c r="F91" s="15"/>
      <x:c r="G91" s="15"/>
    </x:row>
    <x:row r="92" spans="1:7" x14ac:dyDescent="0.3">
      <x:c r="B92" s="12">
        <x:v>7675614200</x:v>
      </x:c>
      <x:c r="C92" s="12">
        <x:v>7675615100</x:v>
      </x:c>
      <x:c r="D92" s="11" t="s">
        <x:v>138</x:v>
      </x:c>
      <x:c r="E92" s="11" t="s">
        <x:v>126</x:v>
      </x:c>
      <x:c r="F92" s="15"/>
      <x:c r="G92" s="15"/>
    </x:row>
    <x:row r="93" spans="1:7" x14ac:dyDescent="0.3">
      <x:c r="B93" s="12">
        <x:v>7675615200</x:v>
      </x:c>
      <x:c r="C93" s="12">
        <x:v>7675616200</x:v>
      </x:c>
      <x:c r="D93" s="11" t="s">
        <x:v>137</x:v>
      </x:c>
      <x:c r="E93" s="11" t="s">
        <x:v>126</x:v>
      </x:c>
      <x:c r="F93" s="15"/>
      <x:c r="G93" s="15"/>
    </x:row>
    <x:row r="94" spans="1:7" x14ac:dyDescent="0.3">
      <x:c r="B94" s="12">
        <x:v>7675616300</x:v>
      </x:c>
      <x:c r="C94" s="12">
        <x:v>7675616800</x:v>
      </x:c>
      <x:c r="D94" s="11" t="s">
        <x:v>138</x:v>
      </x:c>
      <x:c r="E94" s="11" t="s">
        <x:v>126</x:v>
      </x:c>
      <x:c r="F94" s="15"/>
      <x:c r="G94" s="15"/>
    </x:row>
    <x:row r="95" spans="1:7" x14ac:dyDescent="0.3">
      <x:c r="B95" s="12">
        <x:v>7675616900</x:v>
      </x:c>
      <x:c r="C95" s="12">
        <x:v>7675633300</x:v>
      </x:c>
      <x:c r="D95" s="11" t="s">
        <x:v>137</x:v>
      </x:c>
      <x:c r="E95" s="11" t="s">
        <x:v>126</x:v>
      </x:c>
      <x:c r="F95" s="15"/>
      <x:c r="G95" s="15"/>
    </x:row>
    <x:row r="96" spans="1:7" x14ac:dyDescent="0.3">
      <x:c r="B96" s="12">
        <x:v>7675633400</x:v>
      </x:c>
      <x:c r="C96" s="12">
        <x:v>7675633700</x:v>
      </x:c>
      <x:c r="D96" s="11" t="s">
        <x:v>138</x:v>
      </x:c>
      <x:c r="E96" s="11" t="s">
        <x:v>126</x:v>
      </x:c>
      <x:c r="F96" s="15"/>
      <x:c r="G96" s="15"/>
    </x:row>
    <x:row r="97" spans="1:7" x14ac:dyDescent="0.3">
      <x:c r="B97" s="12">
        <x:v>7675633800</x:v>
      </x:c>
      <x:c r="C97" s="12">
        <x:v>7675635400</x:v>
      </x:c>
      <x:c r="D97" s="11" t="s">
        <x:v>137</x:v>
      </x:c>
      <x:c r="E97" s="11" t="s">
        <x:v>126</x:v>
      </x:c>
      <x:c r="F97" s="15"/>
      <x:c r="G97" s="15"/>
    </x:row>
    <x:row r="98" spans="1:7" x14ac:dyDescent="0.3">
      <x:c r="B98" s="12">
        <x:v>7675635500</x:v>
      </x:c>
      <x:c r="C98" s="12">
        <x:v>7675636000</x:v>
      </x:c>
      <x:c r="D98" s="11" t="s">
        <x:v>138</x:v>
      </x:c>
      <x:c r="E98" s="11" t="s">
        <x:v>126</x:v>
      </x:c>
      <x:c r="F98" s="15"/>
      <x:c r="G98" s="15"/>
    </x:row>
    <x:row r="99" spans="1:7" x14ac:dyDescent="0.3">
      <x:c r="B99" s="12">
        <x:v>7675636100</x:v>
      </x:c>
      <x:c r="C99" s="12">
        <x:v>7675649000</x:v>
      </x:c>
      <x:c r="D99" s="11" t="s">
        <x:v>137</x:v>
      </x:c>
      <x:c r="E99" s="11" t="s">
        <x:v>126</x:v>
      </x:c>
      <x:c r="F99" s="15"/>
      <x:c r="G99" s="15"/>
    </x:row>
    <x:row r="100" spans="1:7" x14ac:dyDescent="0.3">
      <x:c r="B100" s="12">
        <x:v>7675649100</x:v>
      </x:c>
      <x:c r="C100" s="12">
        <x:v>7675649100</x:v>
      </x:c>
      <x:c r="D100" s="11" t="s">
        <x:v>138</x:v>
      </x:c>
      <x:c r="E100" s="11" t="s">
        <x:v>126</x:v>
      </x:c>
      <x:c r="F100" s="15"/>
      <x:c r="G100" s="15"/>
    </x:row>
    <x:row r="101" spans="1:7" x14ac:dyDescent="0.3">
      <x:c r="B101" s="12">
        <x:v>7675649200</x:v>
      </x:c>
      <x:c r="C101" s="12">
        <x:v>7675682000</x:v>
      </x:c>
      <x:c r="D101" s="11" t="s">
        <x:v>137</x:v>
      </x:c>
      <x:c r="E101" s="11" t="s">
        <x:v>126</x:v>
      </x:c>
      <x:c r="F101" s="15"/>
      <x:c r="G101" s="15"/>
    </x:row>
    <x:row r="102" spans="1:7" x14ac:dyDescent="0.3">
      <x:c r="B102" s="12">
        <x:v>7675682100</x:v>
      </x:c>
      <x:c r="C102" s="12">
        <x:v>7675682100</x:v>
      </x:c>
      <x:c r="D102" s="11" t="s">
        <x:v>138</x:v>
      </x:c>
      <x:c r="E102" s="11" t="s">
        <x:v>126</x:v>
      </x:c>
      <x:c r="F102" s="15"/>
      <x:c r="G102" s="15"/>
    </x:row>
    <x:row r="103" spans="1:7" x14ac:dyDescent="0.3">
      <x:c r="B103" s="12">
        <x:v>7675682200</x:v>
      </x:c>
      <x:c r="C103" s="12">
        <x:v>7675685900</x:v>
      </x:c>
      <x:c r="D103" s="11" t="s">
        <x:v>137</x:v>
      </x:c>
      <x:c r="E103" s="11" t="s">
        <x:v>126</x:v>
      </x:c>
      <x:c r="F103" s="15"/>
      <x:c r="G103" s="15"/>
    </x:row>
    <x:row r="104" spans="1:7" x14ac:dyDescent="0.3">
      <x:c r="B104" s="12">
        <x:v>7675686000</x:v>
      </x:c>
      <x:c r="C104" s="12">
        <x:v>7675686400</x:v>
      </x:c>
      <x:c r="D104" s="11" t="s">
        <x:v>138</x:v>
      </x:c>
      <x:c r="E104" s="11" t="s">
        <x:v>126</x:v>
      </x:c>
      <x:c r="F104" s="15"/>
      <x:c r="G104" s="15"/>
    </x:row>
    <x:row r="105" spans="1:7" x14ac:dyDescent="0.3">
      <x:c r="B105" s="12">
        <x:v>7675686500</x:v>
      </x:c>
      <x:c r="C105" s="12">
        <x:v>7675687400</x:v>
      </x:c>
      <x:c r="D105" s="11" t="s">
        <x:v>137</x:v>
      </x:c>
      <x:c r="E105" s="11" t="s">
        <x:v>126</x:v>
      </x:c>
      <x:c r="F105" s="15"/>
      <x:c r="G105" s="15"/>
    </x:row>
    <x:row r="106" spans="1:7" x14ac:dyDescent="0.3">
      <x:c r="B106" s="12">
        <x:v>7675687500</x:v>
      </x:c>
      <x:c r="C106" s="12">
        <x:v>7675688300</x:v>
      </x:c>
      <x:c r="D106" s="11" t="s">
        <x:v>138</x:v>
      </x:c>
      <x:c r="E106" s="11" t="s">
        <x:v>126</x:v>
      </x:c>
      <x:c r="F106" s="15"/>
      <x:c r="G106" s="15"/>
    </x:row>
    <x:row r="107" spans="1:7" x14ac:dyDescent="0.3">
      <x:c r="B107" s="12">
        <x:v>7675688400</x:v>
      </x:c>
      <x:c r="C107" s="12">
        <x:v>7675691000</x:v>
      </x:c>
      <x:c r="D107" s="11" t="s">
        <x:v>137</x:v>
      </x:c>
      <x:c r="E107" s="11" t="s">
        <x:v>126</x:v>
      </x:c>
      <x:c r="F107" s="15"/>
      <x:c r="G107" s="15"/>
    </x:row>
    <x:row r="108" spans="1:7" x14ac:dyDescent="0.3">
      <x:c r="B108" s="12">
        <x:v>7675691100</x:v>
      </x:c>
      <x:c r="C108" s="12">
        <x:v>7675691900</x:v>
      </x:c>
      <x:c r="D108" s="11" t="s">
        <x:v>138</x:v>
      </x:c>
      <x:c r="E108" s="11" t="s">
        <x:v>126</x:v>
      </x:c>
      <x:c r="F108" s="15"/>
      <x:c r="G108" s="15"/>
    </x:row>
    <x:row r="109" spans="1:7" x14ac:dyDescent="0.3">
      <x:c r="B109" s="12">
        <x:v>7675692000</x:v>
      </x:c>
      <x:c r="C109" s="12">
        <x:v>7675727700</x:v>
      </x:c>
      <x:c r="D109" s="11" t="s">
        <x:v>137</x:v>
      </x:c>
      <x:c r="E109" s="11" t="s">
        <x:v>126</x:v>
      </x:c>
      <x:c r="F109" s="15"/>
      <x:c r="G109" s="15"/>
    </x:row>
    <x:row r="110" spans="1:7" x14ac:dyDescent="0.3">
      <x:c r="B110" s="12">
        <x:v>7675727800</x:v>
      </x:c>
      <x:c r="C110" s="12">
        <x:v>7675728100</x:v>
      </x:c>
      <x:c r="D110" s="11" t="s">
        <x:v>138</x:v>
      </x:c>
      <x:c r="E110" s="11" t="s">
        <x:v>126</x:v>
      </x:c>
      <x:c r="F110" s="15"/>
      <x:c r="G110" s="15"/>
    </x:row>
    <x:row r="111" spans="1:7" x14ac:dyDescent="0.3">
      <x:c r="B111" s="12">
        <x:v>7675728200</x:v>
      </x:c>
      <x:c r="C111" s="12">
        <x:v>7675741800</x:v>
      </x:c>
      <x:c r="D111" s="11" t="s">
        <x:v>137</x:v>
      </x:c>
      <x:c r="E111" s="11" t="s">
        <x:v>126</x:v>
      </x:c>
      <x:c r="F111" s="15"/>
      <x:c r="G111" s="15"/>
    </x:row>
    <x:row r="112" spans="1:7" x14ac:dyDescent="0.3">
      <x:c r="B112" s="12">
        <x:v>7675741900</x:v>
      </x:c>
      <x:c r="C112" s="12">
        <x:v>7675742900</x:v>
      </x:c>
      <x:c r="D112" s="11" t="s">
        <x:v>138</x:v>
      </x:c>
      <x:c r="E112" s="11" t="s">
        <x:v>126</x:v>
      </x:c>
      <x:c r="F112" s="15"/>
      <x:c r="G112" s="15"/>
    </x:row>
    <x:row r="113" spans="1:7" x14ac:dyDescent="0.3">
      <x:c r="B113" s="12">
        <x:v>7675743000</x:v>
      </x:c>
      <x:c r="C113" s="12">
        <x:v>7675791600</x:v>
      </x:c>
      <x:c r="D113" s="11" t="s">
        <x:v>137</x:v>
      </x:c>
      <x:c r="E113" s="11" t="s">
        <x:v>126</x:v>
      </x:c>
      <x:c r="F113" s="15"/>
      <x:c r="G113" s="15"/>
    </x:row>
    <x:row r="114" spans="1:7" x14ac:dyDescent="0.3">
      <x:c r="B114" s="12">
        <x:v>7675791700</x:v>
      </x:c>
      <x:c r="C114" s="12">
        <x:v>7675791800</x:v>
      </x:c>
      <x:c r="D114" s="11" t="s">
        <x:v>138</x:v>
      </x:c>
      <x:c r="E114" s="11" t="s">
        <x:v>126</x:v>
      </x:c>
      <x:c r="F114" s="15"/>
      <x:c r="G114" s="15"/>
    </x:row>
    <x:row r="115" spans="1:7" x14ac:dyDescent="0.3">
      <x:c r="B115" s="12">
        <x:v>7675791900</x:v>
      </x:c>
      <x:c r="C115" s="12">
        <x:v>7675796600</x:v>
      </x:c>
      <x:c r="D115" s="11" t="s">
        <x:v>137</x:v>
      </x:c>
      <x:c r="E115" s="11" t="s">
        <x:v>126</x:v>
      </x:c>
      <x:c r="F115" s="15"/>
      <x:c r="G115" s="15"/>
    </x:row>
    <x:row r="116" spans="1:7" x14ac:dyDescent="0.3">
      <x:c r="B116" s="12">
        <x:v>7675796700</x:v>
      </x:c>
      <x:c r="C116" s="12">
        <x:v>7675798800</x:v>
      </x:c>
      <x:c r="D116" s="11" t="s">
        <x:v>138</x:v>
      </x:c>
      <x:c r="E116" s="11" t="s">
        <x:v>126</x:v>
      </x:c>
      <x:c r="F116" s="15"/>
      <x:c r="G116" s="15"/>
    </x:row>
    <x:row r="117" spans="1:7" x14ac:dyDescent="0.3">
      <x:c r="B117" s="12">
        <x:v>7675798900</x:v>
      </x:c>
      <x:c r="C117" s="12">
        <x:v>7675799100</x:v>
      </x:c>
      <x:c r="D117" s="11" t="s">
        <x:v>137</x:v>
      </x:c>
      <x:c r="E117" s="11" t="s">
        <x:v>126</x:v>
      </x:c>
      <x:c r="F117" s="15"/>
      <x:c r="G117" s="15"/>
    </x:row>
    <x:row r="118" spans="1:7" x14ac:dyDescent="0.3">
      <x:c r="B118" s="12">
        <x:v>7675799200</x:v>
      </x:c>
      <x:c r="C118" s="12">
        <x:v>7675799400</x:v>
      </x:c>
      <x:c r="D118" s="11" t="s">
        <x:v>138</x:v>
      </x:c>
      <x:c r="E118" s="11" t="s">
        <x:v>126</x:v>
      </x:c>
      <x:c r="F118" s="15"/>
      <x:c r="G118" s="15"/>
    </x:row>
    <x:row r="119" spans="1:7" x14ac:dyDescent="0.3">
      <x:c r="B119" s="12">
        <x:v>7675799500</x:v>
      </x:c>
      <x:c r="C119" s="12">
        <x:v>7675802600</x:v>
      </x:c>
      <x:c r="D119" s="11" t="s">
        <x:v>137</x:v>
      </x:c>
      <x:c r="E119" s="11" t="s">
        <x:v>126</x:v>
      </x:c>
      <x:c r="F119" s="15"/>
      <x:c r="G119" s="15"/>
    </x:row>
    <x:row r="120" spans="1:7" x14ac:dyDescent="0.3">
      <x:c r="B120" s="12">
        <x:v>7675802700</x:v>
      </x:c>
      <x:c r="C120" s="12">
        <x:v>7675802800</x:v>
      </x:c>
      <x:c r="D120" s="11" t="s">
        <x:v>138</x:v>
      </x:c>
      <x:c r="E120" s="11" t="s">
        <x:v>126</x:v>
      </x:c>
      <x:c r="F120" s="15"/>
      <x:c r="G120" s="15"/>
    </x:row>
    <x:row r="121" spans="1:7" x14ac:dyDescent="0.3">
      <x:c r="B121" s="12">
        <x:v>7675802900</x:v>
      </x:c>
      <x:c r="C121" s="12">
        <x:v>7675811100</x:v>
      </x:c>
      <x:c r="D121" s="11" t="s">
        <x:v>137</x:v>
      </x:c>
      <x:c r="E121" s="11" t="s">
        <x:v>126</x:v>
      </x:c>
      <x:c r="F121" s="15"/>
      <x:c r="G121" s="15"/>
    </x:row>
    <x:row r="122" spans="1:7" x14ac:dyDescent="0.3">
      <x:c r="B122" s="12">
        <x:v>7675811200</x:v>
      </x:c>
      <x:c r="C122" s="12">
        <x:v>7675812400</x:v>
      </x:c>
      <x:c r="D122" s="11" t="s">
        <x:v>138</x:v>
      </x:c>
      <x:c r="E122" s="11" t="s">
        <x:v>126</x:v>
      </x:c>
      <x:c r="F122" s="15"/>
      <x:c r="G122" s="15"/>
    </x:row>
    <x:row r="123" spans="1:7" x14ac:dyDescent="0.3">
      <x:c r="B123" s="12">
        <x:v>7675812500</x:v>
      </x:c>
      <x:c r="C123" s="12">
        <x:v>7675823900</x:v>
      </x:c>
      <x:c r="D123" s="11" t="s">
        <x:v>137</x:v>
      </x:c>
      <x:c r="E123" s="11" t="s">
        <x:v>126</x:v>
      </x:c>
      <x:c r="F123" s="15"/>
      <x:c r="G123" s="15"/>
    </x:row>
    <x:row r="124" spans="1:7" x14ac:dyDescent="0.3">
      <x:c r="B124" s="12">
        <x:v>7675824000</x:v>
      </x:c>
      <x:c r="C124" s="12">
        <x:v>7675824500</x:v>
      </x:c>
      <x:c r="D124" s="11" t="s">
        <x:v>138</x:v>
      </x:c>
      <x:c r="E124" s="11" t="s">
        <x:v>126</x:v>
      </x:c>
      <x:c r="F124" s="15"/>
      <x:c r="G124" s="15"/>
    </x:row>
    <x:row r="125" spans="1:7" x14ac:dyDescent="0.3">
      <x:c r="B125" s="12">
        <x:v>7675824600</x:v>
      </x:c>
      <x:c r="C125" s="12">
        <x:v>7675831200</x:v>
      </x:c>
      <x:c r="D125" s="11" t="s">
        <x:v>137</x:v>
      </x:c>
      <x:c r="E125" s="11" t="s">
        <x:v>126</x:v>
      </x:c>
      <x:c r="F125" s="15"/>
      <x:c r="G125" s="15"/>
    </x:row>
    <x:row r="126" spans="1:7" x14ac:dyDescent="0.3">
      <x:c r="B126" s="12">
        <x:v>7675831300</x:v>
      </x:c>
      <x:c r="C126" s="12">
        <x:v>7675831300</x:v>
      </x:c>
      <x:c r="D126" s="11" t="s">
        <x:v>138</x:v>
      </x:c>
      <x:c r="E126" s="11" t="s">
        <x:v>126</x:v>
      </x:c>
      <x:c r="F126" s="15"/>
      <x:c r="G126" s="15"/>
    </x:row>
    <x:row r="127" spans="1:7" x14ac:dyDescent="0.3">
      <x:c r="B127" s="12">
        <x:v>7675831400</x:v>
      </x:c>
      <x:c r="C127" s="12">
        <x:v>7675831700</x:v>
      </x:c>
      <x:c r="D127" s="11" t="s">
        <x:v>137</x:v>
      </x:c>
      <x:c r="E127" s="11" t="s">
        <x:v>126</x:v>
      </x:c>
      <x:c r="F127" s="15"/>
      <x:c r="G127" s="15"/>
    </x:row>
    <x:row r="128" spans="1:7" x14ac:dyDescent="0.3">
      <x:c r="B128" s="12">
        <x:v>7675831800</x:v>
      </x:c>
      <x:c r="C128" s="12">
        <x:v>7675832400</x:v>
      </x:c>
      <x:c r="D128" s="11" t="s">
        <x:v>138</x:v>
      </x:c>
      <x:c r="E128" s="11" t="s">
        <x:v>126</x:v>
      </x:c>
      <x:c r="F128" s="15"/>
      <x:c r="G128" s="15"/>
    </x:row>
    <x:row r="129" spans="1:7" x14ac:dyDescent="0.3">
      <x:c r="B129" s="12">
        <x:v>7675832500</x:v>
      </x:c>
      <x:c r="C129" s="12">
        <x:v>7675835100</x:v>
      </x:c>
      <x:c r="D129" s="11" t="s">
        <x:v>137</x:v>
      </x:c>
      <x:c r="E129" s="11" t="s">
        <x:v>126</x:v>
      </x:c>
      <x:c r="F129" s="15"/>
      <x:c r="G129" s="15"/>
    </x:row>
    <x:row r="130" spans="1:7" x14ac:dyDescent="0.3">
      <x:c r="B130" s="12">
        <x:v>7675835200</x:v>
      </x:c>
      <x:c r="C130" s="12">
        <x:v>7675835700</x:v>
      </x:c>
      <x:c r="D130" s="11" t="s">
        <x:v>138</x:v>
      </x:c>
      <x:c r="E130" s="11" t="s">
        <x:v>126</x:v>
      </x:c>
      <x:c r="F130" s="15"/>
      <x:c r="G130" s="15"/>
    </x:row>
    <x:row r="131" spans="1:7" x14ac:dyDescent="0.3">
      <x:c r="B131" s="12">
        <x:v>7675835800</x:v>
      </x:c>
      <x:c r="C131" s="12">
        <x:v>7675851100</x:v>
      </x:c>
      <x:c r="D131" s="11" t="s">
        <x:v>137</x:v>
      </x:c>
      <x:c r="E131" s="11" t="s">
        <x:v>126</x:v>
      </x:c>
      <x:c r="F131" s="15"/>
      <x:c r="G131" s="15"/>
    </x:row>
    <x:row r="132" spans="1:7" x14ac:dyDescent="0.3">
      <x:c r="B132" s="12">
        <x:v>7675851200</x:v>
      </x:c>
      <x:c r="C132" s="12">
        <x:v>7675854600</x:v>
      </x:c>
      <x:c r="D132" s="11" t="s">
        <x:v>138</x:v>
      </x:c>
      <x:c r="E132" s="11" t="s">
        <x:v>126</x:v>
      </x:c>
      <x:c r="F132" s="15"/>
      <x:c r="G132" s="15"/>
    </x:row>
    <x:row r="133" spans="1:7" x14ac:dyDescent="0.3">
      <x:c r="B133" s="12">
        <x:v>7675854700</x:v>
      </x:c>
      <x:c r="C133" s="12">
        <x:v>7675863600</x:v>
      </x:c>
      <x:c r="D133" s="11" t="s">
        <x:v>137</x:v>
      </x:c>
      <x:c r="E133" s="11" t="s">
        <x:v>126</x:v>
      </x:c>
      <x:c r="F133" s="15"/>
      <x:c r="G133" s="15"/>
    </x:row>
    <x:row r="134" spans="1:7" x14ac:dyDescent="0.3">
      <x:c r="B134" s="12">
        <x:v>7675863700</x:v>
      </x:c>
      <x:c r="C134" s="12">
        <x:v>7675863700</x:v>
      </x:c>
      <x:c r="D134" s="11" t="s">
        <x:v>138</x:v>
      </x:c>
      <x:c r="E134" s="11" t="s">
        <x:v>126</x:v>
      </x:c>
      <x:c r="F134" s="15"/>
      <x:c r="G134" s="15"/>
    </x:row>
    <x:row r="135" spans="1:7" x14ac:dyDescent="0.3">
      <x:c r="B135" s="12">
        <x:v>7675863800</x:v>
      </x:c>
      <x:c r="C135" s="12">
        <x:v>7675882400</x:v>
      </x:c>
      <x:c r="D135" s="11" t="s">
        <x:v>137</x:v>
      </x:c>
      <x:c r="E135" s="11" t="s">
        <x:v>126</x:v>
      </x:c>
      <x:c r="F135" s="15"/>
      <x:c r="G135" s="15"/>
    </x:row>
    <x:row r="136" spans="1:7" x14ac:dyDescent="0.3">
      <x:c r="B136" s="12">
        <x:v>7675882500</x:v>
      </x:c>
      <x:c r="C136" s="12">
        <x:v>7675882900</x:v>
      </x:c>
      <x:c r="D136" s="11" t="s">
        <x:v>138</x:v>
      </x:c>
      <x:c r="E136" s="11" t="s">
        <x:v>126</x:v>
      </x:c>
      <x:c r="F136" s="15"/>
      <x:c r="G136" s="15"/>
    </x:row>
    <x:row r="137" spans="1:7" x14ac:dyDescent="0.3">
      <x:c r="B137" s="12">
        <x:v>7675883000</x:v>
      </x:c>
      <x:c r="C137" s="12">
        <x:v>7675889300</x:v>
      </x:c>
      <x:c r="D137" s="11" t="s">
        <x:v>137</x:v>
      </x:c>
      <x:c r="E137" s="11" t="s">
        <x:v>126</x:v>
      </x:c>
      <x:c r="F137" s="15"/>
      <x:c r="G137" s="15"/>
    </x:row>
    <x:row r="138" spans="1:7" x14ac:dyDescent="0.3">
      <x:c r="B138" s="12">
        <x:v>7675889400</x:v>
      </x:c>
      <x:c r="C138" s="12">
        <x:v>7675889900</x:v>
      </x:c>
      <x:c r="D138" s="11" t="s">
        <x:v>138</x:v>
      </x:c>
      <x:c r="E138" s="11" t="s">
        <x:v>126</x:v>
      </x:c>
      <x:c r="F138" s="15"/>
      <x:c r="G138" s="15"/>
    </x:row>
    <x:row r="139" spans="1:7" x14ac:dyDescent="0.3">
      <x:c r="B139" s="12">
        <x:v>7675890000</x:v>
      </x:c>
      <x:c r="C139" s="12">
        <x:v>7675911600</x:v>
      </x:c>
      <x:c r="D139" s="11" t="s">
        <x:v>137</x:v>
      </x:c>
      <x:c r="E139" s="11" t="s">
        <x:v>126</x:v>
      </x:c>
      <x:c r="F139" s="15"/>
      <x:c r="G139" s="15"/>
    </x:row>
    <x:row r="140" spans="1:7" x14ac:dyDescent="0.3">
      <x:c r="B140" s="12">
        <x:v>7675911700</x:v>
      </x:c>
      <x:c r="C140" s="12">
        <x:v>7675912500</x:v>
      </x:c>
      <x:c r="D140" s="11" t="s">
        <x:v>138</x:v>
      </x:c>
      <x:c r="E140" s="11" t="s">
        <x:v>126</x:v>
      </x:c>
      <x:c r="F140" s="15"/>
      <x:c r="G140" s="15"/>
    </x:row>
    <x:row r="141" spans="1:7" x14ac:dyDescent="0.3">
      <x:c r="B141" s="12">
        <x:v>7675912600</x:v>
      </x:c>
      <x:c r="C141" s="12">
        <x:v>7675914300</x:v>
      </x:c>
      <x:c r="D141" s="11" t="s">
        <x:v>137</x:v>
      </x:c>
      <x:c r="E141" s="11" t="s">
        <x:v>126</x:v>
      </x:c>
      <x:c r="F141" s="15"/>
      <x:c r="G141" s="15"/>
    </x:row>
    <x:row r="142" spans="1:7" x14ac:dyDescent="0.3">
      <x:c r="B142" s="12">
        <x:v>7675914400</x:v>
      </x:c>
      <x:c r="C142" s="12">
        <x:v>7675915400</x:v>
      </x:c>
      <x:c r="D142" s="11" t="s">
        <x:v>138</x:v>
      </x:c>
      <x:c r="E142" s="11" t="s">
        <x:v>126</x:v>
      </x:c>
      <x:c r="F142" s="15"/>
      <x:c r="G142" s="15"/>
    </x:row>
    <x:row r="143" spans="1:7" x14ac:dyDescent="0.3">
      <x:c r="B143" s="12">
        <x:v>7675915500</x:v>
      </x:c>
      <x:c r="C143" s="12">
        <x:v>7675922600</x:v>
      </x:c>
      <x:c r="D143" s="11" t="s">
        <x:v>137</x:v>
      </x:c>
      <x:c r="E143" s="11" t="s">
        <x:v>126</x:v>
      </x:c>
      <x:c r="F143" s="15"/>
      <x:c r="G143" s="15"/>
    </x:row>
    <x:row r="144" spans="1:7" x14ac:dyDescent="0.3">
      <x:c r="B144" s="12">
        <x:v>7675922700</x:v>
      </x:c>
      <x:c r="C144" s="12">
        <x:v>7675922800</x:v>
      </x:c>
      <x:c r="D144" s="11" t="s">
        <x:v>138</x:v>
      </x:c>
      <x:c r="E144" s="11" t="s">
        <x:v>126</x:v>
      </x:c>
      <x:c r="F144" s="15"/>
      <x:c r="G144" s="15"/>
    </x:row>
    <x:row r="145" spans="1:7" x14ac:dyDescent="0.3">
      <x:c r="B145" s="12">
        <x:v>7675922900</x:v>
      </x:c>
      <x:c r="C145" s="12">
        <x:v>7675922900</x:v>
      </x:c>
      <x:c r="D145" s="11" t="s">
        <x:v>137</x:v>
      </x:c>
      <x:c r="E145" s="11" t="s">
        <x:v>126</x:v>
      </x:c>
      <x:c r="F145" s="15"/>
      <x:c r="G145" s="15"/>
    </x:row>
    <x:row r="146" spans="1:7" x14ac:dyDescent="0.3">
      <x:c r="B146" s="12">
        <x:v>7675923000</x:v>
      </x:c>
      <x:c r="C146" s="12">
        <x:v>7675923000</x:v>
      </x:c>
      <x:c r="D146" s="11" t="s">
        <x:v>138</x:v>
      </x:c>
      <x:c r="E146" s="11" t="s">
        <x:v>126</x:v>
      </x:c>
      <x:c r="F146" s="15"/>
      <x:c r="G146" s="15"/>
    </x:row>
    <x:row r="147" spans="1:7" x14ac:dyDescent="0.3">
      <x:c r="B147" s="12">
        <x:v>7675923100</x:v>
      </x:c>
      <x:c r="C147" s="12">
        <x:v>7675936600</x:v>
      </x:c>
      <x:c r="D147" s="11" t="s">
        <x:v>137</x:v>
      </x:c>
      <x:c r="E147" s="11" t="s">
        <x:v>126</x:v>
      </x:c>
      <x:c r="F147" s="15"/>
      <x:c r="G147" s="15"/>
    </x:row>
    <x:row r="148" spans="1:7" x14ac:dyDescent="0.3">
      <x:c r="B148" s="12">
        <x:v>7675936700</x:v>
      </x:c>
      <x:c r="C148" s="12">
        <x:v>7675937200</x:v>
      </x:c>
      <x:c r="D148" s="11" t="s">
        <x:v>138</x:v>
      </x:c>
      <x:c r="E148" s="11" t="s">
        <x:v>126</x:v>
      </x:c>
      <x:c r="F148" s="15"/>
      <x:c r="G148" s="15"/>
    </x:row>
    <x:row r="149" spans="1:7" x14ac:dyDescent="0.3">
      <x:c r="B149" s="12">
        <x:v>7675937300</x:v>
      </x:c>
      <x:c r="C149" s="12">
        <x:v>7675937400</x:v>
      </x:c>
      <x:c r="D149" s="11" t="s">
        <x:v>137</x:v>
      </x:c>
      <x:c r="E149" s="11" t="s">
        <x:v>126</x:v>
      </x:c>
      <x:c r="F149" s="15"/>
      <x:c r="G149" s="15"/>
    </x:row>
    <x:row r="150" spans="1:7" x14ac:dyDescent="0.3">
      <x:c r="B150" s="12">
        <x:v>7675937500</x:v>
      </x:c>
      <x:c r="C150" s="12">
        <x:v>7675937900</x:v>
      </x:c>
      <x:c r="D150" s="11" t="s">
        <x:v>138</x:v>
      </x:c>
      <x:c r="E150" s="11" t="s">
        <x:v>126</x:v>
      </x:c>
      <x:c r="F150" s="15"/>
      <x:c r="G150" s="15"/>
    </x:row>
    <x:row r="151" spans="1:7" x14ac:dyDescent="0.3">
      <x:c r="B151" s="12">
        <x:v>7675938000</x:v>
      </x:c>
      <x:c r="C151" s="12">
        <x:v>7675945900</x:v>
      </x:c>
      <x:c r="D151" s="11" t="s">
        <x:v>137</x:v>
      </x:c>
      <x:c r="E151" s="11" t="s">
        <x:v>126</x:v>
      </x:c>
      <x:c r="F151" s="15"/>
      <x:c r="G151" s="15"/>
    </x:row>
    <x:row r="152" spans="1:7" x14ac:dyDescent="0.3">
      <x:c r="B152" s="12">
        <x:v>7675946000</x:v>
      </x:c>
      <x:c r="C152" s="12">
        <x:v>7675946300</x:v>
      </x:c>
      <x:c r="D152" s="11" t="s">
        <x:v>138</x:v>
      </x:c>
      <x:c r="E152" s="11" t="s">
        <x:v>126</x:v>
      </x:c>
      <x:c r="F152" s="15"/>
      <x:c r="G152" s="15"/>
    </x:row>
    <x:row r="153" spans="1:7" x14ac:dyDescent="0.3">
      <x:c r="B153" s="12">
        <x:v>7675946400</x:v>
      </x:c>
      <x:c r="C153" s="12">
        <x:v>7675947200</x:v>
      </x:c>
      <x:c r="D153" s="11" t="s">
        <x:v>137</x:v>
      </x:c>
      <x:c r="E153" s="11" t="s">
        <x:v>126</x:v>
      </x:c>
      <x:c r="F153" s="15"/>
      <x:c r="G153" s="15"/>
    </x:row>
    <x:row r="154" spans="1:7" x14ac:dyDescent="0.3">
      <x:c r="B154" s="12">
        <x:v>7675947300</x:v>
      </x:c>
      <x:c r="C154" s="12">
        <x:v>7675947400</x:v>
      </x:c>
      <x:c r="D154" s="11" t="s">
        <x:v>138</x:v>
      </x:c>
      <x:c r="E154" s="11" t="s">
        <x:v>126</x:v>
      </x:c>
      <x:c r="F154" s="15"/>
      <x:c r="G154" s="15"/>
    </x:row>
    <x:row r="155" spans="1:7" x14ac:dyDescent="0.3">
      <x:c r="B155" s="12">
        <x:v>7675947500</x:v>
      </x:c>
      <x:c r="C155" s="12">
        <x:v>7675947800</x:v>
      </x:c>
      <x:c r="D155" s="11" t="s">
        <x:v>137</x:v>
      </x:c>
      <x:c r="E155" s="11" t="s">
        <x:v>126</x:v>
      </x:c>
      <x:c r="F155" s="15"/>
      <x:c r="G155" s="15"/>
    </x:row>
    <x:row r="156" spans="1:7" x14ac:dyDescent="0.3">
      <x:c r="B156" s="12">
        <x:v>7675947900</x:v>
      </x:c>
      <x:c r="C156" s="12">
        <x:v>7675949000</x:v>
      </x:c>
      <x:c r="D156" s="11" t="s">
        <x:v>138</x:v>
      </x:c>
      <x:c r="E156" s="11" t="s">
        <x:v>126</x:v>
      </x:c>
      <x:c r="F156" s="15"/>
      <x:c r="G156" s="15"/>
    </x:row>
    <x:row r="157" spans="1:7" x14ac:dyDescent="0.3">
      <x:c r="B157" s="12">
        <x:v>7675949100</x:v>
      </x:c>
      <x:c r="C157" s="12">
        <x:v>7675949100</x:v>
      </x:c>
      <x:c r="D157" s="11" t="s">
        <x:v>137</x:v>
      </x:c>
      <x:c r="E157" s="11" t="s">
        <x:v>126</x:v>
      </x:c>
      <x:c r="F157" s="15"/>
      <x:c r="G157" s="15"/>
    </x:row>
    <x:row r="158" spans="1:7" x14ac:dyDescent="0.3">
      <x:c r="B158" s="12">
        <x:v>7675949200</x:v>
      </x:c>
      <x:c r="C158" s="12">
        <x:v>7675949300</x:v>
      </x:c>
      <x:c r="D158" s="11" t="s">
        <x:v>138</x:v>
      </x:c>
      <x:c r="E158" s="11" t="s">
        <x:v>126</x:v>
      </x:c>
      <x:c r="F158" s="15"/>
      <x:c r="G158" s="15"/>
    </x:row>
    <x:row r="159" spans="1:7" x14ac:dyDescent="0.3">
      <x:c r="B159" s="12">
        <x:v>7675949400</x:v>
      </x:c>
      <x:c r="C159" s="12">
        <x:v>7675961300</x:v>
      </x:c>
      <x:c r="D159" s="11" t="s">
        <x:v>137</x:v>
      </x:c>
      <x:c r="E159" s="11" t="s">
        <x:v>126</x:v>
      </x:c>
      <x:c r="F159" s="15"/>
      <x:c r="G159" s="15"/>
    </x:row>
    <x:row r="160" spans="1:7" x14ac:dyDescent="0.3">
      <x:c r="B160" s="12">
        <x:v>7675961400</x:v>
      </x:c>
      <x:c r="C160" s="12">
        <x:v>7675962500</x:v>
      </x:c>
      <x:c r="D160" s="11" t="s">
        <x:v>138</x:v>
      </x:c>
      <x:c r="E160" s="11" t="s">
        <x:v>126</x:v>
      </x:c>
      <x:c r="F160" s="15"/>
      <x:c r="G160" s="15"/>
    </x:row>
    <x:row r="161" spans="1:7" x14ac:dyDescent="0.3">
      <x:c r="B161" s="12">
        <x:v>7675962600</x:v>
      </x:c>
      <x:c r="C161" s="12">
        <x:v>7675975000</x:v>
      </x:c>
      <x:c r="D161" s="11" t="s">
        <x:v>137</x:v>
      </x:c>
      <x:c r="E161" s="11" t="s">
        <x:v>126</x:v>
      </x:c>
      <x:c r="F161" s="15"/>
      <x:c r="G161" s="15"/>
    </x:row>
    <x:row r="162" spans="1:7" x14ac:dyDescent="0.3">
      <x:c r="B162" s="12">
        <x:v>7675975100</x:v>
      </x:c>
      <x:c r="C162" s="12">
        <x:v>7675975100</x:v>
      </x:c>
      <x:c r="D162" s="11" t="s">
        <x:v>138</x:v>
      </x:c>
      <x:c r="E162" s="11" t="s">
        <x:v>126</x:v>
      </x:c>
      <x:c r="F162" s="15"/>
      <x:c r="G162" s="15"/>
    </x:row>
    <x:row r="163" spans="1:7" x14ac:dyDescent="0.3">
      <x:c r="B163" s="12">
        <x:v>7675975200</x:v>
      </x:c>
      <x:c r="C163" s="12">
        <x:v>7675985900</x:v>
      </x:c>
      <x:c r="D163" s="11" t="s">
        <x:v>137</x:v>
      </x:c>
      <x:c r="E163" s="11" t="s">
        <x:v>126</x:v>
      </x:c>
      <x:c r="F163" s="15"/>
      <x:c r="G163" s="15"/>
    </x:row>
    <x:row r="164" spans="1:7" x14ac:dyDescent="0.3">
      <x:c r="B164" s="12">
        <x:v>7675986000</x:v>
      </x:c>
      <x:c r="C164" s="12">
        <x:v>7675986200</x:v>
      </x:c>
      <x:c r="D164" s="11" t="s">
        <x:v>138</x:v>
      </x:c>
      <x:c r="E164" s="11" t="s">
        <x:v>126</x:v>
      </x:c>
      <x:c r="F164" s="15"/>
      <x:c r="G164" s="15"/>
    </x:row>
    <x:row r="165" spans="1:7" x14ac:dyDescent="0.3">
      <x:c r="B165" s="12">
        <x:v>7675986300</x:v>
      </x:c>
      <x:c r="C165" s="12">
        <x:v>7676013500</x:v>
      </x:c>
      <x:c r="D165" s="11" t="s">
        <x:v>137</x:v>
      </x:c>
      <x:c r="E165" s="11" t="s">
        <x:v>126</x:v>
      </x:c>
      <x:c r="F165" s="15"/>
      <x:c r="G165" s="15"/>
    </x:row>
    <x:row r="166" spans="1:7" x14ac:dyDescent="0.3">
      <x:c r="B166" s="12">
        <x:v>7676013600</x:v>
      </x:c>
      <x:c r="C166" s="12">
        <x:v>7676013600</x:v>
      </x:c>
      <x:c r="D166" s="11" t="s">
        <x:v>138</x:v>
      </x:c>
      <x:c r="E166" s="11" t="s">
        <x:v>126</x:v>
      </x:c>
      <x:c r="F166" s="15"/>
      <x:c r="G166" s="15"/>
    </x:row>
    <x:row r="167" spans="1:7" x14ac:dyDescent="0.3">
      <x:c r="B167" s="12">
        <x:v>7676013700</x:v>
      </x:c>
      <x:c r="C167" s="12">
        <x:v>7676019100</x:v>
      </x:c>
      <x:c r="D167" s="11" t="s">
        <x:v>137</x:v>
      </x:c>
      <x:c r="E167" s="11" t="s">
        <x:v>126</x:v>
      </x:c>
      <x:c r="F167" s="15"/>
      <x:c r="G167" s="15"/>
    </x:row>
    <x:row r="168" spans="1:7" x14ac:dyDescent="0.3">
      <x:c r="B168" s="12">
        <x:v>7676019200</x:v>
      </x:c>
      <x:c r="C168" s="12">
        <x:v>7676020200</x:v>
      </x:c>
      <x:c r="D168" s="11" t="s">
        <x:v>138</x:v>
      </x:c>
      <x:c r="E168" s="11" t="s">
        <x:v>126</x:v>
      </x:c>
      <x:c r="F168" s="15"/>
      <x:c r="G168" s="15"/>
    </x:row>
    <x:row r="169" spans="1:7" x14ac:dyDescent="0.3">
      <x:c r="B169" s="12">
        <x:v>7676020300</x:v>
      </x:c>
      <x:c r="C169" s="12">
        <x:v>7676030000</x:v>
      </x:c>
      <x:c r="D169" s="11" t="s">
        <x:v>137</x:v>
      </x:c>
      <x:c r="E169" s="11" t="s">
        <x:v>126</x:v>
      </x:c>
      <x:c r="F169" s="15"/>
      <x:c r="G169" s="15"/>
    </x:row>
    <x:row r="170" spans="1:7" x14ac:dyDescent="0.3">
      <x:c r="B170" s="12">
        <x:v>7676030100</x:v>
      </x:c>
      <x:c r="C170" s="12">
        <x:v>7676030400</x:v>
      </x:c>
      <x:c r="D170" s="11" t="s">
        <x:v>138</x:v>
      </x:c>
      <x:c r="E170" s="11" t="s">
        <x:v>126</x:v>
      </x:c>
      <x:c r="F170" s="15"/>
      <x:c r="G170" s="15"/>
    </x:row>
    <x:row r="171" spans="1:7" x14ac:dyDescent="0.3">
      <x:c r="B171" s="12">
        <x:v>7676030500</x:v>
      </x:c>
      <x:c r="C171" s="12">
        <x:v>7676034500</x:v>
      </x:c>
      <x:c r="D171" s="11" t="s">
        <x:v>137</x:v>
      </x:c>
      <x:c r="E171" s="11" t="s">
        <x:v>126</x:v>
      </x:c>
      <x:c r="F171" s="15"/>
      <x:c r="G171" s="15"/>
    </x:row>
    <x:row r="172" spans="1:7" x14ac:dyDescent="0.3">
      <x:c r="B172" s="12">
        <x:v>7676034600</x:v>
      </x:c>
      <x:c r="C172" s="12">
        <x:v>7676034800</x:v>
      </x:c>
      <x:c r="D172" s="11" t="s">
        <x:v>138</x:v>
      </x:c>
      <x:c r="E172" s="11" t="s">
        <x:v>126</x:v>
      </x:c>
      <x:c r="F172" s="15"/>
      <x:c r="G172" s="15"/>
    </x:row>
    <x:row r="173" spans="1:7" x14ac:dyDescent="0.3">
      <x:c r="B173" s="12">
        <x:v>7676034900</x:v>
      </x:c>
      <x:c r="C173" s="12">
        <x:v>7676046000</x:v>
      </x:c>
      <x:c r="D173" s="11" t="s">
        <x:v>137</x:v>
      </x:c>
      <x:c r="E173" s="11" t="s">
        <x:v>126</x:v>
      </x:c>
      <x:c r="F173" s="15"/>
      <x:c r="G173" s="15"/>
    </x:row>
    <x:row r="174" spans="1:7" x14ac:dyDescent="0.3">
      <x:c r="B174" s="12">
        <x:v>7676046100</x:v>
      </x:c>
      <x:c r="C174" s="12">
        <x:v>7676046700</x:v>
      </x:c>
      <x:c r="D174" s="11" t="s">
        <x:v>138</x:v>
      </x:c>
      <x:c r="E174" s="11" t="s">
        <x:v>126</x:v>
      </x:c>
      <x:c r="F174" s="15"/>
      <x:c r="G174" s="15"/>
    </x:row>
    <x:row r="175" spans="1:7" x14ac:dyDescent="0.3">
      <x:c r="B175" s="12">
        <x:v>7676046800</x:v>
      </x:c>
      <x:c r="C175" s="12">
        <x:v>7676053800</x:v>
      </x:c>
      <x:c r="D175" s="11" t="s">
        <x:v>137</x:v>
      </x:c>
      <x:c r="E175" s="11" t="s">
        <x:v>126</x:v>
      </x:c>
      <x:c r="F175" s="15"/>
      <x:c r="G175" s="15"/>
    </x:row>
    <x:row r="176" spans="1:7" x14ac:dyDescent="0.3">
      <x:c r="B176" s="12">
        <x:v>7676053900</x:v>
      </x:c>
      <x:c r="C176" s="12">
        <x:v>7676056600</x:v>
      </x:c>
      <x:c r="D176" s="11" t="s">
        <x:v>138</x:v>
      </x:c>
      <x:c r="E176" s="11" t="s">
        <x:v>126</x:v>
      </x:c>
      <x:c r="F176" s="15"/>
      <x:c r="G176" s="15"/>
    </x:row>
    <x:row r="177" spans="1:7" x14ac:dyDescent="0.3">
      <x:c r="B177" s="12">
        <x:v>7676056700</x:v>
      </x:c>
      <x:c r="C177" s="12">
        <x:v>7676066100</x:v>
      </x:c>
      <x:c r="D177" s="11" t="s">
        <x:v>137</x:v>
      </x:c>
      <x:c r="E177" s="11" t="s">
        <x:v>126</x:v>
      </x:c>
      <x:c r="F177" s="15"/>
      <x:c r="G177" s="15"/>
    </x:row>
    <x:row r="178" spans="1:7" x14ac:dyDescent="0.3">
      <x:c r="B178" s="12">
        <x:v>7676066200</x:v>
      </x:c>
      <x:c r="C178" s="12">
        <x:v>7676066900</x:v>
      </x:c>
      <x:c r="D178" s="11" t="s">
        <x:v>138</x:v>
      </x:c>
      <x:c r="E178" s="11" t="s">
        <x:v>126</x:v>
      </x:c>
      <x:c r="F178" s="15"/>
      <x:c r="G178" s="15"/>
    </x:row>
    <x:row r="179" spans="1:7" x14ac:dyDescent="0.3">
      <x:c r="B179" s="12">
        <x:v>7676067000</x:v>
      </x:c>
      <x:c r="C179" s="12">
        <x:v>7676072400</x:v>
      </x:c>
      <x:c r="D179" s="11" t="s">
        <x:v>137</x:v>
      </x:c>
      <x:c r="E179" s="11" t="s">
        <x:v>126</x:v>
      </x:c>
      <x:c r="F179" s="15"/>
      <x:c r="G179" s="15"/>
    </x:row>
    <x:row r="180" spans="1:7" x14ac:dyDescent="0.3">
      <x:c r="B180" s="12">
        <x:v>7676072500</x:v>
      </x:c>
      <x:c r="C180" s="12">
        <x:v>7676072500</x:v>
      </x:c>
      <x:c r="D180" s="11" t="s">
        <x:v>138</x:v>
      </x:c>
      <x:c r="E180" s="11" t="s">
        <x:v>126</x:v>
      </x:c>
      <x:c r="F180" s="15"/>
      <x:c r="G180" s="15"/>
    </x:row>
    <x:row r="181" spans="1:7" x14ac:dyDescent="0.3">
      <x:c r="B181" s="12">
        <x:v>7676072600</x:v>
      </x:c>
      <x:c r="C181" s="12">
        <x:v>7676073100</x:v>
      </x:c>
      <x:c r="D181" s="11" t="s">
        <x:v>137</x:v>
      </x:c>
      <x:c r="E181" s="11" t="s">
        <x:v>126</x:v>
      </x:c>
      <x:c r="F181" s="15"/>
      <x:c r="G181" s="15"/>
    </x:row>
    <x:row r="182" spans="1:7" x14ac:dyDescent="0.3">
      <x:c r="B182" s="12">
        <x:v>7676073200</x:v>
      </x:c>
      <x:c r="C182" s="12">
        <x:v>7676074900</x:v>
      </x:c>
      <x:c r="D182" s="11" t="s">
        <x:v>138</x:v>
      </x:c>
      <x:c r="E182" s="11" t="s">
        <x:v>126</x:v>
      </x:c>
      <x:c r="F182" s="15"/>
      <x:c r="G182" s="15"/>
    </x:row>
    <x:row r="183" spans="1:7" x14ac:dyDescent="0.3">
      <x:c r="B183" s="12">
        <x:v>7676075000</x:v>
      </x:c>
      <x:c r="C183" s="12">
        <x:v>7676107400</x:v>
      </x:c>
      <x:c r="D183" s="11" t="s">
        <x:v>137</x:v>
      </x:c>
      <x:c r="E183" s="11" t="s">
        <x:v>126</x:v>
      </x:c>
      <x:c r="F183" s="15"/>
      <x:c r="G183" s="15"/>
    </x:row>
    <x:row r="184" spans="1:7" x14ac:dyDescent="0.3">
      <x:c r="B184" s="12">
        <x:v>7676107500</x:v>
      </x:c>
      <x:c r="C184" s="12">
        <x:v>7676107500</x:v>
      </x:c>
      <x:c r="D184" s="11" t="s">
        <x:v>138</x:v>
      </x:c>
      <x:c r="E184" s="11" t="s">
        <x:v>126</x:v>
      </x:c>
      <x:c r="F184" s="15"/>
      <x:c r="G184" s="15"/>
    </x:row>
    <x:row r="185" spans="1:7" x14ac:dyDescent="0.3">
      <x:c r="B185" s="12">
        <x:v>7676107600</x:v>
      </x:c>
      <x:c r="C185" s="12">
        <x:v>7676108000</x:v>
      </x:c>
      <x:c r="D185" s="11" t="s">
        <x:v>137</x:v>
      </x:c>
      <x:c r="E185" s="11" t="s">
        <x:v>126</x:v>
      </x:c>
      <x:c r="F185" s="15"/>
      <x:c r="G185" s="15"/>
    </x:row>
    <x:row r="186" spans="1:7" x14ac:dyDescent="0.3">
      <x:c r="B186" s="12">
        <x:v>7676108100</x:v>
      </x:c>
      <x:c r="C186" s="12">
        <x:v>7676108500</x:v>
      </x:c>
      <x:c r="D186" s="11" t="s">
        <x:v>138</x:v>
      </x:c>
      <x:c r="E186" s="11" t="s">
        <x:v>126</x:v>
      </x:c>
      <x:c r="F186" s="15"/>
      <x:c r="G186" s="15"/>
    </x:row>
    <x:row r="187" spans="1:7" x14ac:dyDescent="0.3">
      <x:c r="B187" s="12">
        <x:v>7676108600</x:v>
      </x:c>
      <x:c r="C187" s="12">
        <x:v>7676119800</x:v>
      </x:c>
      <x:c r="D187" s="11" t="s">
        <x:v>137</x:v>
      </x:c>
      <x:c r="E187" s="11" t="s">
        <x:v>126</x:v>
      </x:c>
      <x:c r="F187" s="15"/>
      <x:c r="G187" s="15"/>
    </x:row>
    <x:row r="188" spans="1:7" x14ac:dyDescent="0.3">
      <x:c r="B188" s="12">
        <x:v>7676119900</x:v>
      </x:c>
      <x:c r="C188" s="12">
        <x:v>7676120300</x:v>
      </x:c>
      <x:c r="D188" s="11" t="s">
        <x:v>138</x:v>
      </x:c>
      <x:c r="E188" s="11" t="s">
        <x:v>126</x:v>
      </x:c>
      <x:c r="F188" s="15"/>
      <x:c r="G188" s="15"/>
    </x:row>
    <x:row r="189" spans="1:7" x14ac:dyDescent="0.3">
      <x:c r="B189" s="12">
        <x:v>7676120400</x:v>
      </x:c>
      <x:c r="C189" s="12">
        <x:v>7676122900</x:v>
      </x:c>
      <x:c r="D189" s="11" t="s">
        <x:v>137</x:v>
      </x:c>
      <x:c r="E189" s="11" t="s">
        <x:v>126</x:v>
      </x:c>
      <x:c r="F189" s="15"/>
      <x:c r="G189" s="15"/>
    </x:row>
    <x:row r="190" spans="1:7" x14ac:dyDescent="0.3">
      <x:c r="B190" s="12">
        <x:v>7676123000</x:v>
      </x:c>
      <x:c r="C190" s="12">
        <x:v>7676123100</x:v>
      </x:c>
      <x:c r="D190" s="11" t="s">
        <x:v>138</x:v>
      </x:c>
      <x:c r="E190" s="11" t="s">
        <x:v>126</x:v>
      </x:c>
      <x:c r="F190" s="15"/>
      <x:c r="G190" s="15"/>
    </x:row>
    <x:row r="191" spans="1:7" x14ac:dyDescent="0.3">
      <x:c r="B191" s="12">
        <x:v>7676123200</x:v>
      </x:c>
      <x:c r="C191" s="12">
        <x:v>7676132100</x:v>
      </x:c>
      <x:c r="D191" s="11" t="s">
        <x:v>137</x:v>
      </x:c>
      <x:c r="E191" s="11" t="s">
        <x:v>126</x:v>
      </x:c>
      <x:c r="F191" s="15"/>
      <x:c r="G191" s="15"/>
    </x:row>
    <x:row r="192" spans="1:7" x14ac:dyDescent="0.3">
      <x:c r="B192" s="12">
        <x:v>7676132200</x:v>
      </x:c>
      <x:c r="C192" s="12">
        <x:v>7676132300</x:v>
      </x:c>
      <x:c r="D192" s="11" t="s">
        <x:v>138</x:v>
      </x:c>
      <x:c r="E192" s="11" t="s">
        <x:v>126</x:v>
      </x:c>
      <x:c r="F192" s="15"/>
      <x:c r="G192" s="15"/>
    </x:row>
    <x:row r="193" spans="1:7" x14ac:dyDescent="0.3">
      <x:c r="B193" s="12">
        <x:v>7676132400</x:v>
      </x:c>
      <x:c r="C193" s="12">
        <x:v>7676132600</x:v>
      </x:c>
      <x:c r="D193" s="11" t="s">
        <x:v>137</x:v>
      </x:c>
      <x:c r="E193" s="11" t="s">
        <x:v>126</x:v>
      </x:c>
      <x:c r="F193" s="15"/>
      <x:c r="G193" s="15"/>
    </x:row>
    <x:row r="194" spans="1:7" x14ac:dyDescent="0.3">
      <x:c r="B194" s="12">
        <x:v>7676132700</x:v>
      </x:c>
      <x:c r="C194" s="12">
        <x:v>7676132700</x:v>
      </x:c>
      <x:c r="D194" s="11" t="s">
        <x:v>138</x:v>
      </x:c>
      <x:c r="E194" s="11" t="s">
        <x:v>126</x:v>
      </x:c>
      <x:c r="F194" s="15"/>
      <x:c r="G194" s="15"/>
    </x:row>
    <x:row r="195" spans="1:7" x14ac:dyDescent="0.3">
      <x:c r="B195" s="12">
        <x:v>7676132800</x:v>
      </x:c>
      <x:c r="C195" s="12">
        <x:v>7676133900</x:v>
      </x:c>
      <x:c r="D195" s="11" t="s">
        <x:v>137</x:v>
      </x:c>
      <x:c r="E195" s="11" t="s">
        <x:v>126</x:v>
      </x:c>
      <x:c r="F195" s="15"/>
      <x:c r="G195" s="15"/>
    </x:row>
    <x:row r="196" spans="1:7" x14ac:dyDescent="0.3">
      <x:c r="B196" s="12">
        <x:v>7676134000</x:v>
      </x:c>
      <x:c r="C196" s="12">
        <x:v>7676134000</x:v>
      </x:c>
      <x:c r="D196" s="11" t="s">
        <x:v>138</x:v>
      </x:c>
      <x:c r="E196" s="11" t="s">
        <x:v>126</x:v>
      </x:c>
      <x:c r="F196" s="15"/>
      <x:c r="G196" s="15"/>
    </x:row>
    <x:row r="197" spans="1:7" x14ac:dyDescent="0.3">
      <x:c r="B197" s="12">
        <x:v>7676134100</x:v>
      </x:c>
      <x:c r="C197" s="12">
        <x:v>7676134100</x:v>
      </x:c>
      <x:c r="D197" s="11" t="s">
        <x:v>137</x:v>
      </x:c>
      <x:c r="E197" s="11" t="s">
        <x:v>126</x:v>
      </x:c>
      <x:c r="F197" s="15"/>
      <x:c r="G197" s="15"/>
    </x:row>
    <x:row r="198" spans="1:7" x14ac:dyDescent="0.3">
      <x:c r="B198" s="12">
        <x:v>7676134200</x:v>
      </x:c>
      <x:c r="C198" s="12">
        <x:v>7676134200</x:v>
      </x:c>
      <x:c r="D198" s="11" t="s">
        <x:v>138</x:v>
      </x:c>
      <x:c r="E198" s="11" t="s">
        <x:v>126</x:v>
      </x:c>
      <x:c r="F198" s="15"/>
      <x:c r="G198" s="15"/>
    </x:row>
    <x:row r="199" spans="1:7" x14ac:dyDescent="0.3">
      <x:c r="B199" s="12">
        <x:v>7676134300</x:v>
      </x:c>
      <x:c r="C199" s="12">
        <x:v>7676142600</x:v>
      </x:c>
      <x:c r="D199" s="11" t="s">
        <x:v>137</x:v>
      </x:c>
      <x:c r="E199" s="11" t="s">
        <x:v>126</x:v>
      </x:c>
      <x:c r="F199" s="15"/>
      <x:c r="G199" s="15"/>
    </x:row>
    <x:row r="200" spans="1:7" x14ac:dyDescent="0.3">
      <x:c r="B200" s="12">
        <x:v>7676142700</x:v>
      </x:c>
      <x:c r="C200" s="12">
        <x:v>7676143200</x:v>
      </x:c>
      <x:c r="D200" s="11" t="s">
        <x:v>138</x:v>
      </x:c>
      <x:c r="E200" s="11" t="s">
        <x:v>126</x:v>
      </x:c>
      <x:c r="F200" s="15"/>
      <x:c r="G200" s="15"/>
    </x:row>
    <x:row r="201" spans="1:7" x14ac:dyDescent="0.3">
      <x:c r="B201" s="12">
        <x:v>7676143300</x:v>
      </x:c>
      <x:c r="C201" s="12">
        <x:v>7676145700</x:v>
      </x:c>
      <x:c r="D201" s="11" t="s">
        <x:v>137</x:v>
      </x:c>
      <x:c r="E201" s="11" t="s">
        <x:v>126</x:v>
      </x:c>
      <x:c r="F201" s="15"/>
      <x:c r="G201" s="15"/>
    </x:row>
    <x:row r="202" spans="1:7" x14ac:dyDescent="0.3">
      <x:c r="B202" s="12">
        <x:v>7676145800</x:v>
      </x:c>
      <x:c r="C202" s="12">
        <x:v>7676146000</x:v>
      </x:c>
      <x:c r="D202" s="11" t="s">
        <x:v>138</x:v>
      </x:c>
      <x:c r="E202" s="11" t="s">
        <x:v>126</x:v>
      </x:c>
      <x:c r="F202" s="15"/>
      <x:c r="G202" s="15"/>
    </x:row>
    <x:row r="203" spans="1:7" x14ac:dyDescent="0.3">
      <x:c r="B203" s="12">
        <x:v>7676146100</x:v>
      </x:c>
      <x:c r="C203" s="12">
        <x:v>7676153100</x:v>
      </x:c>
      <x:c r="D203" s="11" t="s">
        <x:v>137</x:v>
      </x:c>
      <x:c r="E203" s="11" t="s">
        <x:v>126</x:v>
      </x:c>
      <x:c r="F203" s="15"/>
      <x:c r="G203" s="15"/>
    </x:row>
    <x:row r="204" spans="1:7" x14ac:dyDescent="0.3">
      <x:c r="B204" s="12">
        <x:v>7676153200</x:v>
      </x:c>
      <x:c r="C204" s="12">
        <x:v>7676153200</x:v>
      </x:c>
      <x:c r="D204" s="11" t="s">
        <x:v>138</x:v>
      </x:c>
      <x:c r="E204" s="11" t="s">
        <x:v>126</x:v>
      </x:c>
      <x:c r="F204" s="15"/>
      <x:c r="G204" s="15"/>
    </x:row>
    <x:row r="205" spans="1:7" x14ac:dyDescent="0.3">
      <x:c r="B205" s="12">
        <x:v>7676153300</x:v>
      </x:c>
      <x:c r="C205" s="12">
        <x:v>7676162200</x:v>
      </x:c>
      <x:c r="D205" s="11" t="s">
        <x:v>137</x:v>
      </x:c>
      <x:c r="E205" s="11" t="s">
        <x:v>126</x:v>
      </x:c>
      <x:c r="F205" s="15"/>
      <x:c r="G205" s="15"/>
    </x:row>
    <x:row r="206" spans="1:7" x14ac:dyDescent="0.3">
      <x:c r="B206" s="12">
        <x:v>7676162300</x:v>
      </x:c>
      <x:c r="C206" s="12">
        <x:v>7676162800</x:v>
      </x:c>
      <x:c r="D206" s="11" t="s">
        <x:v>138</x:v>
      </x:c>
      <x:c r="E206" s="11" t="s">
        <x:v>126</x:v>
      </x:c>
      <x:c r="F206" s="15"/>
      <x:c r="G206" s="15"/>
    </x:row>
    <x:row r="207" spans="1:7" x14ac:dyDescent="0.3">
      <x:c r="B207" s="12">
        <x:v>7676162900</x:v>
      </x:c>
      <x:c r="C207" s="12">
        <x:v>7676164100</x:v>
      </x:c>
      <x:c r="D207" s="11" t="s">
        <x:v>137</x:v>
      </x:c>
      <x:c r="E207" s="11" t="s">
        <x:v>126</x:v>
      </x:c>
      <x:c r="F207" s="15"/>
      <x:c r="G207" s="15"/>
    </x:row>
    <x:row r="208" spans="1:7" x14ac:dyDescent="0.3">
      <x:c r="B208" s="12">
        <x:v>7676164200</x:v>
      </x:c>
      <x:c r="C208" s="12">
        <x:v>7676164200</x:v>
      </x:c>
      <x:c r="D208" s="11" t="s">
        <x:v>138</x:v>
      </x:c>
      <x:c r="E208" s="11" t="s">
        <x:v>126</x:v>
      </x:c>
      <x:c r="F208" s="15"/>
      <x:c r="G208" s="15"/>
    </x:row>
    <x:row r="209" spans="1:7" x14ac:dyDescent="0.3">
      <x:c r="B209" s="12">
        <x:v>7676164300</x:v>
      </x:c>
      <x:c r="C209" s="12">
        <x:v>7676164500</x:v>
      </x:c>
      <x:c r="D209" s="11" t="s">
        <x:v>137</x:v>
      </x:c>
      <x:c r="E209" s="11" t="s">
        <x:v>126</x:v>
      </x:c>
      <x:c r="F209" s="15"/>
      <x:c r="G209" s="15"/>
    </x:row>
    <x:row r="210" spans="1:7" x14ac:dyDescent="0.3">
      <x:c r="B210" s="12">
        <x:v>7676164600</x:v>
      </x:c>
      <x:c r="C210" s="12">
        <x:v>7676164600</x:v>
      </x:c>
      <x:c r="D210" s="11" t="s">
        <x:v>138</x:v>
      </x:c>
      <x:c r="E210" s="11" t="s">
        <x:v>126</x:v>
      </x:c>
      <x:c r="F210" s="15"/>
      <x:c r="G210" s="15"/>
    </x:row>
    <x:row r="211" spans="1:7" x14ac:dyDescent="0.3">
      <x:c r="B211" s="12">
        <x:v>7676164700</x:v>
      </x:c>
      <x:c r="C211" s="12">
        <x:v>7676180900</x:v>
      </x:c>
      <x:c r="D211" s="11" t="s">
        <x:v>137</x:v>
      </x:c>
      <x:c r="E211" s="11" t="s">
        <x:v>126</x:v>
      </x:c>
      <x:c r="F211" s="15"/>
      <x:c r="G211" s="15"/>
    </x:row>
    <x:row r="212" spans="1:7" x14ac:dyDescent="0.3">
      <x:c r="B212" s="12">
        <x:v>7676181000</x:v>
      </x:c>
      <x:c r="C212" s="12">
        <x:v>7676181100</x:v>
      </x:c>
      <x:c r="D212" s="11" t="s">
        <x:v>138</x:v>
      </x:c>
      <x:c r="E212" s="11" t="s">
        <x:v>126</x:v>
      </x:c>
      <x:c r="F212" s="15"/>
      <x:c r="G212" s="15"/>
    </x:row>
    <x:row r="213" spans="1:7" x14ac:dyDescent="0.3">
      <x:c r="B213" s="12">
        <x:v>7676181200</x:v>
      </x:c>
      <x:c r="C213" s="12">
        <x:v>7676185500</x:v>
      </x:c>
      <x:c r="D213" s="11" t="s">
        <x:v>137</x:v>
      </x:c>
      <x:c r="E213" s="11" t="s">
        <x:v>126</x:v>
      </x:c>
      <x:c r="F213" s="15"/>
      <x:c r="G213" s="15"/>
    </x:row>
    <x:row r="214" spans="1:7" x14ac:dyDescent="0.3">
      <x:c r="B214" s="12">
        <x:v>7676185600</x:v>
      </x:c>
      <x:c r="C214" s="12">
        <x:v>7676185800</x:v>
      </x:c>
      <x:c r="D214" s="11" t="s">
        <x:v>138</x:v>
      </x:c>
      <x:c r="E214" s="11" t="s">
        <x:v>126</x:v>
      </x:c>
      <x:c r="F214" s="15"/>
      <x:c r="G214" s="15"/>
    </x:row>
    <x:row r="215" spans="1:7" x14ac:dyDescent="0.3">
      <x:c r="B215" s="12">
        <x:v>7676185900</x:v>
      </x:c>
      <x:c r="C215" s="12">
        <x:v>7676212000</x:v>
      </x:c>
      <x:c r="D215" s="11" t="s">
        <x:v>137</x:v>
      </x:c>
      <x:c r="E215" s="11" t="s">
        <x:v>126</x:v>
      </x:c>
      <x:c r="F215" s="15"/>
      <x:c r="G215" s="15"/>
    </x:row>
    <x:row r="216" spans="1:7" x14ac:dyDescent="0.3">
      <x:c r="B216" s="12">
        <x:v>7676212100</x:v>
      </x:c>
      <x:c r="C216" s="12">
        <x:v>7676212300</x:v>
      </x:c>
      <x:c r="D216" s="11" t="s">
        <x:v>138</x:v>
      </x:c>
      <x:c r="E216" s="11" t="s">
        <x:v>126</x:v>
      </x:c>
      <x:c r="F216" s="15"/>
      <x:c r="G216" s="15"/>
    </x:row>
    <x:row r="217" spans="1:7" x14ac:dyDescent="0.3">
      <x:c r="B217" s="12">
        <x:v>7676212400</x:v>
      </x:c>
      <x:c r="C217" s="12">
        <x:v>7676227100</x:v>
      </x:c>
      <x:c r="D217" s="11" t="s">
        <x:v>137</x:v>
      </x:c>
      <x:c r="E217" s="11" t="s">
        <x:v>126</x:v>
      </x:c>
      <x:c r="F217" s="15"/>
      <x:c r="G217" s="15"/>
    </x:row>
    <x:row r="218" spans="1:7" x14ac:dyDescent="0.3">
      <x:c r="B218" s="12">
        <x:v>7676227200</x:v>
      </x:c>
      <x:c r="C218" s="12">
        <x:v>7676228500</x:v>
      </x:c>
      <x:c r="D218" s="11" t="s">
        <x:v>138</x:v>
      </x:c>
      <x:c r="E218" s="11" t="s">
        <x:v>126</x:v>
      </x:c>
      <x:c r="F218" s="15"/>
      <x:c r="G218" s="15"/>
    </x:row>
    <x:row r="219" spans="1:7" x14ac:dyDescent="0.3">
      <x:c r="B219" s="12">
        <x:v>7676228600</x:v>
      </x:c>
      <x:c r="C219" s="12">
        <x:v>7676231700</x:v>
      </x:c>
      <x:c r="D219" s="11" t="s">
        <x:v>137</x:v>
      </x:c>
      <x:c r="E219" s="11" t="s">
        <x:v>126</x:v>
      </x:c>
      <x:c r="F219" s="15"/>
      <x:c r="G219" s="15"/>
    </x:row>
    <x:row r="220" spans="1:7" x14ac:dyDescent="0.3">
      <x:c r="B220" s="12">
        <x:v>7676231800</x:v>
      </x:c>
      <x:c r="C220" s="12">
        <x:v>7676231800</x:v>
      </x:c>
      <x:c r="D220" s="11" t="s">
        <x:v>138</x:v>
      </x:c>
      <x:c r="E220" s="11" t="s">
        <x:v>126</x:v>
      </x:c>
      <x:c r="F220" s="15"/>
      <x:c r="G220" s="15"/>
    </x:row>
    <x:row r="221" spans="1:7" x14ac:dyDescent="0.3">
      <x:c r="B221" s="12">
        <x:v>7676231900</x:v>
      </x:c>
      <x:c r="C221" s="12">
        <x:v>7676233400</x:v>
      </x:c>
      <x:c r="D221" s="11" t="s">
        <x:v>137</x:v>
      </x:c>
      <x:c r="E221" s="11" t="s">
        <x:v>126</x:v>
      </x:c>
      <x:c r="F221" s="15"/>
      <x:c r="G221" s="15"/>
    </x:row>
    <x:row r="222" spans="1:7" x14ac:dyDescent="0.3">
      <x:c r="B222" s="12">
        <x:v>7676233500</x:v>
      </x:c>
      <x:c r="C222" s="12">
        <x:v>7676233900</x:v>
      </x:c>
      <x:c r="D222" s="11" t="s">
        <x:v>138</x:v>
      </x:c>
      <x:c r="E222" s="11" t="s">
        <x:v>126</x:v>
      </x:c>
      <x:c r="F222" s="15"/>
      <x:c r="G222" s="15"/>
    </x:row>
    <x:row r="223" spans="1:7" x14ac:dyDescent="0.3">
      <x:c r="B223" s="12">
        <x:v>7676234000</x:v>
      </x:c>
      <x:c r="C223" s="12">
        <x:v>7676251000</x:v>
      </x:c>
      <x:c r="D223" s="11" t="s">
        <x:v>137</x:v>
      </x:c>
      <x:c r="E223" s="11" t="s">
        <x:v>126</x:v>
      </x:c>
      <x:c r="F223" s="15"/>
      <x:c r="G223" s="15"/>
    </x:row>
    <x:row r="224" spans="1:7" x14ac:dyDescent="0.3">
      <x:c r="B224" s="12">
        <x:v>7676251100</x:v>
      </x:c>
      <x:c r="C224" s="12">
        <x:v>7676253600</x:v>
      </x:c>
      <x:c r="D224" s="11" t="s">
        <x:v>138</x:v>
      </x:c>
      <x:c r="E224" s="11" t="s">
        <x:v>126</x:v>
      </x:c>
      <x:c r="F224" s="15"/>
      <x:c r="G224" s="15"/>
    </x:row>
    <x:row r="225" spans="1:7" x14ac:dyDescent="0.3">
      <x:c r="B225" s="12">
        <x:v>7676253700</x:v>
      </x:c>
      <x:c r="C225" s="12">
        <x:v>7676256100</x:v>
      </x:c>
      <x:c r="D225" s="11" t="s">
        <x:v>137</x:v>
      </x:c>
      <x:c r="E225" s="11" t="s">
        <x:v>126</x:v>
      </x:c>
      <x:c r="F225" s="15"/>
      <x:c r="G225" s="15"/>
    </x:row>
    <x:row r="226" spans="1:7" x14ac:dyDescent="0.3">
      <x:c r="B226" s="12">
        <x:v>7676256200</x:v>
      </x:c>
      <x:c r="C226" s="12">
        <x:v>7676256200</x:v>
      </x:c>
      <x:c r="D226" s="11" t="s">
        <x:v>138</x:v>
      </x:c>
      <x:c r="E226" s="11" t="s">
        <x:v>126</x:v>
      </x:c>
      <x:c r="F226" s="15"/>
      <x:c r="G226" s="15"/>
    </x:row>
    <x:row r="227" spans="1:7" x14ac:dyDescent="0.3">
      <x:c r="B227" s="12">
        <x:v>7676256300</x:v>
      </x:c>
      <x:c r="C227" s="12">
        <x:v>7676294200</x:v>
      </x:c>
      <x:c r="D227" s="11" t="s">
        <x:v>137</x:v>
      </x:c>
      <x:c r="E227" s="11" t="s">
        <x:v>126</x:v>
      </x:c>
      <x:c r="F227" s="15"/>
      <x:c r="G227" s="15"/>
    </x:row>
    <x:row r="228" spans="1:7" x14ac:dyDescent="0.3">
      <x:c r="B228" s="12">
        <x:v>7676294300</x:v>
      </x:c>
      <x:c r="C228" s="12">
        <x:v>7676294300</x:v>
      </x:c>
      <x:c r="D228" s="11" t="s">
        <x:v>138</x:v>
      </x:c>
      <x:c r="E228" s="11" t="s">
        <x:v>126</x:v>
      </x:c>
      <x:c r="F228" s="15"/>
      <x:c r="G228" s="15"/>
    </x:row>
    <x:row r="229" spans="1:7" x14ac:dyDescent="0.3">
      <x:c r="B229" s="12">
        <x:v>7676294400</x:v>
      </x:c>
      <x:c r="C229" s="12">
        <x:v>7676299200</x:v>
      </x:c>
      <x:c r="D229" s="11" t="s">
        <x:v>137</x:v>
      </x:c>
      <x:c r="E229" s="11" t="s">
        <x:v>126</x:v>
      </x:c>
      <x:c r="F229" s="15"/>
      <x:c r="G229" s="15"/>
    </x:row>
    <x:row r="230" spans="1:7" x14ac:dyDescent="0.3">
      <x:c r="B230" s="12">
        <x:v>7676299300</x:v>
      </x:c>
      <x:c r="C230" s="12">
        <x:v>7676299300</x:v>
      </x:c>
      <x:c r="D230" s="11" t="s">
        <x:v>138</x:v>
      </x:c>
      <x:c r="E230" s="11" t="s">
        <x:v>126</x:v>
      </x:c>
      <x:c r="F230" s="15"/>
      <x:c r="G230" s="15"/>
    </x:row>
    <x:row r="231" spans="1:7" x14ac:dyDescent="0.3">
      <x:c r="B231" s="12">
        <x:v>7676299400</x:v>
      </x:c>
      <x:c r="C231" s="12">
        <x:v>7676306300</x:v>
      </x:c>
      <x:c r="D231" s="11" t="s">
        <x:v>137</x:v>
      </x:c>
      <x:c r="E231" s="11" t="s">
        <x:v>126</x:v>
      </x:c>
      <x:c r="F231" s="15"/>
      <x:c r="G231" s="15"/>
    </x:row>
    <x:row r="232" spans="1:7" x14ac:dyDescent="0.3">
      <x:c r="B232" s="12">
        <x:v>7676306400</x:v>
      </x:c>
      <x:c r="C232" s="12">
        <x:v>7676306500</x:v>
      </x:c>
      <x:c r="D232" s="11" t="s">
        <x:v>138</x:v>
      </x:c>
      <x:c r="E232" s="11" t="s">
        <x:v>126</x:v>
      </x:c>
      <x:c r="F232" s="15"/>
      <x:c r="G232" s="15"/>
    </x:row>
    <x:row r="233" spans="1:7" x14ac:dyDescent="0.3">
      <x:c r="B233" s="12">
        <x:v>7676306600</x:v>
      </x:c>
      <x:c r="C233" s="12">
        <x:v>7676308700</x:v>
      </x:c>
      <x:c r="D233" s="11" t="s">
        <x:v>137</x:v>
      </x:c>
      <x:c r="E233" s="11" t="s">
        <x:v>126</x:v>
      </x:c>
      <x:c r="F233" s="15"/>
      <x:c r="G233" s="15"/>
    </x:row>
    <x:row r="234" spans="1:7" x14ac:dyDescent="0.3">
      <x:c r="B234" s="12">
        <x:v>7676308800</x:v>
      </x:c>
      <x:c r="C234" s="12">
        <x:v>7676311200</x:v>
      </x:c>
      <x:c r="D234" s="11" t="s">
        <x:v>138</x:v>
      </x:c>
      <x:c r="E234" s="11" t="s">
        <x:v>126</x:v>
      </x:c>
      <x:c r="F234" s="15"/>
      <x:c r="G234" s="15"/>
    </x:row>
    <x:row r="235" spans="1:7" x14ac:dyDescent="0.3">
      <x:c r="B235" s="12">
        <x:v>7676311300</x:v>
      </x:c>
      <x:c r="C235" s="12">
        <x:v>7676321400</x:v>
      </x:c>
      <x:c r="D235" s="11" t="s">
        <x:v>137</x:v>
      </x:c>
      <x:c r="E235" s="11" t="s">
        <x:v>126</x:v>
      </x:c>
      <x:c r="F235" s="15"/>
      <x:c r="G235" s="15"/>
    </x:row>
    <x:row r="236" spans="1:7" x14ac:dyDescent="0.3">
      <x:c r="B236" s="12">
        <x:v>7676321500</x:v>
      </x:c>
      <x:c r="C236" s="12">
        <x:v>7676321600</x:v>
      </x:c>
      <x:c r="D236" s="11" t="s">
        <x:v>138</x:v>
      </x:c>
      <x:c r="E236" s="11" t="s">
        <x:v>126</x:v>
      </x:c>
      <x:c r="F236" s="15"/>
      <x:c r="G236" s="15"/>
    </x:row>
    <x:row r="237" spans="1:7" x14ac:dyDescent="0.3">
      <x:c r="B237" s="12">
        <x:v>7676321700</x:v>
      </x:c>
      <x:c r="C237" s="12">
        <x:v>7676323500</x:v>
      </x:c>
      <x:c r="D237" s="11" t="s">
        <x:v>137</x:v>
      </x:c>
      <x:c r="E237" s="11" t="s">
        <x:v>126</x:v>
      </x:c>
      <x:c r="F237" s="15"/>
      <x:c r="G237" s="15"/>
    </x:row>
    <x:row r="238" spans="1:7" x14ac:dyDescent="0.3">
      <x:c r="B238" s="12">
        <x:v>7676323600</x:v>
      </x:c>
      <x:c r="C238" s="12">
        <x:v>7676325300</x:v>
      </x:c>
      <x:c r="D238" s="11" t="s">
        <x:v>138</x:v>
      </x:c>
      <x:c r="E238" s="11" t="s">
        <x:v>126</x:v>
      </x:c>
      <x:c r="F238" s="15"/>
      <x:c r="G238" s="15"/>
    </x:row>
    <x:row r="239" spans="1:7" x14ac:dyDescent="0.3">
      <x:c r="B239" s="12">
        <x:v>7676325400</x:v>
      </x:c>
      <x:c r="C239" s="12">
        <x:v>7676336900</x:v>
      </x:c>
      <x:c r="D239" s="11" t="s">
        <x:v>137</x:v>
      </x:c>
      <x:c r="E239" s="11" t="s">
        <x:v>126</x:v>
      </x:c>
      <x:c r="F239" s="15"/>
      <x:c r="G239" s="15"/>
    </x:row>
    <x:row r="240" spans="1:7" x14ac:dyDescent="0.3">
      <x:c r="B240" s="12">
        <x:v>7676337000</x:v>
      </x:c>
      <x:c r="C240" s="12">
        <x:v>7676338300</x:v>
      </x:c>
      <x:c r="D240" s="11" t="s">
        <x:v>138</x:v>
      </x:c>
      <x:c r="E240" s="11" t="s">
        <x:v>126</x:v>
      </x:c>
      <x:c r="F240" s="15"/>
      <x:c r="G240" s="15"/>
    </x:row>
    <x:row r="241" spans="1:7" x14ac:dyDescent="0.3">
      <x:c r="B241" s="12">
        <x:v>7676338400</x:v>
      </x:c>
      <x:c r="C241" s="12">
        <x:v>7676339400</x:v>
      </x:c>
      <x:c r="D241" s="11" t="s">
        <x:v>137</x:v>
      </x:c>
      <x:c r="E241" s="11" t="s">
        <x:v>126</x:v>
      </x:c>
      <x:c r="F241" s="15"/>
      <x:c r="G241" s="15"/>
    </x:row>
    <x:row r="242" spans="1:7" x14ac:dyDescent="0.3">
      <x:c r="B242" s="12">
        <x:v>7676339500</x:v>
      </x:c>
      <x:c r="C242" s="12">
        <x:v>7676339600</x:v>
      </x:c>
      <x:c r="D242" s="11" t="s">
        <x:v>138</x:v>
      </x:c>
      <x:c r="E242" s="11" t="s">
        <x:v>126</x:v>
      </x:c>
      <x:c r="F242" s="15"/>
      <x:c r="G242" s="15"/>
    </x:row>
    <x:row r="243" spans="1:7" x14ac:dyDescent="0.3">
      <x:c r="B243" s="12">
        <x:v>7676339700</x:v>
      </x:c>
      <x:c r="C243" s="12">
        <x:v>7676348500</x:v>
      </x:c>
      <x:c r="D243" s="11" t="s">
        <x:v>137</x:v>
      </x:c>
      <x:c r="E243" s="11" t="s">
        <x:v>126</x:v>
      </x:c>
      <x:c r="F243" s="15"/>
      <x:c r="G243" s="15"/>
    </x:row>
    <x:row r="244" spans="1:7" x14ac:dyDescent="0.3">
      <x:c r="B244" s="12">
        <x:v>7676348600</x:v>
      </x:c>
      <x:c r="C244" s="12">
        <x:v>7676348600</x:v>
      </x:c>
      <x:c r="D244" s="11" t="s">
        <x:v>138</x:v>
      </x:c>
      <x:c r="E244" s="11" t="s">
        <x:v>126</x:v>
      </x:c>
      <x:c r="F244" s="15"/>
      <x:c r="G244" s="15"/>
    </x:row>
    <x:row r="245" spans="1:7" x14ac:dyDescent="0.3">
      <x:c r="B245" s="12">
        <x:v>7676348700</x:v>
      </x:c>
      <x:c r="C245" s="12">
        <x:v>7676349000</x:v>
      </x:c>
      <x:c r="D245" s="11" t="s">
        <x:v>137</x:v>
      </x:c>
      <x:c r="E245" s="11" t="s">
        <x:v>126</x:v>
      </x:c>
      <x:c r="F245" s="15"/>
      <x:c r="G245" s="15"/>
    </x:row>
    <x:row r="246" spans="1:7" x14ac:dyDescent="0.3">
      <x:c r="B246" s="12">
        <x:v>7676349100</x:v>
      </x:c>
      <x:c r="C246" s="12">
        <x:v>7676350100</x:v>
      </x:c>
      <x:c r="D246" s="11" t="s">
        <x:v>138</x:v>
      </x:c>
      <x:c r="E246" s="11" t="s">
        <x:v>126</x:v>
      </x:c>
      <x:c r="F246" s="15"/>
      <x:c r="G246" s="15"/>
    </x:row>
    <x:row r="247" spans="1:7" x14ac:dyDescent="0.3">
      <x:c r="B247" s="12">
        <x:v>7676350200</x:v>
      </x:c>
      <x:c r="C247" s="12">
        <x:v>7676371800</x:v>
      </x:c>
      <x:c r="D247" s="11" t="s">
        <x:v>137</x:v>
      </x:c>
      <x:c r="E247" s="11" t="s">
        <x:v>126</x:v>
      </x:c>
      <x:c r="F247" s="15"/>
      <x:c r="G247" s="15"/>
    </x:row>
    <x:row r="248" spans="1:7" x14ac:dyDescent="0.3">
      <x:c r="B248" s="12">
        <x:v>7676371900</x:v>
      </x:c>
      <x:c r="C248" s="12">
        <x:v>7676371900</x:v>
      </x:c>
      <x:c r="D248" s="11" t="s">
        <x:v>138</x:v>
      </x:c>
      <x:c r="E248" s="11" t="s">
        <x:v>126</x:v>
      </x:c>
      <x:c r="F248" s="15"/>
      <x:c r="G248" s="15"/>
    </x:row>
    <x:row r="249" spans="1:7" x14ac:dyDescent="0.3">
      <x:c r="B249" s="12">
        <x:v>7676372000</x:v>
      </x:c>
      <x:c r="C249" s="12">
        <x:v>7676375500</x:v>
      </x:c>
      <x:c r="D249" s="11" t="s">
        <x:v>137</x:v>
      </x:c>
      <x:c r="E249" s="11" t="s">
        <x:v>126</x:v>
      </x:c>
      <x:c r="F249" s="15"/>
      <x:c r="G249" s="15"/>
    </x:row>
    <x:row r="250" spans="1:7" x14ac:dyDescent="0.3">
      <x:c r="B250" s="12">
        <x:v>7676375600</x:v>
      </x:c>
      <x:c r="C250" s="12">
        <x:v>7676376400</x:v>
      </x:c>
      <x:c r="D250" s="11" t="s">
        <x:v>138</x:v>
      </x:c>
      <x:c r="E250" s="11" t="s">
        <x:v>126</x:v>
      </x:c>
      <x:c r="F250" s="15"/>
      <x:c r="G250" s="15"/>
    </x:row>
    <x:row r="251" spans="1:7" x14ac:dyDescent="0.3">
      <x:c r="B251" s="12">
        <x:v>7676376500</x:v>
      </x:c>
      <x:c r="C251" s="12">
        <x:v>7676379700</x:v>
      </x:c>
      <x:c r="D251" s="11" t="s">
        <x:v>137</x:v>
      </x:c>
      <x:c r="E251" s="11" t="s">
        <x:v>126</x:v>
      </x:c>
      <x:c r="F251" s="15"/>
      <x:c r="G251" s="15"/>
    </x:row>
    <x:row r="252" spans="1:7" x14ac:dyDescent="0.3">
      <x:c r="B252" s="12">
        <x:v>7676379800</x:v>
      </x:c>
      <x:c r="C252" s="12">
        <x:v>7676380100</x:v>
      </x:c>
      <x:c r="D252" s="11" t="s">
        <x:v>138</x:v>
      </x:c>
      <x:c r="E252" s="11" t="s">
        <x:v>126</x:v>
      </x:c>
      <x:c r="F252" s="15"/>
      <x:c r="G252" s="15"/>
    </x:row>
    <x:row r="253" spans="1:7" x14ac:dyDescent="0.3">
      <x:c r="B253" s="12">
        <x:v>7676380200</x:v>
      </x:c>
      <x:c r="C253" s="12">
        <x:v>7676399200</x:v>
      </x:c>
      <x:c r="D253" s="11" t="s">
        <x:v>137</x:v>
      </x:c>
      <x:c r="E253" s="11" t="s">
        <x:v>126</x:v>
      </x:c>
      <x:c r="F253" s="15"/>
      <x:c r="G253" s="15"/>
    </x:row>
    <x:row r="254" spans="1:7" x14ac:dyDescent="0.3">
      <x:c r="B254" s="12">
        <x:v>7676399300</x:v>
      </x:c>
      <x:c r="C254" s="12">
        <x:v>7676399600</x:v>
      </x:c>
      <x:c r="D254" s="11" t="s">
        <x:v>138</x:v>
      </x:c>
      <x:c r="E254" s="11" t="s">
        <x:v>126</x:v>
      </x:c>
      <x:c r="F254" s="15"/>
      <x:c r="G254" s="15"/>
    </x:row>
    <x:row r="255" spans="1:7" x14ac:dyDescent="0.3">
      <x:c r="B255" s="12">
        <x:v>7676399700</x:v>
      </x:c>
      <x:c r="C255" s="12">
        <x:v>7676399800</x:v>
      </x:c>
      <x:c r="D255" s="11" t="s">
        <x:v>137</x:v>
      </x:c>
      <x:c r="E255" s="11" t="s">
        <x:v>126</x:v>
      </x:c>
      <x:c r="F255" s="15"/>
      <x:c r="G255" s="15"/>
    </x:row>
    <x:row r="256" spans="1:7" x14ac:dyDescent="0.3">
      <x:c r="B256" s="12">
        <x:v>7676399900</x:v>
      </x:c>
      <x:c r="C256" s="12">
        <x:v>7676401500</x:v>
      </x:c>
      <x:c r="D256" s="11" t="s">
        <x:v>138</x:v>
      </x:c>
      <x:c r="E256" s="11" t="s">
        <x:v>126</x:v>
      </x:c>
      <x:c r="F256" s="15"/>
      <x:c r="G256" s="15"/>
    </x:row>
    <x:row r="257" spans="1:7" x14ac:dyDescent="0.3">
      <x:c r="B257" s="12">
        <x:v>7676401600</x:v>
      </x:c>
      <x:c r="C257" s="12">
        <x:v>7676402600</x:v>
      </x:c>
      <x:c r="D257" s="11" t="s">
        <x:v>137</x:v>
      </x:c>
      <x:c r="E257" s="11" t="s">
        <x:v>126</x:v>
      </x:c>
      <x:c r="F257" s="15"/>
      <x:c r="G257" s="15"/>
    </x:row>
    <x:row r="258" spans="1:7" x14ac:dyDescent="0.3">
      <x:c r="B258" s="12">
        <x:v>7676402700</x:v>
      </x:c>
      <x:c r="C258" s="12">
        <x:v>7676402900</x:v>
      </x:c>
      <x:c r="D258" s="11" t="s">
        <x:v>138</x:v>
      </x:c>
      <x:c r="E258" s="11" t="s">
        <x:v>126</x:v>
      </x:c>
      <x:c r="F258" s="15"/>
      <x:c r="G258" s="15"/>
    </x:row>
    <x:row r="259" spans="1:7" x14ac:dyDescent="0.3">
      <x:c r="B259" s="12">
        <x:v>7676403000</x:v>
      </x:c>
      <x:c r="C259" s="12">
        <x:v>7676404000</x:v>
      </x:c>
      <x:c r="D259" s="11" t="s">
        <x:v>137</x:v>
      </x:c>
      <x:c r="E259" s="11" t="s">
        <x:v>126</x:v>
      </x:c>
      <x:c r="F259" s="15"/>
      <x:c r="G259" s="15"/>
    </x:row>
    <x:row r="260" spans="1:7" x14ac:dyDescent="0.3">
      <x:c r="B260" s="12">
        <x:v>7676404100</x:v>
      </x:c>
      <x:c r="C260" s="12">
        <x:v>7676404300</x:v>
      </x:c>
      <x:c r="D260" s="11" t="s">
        <x:v>138</x:v>
      </x:c>
      <x:c r="E260" s="11" t="s">
        <x:v>126</x:v>
      </x:c>
      <x:c r="F260" s="15"/>
      <x:c r="G260" s="15"/>
    </x:row>
    <x:row r="261" spans="1:7" x14ac:dyDescent="0.3">
      <x:c r="B261" s="12">
        <x:v>7676404400</x:v>
      </x:c>
      <x:c r="C261" s="12">
        <x:v>7676405300</x:v>
      </x:c>
      <x:c r="D261" s="11" t="s">
        <x:v>137</x:v>
      </x:c>
      <x:c r="E261" s="11" t="s">
        <x:v>126</x:v>
      </x:c>
      <x:c r="F261" s="15"/>
      <x:c r="G261" s="15"/>
    </x:row>
    <x:row r="262" spans="1:7" x14ac:dyDescent="0.3">
      <x:c r="B262" s="12">
        <x:v>7676405400</x:v>
      </x:c>
      <x:c r="C262" s="12">
        <x:v>7676406400</x:v>
      </x:c>
      <x:c r="D262" s="11" t="s">
        <x:v>138</x:v>
      </x:c>
      <x:c r="E262" s="11" t="s">
        <x:v>126</x:v>
      </x:c>
      <x:c r="F262" s="15"/>
      <x:c r="G262" s="15"/>
    </x:row>
    <x:row r="263" spans="1:7" x14ac:dyDescent="0.3">
      <x:c r="B263" s="12">
        <x:v>7676406500</x:v>
      </x:c>
      <x:c r="C263" s="12">
        <x:v>7676407600</x:v>
      </x:c>
      <x:c r="D263" s="11" t="s">
        <x:v>137</x:v>
      </x:c>
      <x:c r="E263" s="11" t="s">
        <x:v>126</x:v>
      </x:c>
      <x:c r="F263" s="15"/>
      <x:c r="G263" s="15"/>
    </x:row>
    <x:row r="264" spans="1:7" x14ac:dyDescent="0.3">
      <x:c r="B264" s="12">
        <x:v>7676407700</x:v>
      </x:c>
      <x:c r="C264" s="12">
        <x:v>7676409100</x:v>
      </x:c>
      <x:c r="D264" s="11" t="s">
        <x:v>138</x:v>
      </x:c>
      <x:c r="E264" s="11" t="s">
        <x:v>126</x:v>
      </x:c>
      <x:c r="F264" s="15"/>
      <x:c r="G264" s="15"/>
    </x:row>
    <x:row r="265" spans="1:7" x14ac:dyDescent="0.3">
      <x:c r="B265" s="12">
        <x:v>7676409200</x:v>
      </x:c>
      <x:c r="C265" s="12">
        <x:v>7676412000</x:v>
      </x:c>
      <x:c r="D265" s="11" t="s">
        <x:v>137</x:v>
      </x:c>
      <x:c r="E265" s="11" t="s">
        <x:v>126</x:v>
      </x:c>
      <x:c r="F265" s="15"/>
      <x:c r="G265" s="15"/>
    </x:row>
    <x:row r="266" spans="1:7" x14ac:dyDescent="0.3">
      <x:c r="B266" s="12">
        <x:v>7676412100</x:v>
      </x:c>
      <x:c r="C266" s="12">
        <x:v>7676412100</x:v>
      </x:c>
      <x:c r="D266" s="11" t="s">
        <x:v>138</x:v>
      </x:c>
      <x:c r="E266" s="11" t="s">
        <x:v>126</x:v>
      </x:c>
      <x:c r="F266" s="15"/>
      <x:c r="G266" s="15"/>
    </x:row>
    <x:row r="267" spans="1:7" x14ac:dyDescent="0.3">
      <x:c r="B267" s="12">
        <x:v>7676412200</x:v>
      </x:c>
      <x:c r="C267" s="12">
        <x:v>7676432200</x:v>
      </x:c>
      <x:c r="D267" s="11" t="s">
        <x:v>137</x:v>
      </x:c>
      <x:c r="E267" s="11" t="s">
        <x:v>126</x:v>
      </x:c>
      <x:c r="F267" s="15"/>
      <x:c r="G267" s="15"/>
    </x:row>
    <x:row r="268" spans="1:7" x14ac:dyDescent="0.3">
      <x:c r="B268" s="12">
        <x:v>7676432300</x:v>
      </x:c>
      <x:c r="C268" s="12">
        <x:v>7676433900</x:v>
      </x:c>
      <x:c r="D268" s="11" t="s">
        <x:v>138</x:v>
      </x:c>
      <x:c r="E268" s="11" t="s">
        <x:v>126</x:v>
      </x:c>
      <x:c r="F268" s="15"/>
      <x:c r="G268" s="15"/>
    </x:row>
    <x:row r="269" spans="1:7" x14ac:dyDescent="0.3">
      <x:c r="B269" s="12">
        <x:v>7676434000</x:v>
      </x:c>
      <x:c r="C269" s="12">
        <x:v>7676435000</x:v>
      </x:c>
      <x:c r="D269" s="11" t="s">
        <x:v>137</x:v>
      </x:c>
      <x:c r="E269" s="11" t="s">
        <x:v>126</x:v>
      </x:c>
      <x:c r="F269" s="15"/>
      <x:c r="G269" s="15"/>
    </x:row>
    <x:row r="270" spans="1:7" x14ac:dyDescent="0.3">
      <x:c r="B270" s="12">
        <x:v>7676435100</x:v>
      </x:c>
      <x:c r="C270" s="12">
        <x:v>7676435800</x:v>
      </x:c>
      <x:c r="D270" s="11" t="s">
        <x:v>138</x:v>
      </x:c>
      <x:c r="E270" s="11" t="s">
        <x:v>126</x:v>
      </x:c>
      <x:c r="F270" s="15"/>
      <x:c r="G270" s="15"/>
    </x:row>
    <x:row r="271" spans="1:7" x14ac:dyDescent="0.3">
      <x:c r="B271" s="12">
        <x:v>7676435900</x:v>
      </x:c>
      <x:c r="C271" s="12">
        <x:v>7676442000</x:v>
      </x:c>
      <x:c r="D271" s="11" t="s">
        <x:v>137</x:v>
      </x:c>
      <x:c r="E271" s="11" t="s">
        <x:v>126</x:v>
      </x:c>
      <x:c r="F271" s="15"/>
      <x:c r="G271" s="15"/>
    </x:row>
    <x:row r="272" spans="1:7" x14ac:dyDescent="0.3">
      <x:c r="B272" s="12">
        <x:v>7676442100</x:v>
      </x:c>
      <x:c r="C272" s="12">
        <x:v>7676442100</x:v>
      </x:c>
      <x:c r="D272" s="11" t="s">
        <x:v>138</x:v>
      </x:c>
      <x:c r="E272" s="11" t="s">
        <x:v>126</x:v>
      </x:c>
      <x:c r="F272" s="15"/>
      <x:c r="G272" s="15"/>
    </x:row>
    <x:row r="273" spans="1:7" x14ac:dyDescent="0.3">
      <x:c r="B273" s="12">
        <x:v>7676442200</x:v>
      </x:c>
      <x:c r="C273" s="12">
        <x:v>7676453300</x:v>
      </x:c>
      <x:c r="D273" s="11" t="s">
        <x:v>137</x:v>
      </x:c>
      <x:c r="E273" s="11" t="s">
        <x:v>126</x:v>
      </x:c>
      <x:c r="F273" s="15"/>
      <x:c r="G273" s="15"/>
    </x:row>
    <x:row r="274" spans="1:7" x14ac:dyDescent="0.3">
      <x:c r="B274" s="12">
        <x:v>7676453400</x:v>
      </x:c>
      <x:c r="C274" s="12">
        <x:v>7676453400</x:v>
      </x:c>
      <x:c r="D274" s="11" t="s">
        <x:v>138</x:v>
      </x:c>
      <x:c r="E274" s="11" t="s">
        <x:v>126</x:v>
      </x:c>
      <x:c r="F274" s="15"/>
      <x:c r="G274" s="15"/>
    </x:row>
    <x:row r="275" spans="1:7" x14ac:dyDescent="0.3">
      <x:c r="B275" s="12">
        <x:v>7676453500</x:v>
      </x:c>
      <x:c r="C275" s="12">
        <x:v>7676474300</x:v>
      </x:c>
      <x:c r="D275" s="11" t="s">
        <x:v>137</x:v>
      </x:c>
      <x:c r="E275" s="11" t="s">
        <x:v>126</x:v>
      </x:c>
      <x:c r="F275" s="15"/>
      <x:c r="G275" s="15"/>
    </x:row>
    <x:row r="276" spans="1:7" x14ac:dyDescent="0.3">
      <x:c r="B276" s="12">
        <x:v>7676474400</x:v>
      </x:c>
      <x:c r="C276" s="12">
        <x:v>7676475100</x:v>
      </x:c>
      <x:c r="D276" s="11" t="s">
        <x:v>138</x:v>
      </x:c>
      <x:c r="E276" s="11" t="s">
        <x:v>126</x:v>
      </x:c>
      <x:c r="F276" s="15"/>
      <x:c r="G276" s="15"/>
    </x:row>
    <x:row r="277" spans="1:7" x14ac:dyDescent="0.3">
      <x:c r="B277" s="12">
        <x:v>7676475200</x:v>
      </x:c>
      <x:c r="C277" s="12">
        <x:v>7676479500</x:v>
      </x:c>
      <x:c r="D277" s="11" t="s">
        <x:v>137</x:v>
      </x:c>
      <x:c r="E277" s="11" t="s">
        <x:v>126</x:v>
      </x:c>
      <x:c r="F277" s="15"/>
      <x:c r="G277" s="15"/>
    </x:row>
    <x:row r="278" spans="1:7" x14ac:dyDescent="0.3">
      <x:c r="B278" s="12">
        <x:v>7676479600</x:v>
      </x:c>
      <x:c r="C278" s="12">
        <x:v>7676480400</x:v>
      </x:c>
      <x:c r="D278" s="11" t="s">
        <x:v>138</x:v>
      </x:c>
      <x:c r="E278" s="11" t="s">
        <x:v>126</x:v>
      </x:c>
      <x:c r="F278" s="15"/>
      <x:c r="G278" s="15"/>
    </x:row>
    <x:row r="279" spans="1:7" x14ac:dyDescent="0.3">
      <x:c r="B279" s="12">
        <x:v>7676480500</x:v>
      </x:c>
      <x:c r="C279" s="12">
        <x:v>7676482000</x:v>
      </x:c>
      <x:c r="D279" s="11" t="s">
        <x:v>137</x:v>
      </x:c>
      <x:c r="E279" s="11" t="s">
        <x:v>126</x:v>
      </x:c>
      <x:c r="F279" s="15"/>
      <x:c r="G279" s="15"/>
    </x:row>
    <x:row r="280" spans="1:7" x14ac:dyDescent="0.3">
      <x:c r="B280" s="12">
        <x:v>7676482100</x:v>
      </x:c>
      <x:c r="C280" s="12">
        <x:v>7676482500</x:v>
      </x:c>
      <x:c r="D280" s="11" t="s">
        <x:v>138</x:v>
      </x:c>
      <x:c r="E280" s="11" t="s">
        <x:v>126</x:v>
      </x:c>
      <x:c r="F280" s="15"/>
      <x:c r="G280" s="15"/>
    </x:row>
    <x:row r="281" spans="1:7" x14ac:dyDescent="0.3">
      <x:c r="B281" s="12">
        <x:v>7676482600</x:v>
      </x:c>
      <x:c r="C281" s="12">
        <x:v>7676486300</x:v>
      </x:c>
      <x:c r="D281" s="11" t="s">
        <x:v>137</x:v>
      </x:c>
      <x:c r="E281" s="11" t="s">
        <x:v>126</x:v>
      </x:c>
      <x:c r="F281" s="15"/>
      <x:c r="G281" s="15"/>
    </x:row>
    <x:row r="282" spans="1:7" x14ac:dyDescent="0.3">
      <x:c r="B282" s="12">
        <x:v>7676486400</x:v>
      </x:c>
      <x:c r="C282" s="12">
        <x:v>7676487000</x:v>
      </x:c>
      <x:c r="D282" s="11" t="s">
        <x:v>138</x:v>
      </x:c>
      <x:c r="E282" s="11" t="s">
        <x:v>126</x:v>
      </x:c>
      <x:c r="F282" s="15"/>
      <x:c r="G282" s="15"/>
    </x:row>
    <x:row r="283" spans="1:7" x14ac:dyDescent="0.3">
      <x:c r="B283" s="12">
        <x:v>7676487100</x:v>
      </x:c>
      <x:c r="C283" s="12">
        <x:v>7676493500</x:v>
      </x:c>
      <x:c r="D283" s="11" t="s">
        <x:v>137</x:v>
      </x:c>
      <x:c r="E283" s="11" t="s">
        <x:v>126</x:v>
      </x:c>
      <x:c r="F283" s="15"/>
      <x:c r="G283" s="15"/>
    </x:row>
    <x:row r="284" spans="1:7" x14ac:dyDescent="0.3">
      <x:c r="B284" s="12">
        <x:v>7676493600</x:v>
      </x:c>
      <x:c r="C284" s="12">
        <x:v>7676493600</x:v>
      </x:c>
      <x:c r="D284" s="11" t="s">
        <x:v>138</x:v>
      </x:c>
      <x:c r="E284" s="11" t="s">
        <x:v>126</x:v>
      </x:c>
      <x:c r="F284" s="15"/>
      <x:c r="G284" s="15"/>
    </x:row>
    <x:row r="285" spans="1:7" x14ac:dyDescent="0.3">
      <x:c r="B285" s="12">
        <x:v>7676493700</x:v>
      </x:c>
      <x:c r="C285" s="12">
        <x:v>7676497400</x:v>
      </x:c>
      <x:c r="D285" s="11" t="s">
        <x:v>137</x:v>
      </x:c>
      <x:c r="E285" s="11" t="s">
        <x:v>126</x:v>
      </x:c>
      <x:c r="F285" s="15"/>
      <x:c r="G285" s="15"/>
    </x:row>
    <x:row r="286" spans="1:7" x14ac:dyDescent="0.3">
      <x:c r="B286" s="12">
        <x:v>7676497500</x:v>
      </x:c>
      <x:c r="C286" s="12">
        <x:v>7676513400</x:v>
      </x:c>
      <x:c r="D286" s="11" t="s">
        <x:v>138</x:v>
      </x:c>
      <x:c r="E286" s="11" t="s">
        <x:v>126</x:v>
      </x:c>
      <x:c r="F286" s="15"/>
      <x:c r="G286" s="15"/>
    </x:row>
    <x:row r="287" spans="1:7" x14ac:dyDescent="0.3">
      <x:c r="B287" s="12">
        <x:v>7676513500</x:v>
      </x:c>
      <x:c r="C287" s="12">
        <x:v>7676520900</x:v>
      </x:c>
      <x:c r="D287" s="11" t="s">
        <x:v>137</x:v>
      </x:c>
      <x:c r="E287" s="11" t="s">
        <x:v>126</x:v>
      </x:c>
      <x:c r="F287" s="15"/>
      <x:c r="G287" s="15"/>
    </x:row>
    <x:row r="288" spans="1:7" x14ac:dyDescent="0.3">
      <x:c r="B288" s="12">
        <x:v>7676521000</x:v>
      </x:c>
      <x:c r="C288" s="12">
        <x:v>7676521200</x:v>
      </x:c>
      <x:c r="D288" s="11" t="s">
        <x:v>138</x:v>
      </x:c>
      <x:c r="E288" s="11" t="s">
        <x:v>126</x:v>
      </x:c>
      <x:c r="F288" s="15"/>
      <x:c r="G288" s="15"/>
    </x:row>
    <x:row r="289" spans="1:7" x14ac:dyDescent="0.3">
      <x:c r="B289" s="12">
        <x:v>7676521300</x:v>
      </x:c>
      <x:c r="C289" s="12">
        <x:v>7676521600</x:v>
      </x:c>
      <x:c r="D289" s="11" t="s">
        <x:v>137</x:v>
      </x:c>
      <x:c r="E289" s="11" t="s">
        <x:v>126</x:v>
      </x:c>
      <x:c r="F289" s="15"/>
      <x:c r="G289" s="15"/>
    </x:row>
    <x:row r="290" spans="1:7" x14ac:dyDescent="0.3">
      <x:c r="B290" s="12">
        <x:v>7676521700</x:v>
      </x:c>
      <x:c r="C290" s="12">
        <x:v>7676521900</x:v>
      </x:c>
      <x:c r="D290" s="11" t="s">
        <x:v>138</x:v>
      </x:c>
      <x:c r="E290" s="11" t="s">
        <x:v>126</x:v>
      </x:c>
      <x:c r="F290" s="15"/>
      <x:c r="G290" s="15"/>
    </x:row>
    <x:row r="291" spans="1:7" x14ac:dyDescent="0.3">
      <x:c r="B291" s="12">
        <x:v>7676522000</x:v>
      </x:c>
      <x:c r="C291" s="12">
        <x:v>7676531200</x:v>
      </x:c>
      <x:c r="D291" s="11" t="s">
        <x:v>137</x:v>
      </x:c>
      <x:c r="E291" s="11" t="s">
        <x:v>126</x:v>
      </x:c>
      <x:c r="F291" s="15"/>
      <x:c r="G291" s="15"/>
    </x:row>
    <x:row r="292" spans="1:7" x14ac:dyDescent="0.3">
      <x:c r="B292" s="12">
        <x:v>7676531300</x:v>
      </x:c>
      <x:c r="C292" s="12">
        <x:v>7676531300</x:v>
      </x:c>
      <x:c r="D292" s="11" t="s">
        <x:v>138</x:v>
      </x:c>
      <x:c r="E292" s="11" t="s">
        <x:v>126</x:v>
      </x:c>
      <x:c r="F292" s="15"/>
      <x:c r="G292" s="15"/>
    </x:row>
    <x:row r="293" spans="1:7" x14ac:dyDescent="0.3">
      <x:c r="B293" s="12">
        <x:v>7676531400</x:v>
      </x:c>
      <x:c r="C293" s="12">
        <x:v>7676536800</x:v>
      </x:c>
      <x:c r="D293" s="11" t="s">
        <x:v>137</x:v>
      </x:c>
      <x:c r="E293" s="11" t="s">
        <x:v>126</x:v>
      </x:c>
      <x:c r="F293" s="15"/>
      <x:c r="G293" s="15"/>
    </x:row>
    <x:row r="294" spans="1:7" x14ac:dyDescent="0.3">
      <x:c r="B294" s="12">
        <x:v>7676536900</x:v>
      </x:c>
      <x:c r="C294" s="12">
        <x:v>7676536900</x:v>
      </x:c>
      <x:c r="D294" s="11" t="s">
        <x:v>138</x:v>
      </x:c>
      <x:c r="E294" s="11" t="s">
        <x:v>126</x:v>
      </x:c>
      <x:c r="F294" s="15"/>
      <x:c r="G294" s="15"/>
    </x:row>
    <x:row r="295" spans="1:7" x14ac:dyDescent="0.3">
      <x:c r="B295" s="12">
        <x:v>7676537000</x:v>
      </x:c>
      <x:c r="C295" s="12">
        <x:v>7676551800</x:v>
      </x:c>
      <x:c r="D295" s="11" t="s">
        <x:v>137</x:v>
      </x:c>
      <x:c r="E295" s="11" t="s">
        <x:v>126</x:v>
      </x:c>
      <x:c r="F295" s="15"/>
      <x:c r="G295" s="15"/>
    </x:row>
    <x:row r="296" spans="1:7" x14ac:dyDescent="0.3">
      <x:c r="B296" s="12">
        <x:v>7676551900</x:v>
      </x:c>
      <x:c r="C296" s="12">
        <x:v>7676552500</x:v>
      </x:c>
      <x:c r="D296" s="11" t="s">
        <x:v>138</x:v>
      </x:c>
      <x:c r="E296" s="11" t="s">
        <x:v>126</x:v>
      </x:c>
      <x:c r="F296" s="15"/>
      <x:c r="G296" s="15"/>
    </x:row>
    <x:row r="297" spans="1:7" x14ac:dyDescent="0.3">
      <x:c r="B297" s="12">
        <x:v>7676552600</x:v>
      </x:c>
      <x:c r="C297" s="12">
        <x:v>7676553500</x:v>
      </x:c>
      <x:c r="D297" s="11" t="s">
        <x:v>137</x:v>
      </x:c>
      <x:c r="E297" s="11" t="s">
        <x:v>126</x:v>
      </x:c>
      <x:c r="F297" s="15"/>
      <x:c r="G297" s="15"/>
    </x:row>
    <x:row r="298" spans="1:7" x14ac:dyDescent="0.3">
      <x:c r="B298" s="12">
        <x:v>7676553600</x:v>
      </x:c>
      <x:c r="C298" s="12">
        <x:v>7676553600</x:v>
      </x:c>
      <x:c r="D298" s="11" t="s">
        <x:v>138</x:v>
      </x:c>
      <x:c r="E298" s="11" t="s">
        <x:v>126</x:v>
      </x:c>
      <x:c r="F298" s="15"/>
      <x:c r="G298" s="15"/>
    </x:row>
    <x:row r="299" spans="1:7" x14ac:dyDescent="0.3">
      <x:c r="B299" s="12">
        <x:v>7676553700</x:v>
      </x:c>
      <x:c r="C299" s="12">
        <x:v>7676556900</x:v>
      </x:c>
      <x:c r="D299" s="11" t="s">
        <x:v>137</x:v>
      </x:c>
      <x:c r="E299" s="11" t="s">
        <x:v>126</x:v>
      </x:c>
      <x:c r="F299" s="15"/>
      <x:c r="G299" s="15"/>
    </x:row>
    <x:row r="300" spans="1:7" x14ac:dyDescent="0.3">
      <x:c r="B300" s="12">
        <x:v>7676557000</x:v>
      </x:c>
      <x:c r="C300" s="12">
        <x:v>7676558500</x:v>
      </x:c>
      <x:c r="D300" s="11" t="s">
        <x:v>137</x:v>
      </x:c>
      <x:c r="E300" s="11" t="s">
        <x:v>126</x:v>
      </x:c>
      <x:c r="F300" s="15"/>
      <x:c r="G300" s="15"/>
    </x:row>
    <x:row r="301" spans="1:7" x14ac:dyDescent="0.3">
      <x:c r="B301" s="12">
        <x:v>7676558600</x:v>
      </x:c>
      <x:c r="C301" s="12">
        <x:v>7676574300</x:v>
      </x:c>
      <x:c r="D301" s="11" t="s">
        <x:v>137</x:v>
      </x:c>
      <x:c r="E301" s="11" t="s">
        <x:v>126</x:v>
      </x:c>
      <x:c r="F301" s="15"/>
      <x:c r="G301" s="15"/>
    </x:row>
    <x:row r="302" spans="1:7" x14ac:dyDescent="0.3">
      <x:c r="B302" s="12">
        <x:v>7676574400</x:v>
      </x:c>
      <x:c r="C302" s="12">
        <x:v>7676574500</x:v>
      </x:c>
      <x:c r="D302" s="11" t="s">
        <x:v>138</x:v>
      </x:c>
      <x:c r="E302" s="11" t="s">
        <x:v>126</x:v>
      </x:c>
      <x:c r="F302" s="15"/>
      <x:c r="G302" s="15"/>
    </x:row>
    <x:row r="303" spans="1:7" x14ac:dyDescent="0.3">
      <x:c r="B303" s="12">
        <x:v>7676574600</x:v>
      </x:c>
      <x:c r="C303" s="12">
        <x:v>7676574600</x:v>
      </x:c>
      <x:c r="D303" s="11" t="s">
        <x:v>137</x:v>
      </x:c>
      <x:c r="E303" s="11" t="s">
        <x:v>126</x:v>
      </x:c>
      <x:c r="F303" s="15"/>
      <x:c r="G303" s="15"/>
    </x:row>
    <x:row r="304" spans="1:7" x14ac:dyDescent="0.3">
      <x:c r="B304" s="12">
        <x:v>7676574700</x:v>
      </x:c>
      <x:c r="C304" s="12">
        <x:v>7676574700</x:v>
      </x:c>
      <x:c r="D304" s="11" t="s">
        <x:v>138</x:v>
      </x:c>
      <x:c r="E304" s="11" t="s">
        <x:v>126</x:v>
      </x:c>
      <x:c r="F304" s="15"/>
      <x:c r="G304" s="15"/>
    </x:row>
    <x:row r="305" spans="1:7" x14ac:dyDescent="0.3">
      <x:c r="B305" s="12">
        <x:v>7676574800</x:v>
      </x:c>
      <x:c r="C305" s="12">
        <x:v>7676581700</x:v>
      </x:c>
      <x:c r="D305" s="11" t="s">
        <x:v>137</x:v>
      </x:c>
      <x:c r="E305" s="11" t="s">
        <x:v>126</x:v>
      </x:c>
      <x:c r="F305" s="15"/>
      <x:c r="G305" s="15"/>
    </x:row>
    <x:row r="306" spans="1:7" x14ac:dyDescent="0.3">
      <x:c r="B306" s="12">
        <x:v>7676581800</x:v>
      </x:c>
      <x:c r="C306" s="12">
        <x:v>7676582300</x:v>
      </x:c>
      <x:c r="D306" s="11" t="s">
        <x:v>138</x:v>
      </x:c>
      <x:c r="E306" s="11" t="s">
        <x:v>126</x:v>
      </x:c>
      <x:c r="F306" s="15"/>
      <x:c r="G306" s="15"/>
    </x:row>
    <x:row r="307" spans="1:7" x14ac:dyDescent="0.3">
      <x:c r="B307" s="12">
        <x:v>7676582400</x:v>
      </x:c>
      <x:c r="C307" s="12">
        <x:v>7676583100</x:v>
      </x:c>
      <x:c r="D307" s="11" t="s">
        <x:v>137</x:v>
      </x:c>
      <x:c r="E307" s="11" t="s">
        <x:v>126</x:v>
      </x:c>
      <x:c r="F307" s="15"/>
      <x:c r="G307" s="15"/>
    </x:row>
    <x:row r="308" spans="1:7" x14ac:dyDescent="0.3">
      <x:c r="B308" s="12">
        <x:v>7676583200</x:v>
      </x:c>
      <x:c r="C308" s="12">
        <x:v>7676583200</x:v>
      </x:c>
      <x:c r="D308" s="11" t="s">
        <x:v>138</x:v>
      </x:c>
      <x:c r="E308" s="11" t="s">
        <x:v>126</x:v>
      </x:c>
      <x:c r="F308" s="15"/>
      <x:c r="G308" s="15"/>
    </x:row>
    <x:row r="309" spans="1:7" x14ac:dyDescent="0.3">
      <x:c r="B309" s="12">
        <x:v>7676583300</x:v>
      </x:c>
      <x:c r="C309" s="12">
        <x:v>7676586900</x:v>
      </x:c>
      <x:c r="D309" s="11" t="s">
        <x:v>137</x:v>
      </x:c>
      <x:c r="E309" s="11" t="s">
        <x:v>126</x:v>
      </x:c>
      <x:c r="F309" s="15"/>
      <x:c r="G309" s="15"/>
    </x:row>
    <x:row r="310" spans="1:7" x14ac:dyDescent="0.3">
      <x:c r="B310" s="12">
        <x:v>7676587000</x:v>
      </x:c>
      <x:c r="C310" s="12">
        <x:v>7676587100</x:v>
      </x:c>
      <x:c r="D310" s="11" t="s">
        <x:v>138</x:v>
      </x:c>
      <x:c r="E310" s="11" t="s">
        <x:v>126</x:v>
      </x:c>
      <x:c r="F310" s="15"/>
      <x:c r="G310" s="15"/>
    </x:row>
    <x:row r="311" spans="1:7" x14ac:dyDescent="0.3">
      <x:c r="B311" s="12">
        <x:v>7676587200</x:v>
      </x:c>
      <x:c r="C311" s="12">
        <x:v>7676594800</x:v>
      </x:c>
      <x:c r="D311" s="11" t="s">
        <x:v>137</x:v>
      </x:c>
      <x:c r="E311" s="11" t="s">
        <x:v>126</x:v>
      </x:c>
      <x:c r="F311" s="15"/>
      <x:c r="G311" s="15"/>
    </x:row>
    <x:row r="312" spans="1:7" x14ac:dyDescent="0.3">
      <x:c r="B312" s="12">
        <x:v>7676594900</x:v>
      </x:c>
      <x:c r="C312" s="12">
        <x:v>7676595100</x:v>
      </x:c>
      <x:c r="D312" s="11" t="s">
        <x:v>138</x:v>
      </x:c>
      <x:c r="E312" s="11" t="s">
        <x:v>126</x:v>
      </x:c>
      <x:c r="F312" s="15"/>
      <x:c r="G312" s="15"/>
    </x:row>
    <x:row r="313" spans="1:7" x14ac:dyDescent="0.3">
      <x:c r="B313" s="12">
        <x:v>7676595200</x:v>
      </x:c>
      <x:c r="C313" s="12">
        <x:v>7676599800</x:v>
      </x:c>
      <x:c r="D313" s="11" t="s">
        <x:v>137</x:v>
      </x:c>
      <x:c r="E313" s="11" t="s">
        <x:v>126</x:v>
      </x:c>
      <x:c r="F313" s="15"/>
      <x:c r="G313" s="15"/>
    </x:row>
    <x:row r="314" spans="1:7" x14ac:dyDescent="0.3">
      <x:c r="B314" s="12">
        <x:v>7676599900</x:v>
      </x:c>
      <x:c r="C314" s="12">
        <x:v>7676600600</x:v>
      </x:c>
      <x:c r="D314" s="11" t="s">
        <x:v>138</x:v>
      </x:c>
      <x:c r="E314" s="11" t="s">
        <x:v>126</x:v>
      </x:c>
      <x:c r="F314" s="15"/>
      <x:c r="G314" s="15"/>
    </x:row>
    <x:row r="315" spans="1:7" x14ac:dyDescent="0.3">
      <x:c r="B315" s="12">
        <x:v>7676600700</x:v>
      </x:c>
      <x:c r="C315" s="12">
        <x:v>7676608100</x:v>
      </x:c>
      <x:c r="D315" s="11" t="s">
        <x:v>137</x:v>
      </x:c>
      <x:c r="E315" s="11" t="s">
        <x:v>126</x:v>
      </x:c>
      <x:c r="F315" s="15"/>
      <x:c r="G315" s="15"/>
    </x:row>
    <x:row r="316" spans="1:7" x14ac:dyDescent="0.3">
      <x:c r="B316" s="12">
        <x:v>7676608200</x:v>
      </x:c>
      <x:c r="C316" s="12">
        <x:v>7676611600</x:v>
      </x:c>
      <x:c r="D316" s="11" t="s">
        <x:v>137</x:v>
      </x:c>
      <x:c r="E316" s="11" t="s">
        <x:v>126</x:v>
      </x:c>
      <x:c r="F316" s="15"/>
      <x:c r="G316" s="15"/>
    </x:row>
    <x:row r="317" spans="1:7" x14ac:dyDescent="0.3">
      <x:c r="B317" s="12">
        <x:v>7676611700</x:v>
      </x:c>
      <x:c r="C317" s="12">
        <x:v>7676615700</x:v>
      </x:c>
      <x:c r="D317" s="11" t="s">
        <x:v>137</x:v>
      </x:c>
      <x:c r="E317" s="11" t="s">
        <x:v>126</x:v>
      </x:c>
      <x:c r="F317" s="15"/>
      <x:c r="G317" s="15"/>
    </x:row>
    <x:row r="318" spans="1:7" x14ac:dyDescent="0.3">
      <x:c r="B318" s="12">
        <x:v>7676615800</x:v>
      </x:c>
      <x:c r="C318" s="12">
        <x:v>7676616000</x:v>
      </x:c>
      <x:c r="D318" s="11" t="s">
        <x:v>138</x:v>
      </x:c>
      <x:c r="E318" s="11" t="s">
        <x:v>126</x:v>
      </x:c>
      <x:c r="F318" s="15"/>
      <x:c r="G318" s="15"/>
    </x:row>
    <x:row r="319" spans="1:7" x14ac:dyDescent="0.3">
      <x:c r="B319" s="12">
        <x:v>7676616100</x:v>
      </x:c>
      <x:c r="C319" s="12">
        <x:v>7676622200</x:v>
      </x:c>
      <x:c r="D319" s="11" t="s">
        <x:v>137</x:v>
      </x:c>
      <x:c r="E319" s="11" t="s">
        <x:v>126</x:v>
      </x:c>
      <x:c r="F319" s="15"/>
      <x:c r="G319" s="15"/>
    </x:row>
    <x:row r="320" spans="1:7" x14ac:dyDescent="0.3">
      <x:c r="B320" s="12">
        <x:v>7676622300</x:v>
      </x:c>
      <x:c r="C320" s="12">
        <x:v>7676622300</x:v>
      </x:c>
      <x:c r="D320" s="11" t="s">
        <x:v>138</x:v>
      </x:c>
      <x:c r="E320" s="11" t="s">
        <x:v>126</x:v>
      </x:c>
      <x:c r="F320" s="15"/>
      <x:c r="G320" s="15"/>
    </x:row>
    <x:row r="321" spans="1:7" x14ac:dyDescent="0.3">
      <x:c r="B321" s="12">
        <x:v>7676622400</x:v>
      </x:c>
      <x:c r="C321" s="12">
        <x:v>7676626700</x:v>
      </x:c>
      <x:c r="D321" s="11" t="s">
        <x:v>137</x:v>
      </x:c>
      <x:c r="E321" s="11" t="s">
        <x:v>126</x:v>
      </x:c>
      <x:c r="F321" s="15"/>
      <x:c r="G321" s="15"/>
    </x:row>
    <x:row r="322" spans="1:7" x14ac:dyDescent="0.3">
      <x:c r="B322" s="12">
        <x:v>7676626800</x:v>
      </x:c>
      <x:c r="C322" s="12">
        <x:v>7676626800</x:v>
      </x:c>
      <x:c r="D322" s="11" t="s">
        <x:v>138</x:v>
      </x:c>
      <x:c r="E322" s="11" t="s">
        <x:v>126</x:v>
      </x:c>
      <x:c r="F322" s="15"/>
      <x:c r="G322" s="15"/>
    </x:row>
    <x:row r="323" spans="1:7" x14ac:dyDescent="0.3">
      <x:c r="B323" s="12">
        <x:v>7676626900</x:v>
      </x:c>
      <x:c r="C323" s="12">
        <x:v>7676629000</x:v>
      </x:c>
      <x:c r="D323" s="11" t="s">
        <x:v>137</x:v>
      </x:c>
      <x:c r="E323" s="11" t="s">
        <x:v>126</x:v>
      </x:c>
      <x:c r="F323" s="15"/>
      <x:c r="G323" s="15"/>
    </x:row>
    <x:row r="324" spans="1:7" x14ac:dyDescent="0.3">
      <x:c r="B324" s="12">
        <x:v>7676629100</x:v>
      </x:c>
      <x:c r="C324" s="12">
        <x:v>7676629300</x:v>
      </x:c>
      <x:c r="D324" s="11" t="s">
        <x:v>138</x:v>
      </x:c>
      <x:c r="E324" s="11" t="s">
        <x:v>126</x:v>
      </x:c>
      <x:c r="F324" s="15"/>
      <x:c r="G324" s="15"/>
    </x:row>
    <x:row r="325" spans="1:7" x14ac:dyDescent="0.3">
      <x:c r="B325" s="12">
        <x:v>7676629400</x:v>
      </x:c>
      <x:c r="C325" s="12">
        <x:v>7676630300</x:v>
      </x:c>
      <x:c r="D325" s="11" t="s">
        <x:v>137</x:v>
      </x:c>
      <x:c r="E325" s="11" t="s">
        <x:v>126</x:v>
      </x:c>
      <x:c r="F325" s="15"/>
      <x:c r="G325" s="15"/>
    </x:row>
    <x:row r="326" spans="1:7" x14ac:dyDescent="0.3">
      <x:c r="B326" s="12">
        <x:v>7676630400</x:v>
      </x:c>
      <x:c r="C326" s="12">
        <x:v>7676630400</x:v>
      </x:c>
      <x:c r="D326" s="11" t="s">
        <x:v>138</x:v>
      </x:c>
      <x:c r="E326" s="11" t="s">
        <x:v>126</x:v>
      </x:c>
      <x:c r="F326" s="15"/>
      <x:c r="G326" s="15"/>
    </x:row>
    <x:row r="327" spans="1:7" x14ac:dyDescent="0.3">
      <x:c r="B327" s="12">
        <x:v>7676630500</x:v>
      </x:c>
      <x:c r="C327" s="12">
        <x:v>7676630700</x:v>
      </x:c>
      <x:c r="D327" s="11" t="s">
        <x:v>137</x:v>
      </x:c>
      <x:c r="E327" s="11" t="s">
        <x:v>126</x:v>
      </x:c>
      <x:c r="F327" s="15"/>
      <x:c r="G327" s="15"/>
    </x:row>
    <x:row r="328" spans="1:7" x14ac:dyDescent="0.3">
      <x:c r="B328" s="12">
        <x:v>7676630800</x:v>
      </x:c>
      <x:c r="C328" s="12">
        <x:v>7676630900</x:v>
      </x:c>
      <x:c r="D328" s="11" t="s">
        <x:v>138</x:v>
      </x:c>
      <x:c r="E328" s="11" t="s">
        <x:v>126</x:v>
      </x:c>
      <x:c r="F328" s="15"/>
      <x:c r="G328" s="15"/>
    </x:row>
    <x:row r="329" spans="1:7" x14ac:dyDescent="0.3">
      <x:c r="B329" s="12">
        <x:v>7676631000</x:v>
      </x:c>
      <x:c r="C329" s="12">
        <x:v>7676638700</x:v>
      </x:c>
      <x:c r="D329" s="11" t="s">
        <x:v>137</x:v>
      </x:c>
      <x:c r="E329" s="11" t="s">
        <x:v>126</x:v>
      </x:c>
      <x:c r="F329" s="15"/>
      <x:c r="G329" s="15"/>
    </x:row>
    <x:row r="330" spans="1:7" x14ac:dyDescent="0.3">
      <x:c r="B330" s="12">
        <x:v>7676638800</x:v>
      </x:c>
      <x:c r="C330" s="12">
        <x:v>7676639000</x:v>
      </x:c>
      <x:c r="D330" s="11" t="s">
        <x:v>138</x:v>
      </x:c>
      <x:c r="E330" s="11" t="s">
        <x:v>126</x:v>
      </x:c>
      <x:c r="F330" s="15"/>
      <x:c r="G330" s="15"/>
    </x:row>
    <x:row r="331" spans="1:7" x14ac:dyDescent="0.3">
      <x:c r="B331" s="12">
        <x:v>7676639100</x:v>
      </x:c>
      <x:c r="C331" s="12">
        <x:v>7676640800</x:v>
      </x:c>
      <x:c r="D331" s="11" t="s">
        <x:v>137</x:v>
      </x:c>
      <x:c r="E331" s="11" t="s">
        <x:v>126</x:v>
      </x:c>
      <x:c r="F331" s="15"/>
      <x:c r="G331" s="15"/>
    </x:row>
    <x:row r="332" spans="1:7" x14ac:dyDescent="0.3">
      <x:c r="B332" s="12">
        <x:v>7676640900</x:v>
      </x:c>
      <x:c r="C332" s="12">
        <x:v>7676641000</x:v>
      </x:c>
      <x:c r="D332" s="11" t="s">
        <x:v>138</x:v>
      </x:c>
      <x:c r="E332" s="11" t="s">
        <x:v>126</x:v>
      </x:c>
      <x:c r="F332" s="15"/>
      <x:c r="G332" s="15"/>
    </x:row>
    <x:row r="333" spans="1:7" x14ac:dyDescent="0.3">
      <x:c r="B333" s="12">
        <x:v>7676641100</x:v>
      </x:c>
      <x:c r="C333" s="12">
        <x:v>7676643000</x:v>
      </x:c>
      <x:c r="D333" s="11" t="s">
        <x:v>137</x:v>
      </x:c>
      <x:c r="E333" s="11" t="s">
        <x:v>126</x:v>
      </x:c>
      <x:c r="F333" s="15"/>
      <x:c r="G333" s="15"/>
    </x:row>
    <x:row r="334" spans="1:7" x14ac:dyDescent="0.3">
      <x:c r="B334" s="12">
        <x:v>7676643100</x:v>
      </x:c>
      <x:c r="C334" s="12">
        <x:v>7676643100</x:v>
      </x:c>
      <x:c r="D334" s="11" t="s">
        <x:v>138</x:v>
      </x:c>
      <x:c r="E334" s="11" t="s">
        <x:v>126</x:v>
      </x:c>
      <x:c r="F334" s="15"/>
      <x:c r="G334" s="15"/>
    </x:row>
    <x:row r="335" spans="1:7" x14ac:dyDescent="0.3">
      <x:c r="B335" s="12">
        <x:v>7676643200</x:v>
      </x:c>
      <x:c r="C335" s="12">
        <x:v>7676643800</x:v>
      </x:c>
      <x:c r="D335" s="11" t="s">
        <x:v>137</x:v>
      </x:c>
      <x:c r="E335" s="11" t="s">
        <x:v>126</x:v>
      </x:c>
      <x:c r="F335" s="15"/>
      <x:c r="G335" s="15"/>
    </x:row>
    <x:row r="336" spans="1:7" x14ac:dyDescent="0.3">
      <x:c r="B336" s="12">
        <x:v>7676643900</x:v>
      </x:c>
      <x:c r="C336" s="12">
        <x:v>7676643900</x:v>
      </x:c>
      <x:c r="D336" s="11" t="s">
        <x:v>138</x:v>
      </x:c>
      <x:c r="E336" s="11" t="s">
        <x:v>126</x:v>
      </x:c>
      <x:c r="F336" s="15"/>
      <x:c r="G336" s="15"/>
    </x:row>
    <x:row r="337" spans="1:7" x14ac:dyDescent="0.3">
      <x:c r="B337" s="12">
        <x:v>7676644000</x:v>
      </x:c>
      <x:c r="C337" s="12">
        <x:v>7676649400</x:v>
      </x:c>
      <x:c r="D337" s="11" t="s">
        <x:v>137</x:v>
      </x:c>
      <x:c r="E337" s="11" t="s">
        <x:v>126</x:v>
      </x:c>
      <x:c r="F337" s="15"/>
      <x:c r="G337" s="15"/>
    </x:row>
    <x:row r="338" spans="1:7" x14ac:dyDescent="0.3">
      <x:c r="B338" s="12">
        <x:v>7676649500</x:v>
      </x:c>
      <x:c r="C338" s="12">
        <x:v>7676649800</x:v>
      </x:c>
      <x:c r="D338" s="11" t="s">
        <x:v>138</x:v>
      </x:c>
      <x:c r="E338" s="11" t="s">
        <x:v>126</x:v>
      </x:c>
      <x:c r="F338" s="15"/>
      <x:c r="G338" s="15"/>
    </x:row>
    <x:row r="339" spans="1:7" x14ac:dyDescent="0.3">
      <x:c r="B339" s="12">
        <x:v>7676649900</x:v>
      </x:c>
      <x:c r="C339" s="12">
        <x:v>7676657700</x:v>
      </x:c>
      <x:c r="D339" s="11" t="s">
        <x:v>137</x:v>
      </x:c>
      <x:c r="E339" s="11" t="s">
        <x:v>126</x:v>
      </x:c>
      <x:c r="F339" s="15"/>
      <x:c r="G339" s="15"/>
    </x:row>
    <x:row r="340" spans="1:7" x14ac:dyDescent="0.3">
      <x:c r="B340" s="12">
        <x:v>7676657800</x:v>
      </x:c>
      <x:c r="C340" s="12">
        <x:v>7676658100</x:v>
      </x:c>
      <x:c r="D340" s="11" t="s">
        <x:v>138</x:v>
      </x:c>
      <x:c r="E340" s="11" t="s">
        <x:v>126</x:v>
      </x:c>
      <x:c r="F340" s="15"/>
      <x:c r="G340" s="15"/>
    </x:row>
    <x:row r="341" spans="1:7" x14ac:dyDescent="0.3">
      <x:c r="B341" s="12">
        <x:v>7676658200</x:v>
      </x:c>
      <x:c r="C341" s="12">
        <x:v>7676658200</x:v>
      </x:c>
      <x:c r="D341" s="11" t="s">
        <x:v>137</x:v>
      </x:c>
      <x:c r="E341" s="11" t="s">
        <x:v>126</x:v>
      </x:c>
      <x:c r="F341" s="15"/>
      <x:c r="G341" s="15"/>
    </x:row>
    <x:row r="342" spans="1:7" x14ac:dyDescent="0.3">
      <x:c r="B342" s="12">
        <x:v>7676658300</x:v>
      </x:c>
      <x:c r="C342" s="12">
        <x:v>7676658600</x:v>
      </x:c>
      <x:c r="D342" s="11" t="s">
        <x:v>138</x:v>
      </x:c>
      <x:c r="E342" s="11" t="s">
        <x:v>126</x:v>
      </x:c>
      <x:c r="F342" s="15"/>
      <x:c r="G342" s="15"/>
    </x:row>
    <x:row r="343" spans="1:7" x14ac:dyDescent="0.3">
      <x:c r="B343" s="12">
        <x:v>7676658700</x:v>
      </x:c>
      <x:c r="C343" s="12">
        <x:v>7676659400</x:v>
      </x:c>
      <x:c r="D343" s="11" t="s">
        <x:v>137</x:v>
      </x:c>
      <x:c r="E343" s="11" t="s">
        <x:v>126</x:v>
      </x:c>
      <x:c r="F343" s="15"/>
      <x:c r="G343" s="15"/>
    </x:row>
    <x:row r="344" spans="1:7" x14ac:dyDescent="0.3">
      <x:c r="B344" s="12">
        <x:v>7676659500</x:v>
      </x:c>
      <x:c r="C344" s="12">
        <x:v>7676659700</x:v>
      </x:c>
      <x:c r="D344" s="11" t="s">
        <x:v>138</x:v>
      </x:c>
      <x:c r="E344" s="11" t="s">
        <x:v>126</x:v>
      </x:c>
      <x:c r="F344" s="15"/>
      <x:c r="G344" s="15"/>
    </x:row>
    <x:row r="345" spans="1:7" x14ac:dyDescent="0.3">
      <x:c r="B345" s="12">
        <x:v>7676659800</x:v>
      </x:c>
      <x:c r="C345" s="12">
        <x:v>7676660500</x:v>
      </x:c>
      <x:c r="D345" s="11" t="s">
        <x:v>137</x:v>
      </x:c>
      <x:c r="E345" s="11" t="s">
        <x:v>126</x:v>
      </x:c>
      <x:c r="F345" s="15"/>
      <x:c r="G345" s="15"/>
    </x:row>
    <x:row r="346" spans="1:7" x14ac:dyDescent="0.3">
      <x:c r="B346" s="12">
        <x:v>7676660600</x:v>
      </x:c>
      <x:c r="C346" s="12">
        <x:v>7676660600</x:v>
      </x:c>
      <x:c r="D346" s="11" t="s">
        <x:v>138</x:v>
      </x:c>
      <x:c r="E346" s="11" t="s">
        <x:v>126</x:v>
      </x:c>
      <x:c r="F346" s="15"/>
      <x:c r="G346" s="15"/>
    </x:row>
    <x:row r="347" spans="1:7" x14ac:dyDescent="0.3">
      <x:c r="B347" s="12">
        <x:v>7676660700</x:v>
      </x:c>
      <x:c r="C347" s="12">
        <x:v>7676676200</x:v>
      </x:c>
      <x:c r="D347" s="11" t="s">
        <x:v>137</x:v>
      </x:c>
      <x:c r="E347" s="11" t="s">
        <x:v>126</x:v>
      </x:c>
      <x:c r="F347" s="15"/>
      <x:c r="G347" s="15"/>
    </x:row>
    <x:row r="348" spans="1:7" x14ac:dyDescent="0.3">
      <x:c r="B348" s="12">
        <x:v>7676676300</x:v>
      </x:c>
      <x:c r="C348" s="12">
        <x:v>7676676600</x:v>
      </x:c>
      <x:c r="D348" s="11" t="s">
        <x:v>138</x:v>
      </x:c>
      <x:c r="E348" s="11" t="s">
        <x:v>126</x:v>
      </x:c>
      <x:c r="F348" s="15"/>
      <x:c r="G348" s="15"/>
    </x:row>
    <x:row r="349" spans="1:7" x14ac:dyDescent="0.3">
      <x:c r="B349" s="12">
        <x:v>7676676700</x:v>
      </x:c>
      <x:c r="C349" s="12">
        <x:v>7676686700</x:v>
      </x:c>
      <x:c r="D349" s="11" t="s">
        <x:v>137</x:v>
      </x:c>
      <x:c r="E349" s="11" t="s">
        <x:v>126</x:v>
      </x:c>
      <x:c r="F349" s="15"/>
      <x:c r="G349" s="15"/>
    </x:row>
    <x:row r="350" spans="1:7" x14ac:dyDescent="0.3">
      <x:c r="B350" s="12">
        <x:v>7676686800</x:v>
      </x:c>
      <x:c r="C350" s="12">
        <x:v>7676687000</x:v>
      </x:c>
      <x:c r="D350" s="11" t="s">
        <x:v>138</x:v>
      </x:c>
      <x:c r="E350" s="11" t="s">
        <x:v>126</x:v>
      </x:c>
      <x:c r="F350" s="15"/>
      <x:c r="G350" s="15"/>
    </x:row>
    <x:row r="351" spans="1:7" x14ac:dyDescent="0.3">
      <x:c r="B351" s="12">
        <x:v>7676687100</x:v>
      </x:c>
      <x:c r="C351" s="12">
        <x:v>7676692000</x:v>
      </x:c>
      <x:c r="D351" s="11" t="s">
        <x:v>137</x:v>
      </x:c>
      <x:c r="E351" s="11" t="s">
        <x:v>126</x:v>
      </x:c>
      <x:c r="F351" s="15"/>
      <x:c r="G351" s="15"/>
    </x:row>
    <x:row r="352" spans="1:7" x14ac:dyDescent="0.3">
      <x:c r="B352" s="12">
        <x:v>7676692100</x:v>
      </x:c>
      <x:c r="C352" s="12">
        <x:v>7676692100</x:v>
      </x:c>
      <x:c r="D352" s="11" t="s">
        <x:v>138</x:v>
      </x:c>
      <x:c r="E352" s="11" t="s">
        <x:v>126</x:v>
      </x:c>
      <x:c r="F352" s="15"/>
      <x:c r="G352" s="15"/>
    </x:row>
    <x:row r="353" spans="1:7" x14ac:dyDescent="0.3">
      <x:c r="B353" s="12">
        <x:v>7676692200</x:v>
      </x:c>
      <x:c r="C353" s="12">
        <x:v>7676693600</x:v>
      </x:c>
      <x:c r="D353" s="11" t="s">
        <x:v>137</x:v>
      </x:c>
      <x:c r="E353" s="11" t="s">
        <x:v>126</x:v>
      </x:c>
      <x:c r="F353" s="15"/>
      <x:c r="G353" s="15"/>
    </x:row>
    <x:row r="354" spans="1:7" x14ac:dyDescent="0.3">
      <x:c r="B354" s="12">
        <x:v>7676693700</x:v>
      </x:c>
      <x:c r="C354" s="12">
        <x:v>7676693700</x:v>
      </x:c>
      <x:c r="D354" s="11" t="s">
        <x:v>138</x:v>
      </x:c>
      <x:c r="E354" s="11" t="s">
        <x:v>126</x:v>
      </x:c>
      <x:c r="F354" s="15"/>
      <x:c r="G354" s="15"/>
    </x:row>
    <x:row r="355" spans="1:7" x14ac:dyDescent="0.3">
      <x:c r="B355" s="12">
        <x:v>7676693800</x:v>
      </x:c>
      <x:c r="C355" s="12">
        <x:v>7676701300</x:v>
      </x:c>
      <x:c r="D355" s="11" t="s">
        <x:v>137</x:v>
      </x:c>
      <x:c r="E355" s="11" t="s">
        <x:v>126</x:v>
      </x:c>
      <x:c r="F355" s="15"/>
      <x:c r="G355" s="15"/>
    </x:row>
    <x:row r="356" spans="1:7" x14ac:dyDescent="0.3">
      <x:c r="B356" s="12">
        <x:v>7676701400</x:v>
      </x:c>
      <x:c r="C356" s="12">
        <x:v>7676701500</x:v>
      </x:c>
      <x:c r="D356" s="11" t="s">
        <x:v>138</x:v>
      </x:c>
      <x:c r="E356" s="11" t="s">
        <x:v>126</x:v>
      </x:c>
      <x:c r="F356" s="15"/>
      <x:c r="G356" s="15"/>
    </x:row>
    <x:row r="357" spans="1:7" x14ac:dyDescent="0.3">
      <x:c r="B357" s="12">
        <x:v>7676701600</x:v>
      </x:c>
      <x:c r="C357" s="12">
        <x:v>7676706300</x:v>
      </x:c>
      <x:c r="D357" s="11" t="s">
        <x:v>137</x:v>
      </x:c>
      <x:c r="E357" s="11" t="s">
        <x:v>126</x:v>
      </x:c>
      <x:c r="F357" s="15"/>
      <x:c r="G357" s="15"/>
    </x:row>
    <x:row r="358" spans="1:7" x14ac:dyDescent="0.3">
      <x:c r="B358" s="12">
        <x:v>7676706400</x:v>
      </x:c>
      <x:c r="C358" s="12">
        <x:v>7676706900</x:v>
      </x:c>
      <x:c r="D358" s="11" t="s">
        <x:v>138</x:v>
      </x:c>
      <x:c r="E358" s="11" t="s">
        <x:v>126</x:v>
      </x:c>
      <x:c r="F358" s="15"/>
      <x:c r="G358" s="15"/>
    </x:row>
    <x:row r="359" spans="1:7" x14ac:dyDescent="0.3">
      <x:c r="B359" s="12">
        <x:v>7676707000</x:v>
      </x:c>
      <x:c r="C359" s="12">
        <x:v>7676709400</x:v>
      </x:c>
      <x:c r="D359" s="11" t="s">
        <x:v>137</x:v>
      </x:c>
      <x:c r="E359" s="11" t="s">
        <x:v>126</x:v>
      </x:c>
      <x:c r="F359" s="15"/>
      <x:c r="G359" s="15"/>
    </x:row>
    <x:row r="360" spans="1:7" x14ac:dyDescent="0.3">
      <x:c r="B360" s="12">
        <x:v>7676709500</x:v>
      </x:c>
      <x:c r="C360" s="12">
        <x:v>7676709500</x:v>
      </x:c>
      <x:c r="D360" s="11" t="s">
        <x:v>138</x:v>
      </x:c>
      <x:c r="E360" s="11" t="s">
        <x:v>126</x:v>
      </x:c>
      <x:c r="F360" s="15"/>
      <x:c r="G360" s="15"/>
    </x:row>
    <x:row r="361" spans="1:7" x14ac:dyDescent="0.3">
      <x:c r="B361" s="12">
        <x:v>7676709600</x:v>
      </x:c>
      <x:c r="C361" s="12">
        <x:v>7676712200</x:v>
      </x:c>
      <x:c r="D361" s="11" t="s">
        <x:v>137</x:v>
      </x:c>
      <x:c r="E361" s="11" t="s">
        <x:v>126</x:v>
      </x:c>
      <x:c r="F361" s="15"/>
      <x:c r="G361" s="15"/>
    </x:row>
    <x:row r="362" spans="1:7" x14ac:dyDescent="0.3">
      <x:c r="B362" s="12">
        <x:v>7676712300</x:v>
      </x:c>
      <x:c r="C362" s="12">
        <x:v>7676712500</x:v>
      </x:c>
      <x:c r="D362" s="11" t="s">
        <x:v>138</x:v>
      </x:c>
      <x:c r="E362" s="11" t="s">
        <x:v>126</x:v>
      </x:c>
      <x:c r="F362" s="15"/>
      <x:c r="G362" s="15"/>
    </x:row>
    <x:row r="363" spans="1:7" x14ac:dyDescent="0.3">
      <x:c r="B363" s="12">
        <x:v>7676712600</x:v>
      </x:c>
      <x:c r="C363" s="12">
        <x:v>7676713800</x:v>
      </x:c>
      <x:c r="D363" s="11" t="s">
        <x:v>137</x:v>
      </x:c>
      <x:c r="E363" s="11" t="s">
        <x:v>126</x:v>
      </x:c>
      <x:c r="F363" s="15"/>
      <x:c r="G363" s="15"/>
    </x:row>
    <x:row r="364" spans="1:7" x14ac:dyDescent="0.3">
      <x:c r="B364" s="12">
        <x:v>7676713900</x:v>
      </x:c>
      <x:c r="C364" s="12">
        <x:v>7676714000</x:v>
      </x:c>
      <x:c r="D364" s="11" t="s">
        <x:v>138</x:v>
      </x:c>
      <x:c r="E364" s="11" t="s">
        <x:v>126</x:v>
      </x:c>
      <x:c r="F364" s="15"/>
      <x:c r="G364" s="15"/>
    </x:row>
    <x:row r="365" spans="1:7" x14ac:dyDescent="0.3">
      <x:c r="B365" s="12">
        <x:v>7676714100</x:v>
      </x:c>
      <x:c r="C365" s="12">
        <x:v>7676723200</x:v>
      </x:c>
      <x:c r="D365" s="11" t="s">
        <x:v>137</x:v>
      </x:c>
      <x:c r="E365" s="11" t="s">
        <x:v>126</x:v>
      </x:c>
      <x:c r="F365" s="15"/>
      <x:c r="G365" s="15"/>
    </x:row>
    <x:row r="366" spans="1:7" x14ac:dyDescent="0.3">
      <x:c r="B366" s="12">
        <x:v>7676723300</x:v>
      </x:c>
      <x:c r="C366" s="12">
        <x:v>7676724500</x:v>
      </x:c>
      <x:c r="D366" s="11" t="s">
        <x:v>138</x:v>
      </x:c>
      <x:c r="E366" s="11" t="s">
        <x:v>126</x:v>
      </x:c>
      <x:c r="F366" s="15"/>
      <x:c r="G366" s="15"/>
    </x:row>
    <x:row r="367" spans="1:7" x14ac:dyDescent="0.3">
      <x:c r="B367" s="12">
        <x:v>7676724600</x:v>
      </x:c>
      <x:c r="C367" s="12">
        <x:v>7676727100</x:v>
      </x:c>
      <x:c r="D367" s="11" t="s">
        <x:v>137</x:v>
      </x:c>
      <x:c r="E367" s="11" t="s">
        <x:v>126</x:v>
      </x:c>
      <x:c r="F367" s="15"/>
      <x:c r="G367" s="15"/>
    </x:row>
    <x:row r="368" spans="1:7" x14ac:dyDescent="0.3">
      <x:c r="B368" s="12">
        <x:v>7676727200</x:v>
      </x:c>
      <x:c r="C368" s="12">
        <x:v>7676727800</x:v>
      </x:c>
      <x:c r="D368" s="11" t="s">
        <x:v>138</x:v>
      </x:c>
      <x:c r="E368" s="11" t="s">
        <x:v>126</x:v>
      </x:c>
      <x:c r="F368" s="15"/>
      <x:c r="G368" s="15"/>
    </x:row>
    <x:row r="369" spans="1:7" x14ac:dyDescent="0.3">
      <x:c r="B369" s="12">
        <x:v>7676727900</x:v>
      </x:c>
      <x:c r="C369" s="12">
        <x:v>7676732400</x:v>
      </x:c>
      <x:c r="D369" s="11" t="s">
        <x:v>137</x:v>
      </x:c>
      <x:c r="E369" s="11" t="s">
        <x:v>126</x:v>
      </x:c>
      <x:c r="F369" s="15"/>
      <x:c r="G369" s="15"/>
    </x:row>
    <x:row r="370" spans="1:7" x14ac:dyDescent="0.3">
      <x:c r="B370" s="12">
        <x:v>7676732500</x:v>
      </x:c>
      <x:c r="C370" s="12">
        <x:v>7676733000</x:v>
      </x:c>
      <x:c r="D370" s="11" t="s">
        <x:v>138</x:v>
      </x:c>
      <x:c r="E370" s="11" t="s">
        <x:v>126</x:v>
      </x:c>
      <x:c r="F370" s="15"/>
      <x:c r="G370" s="15"/>
    </x:row>
    <x:row r="371" spans="1:7" x14ac:dyDescent="0.3">
      <x:c r="B371" s="12">
        <x:v>7676733100</x:v>
      </x:c>
      <x:c r="C371" s="12">
        <x:v>7676733600</x:v>
      </x:c>
      <x:c r="D371" s="11" t="s">
        <x:v>137</x:v>
      </x:c>
      <x:c r="E371" s="11" t="s">
        <x:v>126</x:v>
      </x:c>
      <x:c r="F371" s="15"/>
      <x:c r="G371" s="15"/>
    </x:row>
    <x:row r="372" spans="1:7" x14ac:dyDescent="0.3">
      <x:c r="B372" s="12">
        <x:v>7676733700</x:v>
      </x:c>
      <x:c r="C372" s="12">
        <x:v>7676734000</x:v>
      </x:c>
      <x:c r="D372" s="11" t="s">
        <x:v>138</x:v>
      </x:c>
      <x:c r="E372" s="11" t="s">
        <x:v>126</x:v>
      </x:c>
      <x:c r="F372" s="15"/>
      <x:c r="G372" s="15"/>
    </x:row>
    <x:row r="373" spans="1:7" x14ac:dyDescent="0.3">
      <x:c r="B373" s="12">
        <x:v>7676734100</x:v>
      </x:c>
      <x:c r="C373" s="12">
        <x:v>7676735900</x:v>
      </x:c>
      <x:c r="D373" s="11" t="s">
        <x:v>137</x:v>
      </x:c>
      <x:c r="E373" s="11" t="s">
        <x:v>126</x:v>
      </x:c>
      <x:c r="F373" s="15"/>
      <x:c r="G373" s="15"/>
    </x:row>
    <x:row r="374" spans="1:7" x14ac:dyDescent="0.3">
      <x:c r="B374" s="12">
        <x:v>7676736000</x:v>
      </x:c>
      <x:c r="C374" s="12">
        <x:v>7676736000</x:v>
      </x:c>
      <x:c r="D374" s="11" t="s">
        <x:v>138</x:v>
      </x:c>
      <x:c r="E374" s="11" t="s">
        <x:v>126</x:v>
      </x:c>
      <x:c r="F374" s="15"/>
      <x:c r="G374" s="15"/>
    </x:row>
    <x:row r="375" spans="1:7" x14ac:dyDescent="0.3">
      <x:c r="B375" s="12">
        <x:v>7676736100</x:v>
      </x:c>
      <x:c r="C375" s="12">
        <x:v>7676739700</x:v>
      </x:c>
      <x:c r="D375" s="11" t="s">
        <x:v>137</x:v>
      </x:c>
      <x:c r="E375" s="11" t="s">
        <x:v>126</x:v>
      </x:c>
      <x:c r="F375" s="15"/>
      <x:c r="G375" s="15"/>
    </x:row>
    <x:row r="376" spans="1:7" x14ac:dyDescent="0.3">
      <x:c r="B376" s="12">
        <x:v>7676739800</x:v>
      </x:c>
      <x:c r="C376" s="12">
        <x:v>7676740700</x:v>
      </x:c>
      <x:c r="D376" s="11" t="s">
        <x:v>138</x:v>
      </x:c>
      <x:c r="E376" s="11" t="s">
        <x:v>126</x:v>
      </x:c>
      <x:c r="F376" s="15"/>
      <x:c r="G376" s="15"/>
    </x:row>
    <x:row r="377" spans="1:7" x14ac:dyDescent="0.3">
      <x:c r="B377" s="12">
        <x:v>7676740800</x:v>
      </x:c>
      <x:c r="C377" s="12">
        <x:v>7676741500</x:v>
      </x:c>
      <x:c r="D377" s="11" t="s">
        <x:v>137</x:v>
      </x:c>
      <x:c r="E377" s="11" t="s">
        <x:v>126</x:v>
      </x:c>
      <x:c r="F377" s="15"/>
      <x:c r="G377" s="15"/>
    </x:row>
    <x:row r="378" spans="1:7" x14ac:dyDescent="0.3">
      <x:c r="B378" s="12">
        <x:v>7676741600</x:v>
      </x:c>
      <x:c r="C378" s="12">
        <x:v>7676742000</x:v>
      </x:c>
      <x:c r="D378" s="11" t="s">
        <x:v>138</x:v>
      </x:c>
      <x:c r="E378" s="11" t="s">
        <x:v>126</x:v>
      </x:c>
      <x:c r="F378" s="15"/>
      <x:c r="G378" s="15"/>
    </x:row>
    <x:row r="379" spans="1:7" x14ac:dyDescent="0.3">
      <x:c r="B379" s="12">
        <x:v>7676742100</x:v>
      </x:c>
      <x:c r="C379" s="12">
        <x:v>7676743300</x:v>
      </x:c>
      <x:c r="D379" s="11" t="s">
        <x:v>137</x:v>
      </x:c>
      <x:c r="E379" s="11" t="s">
        <x:v>126</x:v>
      </x:c>
      <x:c r="F379" s="15"/>
      <x:c r="G379" s="15"/>
    </x:row>
    <x:row r="380" spans="1:7" x14ac:dyDescent="0.3">
      <x:c r="B380" s="12">
        <x:v>7676743400</x:v>
      </x:c>
      <x:c r="C380" s="12">
        <x:v>7676744400</x:v>
      </x:c>
      <x:c r="D380" s="11" t="s">
        <x:v>138</x:v>
      </x:c>
      <x:c r="E380" s="11" t="s">
        <x:v>126</x:v>
      </x:c>
      <x:c r="F380" s="15"/>
      <x:c r="G380" s="15"/>
    </x:row>
    <x:row r="381" spans="1:7" x14ac:dyDescent="0.3">
      <x:c r="B381" s="12">
        <x:v>7676744500</x:v>
      </x:c>
      <x:c r="C381" s="12">
        <x:v>7676747000</x:v>
      </x:c>
      <x:c r="D381" s="11" t="s">
        <x:v>137</x:v>
      </x:c>
      <x:c r="E381" s="11" t="s">
        <x:v>126</x:v>
      </x:c>
      <x:c r="F381" s="15"/>
      <x:c r="G381" s="15"/>
    </x:row>
    <x:row r="382" spans="1:7" x14ac:dyDescent="0.3">
      <x:c r="B382" s="12">
        <x:v>7676747100</x:v>
      </x:c>
      <x:c r="C382" s="12">
        <x:v>7676747100</x:v>
      </x:c>
      <x:c r="D382" s="11" t="s">
        <x:v>138</x:v>
      </x:c>
      <x:c r="E382" s="11" t="s">
        <x:v>126</x:v>
      </x:c>
      <x:c r="F382" s="15"/>
      <x:c r="G382" s="15"/>
    </x:row>
    <x:row r="383" spans="1:7" x14ac:dyDescent="0.3">
      <x:c r="B383" s="12">
        <x:v>7676747200</x:v>
      </x:c>
      <x:c r="C383" s="12">
        <x:v>7676748100</x:v>
      </x:c>
      <x:c r="D383" s="11" t="s">
        <x:v>137</x:v>
      </x:c>
      <x:c r="E383" s="11" t="s">
        <x:v>126</x:v>
      </x:c>
      <x:c r="F383" s="15"/>
      <x:c r="G383" s="15"/>
    </x:row>
    <x:row r="384" spans="1:7" x14ac:dyDescent="0.3">
      <x:c r="B384" s="12">
        <x:v>7676748200</x:v>
      </x:c>
      <x:c r="C384" s="12">
        <x:v>7676748400</x:v>
      </x:c>
      <x:c r="D384" s="11" t="s">
        <x:v>138</x:v>
      </x:c>
      <x:c r="E384" s="11" t="s">
        <x:v>126</x:v>
      </x:c>
      <x:c r="F384" s="15"/>
      <x:c r="G384" s="15"/>
    </x:row>
    <x:row r="385" spans="1:7" x14ac:dyDescent="0.3">
      <x:c r="B385" s="12">
        <x:v>7676748500</x:v>
      </x:c>
      <x:c r="C385" s="12">
        <x:v>7676760800</x:v>
      </x:c>
      <x:c r="D385" s="11" t="s">
        <x:v>137</x:v>
      </x:c>
      <x:c r="E385" s="11" t="s">
        <x:v>126</x:v>
      </x:c>
      <x:c r="F385" s="15"/>
      <x:c r="G385" s="15"/>
    </x:row>
    <x:row r="386" spans="1:7" x14ac:dyDescent="0.3">
      <x:c r="B386" s="12">
        <x:v>7676760900</x:v>
      </x:c>
      <x:c r="C386" s="12">
        <x:v>7676760900</x:v>
      </x:c>
      <x:c r="D386" s="11" t="s">
        <x:v>138</x:v>
      </x:c>
      <x:c r="E386" s="11" t="s">
        <x:v>126</x:v>
      </x:c>
      <x:c r="F386" s="15"/>
      <x:c r="G386" s="15"/>
    </x:row>
    <x:row r="387" spans="1:7" x14ac:dyDescent="0.3">
      <x:c r="B387" s="12">
        <x:v>7676761000</x:v>
      </x:c>
      <x:c r="C387" s="12">
        <x:v>7676764200</x:v>
      </x:c>
      <x:c r="D387" s="11" t="s">
        <x:v>137</x:v>
      </x:c>
      <x:c r="E387" s="11" t="s">
        <x:v>126</x:v>
      </x:c>
      <x:c r="F387" s="15"/>
      <x:c r="G387" s="15"/>
    </x:row>
    <x:row r="388" spans="1:7" x14ac:dyDescent="0.3">
      <x:c r="B388" s="12">
        <x:v>7676764300</x:v>
      </x:c>
      <x:c r="C388" s="12">
        <x:v>7676765700</x:v>
      </x:c>
      <x:c r="D388" s="11" t="s">
        <x:v>138</x:v>
      </x:c>
      <x:c r="E388" s="11" t="s">
        <x:v>126</x:v>
      </x:c>
      <x:c r="F388" s="15"/>
      <x:c r="G388" s="15"/>
    </x:row>
    <x:row r="389" spans="1:7" x14ac:dyDescent="0.3">
      <x:c r="B389" s="12">
        <x:v>7676765800</x:v>
      </x:c>
      <x:c r="C389" s="12">
        <x:v>7676770400</x:v>
      </x:c>
      <x:c r="D389" s="11" t="s">
        <x:v>137</x:v>
      </x:c>
      <x:c r="E389" s="11" t="s">
        <x:v>126</x:v>
      </x:c>
      <x:c r="F389" s="15"/>
      <x:c r="G389" s="15"/>
    </x:row>
    <x:row r="390" spans="1:7" x14ac:dyDescent="0.3">
      <x:c r="B390" s="12">
        <x:v>7676770500</x:v>
      </x:c>
      <x:c r="C390" s="12">
        <x:v>7676770700</x:v>
      </x:c>
      <x:c r="D390" s="11" t="s">
        <x:v>138</x:v>
      </x:c>
      <x:c r="E390" s="11" t="s">
        <x:v>126</x:v>
      </x:c>
      <x:c r="F390" s="15"/>
      <x:c r="G390" s="15"/>
    </x:row>
    <x:row r="391" spans="1:7" x14ac:dyDescent="0.3">
      <x:c r="B391" s="12">
        <x:v>7676770800</x:v>
      </x:c>
      <x:c r="C391" s="12">
        <x:v>7676771300</x:v>
      </x:c>
      <x:c r="D391" s="11" t="s">
        <x:v>137</x:v>
      </x:c>
      <x:c r="E391" s="11" t="s">
        <x:v>126</x:v>
      </x:c>
      <x:c r="F391" s="15"/>
      <x:c r="G391" s="15"/>
    </x:row>
    <x:row r="392" spans="1:7" x14ac:dyDescent="0.3">
      <x:c r="B392" s="12">
        <x:v>7676771400</x:v>
      </x:c>
      <x:c r="C392" s="12">
        <x:v>7676772900</x:v>
      </x:c>
      <x:c r="D392" s="11" t="s">
        <x:v>138</x:v>
      </x:c>
      <x:c r="E392" s="11" t="s">
        <x:v>126</x:v>
      </x:c>
      <x:c r="F392" s="15"/>
      <x:c r="G392" s="15"/>
    </x:row>
    <x:row r="393" spans="1:7" x14ac:dyDescent="0.3">
      <x:c r="B393" s="12">
        <x:v>7676773000</x:v>
      </x:c>
      <x:c r="C393" s="12">
        <x:v>7676774000</x:v>
      </x:c>
      <x:c r="D393" s="11" t="s">
        <x:v>137</x:v>
      </x:c>
      <x:c r="E393" s="11" t="s">
        <x:v>126</x:v>
      </x:c>
      <x:c r="F393" s="15"/>
      <x:c r="G393" s="15"/>
    </x:row>
    <x:row r="394" spans="1:7" x14ac:dyDescent="0.3">
      <x:c r="B394" s="12">
        <x:v>7676774100</x:v>
      </x:c>
      <x:c r="C394" s="12">
        <x:v>7676774400</x:v>
      </x:c>
      <x:c r="D394" s="11" t="s">
        <x:v>138</x:v>
      </x:c>
      <x:c r="E394" s="11" t="s">
        <x:v>126</x:v>
      </x:c>
      <x:c r="F394" s="15"/>
      <x:c r="G394" s="15"/>
    </x:row>
    <x:row r="395" spans="1:7" x14ac:dyDescent="0.3">
      <x:c r="B395" s="12">
        <x:v>7676774500</x:v>
      </x:c>
      <x:c r="C395" s="12">
        <x:v>7676782600</x:v>
      </x:c>
      <x:c r="D395" s="11" t="s">
        <x:v>137</x:v>
      </x:c>
      <x:c r="E395" s="11" t="s">
        <x:v>126</x:v>
      </x:c>
      <x:c r="F395" s="15"/>
      <x:c r="G395" s="15"/>
    </x:row>
    <x:row r="396" spans="1:7" x14ac:dyDescent="0.3">
      <x:c r="B396" s="12">
        <x:v>7676782700</x:v>
      </x:c>
      <x:c r="C396" s="12">
        <x:v>7676782700</x:v>
      </x:c>
      <x:c r="D396" s="11" t="s">
        <x:v>138</x:v>
      </x:c>
      <x:c r="E396" s="11" t="s">
        <x:v>126</x:v>
      </x:c>
      <x:c r="F396" s="15"/>
      <x:c r="G396" s="15"/>
    </x:row>
    <x:row r="397" spans="1:7" x14ac:dyDescent="0.3">
      <x:c r="B397" s="12">
        <x:v>7676782800</x:v>
      </x:c>
      <x:c r="C397" s="12">
        <x:v>7676788400</x:v>
      </x:c>
      <x:c r="D397" s="11" t="s">
        <x:v>137</x:v>
      </x:c>
      <x:c r="E397" s="11" t="s">
        <x:v>126</x:v>
      </x:c>
      <x:c r="F397" s="15"/>
      <x:c r="G397" s="15"/>
    </x:row>
    <x:row r="398" spans="1:7" x14ac:dyDescent="0.3">
      <x:c r="B398" s="12">
        <x:v>7676788500</x:v>
      </x:c>
      <x:c r="C398" s="12">
        <x:v>7676788500</x:v>
      </x:c>
      <x:c r="D398" s="11" t="s">
        <x:v>138</x:v>
      </x:c>
      <x:c r="E398" s="11" t="s">
        <x:v>126</x:v>
      </x:c>
      <x:c r="F398" s="15"/>
      <x:c r="G398" s="15"/>
    </x:row>
    <x:row r="399" spans="1:7" x14ac:dyDescent="0.3">
      <x:c r="B399" s="12">
        <x:v>7676788600</x:v>
      </x:c>
      <x:c r="C399" s="12">
        <x:v>7676794500</x:v>
      </x:c>
      <x:c r="D399" s="11" t="s">
        <x:v>137</x:v>
      </x:c>
      <x:c r="E399" s="11" t="s">
        <x:v>126</x:v>
      </x:c>
      <x:c r="F399" s="15"/>
      <x:c r="G399" s="15"/>
    </x:row>
    <x:row r="400" spans="1:7" x14ac:dyDescent="0.3">
      <x:c r="B400" s="12">
        <x:v>7676794600</x:v>
      </x:c>
      <x:c r="C400" s="12">
        <x:v>7676797100</x:v>
      </x:c>
      <x:c r="D400" s="11" t="s">
        <x:v>138</x:v>
      </x:c>
      <x:c r="E400" s="11" t="s">
        <x:v>126</x:v>
      </x:c>
      <x:c r="F400" s="15"/>
      <x:c r="G400" s="15"/>
    </x:row>
    <x:row r="401" spans="1:7" x14ac:dyDescent="0.3">
      <x:c r="B401" s="12">
        <x:v>7676797200</x:v>
      </x:c>
      <x:c r="C401" s="12">
        <x:v>7676797500</x:v>
      </x:c>
      <x:c r="D401" s="11" t="s">
        <x:v>137</x:v>
      </x:c>
      <x:c r="E401" s="11" t="s">
        <x:v>126</x:v>
      </x:c>
      <x:c r="F401" s="15"/>
      <x:c r="G401" s="15"/>
    </x:row>
    <x:row r="402" spans="1:7" x14ac:dyDescent="0.3">
      <x:c r="B402" s="12">
        <x:v>7676797600</x:v>
      </x:c>
      <x:c r="C402" s="12">
        <x:v>7676797600</x:v>
      </x:c>
      <x:c r="D402" s="11" t="s">
        <x:v>138</x:v>
      </x:c>
      <x:c r="E402" s="11" t="s">
        <x:v>126</x:v>
      </x:c>
      <x:c r="F402" s="15"/>
      <x:c r="G402" s="15"/>
    </x:row>
    <x:row r="403" spans="1:7" x14ac:dyDescent="0.3">
      <x:c r="B403" s="12">
        <x:v>7676797700</x:v>
      </x:c>
      <x:c r="C403" s="12">
        <x:v>7676797700</x:v>
      </x:c>
      <x:c r="D403" s="11" t="s">
        <x:v>137</x:v>
      </x:c>
      <x:c r="E403" s="11" t="s">
        <x:v>126</x:v>
      </x:c>
      <x:c r="F403" s="15"/>
      <x:c r="G403" s="15"/>
    </x:row>
    <x:row r="404" spans="1:7" x14ac:dyDescent="0.3">
      <x:c r="B404" s="12">
        <x:v>7676797800</x:v>
      </x:c>
      <x:c r="C404" s="12">
        <x:v>7676798000</x:v>
      </x:c>
      <x:c r="D404" s="11" t="s">
        <x:v>138</x:v>
      </x:c>
      <x:c r="E404" s="11" t="s">
        <x:v>126</x:v>
      </x:c>
      <x:c r="F404" s="15"/>
      <x:c r="G404" s="15"/>
    </x:row>
    <x:row r="405" spans="1:7" x14ac:dyDescent="0.3">
      <x:c r="B405" s="12">
        <x:v>7676798100</x:v>
      </x:c>
      <x:c r="C405" s="12">
        <x:v>7676798100</x:v>
      </x:c>
      <x:c r="D405" s="11" t="s">
        <x:v>137</x:v>
      </x:c>
      <x:c r="E405" s="11" t="s">
        <x:v>126</x:v>
      </x:c>
      <x:c r="F405" s="15"/>
      <x:c r="G405" s="15"/>
    </x:row>
    <x:row r="406" spans="1:7" x14ac:dyDescent="0.3">
      <x:c r="B406" s="12">
        <x:v>7676798200</x:v>
      </x:c>
      <x:c r="C406" s="12">
        <x:v>7676798200</x:v>
      </x:c>
      <x:c r="D406" s="11" t="s">
        <x:v>138</x:v>
      </x:c>
      <x:c r="E406" s="11" t="s">
        <x:v>126</x:v>
      </x:c>
      <x:c r="F406" s="15"/>
      <x:c r="G406" s="15"/>
    </x:row>
    <x:row r="407" spans="1:7" x14ac:dyDescent="0.3">
      <x:c r="B407" s="12">
        <x:v>7676798300</x:v>
      </x:c>
      <x:c r="C407" s="12">
        <x:v>7676799500</x:v>
      </x:c>
      <x:c r="D407" s="11" t="s">
        <x:v>137</x:v>
      </x:c>
      <x:c r="E407" s="11" t="s">
        <x:v>126</x:v>
      </x:c>
      <x:c r="F407" s="15"/>
      <x:c r="G407" s="15"/>
    </x:row>
    <x:row r="408" spans="1:7" x14ac:dyDescent="0.3">
      <x:c r="B408" s="12">
        <x:v>7676799600</x:v>
      </x:c>
      <x:c r="C408" s="12">
        <x:v>7676799900</x:v>
      </x:c>
      <x:c r="D408" s="11" t="s">
        <x:v>138</x:v>
      </x:c>
      <x:c r="E408" s="11" t="s">
        <x:v>126</x:v>
      </x:c>
      <x:c r="F408" s="15"/>
      <x:c r="G408" s="15"/>
    </x:row>
    <x:row r="409" spans="1:7" x14ac:dyDescent="0.3">
      <x:c r="B409" s="12">
        <x:v>7676800000</x:v>
      </x:c>
      <x:c r="C409" s="12">
        <x:v>7676802800</x:v>
      </x:c>
      <x:c r="D409" s="11" t="s">
        <x:v>137</x:v>
      </x:c>
      <x:c r="E409" s="11" t="s">
        <x:v>126</x:v>
      </x:c>
      <x:c r="F409" s="15"/>
      <x:c r="G409" s="15"/>
    </x:row>
    <x:row r="410" spans="1:7" x14ac:dyDescent="0.3">
      <x:c r="B410" s="12">
        <x:v>7676802900</x:v>
      </x:c>
      <x:c r="C410" s="12">
        <x:v>7676805200</x:v>
      </x:c>
      <x:c r="D410" s="11" t="s">
        <x:v>137</x:v>
      </x:c>
      <x:c r="E410" s="11" t="s">
        <x:v>126</x:v>
      </x:c>
      <x:c r="F410" s="15"/>
      <x:c r="G410" s="15"/>
    </x:row>
    <x:row r="411" spans="1:7" x14ac:dyDescent="0.3">
      <x:c r="B411" s="12">
        <x:v>7676805300</x:v>
      </x:c>
      <x:c r="C411" s="12">
        <x:v>7676814000</x:v>
      </x:c>
      <x:c r="D411" s="11" t="s">
        <x:v>137</x:v>
      </x:c>
      <x:c r="E411" s="11" t="s">
        <x:v>126</x:v>
      </x:c>
      <x:c r="F411" s="15"/>
      <x:c r="G411" s="15"/>
    </x:row>
    <x:row r="412" spans="1:7" x14ac:dyDescent="0.3">
      <x:c r="B412" s="12">
        <x:v>7676814100</x:v>
      </x:c>
      <x:c r="C412" s="12">
        <x:v>7676814100</x:v>
      </x:c>
      <x:c r="D412" s="11" t="s">
        <x:v>138</x:v>
      </x:c>
      <x:c r="E412" s="11" t="s">
        <x:v>126</x:v>
      </x:c>
      <x:c r="F412" s="15"/>
      <x:c r="G412" s="15"/>
    </x:row>
    <x:row r="413" spans="1:7" x14ac:dyDescent="0.3">
      <x:c r="B413" s="12">
        <x:v>7676814200</x:v>
      </x:c>
      <x:c r="C413" s="12">
        <x:v>7676814500</x:v>
      </x:c>
      <x:c r="D413" s="11" t="s">
        <x:v>137</x:v>
      </x:c>
      <x:c r="E413" s="11" t="s">
        <x:v>126</x:v>
      </x:c>
      <x:c r="F413" s="15"/>
      <x:c r="G413" s="15"/>
    </x:row>
    <x:row r="414" spans="1:7" x14ac:dyDescent="0.3">
      <x:c r="B414" s="12">
        <x:v>7676814600</x:v>
      </x:c>
      <x:c r="C414" s="12">
        <x:v>7676814700</x:v>
      </x:c>
      <x:c r="D414" s="11" t="s">
        <x:v>138</x:v>
      </x:c>
      <x:c r="E414" s="11" t="s">
        <x:v>126</x:v>
      </x:c>
      <x:c r="F414" s="15"/>
      <x:c r="G414" s="15"/>
    </x:row>
    <x:row r="415" spans="1:7" x14ac:dyDescent="0.3">
      <x:c r="B415" s="12">
        <x:v>7676814800</x:v>
      </x:c>
      <x:c r="C415" s="12">
        <x:v>7676814900</x:v>
      </x:c>
      <x:c r="D415" s="11" t="s">
        <x:v>137</x:v>
      </x:c>
      <x:c r="E415" s="11" t="s">
        <x:v>126</x:v>
      </x:c>
      <x:c r="F415" s="15"/>
      <x:c r="G415" s="15"/>
    </x:row>
    <x:row r="416" spans="1:7" x14ac:dyDescent="0.3">
      <x:c r="B416" s="12">
        <x:v>7676815000</x:v>
      </x:c>
      <x:c r="C416" s="12">
        <x:v>7676815500</x:v>
      </x:c>
      <x:c r="D416" s="11" t="s">
        <x:v>138</x:v>
      </x:c>
      <x:c r="E416" s="11" t="s">
        <x:v>126</x:v>
      </x:c>
      <x:c r="F416" s="15"/>
      <x:c r="G416" s="15"/>
    </x:row>
    <x:row r="417" spans="1:7" x14ac:dyDescent="0.3">
      <x:c r="B417" s="12">
        <x:v>7676815600</x:v>
      </x:c>
      <x:c r="C417" s="12">
        <x:v>7676821600</x:v>
      </x:c>
      <x:c r="D417" s="11" t="s">
        <x:v>137</x:v>
      </x:c>
      <x:c r="E417" s="11" t="s">
        <x:v>126</x:v>
      </x:c>
      <x:c r="F417" s="15"/>
      <x:c r="G417" s="15"/>
    </x:row>
    <x:row r="418" spans="1:7" x14ac:dyDescent="0.3">
      <x:c r="B418" s="12">
        <x:v>7676821700</x:v>
      </x:c>
      <x:c r="C418" s="12">
        <x:v>7676822200</x:v>
      </x:c>
      <x:c r="D418" s="11" t="s">
        <x:v>138</x:v>
      </x:c>
      <x:c r="E418" s="11" t="s">
        <x:v>126</x:v>
      </x:c>
      <x:c r="F418" s="15"/>
      <x:c r="G418" s="15"/>
    </x:row>
    <x:row r="419" spans="1:7" x14ac:dyDescent="0.3">
      <x:c r="B419" s="12">
        <x:v>7676822300</x:v>
      </x:c>
      <x:c r="C419" s="12">
        <x:v>7676824100</x:v>
      </x:c>
      <x:c r="D419" s="11" t="s">
        <x:v>137</x:v>
      </x:c>
      <x:c r="E419" s="11" t="s">
        <x:v>126</x:v>
      </x:c>
      <x:c r="F419" s="15"/>
      <x:c r="G419" s="15"/>
    </x:row>
    <x:row r="420" spans="1:7" x14ac:dyDescent="0.3">
      <x:c r="B420" s="12">
        <x:v>7676824200</x:v>
      </x:c>
      <x:c r="C420" s="12">
        <x:v>7676824200</x:v>
      </x:c>
      <x:c r="D420" s="11" t="s">
        <x:v>138</x:v>
      </x:c>
      <x:c r="E420" s="11" t="s">
        <x:v>126</x:v>
      </x:c>
      <x:c r="F420" s="15"/>
      <x:c r="G420" s="15"/>
    </x:row>
    <x:row r="421" spans="1:7" x14ac:dyDescent="0.3">
      <x:c r="B421" s="12">
        <x:v>7676824300</x:v>
      </x:c>
      <x:c r="C421" s="12">
        <x:v>7676825300</x:v>
      </x:c>
      <x:c r="D421" s="11" t="s">
        <x:v>137</x:v>
      </x:c>
      <x:c r="E421" s="11" t="s">
        <x:v>126</x:v>
      </x:c>
      <x:c r="F421" s="15"/>
      <x:c r="G421" s="15"/>
    </x:row>
    <x:row r="422" spans="1:7" x14ac:dyDescent="0.3">
      <x:c r="B422" s="12">
        <x:v>7676825400</x:v>
      </x:c>
      <x:c r="C422" s="12">
        <x:v>7676826900</x:v>
      </x:c>
      <x:c r="D422" s="11" t="s">
        <x:v>138</x:v>
      </x:c>
      <x:c r="E422" s="11" t="s">
        <x:v>126</x:v>
      </x:c>
      <x:c r="F422" s="15"/>
      <x:c r="G422" s="15"/>
    </x:row>
    <x:row r="423" spans="1:7" x14ac:dyDescent="0.3">
      <x:c r="B423" s="12">
        <x:v>7676827000</x:v>
      </x:c>
      <x:c r="C423" s="12">
        <x:v>7676830300</x:v>
      </x:c>
      <x:c r="D423" s="11" t="s">
        <x:v>137</x:v>
      </x:c>
      <x:c r="E423" s="11" t="s">
        <x:v>126</x:v>
      </x:c>
      <x:c r="F423" s="15"/>
      <x:c r="G423" s="15"/>
    </x:row>
    <x:row r="424" spans="1:7" x14ac:dyDescent="0.3">
      <x:c r="B424" s="12">
        <x:v>7676830400</x:v>
      </x:c>
      <x:c r="C424" s="12">
        <x:v>7676830400</x:v>
      </x:c>
      <x:c r="D424" s="11" t="s">
        <x:v>138</x:v>
      </x:c>
      <x:c r="E424" s="11" t="s">
        <x:v>126</x:v>
      </x:c>
      <x:c r="F424" s="15"/>
      <x:c r="G424" s="15"/>
    </x:row>
    <x:row r="425" spans="1:7" x14ac:dyDescent="0.3">
      <x:c r="B425" s="12">
        <x:v>7676830500</x:v>
      </x:c>
      <x:c r="C425" s="12">
        <x:v>7676836700</x:v>
      </x:c>
      <x:c r="D425" s="11" t="s">
        <x:v>137</x:v>
      </x:c>
      <x:c r="E425" s="11" t="s">
        <x:v>126</x:v>
      </x:c>
      <x:c r="F425" s="15"/>
      <x:c r="G425" s="15"/>
    </x:row>
    <x:row r="426" spans="1:7" x14ac:dyDescent="0.3">
      <x:c r="B426" s="12">
        <x:v>7676836800</x:v>
      </x:c>
      <x:c r="C426" s="12">
        <x:v>7676836900</x:v>
      </x:c>
      <x:c r="D426" s="11" t="s">
        <x:v>138</x:v>
      </x:c>
      <x:c r="E426" s="11" t="s">
        <x:v>126</x:v>
      </x:c>
      <x:c r="F426" s="15"/>
      <x:c r="G426" s="15"/>
    </x:row>
    <x:row r="427" spans="1:7" x14ac:dyDescent="0.3">
      <x:c r="B427" s="12">
        <x:v>7676837000</x:v>
      </x:c>
      <x:c r="C427" s="12">
        <x:v>7676838400</x:v>
      </x:c>
      <x:c r="D427" s="11" t="s">
        <x:v>137</x:v>
      </x:c>
      <x:c r="E427" s="11" t="s">
        <x:v>126</x:v>
      </x:c>
      <x:c r="F427" s="15"/>
      <x:c r="G427" s="15"/>
    </x:row>
    <x:row r="428" spans="1:7" x14ac:dyDescent="0.3">
      <x:c r="B428" s="12">
        <x:v>7676838500</x:v>
      </x:c>
      <x:c r="C428" s="12">
        <x:v>7676839500</x:v>
      </x:c>
      <x:c r="D428" s="11" t="s">
        <x:v>138</x:v>
      </x:c>
      <x:c r="E428" s="11" t="s">
        <x:v>126</x:v>
      </x:c>
      <x:c r="F428" s="15"/>
      <x:c r="G428" s="15"/>
    </x:row>
    <x:row r="429" spans="1:7" x14ac:dyDescent="0.3">
      <x:c r="B429" s="12">
        <x:v>7676839600</x:v>
      </x:c>
      <x:c r="C429" s="12">
        <x:v>7676845500</x:v>
      </x:c>
      <x:c r="D429" s="11" t="s">
        <x:v>137</x:v>
      </x:c>
      <x:c r="E429" s="11" t="s">
        <x:v>126</x:v>
      </x:c>
      <x:c r="F429" s="15"/>
      <x:c r="G429" s="15"/>
    </x:row>
    <x:row r="430" spans="1:7" x14ac:dyDescent="0.3">
      <x:c r="B430" s="12">
        <x:v>7676845600</x:v>
      </x:c>
      <x:c r="C430" s="12">
        <x:v>7676845600</x:v>
      </x:c>
      <x:c r="D430" s="11" t="s">
        <x:v>138</x:v>
      </x:c>
      <x:c r="E430" s="11" t="s">
        <x:v>126</x:v>
      </x:c>
      <x:c r="F430" s="15"/>
      <x:c r="G430" s="15"/>
    </x:row>
    <x:row r="431" spans="1:7" x14ac:dyDescent="0.3">
      <x:c r="B431" s="12">
        <x:v>7676845700</x:v>
      </x:c>
      <x:c r="C431" s="12">
        <x:v>7676846200</x:v>
      </x:c>
      <x:c r="D431" s="11" t="s">
        <x:v>137</x:v>
      </x:c>
      <x:c r="E431" s="11" t="s">
        <x:v>126</x:v>
      </x:c>
      <x:c r="F431" s="15"/>
      <x:c r="G431" s="15"/>
    </x:row>
    <x:row r="432" spans="1:7" x14ac:dyDescent="0.3">
      <x:c r="B432" s="12">
        <x:v>7676846300</x:v>
      </x:c>
      <x:c r="C432" s="12">
        <x:v>7676846300</x:v>
      </x:c>
      <x:c r="D432" s="11" t="s">
        <x:v>138</x:v>
      </x:c>
      <x:c r="E432" s="11" t="s">
        <x:v>126</x:v>
      </x:c>
      <x:c r="F432" s="15"/>
      <x:c r="G432" s="15"/>
    </x:row>
    <x:row r="433" spans="1:7" x14ac:dyDescent="0.3">
      <x:c r="B433" s="12">
        <x:v>7676846400</x:v>
      </x:c>
      <x:c r="C433" s="12">
        <x:v>7676847400</x:v>
      </x:c>
      <x:c r="D433" s="11" t="s">
        <x:v>137</x:v>
      </x:c>
      <x:c r="E433" s="11" t="s">
        <x:v>126</x:v>
      </x:c>
      <x:c r="F433" s="15"/>
      <x:c r="G433" s="15"/>
    </x:row>
    <x:row r="434" spans="1:7" x14ac:dyDescent="0.3">
      <x:c r="B434" s="12">
        <x:v>7676847500</x:v>
      </x:c>
      <x:c r="C434" s="12">
        <x:v>7676849900</x:v>
      </x:c>
      <x:c r="D434" s="11" t="s">
        <x:v>138</x:v>
      </x:c>
      <x:c r="E434" s="11" t="s">
        <x:v>126</x:v>
      </x:c>
      <x:c r="F434" s="15"/>
      <x:c r="G434" s="15"/>
    </x:row>
    <x:row r="435" spans="1:7" x14ac:dyDescent="0.3">
      <x:c r="B435" s="12">
        <x:v>7676850000</x:v>
      </x:c>
      <x:c r="C435" s="12">
        <x:v>7676850700</x:v>
      </x:c>
      <x:c r="D435" s="11" t="s">
        <x:v>137</x:v>
      </x:c>
      <x:c r="E435" s="11" t="s">
        <x:v>126</x:v>
      </x:c>
      <x:c r="F435" s="15"/>
      <x:c r="G435" s="15"/>
    </x:row>
    <x:row r="436" spans="1:7" x14ac:dyDescent="0.3">
      <x:c r="B436" s="12">
        <x:v>7676850800</x:v>
      </x:c>
      <x:c r="C436" s="12">
        <x:v>7676851100</x:v>
      </x:c>
      <x:c r="D436" s="11" t="s">
        <x:v>138</x:v>
      </x:c>
      <x:c r="E436" s="11" t="s">
        <x:v>126</x:v>
      </x:c>
      <x:c r="F436" s="15"/>
      <x:c r="G436" s="15"/>
    </x:row>
    <x:row r="437" spans="1:7" x14ac:dyDescent="0.3">
      <x:c r="B437" s="12">
        <x:v>7676851200</x:v>
      </x:c>
      <x:c r="C437" s="12">
        <x:v>7676852600</x:v>
      </x:c>
      <x:c r="D437" s="11" t="s">
        <x:v>137</x:v>
      </x:c>
      <x:c r="E437" s="11" t="s">
        <x:v>126</x:v>
      </x:c>
      <x:c r="F437" s="15"/>
      <x:c r="G437" s="15"/>
    </x:row>
    <x:row r="438" spans="1:7" x14ac:dyDescent="0.3">
      <x:c r="B438" s="12">
        <x:v>7676852700</x:v>
      </x:c>
      <x:c r="C438" s="12">
        <x:v>7676852800</x:v>
      </x:c>
      <x:c r="D438" s="11" t="s">
        <x:v>138</x:v>
      </x:c>
      <x:c r="E438" s="11" t="s">
        <x:v>126</x:v>
      </x:c>
      <x:c r="F438" s="15"/>
      <x:c r="G438" s="15"/>
    </x:row>
    <x:row r="439" spans="1:7" x14ac:dyDescent="0.3">
      <x:c r="B439" s="12">
        <x:v>7676852900</x:v>
      </x:c>
      <x:c r="C439" s="12">
        <x:v>7676853500</x:v>
      </x:c>
      <x:c r="D439" s="11" t="s">
        <x:v>137</x:v>
      </x:c>
      <x:c r="E439" s="11" t="s">
        <x:v>126</x:v>
      </x:c>
      <x:c r="F439" s="15"/>
      <x:c r="G439" s="15"/>
    </x:row>
    <x:row r="440" spans="1:7" x14ac:dyDescent="0.3">
      <x:c r="B440" s="12">
        <x:v>7676853600</x:v>
      </x:c>
      <x:c r="C440" s="12">
        <x:v>7676853600</x:v>
      </x:c>
      <x:c r="D440" s="11" t="s">
        <x:v>138</x:v>
      </x:c>
      <x:c r="E440" s="11" t="s">
        <x:v>126</x:v>
      </x:c>
      <x:c r="F440" s="15"/>
      <x:c r="G440" s="15"/>
    </x:row>
    <x:row r="441" spans="1:7" x14ac:dyDescent="0.3">
      <x:c r="B441" s="12">
        <x:v>7676853700</x:v>
      </x:c>
      <x:c r="C441" s="12">
        <x:v>7676862200</x:v>
      </x:c>
      <x:c r="D441" s="11" t="s">
        <x:v>137</x:v>
      </x:c>
      <x:c r="E441" s="11" t="s">
        <x:v>126</x:v>
      </x:c>
      <x:c r="F441" s="15"/>
      <x:c r="G441" s="15"/>
    </x:row>
    <x:row r="442" spans="1:7" x14ac:dyDescent="0.3">
      <x:c r="B442" s="12">
        <x:v>7676862300</x:v>
      </x:c>
      <x:c r="C442" s="12">
        <x:v>7676862900</x:v>
      </x:c>
      <x:c r="D442" s="11" t="s">
        <x:v>138</x:v>
      </x:c>
      <x:c r="E442" s="11" t="s">
        <x:v>126</x:v>
      </x:c>
      <x:c r="F442" s="15"/>
      <x:c r="G442" s="15"/>
    </x:row>
    <x:row r="443" spans="1:7" x14ac:dyDescent="0.3">
      <x:c r="B443" s="12">
        <x:v>7676863000</x:v>
      </x:c>
      <x:c r="C443" s="12">
        <x:v>7676863700</x:v>
      </x:c>
      <x:c r="D443" s="11" t="s">
        <x:v>137</x:v>
      </x:c>
      <x:c r="E443" s="11" t="s">
        <x:v>126</x:v>
      </x:c>
      <x:c r="F443" s="15"/>
      <x:c r="G443" s="15"/>
    </x:row>
    <x:row r="444" spans="1:7" x14ac:dyDescent="0.3">
      <x:c r="B444" s="12">
        <x:v>7676863800</x:v>
      </x:c>
      <x:c r="C444" s="12">
        <x:v>7676864000</x:v>
      </x:c>
      <x:c r="D444" s="11" t="s">
        <x:v>138</x:v>
      </x:c>
      <x:c r="E444" s="11" t="s">
        <x:v>126</x:v>
      </x:c>
      <x:c r="F444" s="15"/>
      <x:c r="G444" s="15"/>
    </x:row>
    <x:row r="445" spans="1:7" x14ac:dyDescent="0.3">
      <x:c r="B445" s="12">
        <x:v>7676864100</x:v>
      </x:c>
      <x:c r="C445" s="12">
        <x:v>7676864100</x:v>
      </x:c>
      <x:c r="D445" s="11" t="s">
        <x:v>137</x:v>
      </x:c>
      <x:c r="E445" s="11" t="s">
        <x:v>126</x:v>
      </x:c>
      <x:c r="F445" s="15"/>
      <x:c r="G445" s="15"/>
    </x:row>
    <x:row r="446" spans="1:7" x14ac:dyDescent="0.3">
      <x:c r="B446" s="12">
        <x:v>7676864200</x:v>
      </x:c>
      <x:c r="C446" s="12">
        <x:v>7676864400</x:v>
      </x:c>
      <x:c r="D446" s="11" t="s">
        <x:v>138</x:v>
      </x:c>
      <x:c r="E446" s="11" t="s">
        <x:v>126</x:v>
      </x:c>
      <x:c r="F446" s="15"/>
      <x:c r="G446" s="15"/>
    </x:row>
    <x:row r="447" spans="1:7" x14ac:dyDescent="0.3">
      <x:c r="B447" s="12">
        <x:v>7676864500</x:v>
      </x:c>
      <x:c r="C447" s="12">
        <x:v>7676870300</x:v>
      </x:c>
      <x:c r="D447" s="11" t="s">
        <x:v>137</x:v>
      </x:c>
      <x:c r="E447" s="11" t="s">
        <x:v>126</x:v>
      </x:c>
      <x:c r="F447" s="15"/>
      <x:c r="G447" s="15"/>
    </x:row>
    <x:row r="448" spans="1:7" x14ac:dyDescent="0.3">
      <x:c r="B448" s="12">
        <x:v>7676870400</x:v>
      </x:c>
      <x:c r="C448" s="12">
        <x:v>7676871500</x:v>
      </x:c>
      <x:c r="D448" s="11" t="s">
        <x:v>138</x:v>
      </x:c>
      <x:c r="E448" s="11" t="s">
        <x:v>126</x:v>
      </x:c>
      <x:c r="F448" s="15"/>
      <x:c r="G448" s="15"/>
    </x:row>
    <x:row r="449" spans="1:7" x14ac:dyDescent="0.3">
      <x:c r="B449" s="12">
        <x:v>7676871600</x:v>
      </x:c>
      <x:c r="C449" s="12">
        <x:v>7676871700</x:v>
      </x:c>
      <x:c r="D449" s="11" t="s">
        <x:v>137</x:v>
      </x:c>
      <x:c r="E449" s="11" t="s">
        <x:v>126</x:v>
      </x:c>
      <x:c r="F449" s="15"/>
      <x:c r="G449" s="15"/>
    </x:row>
    <x:row r="450" spans="1:7" x14ac:dyDescent="0.3">
      <x:c r="B450" s="12">
        <x:v>7676871800</x:v>
      </x:c>
      <x:c r="C450" s="12">
        <x:v>7676872000</x:v>
      </x:c>
      <x:c r="D450" s="11" t="s">
        <x:v>138</x:v>
      </x:c>
      <x:c r="E450" s="11" t="s">
        <x:v>126</x:v>
      </x:c>
      <x:c r="F450" s="15"/>
      <x:c r="G450" s="15"/>
    </x:row>
    <x:row r="451" spans="1:7" x14ac:dyDescent="0.3">
      <x:c r="B451" s="12">
        <x:v>7676872100</x:v>
      </x:c>
      <x:c r="C451" s="12">
        <x:v>7676879900</x:v>
      </x:c>
      <x:c r="D451" s="11" t="s">
        <x:v>137</x:v>
      </x:c>
      <x:c r="E451" s="11" t="s">
        <x:v>126</x:v>
      </x:c>
      <x:c r="F451" s="15"/>
      <x:c r="G451" s="15"/>
    </x:row>
    <x:row r="452" spans="1:7" x14ac:dyDescent="0.3">
      <x:c r="B452" s="12">
        <x:v>7676880000</x:v>
      </x:c>
      <x:c r="C452" s="12">
        <x:v>7676880100</x:v>
      </x:c>
      <x:c r="D452" s="11" t="s">
        <x:v>138</x:v>
      </x:c>
      <x:c r="E452" s="11" t="s">
        <x:v>126</x:v>
      </x:c>
      <x:c r="F452" s="15"/>
      <x:c r="G452" s="15"/>
    </x:row>
    <x:row r="453" spans="1:7" x14ac:dyDescent="0.3">
      <x:c r="B453" s="12">
        <x:v>7676880200</x:v>
      </x:c>
      <x:c r="C453" s="12">
        <x:v>7676898400</x:v>
      </x:c>
      <x:c r="D453" s="11" t="s">
        <x:v>137</x:v>
      </x:c>
      <x:c r="E453" s="11" t="s">
        <x:v>126</x:v>
      </x:c>
      <x:c r="F453" s="15"/>
      <x:c r="G453" s="15"/>
    </x:row>
    <x:row r="454" spans="1:7" x14ac:dyDescent="0.3">
      <x:c r="B454" s="12">
        <x:v>7676898500</x:v>
      </x:c>
      <x:c r="C454" s="12">
        <x:v>7676898600</x:v>
      </x:c>
      <x:c r="D454" s="11" t="s">
        <x:v>138</x:v>
      </x:c>
      <x:c r="E454" s="11" t="s">
        <x:v>126</x:v>
      </x:c>
      <x:c r="F454" s="15"/>
      <x:c r="G454" s="15"/>
    </x:row>
    <x:row r="455" spans="1:7" x14ac:dyDescent="0.3">
      <x:c r="B455" s="12">
        <x:v>7676898700</x:v>
      </x:c>
      <x:c r="C455" s="12">
        <x:v>7676902600</x:v>
      </x:c>
      <x:c r="D455" s="11" t="s">
        <x:v>137</x:v>
      </x:c>
      <x:c r="E455" s="11" t="s">
        <x:v>126</x:v>
      </x:c>
      <x:c r="F455" s="15"/>
      <x:c r="G455" s="15"/>
    </x:row>
    <x:row r="456" spans="1:7" x14ac:dyDescent="0.3">
      <x:c r="B456" s="12">
        <x:v>7676902700</x:v>
      </x:c>
      <x:c r="C456" s="12">
        <x:v>7676902700</x:v>
      </x:c>
      <x:c r="D456" s="11" t="s">
        <x:v>138</x:v>
      </x:c>
      <x:c r="E456" s="11" t="s">
        <x:v>126</x:v>
      </x:c>
      <x:c r="F456" s="15"/>
      <x:c r="G456" s="15"/>
    </x:row>
    <x:row r="457" spans="1:7" x14ac:dyDescent="0.3">
      <x:c r="B457" s="12">
        <x:v>7676902800</x:v>
      </x:c>
      <x:c r="C457" s="12">
        <x:v>7676909500</x:v>
      </x:c>
      <x:c r="D457" s="11" t="s">
        <x:v>137</x:v>
      </x:c>
      <x:c r="E457" s="11" t="s">
        <x:v>126</x:v>
      </x:c>
      <x:c r="F457" s="15"/>
      <x:c r="G457" s="15"/>
    </x:row>
    <x:row r="458" spans="1:7" x14ac:dyDescent="0.3">
      <x:c r="B458" s="12">
        <x:v>7676909600</x:v>
      </x:c>
      <x:c r="C458" s="12">
        <x:v>7676909600</x:v>
      </x:c>
      <x:c r="D458" s="11" t="s">
        <x:v>138</x:v>
      </x:c>
      <x:c r="E458" s="11" t="s">
        <x:v>126</x:v>
      </x:c>
      <x:c r="F458" s="15"/>
      <x:c r="G458" s="15"/>
    </x:row>
    <x:row r="459" spans="1:7" x14ac:dyDescent="0.3">
      <x:c r="B459" s="12">
        <x:v>7676909700</x:v>
      </x:c>
      <x:c r="C459" s="12">
        <x:v>7676910300</x:v>
      </x:c>
      <x:c r="D459" s="11" t="s">
        <x:v>137</x:v>
      </x:c>
      <x:c r="E459" s="11" t="s">
        <x:v>126</x:v>
      </x:c>
      <x:c r="F459" s="15"/>
      <x:c r="G459" s="15"/>
    </x:row>
    <x:row r="460" spans="1:7" x14ac:dyDescent="0.3">
      <x:c r="B460" s="12">
        <x:v>7676910400</x:v>
      </x:c>
      <x:c r="C460" s="12">
        <x:v>7676911100</x:v>
      </x:c>
      <x:c r="D460" s="11" t="s">
        <x:v>138</x:v>
      </x:c>
      <x:c r="E460" s="11" t="s">
        <x:v>126</x:v>
      </x:c>
      <x:c r="F460" s="15"/>
      <x:c r="G460" s="15"/>
    </x:row>
    <x:row r="461" spans="1:7" x14ac:dyDescent="0.3">
      <x:c r="B461" s="12">
        <x:v>7676911200</x:v>
      </x:c>
      <x:c r="C461" s="12">
        <x:v>7676918600</x:v>
      </x:c>
      <x:c r="D461" s="11" t="s">
        <x:v>137</x:v>
      </x:c>
      <x:c r="E461" s="11" t="s">
        <x:v>126</x:v>
      </x:c>
      <x:c r="F461" s="15"/>
      <x:c r="G461" s="15"/>
    </x:row>
    <x:row r="462" spans="1:7" x14ac:dyDescent="0.3">
      <x:c r="B462" s="12">
        <x:v>7676918700</x:v>
      </x:c>
      <x:c r="C462" s="12">
        <x:v>7676919100</x:v>
      </x:c>
      <x:c r="D462" s="11" t="s">
        <x:v>138</x:v>
      </x:c>
      <x:c r="E462" s="11" t="s">
        <x:v>126</x:v>
      </x:c>
      <x:c r="F462" s="15"/>
      <x:c r="G462" s="15"/>
    </x:row>
    <x:row r="463" spans="1:7" x14ac:dyDescent="0.3">
      <x:c r="B463" s="12">
        <x:v>7676919200</x:v>
      </x:c>
      <x:c r="C463" s="12">
        <x:v>7676919600</x:v>
      </x:c>
      <x:c r="D463" s="11" t="s">
        <x:v>137</x:v>
      </x:c>
      <x:c r="E463" s="11" t="s">
        <x:v>126</x:v>
      </x:c>
      <x:c r="F463" s="15"/>
      <x:c r="G463" s="15"/>
    </x:row>
    <x:row r="464" spans="1:7" x14ac:dyDescent="0.3">
      <x:c r="B464" s="12">
        <x:v>7676919700</x:v>
      </x:c>
      <x:c r="C464" s="12">
        <x:v>7676919900</x:v>
      </x:c>
      <x:c r="D464" s="11" t="s">
        <x:v>138</x:v>
      </x:c>
      <x:c r="E464" s="11" t="s">
        <x:v>126</x:v>
      </x:c>
      <x:c r="F464" s="15"/>
      <x:c r="G464" s="15"/>
    </x:row>
    <x:row r="465" spans="1:7" x14ac:dyDescent="0.3">
      <x:c r="B465" s="12">
        <x:v>7676920000</x:v>
      </x:c>
      <x:c r="C465" s="12">
        <x:v>7676922500</x:v>
      </x:c>
      <x:c r="D465" s="11" t="s">
        <x:v>137</x:v>
      </x:c>
      <x:c r="E465" s="11" t="s">
        <x:v>126</x:v>
      </x:c>
      <x:c r="F465" s="15"/>
      <x:c r="G465" s="15"/>
    </x:row>
    <x:row r="466" spans="1:7" x14ac:dyDescent="0.3">
      <x:c r="B466" s="12">
        <x:v>7676922600</x:v>
      </x:c>
      <x:c r="C466" s="12">
        <x:v>7676922700</x:v>
      </x:c>
      <x:c r="D466" s="11" t="s">
        <x:v>138</x:v>
      </x:c>
      <x:c r="E466" s="11" t="s">
        <x:v>126</x:v>
      </x:c>
      <x:c r="F466" s="15"/>
      <x:c r="G466" s="15"/>
    </x:row>
    <x:row r="467" spans="1:7" x14ac:dyDescent="0.3">
      <x:c r="B467" s="12">
        <x:v>7676922800</x:v>
      </x:c>
      <x:c r="C467" s="12">
        <x:v>7676927200</x:v>
      </x:c>
      <x:c r="D467" s="11" t="s">
        <x:v>137</x:v>
      </x:c>
      <x:c r="E467" s="11" t="s">
        <x:v>126</x:v>
      </x:c>
      <x:c r="F467" s="15"/>
      <x:c r="G467" s="15"/>
    </x:row>
    <x:row r="468" spans="1:7" x14ac:dyDescent="0.3">
      <x:c r="B468" s="12">
        <x:v>7676927300</x:v>
      </x:c>
      <x:c r="C468" s="12">
        <x:v>7676927600</x:v>
      </x:c>
      <x:c r="D468" s="11" t="s">
        <x:v>138</x:v>
      </x:c>
      <x:c r="E468" s="11" t="s">
        <x:v>126</x:v>
      </x:c>
      <x:c r="F468" s="15"/>
      <x:c r="G468" s="15"/>
    </x:row>
    <x:row r="469" spans="1:7" x14ac:dyDescent="0.3">
      <x:c r="B469" s="12">
        <x:v>7676927700</x:v>
      </x:c>
      <x:c r="C469" s="12">
        <x:v>7676932600</x:v>
      </x:c>
      <x:c r="D469" s="11" t="s">
        <x:v>137</x:v>
      </x:c>
      <x:c r="E469" s="11" t="s">
        <x:v>126</x:v>
      </x:c>
      <x:c r="F469" s="15"/>
      <x:c r="G469" s="15"/>
    </x:row>
    <x:row r="470" spans="1:7" x14ac:dyDescent="0.3">
      <x:c r="B470" s="12">
        <x:v>7676932700</x:v>
      </x:c>
      <x:c r="C470" s="12">
        <x:v>7676932900</x:v>
      </x:c>
      <x:c r="D470" s="11" t="s">
        <x:v>138</x:v>
      </x:c>
      <x:c r="E470" s="11" t="s">
        <x:v>126</x:v>
      </x:c>
      <x:c r="F470" s="15"/>
      <x:c r="G470" s="15"/>
    </x:row>
    <x:row r="471" spans="1:7" x14ac:dyDescent="0.3">
      <x:c r="B471" s="12">
        <x:v>7676933000</x:v>
      </x:c>
      <x:c r="C471" s="12">
        <x:v>7676940000</x:v>
      </x:c>
      <x:c r="D471" s="11" t="s">
        <x:v>137</x:v>
      </x:c>
      <x:c r="E471" s="11" t="s">
        <x:v>126</x:v>
      </x:c>
      <x:c r="F471" s="15"/>
      <x:c r="G471" s="15"/>
    </x:row>
    <x:row r="472" spans="1:7" x14ac:dyDescent="0.3">
      <x:c r="B472" s="12">
        <x:v>7676940100</x:v>
      </x:c>
      <x:c r="C472" s="12">
        <x:v>7676940600</x:v>
      </x:c>
      <x:c r="D472" s="11" t="s">
        <x:v>138</x:v>
      </x:c>
      <x:c r="E472" s="11" t="s">
        <x:v>126</x:v>
      </x:c>
      <x:c r="F472" s="15"/>
      <x:c r="G472" s="15"/>
    </x:row>
    <x:row r="473" spans="1:7" x14ac:dyDescent="0.3">
      <x:c r="B473" s="12">
        <x:v>7676940700</x:v>
      </x:c>
      <x:c r="C473" s="12">
        <x:v>7676945000</x:v>
      </x:c>
      <x:c r="D473" s="11" t="s">
        <x:v>137</x:v>
      </x:c>
      <x:c r="E473" s="11" t="s">
        <x:v>126</x:v>
      </x:c>
      <x:c r="F473" s="15"/>
      <x:c r="G473" s="15"/>
    </x:row>
    <x:row r="474" spans="1:7" x14ac:dyDescent="0.3">
      <x:c r="B474" s="12">
        <x:v>7676945100</x:v>
      </x:c>
      <x:c r="C474" s="12">
        <x:v>7676945400</x:v>
      </x:c>
      <x:c r="D474" s="11" t="s">
        <x:v>138</x:v>
      </x:c>
      <x:c r="E474" s="11" t="s">
        <x:v>126</x:v>
      </x:c>
      <x:c r="F474" s="15"/>
      <x:c r="G474" s="15"/>
    </x:row>
    <x:row r="475" spans="1:7" x14ac:dyDescent="0.3">
      <x:c r="B475" s="12">
        <x:v>7676945500</x:v>
      </x:c>
      <x:c r="C475" s="12">
        <x:v>7676954300</x:v>
      </x:c>
      <x:c r="D475" s="11" t="s">
        <x:v>137</x:v>
      </x:c>
      <x:c r="E475" s="11" t="s">
        <x:v>126</x:v>
      </x:c>
      <x:c r="F475" s="15"/>
      <x:c r="G475" s="15"/>
    </x:row>
    <x:row r="476" spans="1:7" x14ac:dyDescent="0.3">
      <x:c r="B476" s="12">
        <x:v>7676954400</x:v>
      </x:c>
      <x:c r="C476" s="12">
        <x:v>7676954500</x:v>
      </x:c>
      <x:c r="D476" s="11" t="s">
        <x:v>138</x:v>
      </x:c>
      <x:c r="E476" s="11" t="s">
        <x:v>126</x:v>
      </x:c>
      <x:c r="F476" s="15"/>
      <x:c r="G476" s="15"/>
    </x:row>
    <x:row r="477" spans="1:7" x14ac:dyDescent="0.3">
      <x:c r="B477" s="12">
        <x:v>7676954600</x:v>
      </x:c>
      <x:c r="C477" s="12">
        <x:v>7676988000</x:v>
      </x:c>
      <x:c r="D477" s="11" t="s">
        <x:v>137</x:v>
      </x:c>
      <x:c r="E477" s="11" t="s">
        <x:v>126</x:v>
      </x:c>
      <x:c r="F477" s="15"/>
      <x:c r="G477" s="15"/>
    </x:row>
    <x:row r="478" spans="1:7" x14ac:dyDescent="0.3">
      <x:c r="B478" s="12">
        <x:v>7676988100</x:v>
      </x:c>
      <x:c r="C478" s="12">
        <x:v>7676988100</x:v>
      </x:c>
      <x:c r="D478" s="11" t="s">
        <x:v>138</x:v>
      </x:c>
      <x:c r="E478" s="11" t="s">
        <x:v>126</x:v>
      </x:c>
      <x:c r="F478" s="15"/>
      <x:c r="G478" s="15"/>
    </x:row>
    <x:row r="479" spans="1:7" x14ac:dyDescent="0.3">
      <x:c r="B479" s="12">
        <x:v>7676988200</x:v>
      </x:c>
      <x:c r="C479" s="12">
        <x:v>7677008700</x:v>
      </x:c>
      <x:c r="D479" s="11" t="s">
        <x:v>137</x:v>
      </x:c>
      <x:c r="E479" s="11" t="s">
        <x:v>126</x:v>
      </x:c>
      <x:c r="F479" s="15"/>
      <x:c r="G479" s="15"/>
    </x:row>
    <x:row r="480" spans="1:7" x14ac:dyDescent="0.3">
      <x:c r="B480" s="12">
        <x:v>7677008800</x:v>
      </x:c>
      <x:c r="C480" s="12">
        <x:v>7677009000</x:v>
      </x:c>
      <x:c r="D480" s="11" t="s">
        <x:v>138</x:v>
      </x:c>
      <x:c r="E480" s="11" t="s">
        <x:v>126</x:v>
      </x:c>
      <x:c r="F480" s="15"/>
      <x:c r="G480" s="15"/>
    </x:row>
    <x:row r="481" spans="1:7" x14ac:dyDescent="0.3">
      <x:c r="B481" s="12">
        <x:v>7677009100</x:v>
      </x:c>
      <x:c r="C481" s="12">
        <x:v>7677029200</x:v>
      </x:c>
      <x:c r="D481" s="11" t="s">
        <x:v>137</x:v>
      </x:c>
      <x:c r="E481" s="11" t="s">
        <x:v>126</x:v>
      </x:c>
      <x:c r="F481" s="15"/>
      <x:c r="G481" s="15"/>
    </x:row>
    <x:row r="482" spans="1:7" x14ac:dyDescent="0.3">
      <x:c r="B482" s="12">
        <x:v>7677029300</x:v>
      </x:c>
      <x:c r="C482" s="12">
        <x:v>7677030500</x:v>
      </x:c>
      <x:c r="D482" s="11" t="s">
        <x:v>138</x:v>
      </x:c>
      <x:c r="E482" s="11" t="s">
        <x:v>126</x:v>
      </x:c>
      <x:c r="F482" s="15"/>
      <x:c r="G482" s="15"/>
    </x:row>
    <x:row r="483" spans="1:7" x14ac:dyDescent="0.3">
      <x:c r="B483" s="12">
        <x:v>7677030600</x:v>
      </x:c>
      <x:c r="C483" s="12">
        <x:v>7677040000</x:v>
      </x:c>
      <x:c r="D483" s="11" t="s">
        <x:v>137</x:v>
      </x:c>
      <x:c r="E483" s="11" t="s">
        <x:v>126</x:v>
      </x:c>
      <x:c r="F483" s="15"/>
      <x:c r="G483" s="15"/>
    </x:row>
    <x:row r="484" spans="1:7" x14ac:dyDescent="0.3">
      <x:c r="B484" s="12">
        <x:v>7677040100</x:v>
      </x:c>
      <x:c r="C484" s="12">
        <x:v>7677040100</x:v>
      </x:c>
      <x:c r="D484" s="11" t="s">
        <x:v>138</x:v>
      </x:c>
      <x:c r="E484" s="11" t="s">
        <x:v>126</x:v>
      </x:c>
      <x:c r="F484" s="15"/>
      <x:c r="G484" s="15"/>
    </x:row>
    <x:row r="485" spans="1:7" x14ac:dyDescent="0.3">
      <x:c r="B485" s="12">
        <x:v>7677040200</x:v>
      </x:c>
      <x:c r="C485" s="12">
        <x:v>7677040400</x:v>
      </x:c>
      <x:c r="D485" s="11" t="s">
        <x:v>137</x:v>
      </x:c>
      <x:c r="E485" s="11" t="s">
        <x:v>126</x:v>
      </x:c>
      <x:c r="F485" s="15"/>
      <x:c r="G485" s="15"/>
    </x:row>
    <x:row r="486" spans="1:7" x14ac:dyDescent="0.3">
      <x:c r="B486" s="12">
        <x:v>7677040500</x:v>
      </x:c>
      <x:c r="C486" s="12">
        <x:v>7677040500</x:v>
      </x:c>
      <x:c r="D486" s="11" t="s">
        <x:v>138</x:v>
      </x:c>
      <x:c r="E486" s="11" t="s">
        <x:v>126</x:v>
      </x:c>
      <x:c r="F486" s="15"/>
      <x:c r="G486" s="15"/>
    </x:row>
    <x:row r="487" spans="1:7" x14ac:dyDescent="0.3">
      <x:c r="B487" s="12">
        <x:v>7677040600</x:v>
      </x:c>
      <x:c r="C487" s="12">
        <x:v>7677042300</x:v>
      </x:c>
      <x:c r="D487" s="11" t="s">
        <x:v>137</x:v>
      </x:c>
      <x:c r="E487" s="11" t="s">
        <x:v>126</x:v>
      </x:c>
      <x:c r="F487" s="15"/>
      <x:c r="G487" s="15"/>
    </x:row>
    <x:row r="488" spans="1:7" x14ac:dyDescent="0.3">
      <x:c r="B488" s="12">
        <x:v>7677042400</x:v>
      </x:c>
      <x:c r="C488" s="12">
        <x:v>7677042500</x:v>
      </x:c>
      <x:c r="D488" s="11" t="s">
        <x:v>138</x:v>
      </x:c>
      <x:c r="E488" s="11" t="s">
        <x:v>126</x:v>
      </x:c>
      <x:c r="F488" s="15"/>
      <x:c r="G488" s="15"/>
    </x:row>
    <x:row r="489" spans="1:7" x14ac:dyDescent="0.3">
      <x:c r="B489" s="12">
        <x:v>7677042600</x:v>
      </x:c>
      <x:c r="C489" s="12">
        <x:v>7677050800</x:v>
      </x:c>
      <x:c r="D489" s="11" t="s">
        <x:v>137</x:v>
      </x:c>
      <x:c r="E489" s="11" t="s">
        <x:v>126</x:v>
      </x:c>
      <x:c r="F489" s="15"/>
      <x:c r="G489" s="15"/>
    </x:row>
    <x:row r="490" spans="1:7" x14ac:dyDescent="0.3">
      <x:c r="B490" s="12">
        <x:v>7677050900</x:v>
      </x:c>
      <x:c r="C490" s="12">
        <x:v>7677051000</x:v>
      </x:c>
      <x:c r="D490" s="11" t="s">
        <x:v>138</x:v>
      </x:c>
      <x:c r="E490" s="11" t="s">
        <x:v>126</x:v>
      </x:c>
      <x:c r="F490" s="15"/>
      <x:c r="G490" s="15"/>
    </x:row>
    <x:row r="491" spans="1:7" x14ac:dyDescent="0.3">
      <x:c r="B491" s="12">
        <x:v>7677051100</x:v>
      </x:c>
      <x:c r="C491" s="12">
        <x:v>7677053300</x:v>
      </x:c>
      <x:c r="D491" s="11" t="s">
        <x:v>137</x:v>
      </x:c>
      <x:c r="E491" s="11" t="s">
        <x:v>126</x:v>
      </x:c>
      <x:c r="F491" s="15"/>
      <x:c r="G491" s="15"/>
    </x:row>
    <x:row r="492" spans="1:7" x14ac:dyDescent="0.3">
      <x:c r="B492" s="12">
        <x:v>7677053400</x:v>
      </x:c>
      <x:c r="C492" s="12">
        <x:v>7677053500</x:v>
      </x:c>
      <x:c r="D492" s="11" t="s">
        <x:v>138</x:v>
      </x:c>
      <x:c r="E492" s="11" t="s">
        <x:v>126</x:v>
      </x:c>
      <x:c r="F492" s="15"/>
      <x:c r="G492" s="15"/>
    </x:row>
    <x:row r="493" spans="1:7" x14ac:dyDescent="0.3">
      <x:c r="B493" s="12">
        <x:v>7677053600</x:v>
      </x:c>
      <x:c r="C493" s="12">
        <x:v>7677054200</x:v>
      </x:c>
      <x:c r="D493" s="11" t="s">
        <x:v>137</x:v>
      </x:c>
      <x:c r="E493" s="11" t="s">
        <x:v>126</x:v>
      </x:c>
      <x:c r="F493" s="15"/>
      <x:c r="G493" s="15"/>
    </x:row>
    <x:row r="494" spans="1:7" x14ac:dyDescent="0.3">
      <x:c r="B494" s="12">
        <x:v>7677054300</x:v>
      </x:c>
      <x:c r="C494" s="12">
        <x:v>7677054300</x:v>
      </x:c>
      <x:c r="D494" s="11" t="s">
        <x:v>138</x:v>
      </x:c>
      <x:c r="E494" s="11" t="s">
        <x:v>126</x:v>
      </x:c>
      <x:c r="F494" s="15"/>
      <x:c r="G494" s="15"/>
    </x:row>
    <x:row r="495" spans="1:7" x14ac:dyDescent="0.3">
      <x:c r="B495" s="12">
        <x:v>7677054400</x:v>
      </x:c>
      <x:c r="C495" s="12">
        <x:v>7677054500</x:v>
      </x:c>
      <x:c r="D495" s="11" t="s">
        <x:v>137</x:v>
      </x:c>
      <x:c r="E495" s="11" t="s">
        <x:v>126</x:v>
      </x:c>
      <x:c r="F495" s="15"/>
      <x:c r="G495" s="15"/>
    </x:row>
    <x:row r="496" spans="1:7" x14ac:dyDescent="0.3">
      <x:c r="B496" s="12">
        <x:v>7677054600</x:v>
      </x:c>
      <x:c r="C496" s="12">
        <x:v>7677054700</x:v>
      </x:c>
      <x:c r="D496" s="11" t="s">
        <x:v>138</x:v>
      </x:c>
      <x:c r="E496" s="11" t="s">
        <x:v>126</x:v>
      </x:c>
      <x:c r="F496" s="15"/>
      <x:c r="G496" s="15"/>
    </x:row>
    <x:row r="497" spans="1:7" x14ac:dyDescent="0.3">
      <x:c r="B497" s="12">
        <x:v>7677054800</x:v>
      </x:c>
      <x:c r="C497" s="12">
        <x:v>7677056900</x:v>
      </x:c>
      <x:c r="D497" s="11" t="s">
        <x:v>137</x:v>
      </x:c>
      <x:c r="E497" s="11" t="s">
        <x:v>126</x:v>
      </x:c>
      <x:c r="F497" s="15"/>
      <x:c r="G497" s="15"/>
    </x:row>
    <x:row r="498" spans="1:7" x14ac:dyDescent="0.3">
      <x:c r="B498" s="12">
        <x:v>7677057000</x:v>
      </x:c>
      <x:c r="C498" s="12">
        <x:v>7677058300</x:v>
      </x:c>
      <x:c r="D498" s="11" t="s">
        <x:v>138</x:v>
      </x:c>
      <x:c r="E498" s="11" t="s">
        <x:v>126</x:v>
      </x:c>
      <x:c r="F498" s="15"/>
      <x:c r="G498" s="15"/>
    </x:row>
    <x:row r="499" spans="1:7" x14ac:dyDescent="0.3">
      <x:c r="B499" s="12">
        <x:v>7677058400</x:v>
      </x:c>
      <x:c r="C499" s="12">
        <x:v>7677061900</x:v>
      </x:c>
      <x:c r="D499" s="11" t="s">
        <x:v>137</x:v>
      </x:c>
      <x:c r="E499" s="11" t="s">
        <x:v>126</x:v>
      </x:c>
      <x:c r="F499" s="15"/>
      <x:c r="G499" s="15"/>
    </x:row>
    <x:row r="500" spans="1:7" x14ac:dyDescent="0.3">
      <x:c r="B500" s="12">
        <x:v>7677062000</x:v>
      </x:c>
      <x:c r="C500" s="12">
        <x:v>7677062600</x:v>
      </x:c>
      <x:c r="D500" s="11" t="s">
        <x:v>138</x:v>
      </x:c>
      <x:c r="E500" s="11" t="s">
        <x:v>126</x:v>
      </x:c>
      <x:c r="F500" s="15"/>
      <x:c r="G500" s="15"/>
    </x:row>
    <x:row r="501" spans="1:7" x14ac:dyDescent="0.3">
      <x:c r="B501" s="12">
        <x:v>7677062700</x:v>
      </x:c>
      <x:c r="C501" s="12">
        <x:v>7677084400</x:v>
      </x:c>
      <x:c r="D501" s="11" t="s">
        <x:v>137</x:v>
      </x:c>
      <x:c r="E501" s="11" t="s">
        <x:v>126</x:v>
      </x:c>
      <x:c r="F501" s="15"/>
      <x:c r="G501" s="15"/>
    </x:row>
    <x:row r="502" spans="1:7" x14ac:dyDescent="0.3">
      <x:c r="B502" s="12">
        <x:v>7677084500</x:v>
      </x:c>
      <x:c r="C502" s="12">
        <x:v>7677084500</x:v>
      </x:c>
      <x:c r="D502" s="11" t="s">
        <x:v>138</x:v>
      </x:c>
      <x:c r="E502" s="11" t="s">
        <x:v>126</x:v>
      </x:c>
      <x:c r="F502" s="15"/>
      <x:c r="G502" s="15"/>
    </x:row>
    <x:row r="503" spans="1:7" x14ac:dyDescent="0.3">
      <x:c r="B503" s="12">
        <x:v>7677084600</x:v>
      </x:c>
      <x:c r="C503" s="12">
        <x:v>7677086600</x:v>
      </x:c>
      <x:c r="D503" s="11" t="s">
        <x:v>137</x:v>
      </x:c>
      <x:c r="E503" s="11" t="s">
        <x:v>126</x:v>
      </x:c>
      <x:c r="F503" s="15"/>
      <x:c r="G503" s="15"/>
    </x:row>
    <x:row r="504" spans="1:7" x14ac:dyDescent="0.3">
      <x:c r="B504" s="12">
        <x:v>7677086700</x:v>
      </x:c>
      <x:c r="C504" s="12">
        <x:v>7677087000</x:v>
      </x:c>
      <x:c r="D504" s="11" t="s">
        <x:v>138</x:v>
      </x:c>
      <x:c r="E504" s="11" t="s">
        <x:v>126</x:v>
      </x:c>
      <x:c r="F504" s="15"/>
      <x:c r="G504" s="15"/>
    </x:row>
    <x:row r="505" spans="1:7" x14ac:dyDescent="0.3">
      <x:c r="B505" s="12">
        <x:v>7677087100</x:v>
      </x:c>
      <x:c r="C505" s="12">
        <x:v>7677087500</x:v>
      </x:c>
      <x:c r="D505" s="11" t="s">
        <x:v>137</x:v>
      </x:c>
      <x:c r="E505" s="11" t="s">
        <x:v>126</x:v>
      </x:c>
      <x:c r="F505" s="15"/>
      <x:c r="G505" s="15"/>
    </x:row>
    <x:row r="506" spans="1:7" x14ac:dyDescent="0.3">
      <x:c r="B506" s="12">
        <x:v>7677087600</x:v>
      </x:c>
      <x:c r="C506" s="12">
        <x:v>7677088300</x:v>
      </x:c>
      <x:c r="D506" s="11" t="s">
        <x:v>138</x:v>
      </x:c>
      <x:c r="E506" s="11" t="s">
        <x:v>126</x:v>
      </x:c>
      <x:c r="F506" s="15"/>
      <x:c r="G506" s="15"/>
    </x:row>
    <x:row r="507" spans="1:7" x14ac:dyDescent="0.3">
      <x:c r="B507" s="12">
        <x:v>7677088400</x:v>
      </x:c>
      <x:c r="C507" s="12">
        <x:v>7677089700</x:v>
      </x:c>
      <x:c r="D507" s="11" t="s">
        <x:v>137</x:v>
      </x:c>
      <x:c r="E507" s="11" t="s">
        <x:v>126</x:v>
      </x:c>
      <x:c r="F507" s="15"/>
      <x:c r="G507" s="15"/>
    </x:row>
    <x:row r="508" spans="1:7" x14ac:dyDescent="0.3">
      <x:c r="B508" s="12">
        <x:v>7677089800</x:v>
      </x:c>
      <x:c r="C508" s="12">
        <x:v>7677089900</x:v>
      </x:c>
      <x:c r="D508" s="11" t="s">
        <x:v>138</x:v>
      </x:c>
      <x:c r="E508" s="11" t="s">
        <x:v>126</x:v>
      </x:c>
      <x:c r="F508" s="15"/>
      <x:c r="G508" s="15"/>
    </x:row>
    <x:row r="509" spans="1:7" x14ac:dyDescent="0.3">
      <x:c r="B509" s="12">
        <x:v>7677090000</x:v>
      </x:c>
      <x:c r="C509" s="12">
        <x:v>7677090200</x:v>
      </x:c>
      <x:c r="D509" s="11" t="s">
        <x:v>137</x:v>
      </x:c>
      <x:c r="E509" s="11" t="s">
        <x:v>126</x:v>
      </x:c>
      <x:c r="F509" s="15"/>
      <x:c r="G509" s="15"/>
    </x:row>
    <x:row r="510" spans="1:7" x14ac:dyDescent="0.3">
      <x:c r="B510" s="12">
        <x:v>7677090300</x:v>
      </x:c>
      <x:c r="C510" s="12">
        <x:v>7677090600</x:v>
      </x:c>
      <x:c r="D510" s="11" t="s">
        <x:v>138</x:v>
      </x:c>
      <x:c r="E510" s="11" t="s">
        <x:v>126</x:v>
      </x:c>
      <x:c r="F510" s="15"/>
      <x:c r="G510" s="15"/>
    </x:row>
    <x:row r="511" spans="1:7" x14ac:dyDescent="0.3">
      <x:c r="B511" s="12">
        <x:v>7677090700</x:v>
      </x:c>
      <x:c r="C511" s="12">
        <x:v>7677092500</x:v>
      </x:c>
      <x:c r="D511" s="11" t="s">
        <x:v>137</x:v>
      </x:c>
      <x:c r="E511" s="11" t="s">
        <x:v>126</x:v>
      </x:c>
      <x:c r="F511" s="15"/>
      <x:c r="G511" s="15"/>
    </x:row>
    <x:row r="512" spans="1:7" x14ac:dyDescent="0.3">
      <x:c r="B512" s="12">
        <x:v>7677092600</x:v>
      </x:c>
      <x:c r="C512" s="12">
        <x:v>7677092800</x:v>
      </x:c>
      <x:c r="D512" s="11" t="s">
        <x:v>138</x:v>
      </x:c>
      <x:c r="E512" s="11" t="s">
        <x:v>126</x:v>
      </x:c>
      <x:c r="F512" s="15"/>
      <x:c r="G512" s="15"/>
    </x:row>
    <x:row r="513" spans="1:7" x14ac:dyDescent="0.3">
      <x:c r="B513" s="12">
        <x:v>7677092900</x:v>
      </x:c>
      <x:c r="C513" s="12">
        <x:v>7677096700</x:v>
      </x:c>
      <x:c r="D513" s="11" t="s">
        <x:v>137</x:v>
      </x:c>
      <x:c r="E513" s="11" t="s">
        <x:v>126</x:v>
      </x:c>
      <x:c r="F513" s="15"/>
      <x:c r="G513" s="15"/>
    </x:row>
    <x:row r="514" spans="1:7" x14ac:dyDescent="0.3">
      <x:c r="B514" s="12">
        <x:v>7677096800</x:v>
      </x:c>
      <x:c r="C514" s="12">
        <x:v>7677096800</x:v>
      </x:c>
      <x:c r="D514" s="11" t="s">
        <x:v>138</x:v>
      </x:c>
      <x:c r="E514" s="11" t="s">
        <x:v>126</x:v>
      </x:c>
      <x:c r="F514" s="15"/>
      <x:c r="G514" s="15"/>
    </x:row>
    <x:row r="515" spans="1:7" x14ac:dyDescent="0.3">
      <x:c r="B515" s="12">
        <x:v>7677096900</x:v>
      </x:c>
      <x:c r="C515" s="12">
        <x:v>7677100200</x:v>
      </x:c>
      <x:c r="D515" s="11" t="s">
        <x:v>137</x:v>
      </x:c>
      <x:c r="E515" s="11" t="s">
        <x:v>126</x:v>
      </x:c>
      <x:c r="F515" s="15"/>
      <x:c r="G515" s="15"/>
    </x:row>
    <x:row r="516" spans="1:7" x14ac:dyDescent="0.3">
      <x:c r="B516" s="12">
        <x:v>7677100300</x:v>
      </x:c>
      <x:c r="C516" s="12">
        <x:v>7677100300</x:v>
      </x:c>
      <x:c r="D516" s="11" t="s">
        <x:v>138</x:v>
      </x:c>
      <x:c r="E516" s="11" t="s">
        <x:v>126</x:v>
      </x:c>
      <x:c r="F516" s="15"/>
      <x:c r="G516" s="15"/>
    </x:row>
    <x:row r="517" spans="1:7" x14ac:dyDescent="0.3">
      <x:c r="B517" s="12">
        <x:v>7677100400</x:v>
      </x:c>
      <x:c r="C517" s="12">
        <x:v>7677102000</x:v>
      </x:c>
      <x:c r="D517" s="11" t="s">
        <x:v>137</x:v>
      </x:c>
      <x:c r="E517" s="11" t="s">
        <x:v>126</x:v>
      </x:c>
      <x:c r="F517" s="15"/>
      <x:c r="G517" s="15"/>
    </x:row>
    <x:row r="518" spans="1:7" x14ac:dyDescent="0.3">
      <x:c r="B518" s="12">
        <x:v>7677102100</x:v>
      </x:c>
      <x:c r="C518" s="12">
        <x:v>7677103800</x:v>
      </x:c>
      <x:c r="D518" s="11" t="s">
        <x:v>138</x:v>
      </x:c>
      <x:c r="E518" s="11" t="s">
        <x:v>126</x:v>
      </x:c>
      <x:c r="F518" s="15"/>
      <x:c r="G518" s="15"/>
    </x:row>
    <x:row r="519" spans="1:7" x14ac:dyDescent="0.3">
      <x:c r="B519" s="12">
        <x:v>7677103900</x:v>
      </x:c>
      <x:c r="C519" s="12">
        <x:v>7677105100</x:v>
      </x:c>
      <x:c r="D519" s="11" t="s">
        <x:v>137</x:v>
      </x:c>
      <x:c r="E519" s="11" t="s">
        <x:v>126</x:v>
      </x:c>
      <x:c r="F519" s="15"/>
      <x:c r="G519" s="15"/>
    </x:row>
    <x:row r="520" spans="1:7" x14ac:dyDescent="0.3">
      <x:c r="B520" s="12">
        <x:v>7677105200</x:v>
      </x:c>
      <x:c r="C520" s="12">
        <x:v>7677106200</x:v>
      </x:c>
      <x:c r="D520" s="11" t="s">
        <x:v>138</x:v>
      </x:c>
      <x:c r="E520" s="11" t="s">
        <x:v>126</x:v>
      </x:c>
      <x:c r="F520" s="15"/>
      <x:c r="G520" s="15"/>
    </x:row>
    <x:row r="521" spans="1:7" x14ac:dyDescent="0.3">
      <x:c r="B521" s="12">
        <x:v>7677106300</x:v>
      </x:c>
      <x:c r="C521" s="12">
        <x:v>7677107000</x:v>
      </x:c>
      <x:c r="D521" s="11" t="s">
        <x:v>137</x:v>
      </x:c>
      <x:c r="E521" s="11" t="s">
        <x:v>126</x:v>
      </x:c>
      <x:c r="F521" s="15"/>
      <x:c r="G521" s="15"/>
    </x:row>
    <x:row r="522" spans="1:7" x14ac:dyDescent="0.3">
      <x:c r="B522" s="12">
        <x:v>7677107100</x:v>
      </x:c>
      <x:c r="C522" s="12">
        <x:v>7677107300</x:v>
      </x:c>
      <x:c r="D522" s="11" t="s">
        <x:v>138</x:v>
      </x:c>
      <x:c r="E522" s="11" t="s">
        <x:v>126</x:v>
      </x:c>
      <x:c r="F522" s="15"/>
      <x:c r="G522" s="15"/>
    </x:row>
    <x:row r="523" spans="1:7" x14ac:dyDescent="0.3">
      <x:c r="B523" s="12">
        <x:v>7677107400</x:v>
      </x:c>
      <x:c r="C523" s="12">
        <x:v>7677128800</x:v>
      </x:c>
      <x:c r="D523" s="11" t="s">
        <x:v>137</x:v>
      </x:c>
      <x:c r="E523" s="11" t="s">
        <x:v>126</x:v>
      </x:c>
      <x:c r="F523" s="15"/>
      <x:c r="G523" s="15"/>
    </x:row>
    <x:row r="524" spans="1:7" x14ac:dyDescent="0.3">
      <x:c r="B524" s="12">
        <x:v>7677128900</x:v>
      </x:c>
      <x:c r="C524" s="12">
        <x:v>7677129700</x:v>
      </x:c>
      <x:c r="D524" s="11" t="s">
        <x:v>138</x:v>
      </x:c>
      <x:c r="E524" s="11" t="s">
        <x:v>126</x:v>
      </x:c>
      <x:c r="F524" s="15"/>
      <x:c r="G524" s="15"/>
    </x:row>
    <x:row r="525" spans="1:7" x14ac:dyDescent="0.3">
      <x:c r="B525" s="12">
        <x:v>7677129800</x:v>
      </x:c>
      <x:c r="C525" s="12">
        <x:v>7677130800</x:v>
      </x:c>
      <x:c r="D525" s="11" t="s">
        <x:v>137</x:v>
      </x:c>
      <x:c r="E525" s="11" t="s">
        <x:v>126</x:v>
      </x:c>
      <x:c r="F525" s="15"/>
      <x:c r="G525" s="15"/>
    </x:row>
    <x:row r="526" spans="1:7" x14ac:dyDescent="0.3">
      <x:c r="B526" s="12">
        <x:v>7677130900</x:v>
      </x:c>
      <x:c r="C526" s="12">
        <x:v>7677131200</x:v>
      </x:c>
      <x:c r="D526" s="11" t="s">
        <x:v>138</x:v>
      </x:c>
      <x:c r="E526" s="11" t="s">
        <x:v>126</x:v>
      </x:c>
      <x:c r="F526" s="15"/>
      <x:c r="G526" s="15"/>
    </x:row>
    <x:row r="527" spans="1:7" x14ac:dyDescent="0.3">
      <x:c r="B527" s="12">
        <x:v>7677131300</x:v>
      </x:c>
      <x:c r="C527" s="12">
        <x:v>7677140800</x:v>
      </x:c>
      <x:c r="D527" s="11" t="s">
        <x:v>137</x:v>
      </x:c>
      <x:c r="E527" s="11" t="s">
        <x:v>126</x:v>
      </x:c>
      <x:c r="F527" s="15"/>
      <x:c r="G527" s="15"/>
    </x:row>
    <x:row r="528" spans="1:7" x14ac:dyDescent="0.3">
      <x:c r="B528" s="12">
        <x:v>7677140900</x:v>
      </x:c>
      <x:c r="C528" s="12">
        <x:v>7677140900</x:v>
      </x:c>
      <x:c r="D528" s="11" t="s">
        <x:v>138</x:v>
      </x:c>
      <x:c r="E528" s="11" t="s">
        <x:v>126</x:v>
      </x:c>
      <x:c r="F528" s="15"/>
      <x:c r="G528" s="15"/>
    </x:row>
    <x:row r="529" spans="1:7" x14ac:dyDescent="0.3">
      <x:c r="B529" s="12">
        <x:v>7677141000</x:v>
      </x:c>
      <x:c r="C529" s="12">
        <x:v>7677141600</x:v>
      </x:c>
      <x:c r="D529" s="11" t="s">
        <x:v>137</x:v>
      </x:c>
      <x:c r="E529" s="11" t="s">
        <x:v>126</x:v>
      </x:c>
      <x:c r="F529" s="15"/>
      <x:c r="G529" s="15"/>
    </x:row>
    <x:row r="530" spans="1:7" x14ac:dyDescent="0.3">
      <x:c r="B530" s="12">
        <x:v>7677141700</x:v>
      </x:c>
      <x:c r="C530" s="12">
        <x:v>7677141900</x:v>
      </x:c>
      <x:c r="D530" s="11" t="s">
        <x:v>138</x:v>
      </x:c>
      <x:c r="E530" s="11" t="s">
        <x:v>126</x:v>
      </x:c>
      <x:c r="F530" s="15"/>
      <x:c r="G530" s="15"/>
    </x:row>
    <x:row r="531" spans="1:7" x14ac:dyDescent="0.3">
      <x:c r="B531" s="12">
        <x:v>7677142000</x:v>
      </x:c>
      <x:c r="C531" s="12">
        <x:v>7677143000</x:v>
      </x:c>
      <x:c r="D531" s="11" t="s">
        <x:v>137</x:v>
      </x:c>
      <x:c r="E531" s="11" t="s">
        <x:v>126</x:v>
      </x:c>
      <x:c r="F531" s="15"/>
      <x:c r="G531" s="15"/>
    </x:row>
    <x:row r="532" spans="1:7" x14ac:dyDescent="0.3">
      <x:c r="B532" s="12">
        <x:v>7677143100</x:v>
      </x:c>
      <x:c r="C532" s="12">
        <x:v>7677143300</x:v>
      </x:c>
      <x:c r="D532" s="11" t="s">
        <x:v>138</x:v>
      </x:c>
      <x:c r="E532" s="11" t="s">
        <x:v>126</x:v>
      </x:c>
      <x:c r="F532" s="15"/>
      <x:c r="G532" s="15"/>
    </x:row>
    <x:row r="533" spans="1:7" x14ac:dyDescent="0.3">
      <x:c r="B533" s="12">
        <x:v>7677143400</x:v>
      </x:c>
      <x:c r="C533" s="12">
        <x:v>7677145100</x:v>
      </x:c>
      <x:c r="D533" s="11" t="s">
        <x:v>137</x:v>
      </x:c>
      <x:c r="E533" s="11" t="s">
        <x:v>126</x:v>
      </x:c>
      <x:c r="F533" s="15"/>
      <x:c r="G533" s="15"/>
    </x:row>
    <x:row r="534" spans="1:7" x14ac:dyDescent="0.3">
      <x:c r="B534" s="12">
        <x:v>7677145200</x:v>
      </x:c>
      <x:c r="C534" s="12">
        <x:v>7677145200</x:v>
      </x:c>
      <x:c r="D534" s="11" t="s">
        <x:v>138</x:v>
      </x:c>
      <x:c r="E534" s="11" t="s">
        <x:v>126</x:v>
      </x:c>
      <x:c r="F534" s="15"/>
      <x:c r="G534" s="15"/>
    </x:row>
    <x:row r="535" spans="1:7" x14ac:dyDescent="0.3">
      <x:c r="B535" s="12">
        <x:v>7677145300</x:v>
      </x:c>
      <x:c r="C535" s="12">
        <x:v>7677145800</x:v>
      </x:c>
      <x:c r="D535" s="11" t="s">
        <x:v>137</x:v>
      </x:c>
      <x:c r="E535" s="11" t="s">
        <x:v>126</x:v>
      </x:c>
      <x:c r="F535" s="15"/>
      <x:c r="G535" s="15"/>
    </x:row>
    <x:row r="536" spans="1:7" x14ac:dyDescent="0.3">
      <x:c r="B536" s="12">
        <x:v>7677145900</x:v>
      </x:c>
      <x:c r="C536" s="12">
        <x:v>7677145900</x:v>
      </x:c>
      <x:c r="D536" s="11" t="s">
        <x:v>138</x:v>
      </x:c>
      <x:c r="E536" s="11" t="s">
        <x:v>126</x:v>
      </x:c>
      <x:c r="F536" s="15"/>
      <x:c r="G536" s="15"/>
    </x:row>
    <x:row r="537" spans="1:7" x14ac:dyDescent="0.3">
      <x:c r="B537" s="12">
        <x:v>7677146000</x:v>
      </x:c>
      <x:c r="C537" s="12">
        <x:v>7677150800</x:v>
      </x:c>
      <x:c r="D537" s="11" t="s">
        <x:v>137</x:v>
      </x:c>
      <x:c r="E537" s="11" t="s">
        <x:v>126</x:v>
      </x:c>
      <x:c r="F537" s="15"/>
      <x:c r="G537" s="15"/>
    </x:row>
    <x:row r="538" spans="1:7" x14ac:dyDescent="0.3">
      <x:c r="B538" s="12">
        <x:v>7677150900</x:v>
      </x:c>
      <x:c r="C538" s="12">
        <x:v>7677151800</x:v>
      </x:c>
      <x:c r="D538" s="11" t="s">
        <x:v>138</x:v>
      </x:c>
      <x:c r="E538" s="11" t="s">
        <x:v>126</x:v>
      </x:c>
      <x:c r="F538" s="15"/>
      <x:c r="G538" s="15"/>
    </x:row>
    <x:row r="539" spans="1:7" x14ac:dyDescent="0.3">
      <x:c r="B539" s="12">
        <x:v>7677151900</x:v>
      </x:c>
      <x:c r="C539" s="12">
        <x:v>7677171800</x:v>
      </x:c>
      <x:c r="D539" s="11" t="s">
        <x:v>137</x:v>
      </x:c>
      <x:c r="E539" s="11" t="s">
        <x:v>126</x:v>
      </x:c>
      <x:c r="F539" s="15"/>
      <x:c r="G539" s="15"/>
    </x:row>
    <x:row r="540" spans="1:7" x14ac:dyDescent="0.3">
      <x:c r="B540" s="12">
        <x:v>7677171900</x:v>
      </x:c>
      <x:c r="C540" s="12">
        <x:v>7677173200</x:v>
      </x:c>
      <x:c r="D540" s="11" t="s">
        <x:v>138</x:v>
      </x:c>
      <x:c r="E540" s="11" t="s">
        <x:v>126</x:v>
      </x:c>
      <x:c r="F540" s="15"/>
      <x:c r="G540" s="15"/>
    </x:row>
    <x:row r="541" spans="1:7" x14ac:dyDescent="0.3">
      <x:c r="B541" s="12">
        <x:v>7677173300</x:v>
      </x:c>
      <x:c r="C541" s="12">
        <x:v>7677181400</x:v>
      </x:c>
      <x:c r="D541" s="11" t="s">
        <x:v>137</x:v>
      </x:c>
      <x:c r="E541" s="11" t="s">
        <x:v>126</x:v>
      </x:c>
      <x:c r="F541" s="15"/>
      <x:c r="G541" s="15"/>
    </x:row>
    <x:row r="542" spans="1:7" x14ac:dyDescent="0.3">
      <x:c r="B542" s="12">
        <x:v>7677181500</x:v>
      </x:c>
      <x:c r="C542" s="12">
        <x:v>7677182000</x:v>
      </x:c>
      <x:c r="D542" s="11" t="s">
        <x:v>138</x:v>
      </x:c>
      <x:c r="E542" s="11" t="s">
        <x:v>126</x:v>
      </x:c>
      <x:c r="F542" s="15"/>
      <x:c r="G542" s="15"/>
    </x:row>
    <x:row r="543" spans="1:7" x14ac:dyDescent="0.3">
      <x:c r="B543" s="12">
        <x:v>7677182100</x:v>
      </x:c>
      <x:c r="C543" s="12">
        <x:v>7677229100</x:v>
      </x:c>
      <x:c r="D543" s="11" t="s">
        <x:v>137</x:v>
      </x:c>
      <x:c r="E543" s="11" t="s">
        <x:v>126</x:v>
      </x:c>
      <x:c r="F543" s="15"/>
      <x:c r="G543" s="15"/>
    </x:row>
    <x:row r="544" spans="1:7" x14ac:dyDescent="0.3">
      <x:c r="B544" s="12">
        <x:v>7677229200</x:v>
      </x:c>
      <x:c r="C544" s="12">
        <x:v>7677229400</x:v>
      </x:c>
      <x:c r="D544" s="11" t="s">
        <x:v>138</x:v>
      </x:c>
      <x:c r="E544" s="11" t="s">
        <x:v>126</x:v>
      </x:c>
      <x:c r="F544" s="15"/>
      <x:c r="G544" s="15"/>
    </x:row>
    <x:row r="545" spans="1:7" x14ac:dyDescent="0.3">
      <x:c r="B545" s="12">
        <x:v>7677229500</x:v>
      </x:c>
      <x:c r="C545" s="12">
        <x:v>7677230700</x:v>
      </x:c>
      <x:c r="D545" s="11" t="s">
        <x:v>137</x:v>
      </x:c>
      <x:c r="E545" s="11" t="s">
        <x:v>126</x:v>
      </x:c>
      <x:c r="F545" s="15"/>
      <x:c r="G545" s="15"/>
    </x:row>
    <x:row r="546" spans="1:7" x14ac:dyDescent="0.3">
      <x:c r="B546" s="12">
        <x:v>7677230800</x:v>
      </x:c>
      <x:c r="C546" s="12">
        <x:v>7677231300</x:v>
      </x:c>
      <x:c r="D546" s="11" t="s">
        <x:v>138</x:v>
      </x:c>
      <x:c r="E546" s="11" t="s">
        <x:v>126</x:v>
      </x:c>
      <x:c r="F546" s="15"/>
      <x:c r="G546" s="15"/>
    </x:row>
    <x:row r="547" spans="1:7" x14ac:dyDescent="0.3">
      <x:c r="B547" s="12">
        <x:v>7677231400</x:v>
      </x:c>
      <x:c r="C547" s="12">
        <x:v>7677236000</x:v>
      </x:c>
      <x:c r="D547" s="11" t="s">
        <x:v>137</x:v>
      </x:c>
      <x:c r="E547" s="11" t="s">
        <x:v>126</x:v>
      </x:c>
      <x:c r="F547" s="15"/>
      <x:c r="G547" s="15"/>
    </x:row>
    <x:row r="548" spans="1:7" x14ac:dyDescent="0.3">
      <x:c r="B548" s="12">
        <x:v>7677236100</x:v>
      </x:c>
      <x:c r="C548" s="12">
        <x:v>7677236800</x:v>
      </x:c>
      <x:c r="D548" s="11" t="s">
        <x:v>138</x:v>
      </x:c>
      <x:c r="E548" s="11" t="s">
        <x:v>126</x:v>
      </x:c>
      <x:c r="F548" s="15"/>
      <x:c r="G548" s="15"/>
    </x:row>
    <x:row r="549" spans="1:7" x14ac:dyDescent="0.3">
      <x:c r="B549" s="12">
        <x:v>7677236900</x:v>
      </x:c>
      <x:c r="C549" s="12">
        <x:v>7677244100</x:v>
      </x:c>
      <x:c r="D549" s="11" t="s">
        <x:v>137</x:v>
      </x:c>
      <x:c r="E549" s="11" t="s">
        <x:v>126</x:v>
      </x:c>
      <x:c r="F549" s="15"/>
      <x:c r="G549" s="15"/>
    </x:row>
    <x:row r="550" spans="1:7" x14ac:dyDescent="0.3">
      <x:c r="B550" s="12">
        <x:v>7677244200</x:v>
      </x:c>
      <x:c r="C550" s="12">
        <x:v>7677245200</x:v>
      </x:c>
      <x:c r="D550" s="11" t="s">
        <x:v>138</x:v>
      </x:c>
      <x:c r="E550" s="11" t="s">
        <x:v>126</x:v>
      </x:c>
      <x:c r="F550" s="15"/>
      <x:c r="G550" s="15"/>
    </x:row>
    <x:row r="551" spans="1:7" x14ac:dyDescent="0.3">
      <x:c r="B551" s="12">
        <x:v>7677245300</x:v>
      </x:c>
      <x:c r="C551" s="12">
        <x:v>7677248700</x:v>
      </x:c>
      <x:c r="D551" s="11" t="s">
        <x:v>137</x:v>
      </x:c>
      <x:c r="E551" s="11" t="s">
        <x:v>126</x:v>
      </x:c>
      <x:c r="F551" s="15"/>
      <x:c r="G551" s="15"/>
    </x:row>
    <x:row r="552" spans="1:7" x14ac:dyDescent="0.3">
      <x:c r="B552" s="12">
        <x:v>7677248800</x:v>
      </x:c>
      <x:c r="C552" s="12">
        <x:v>7677249400</x:v>
      </x:c>
      <x:c r="D552" s="11" t="s">
        <x:v>138</x:v>
      </x:c>
      <x:c r="E552" s="11" t="s">
        <x:v>126</x:v>
      </x:c>
      <x:c r="F552" s="15"/>
      <x:c r="G552" s="15"/>
    </x:row>
    <x:row r="553" spans="1:7" x14ac:dyDescent="0.3">
      <x:c r="B553" s="12">
        <x:v>7677249500</x:v>
      </x:c>
      <x:c r="C553" s="12">
        <x:v>7677277900</x:v>
      </x:c>
      <x:c r="D553" s="11" t="s">
        <x:v>137</x:v>
      </x:c>
      <x:c r="E553" s="11" t="s">
        <x:v>126</x:v>
      </x:c>
      <x:c r="F553" s="15"/>
      <x:c r="G553" s="15"/>
    </x:row>
    <x:row r="554" spans="1:7" x14ac:dyDescent="0.3">
      <x:c r="B554" s="12">
        <x:v>7677278000</x:v>
      </x:c>
      <x:c r="C554" s="12">
        <x:v>7677278000</x:v>
      </x:c>
      <x:c r="D554" s="11" t="s">
        <x:v>138</x:v>
      </x:c>
      <x:c r="E554" s="11" t="s">
        <x:v>126</x:v>
      </x:c>
      <x:c r="F554" s="15"/>
      <x:c r="G554" s="15"/>
    </x:row>
    <x:row r="555" spans="1:7" x14ac:dyDescent="0.3">
      <x:c r="B555" s="12">
        <x:v>7677278100</x:v>
      </x:c>
      <x:c r="C555" s="12">
        <x:v>7677284100</x:v>
      </x:c>
      <x:c r="D555" s="11" t="s">
        <x:v>137</x:v>
      </x:c>
      <x:c r="E555" s="11" t="s">
        <x:v>126</x:v>
      </x:c>
      <x:c r="F555" s="15"/>
      <x:c r="G555" s="15"/>
    </x:row>
    <x:row r="556" spans="1:7" x14ac:dyDescent="0.3">
      <x:c r="B556" s="12">
        <x:v>7677284200</x:v>
      </x:c>
      <x:c r="C556" s="12">
        <x:v>7677284400</x:v>
      </x:c>
      <x:c r="D556" s="11" t="s">
        <x:v>138</x:v>
      </x:c>
      <x:c r="E556" s="11" t="s">
        <x:v>126</x:v>
      </x:c>
      <x:c r="F556" s="15"/>
      <x:c r="G556" s="15"/>
    </x:row>
    <x:row r="557" spans="1:7" x14ac:dyDescent="0.3">
      <x:c r="B557" s="12">
        <x:v>7677284500</x:v>
      </x:c>
      <x:c r="C557" s="12">
        <x:v>7677291800</x:v>
      </x:c>
      <x:c r="D557" s="11" t="s">
        <x:v>137</x:v>
      </x:c>
      <x:c r="E557" s="11" t="s">
        <x:v>126</x:v>
      </x:c>
      <x:c r="F557" s="15"/>
      <x:c r="G557" s="15"/>
    </x:row>
    <x:row r="558" spans="1:7" x14ac:dyDescent="0.3">
      <x:c r="B558" s="12">
        <x:v>7677291900</x:v>
      </x:c>
      <x:c r="C558" s="12">
        <x:v>7677292100</x:v>
      </x:c>
      <x:c r="D558" s="11" t="s">
        <x:v>138</x:v>
      </x:c>
      <x:c r="E558" s="11" t="s">
        <x:v>126</x:v>
      </x:c>
      <x:c r="F558" s="15"/>
      <x:c r="G558" s="15"/>
    </x:row>
    <x:row r="559" spans="1:7" x14ac:dyDescent="0.3">
      <x:c r="B559" s="12">
        <x:v>7677292200</x:v>
      </x:c>
      <x:c r="C559" s="12">
        <x:v>7677295100</x:v>
      </x:c>
      <x:c r="D559" s="11" t="s">
        <x:v>137</x:v>
      </x:c>
      <x:c r="E559" s="11" t="s">
        <x:v>126</x:v>
      </x:c>
      <x:c r="F559" s="15"/>
      <x:c r="G559" s="15"/>
    </x:row>
    <x:row r="560" spans="1:7" x14ac:dyDescent="0.3">
      <x:c r="B560" s="12">
        <x:v>7677295200</x:v>
      </x:c>
      <x:c r="C560" s="12">
        <x:v>7677295200</x:v>
      </x:c>
      <x:c r="D560" s="11" t="s">
        <x:v>138</x:v>
      </x:c>
      <x:c r="E560" s="11" t="s">
        <x:v>126</x:v>
      </x:c>
      <x:c r="F560" s="15"/>
      <x:c r="G560" s="15"/>
    </x:row>
    <x:row r="561" spans="1:7" x14ac:dyDescent="0.3">
      <x:c r="B561" s="12">
        <x:v>7677295300</x:v>
      </x:c>
      <x:c r="C561" s="12">
        <x:v>7677305600</x:v>
      </x:c>
      <x:c r="D561" s="11" t="s">
        <x:v>137</x:v>
      </x:c>
      <x:c r="E561" s="11" t="s">
        <x:v>126</x:v>
      </x:c>
      <x:c r="F561" s="15"/>
      <x:c r="G561" s="15"/>
    </x:row>
    <x:row r="562" spans="1:7" x14ac:dyDescent="0.3">
      <x:c r="B562" s="12">
        <x:v>7677305700</x:v>
      </x:c>
      <x:c r="C562" s="12">
        <x:v>7677308200</x:v>
      </x:c>
      <x:c r="D562" s="11" t="s">
        <x:v>138</x:v>
      </x:c>
      <x:c r="E562" s="11" t="s">
        <x:v>126</x:v>
      </x:c>
      <x:c r="F562" s="15"/>
      <x:c r="G562" s="15"/>
    </x:row>
    <x:row r="563" spans="1:7" x14ac:dyDescent="0.3">
      <x:c r="B563" s="12">
        <x:v>7677308300</x:v>
      </x:c>
      <x:c r="C563" s="12">
        <x:v>7677325900</x:v>
      </x:c>
      <x:c r="D563" s="11" t="s">
        <x:v>137</x:v>
      </x:c>
      <x:c r="E563" s="11" t="s">
        <x:v>126</x:v>
      </x:c>
      <x:c r="F563" s="15"/>
      <x:c r="G563" s="15"/>
    </x:row>
    <x:row r="564" spans="1:7" x14ac:dyDescent="0.3">
      <x:c r="B564" s="12">
        <x:v>7677326000</x:v>
      </x:c>
      <x:c r="C564" s="12">
        <x:v>7677326400</x:v>
      </x:c>
      <x:c r="D564" s="11" t="s">
        <x:v>138</x:v>
      </x:c>
      <x:c r="E564" s="11" t="s">
        <x:v>126</x:v>
      </x:c>
      <x:c r="F564" s="15"/>
      <x:c r="G564" s="15"/>
    </x:row>
    <x:row r="565" spans="1:7" x14ac:dyDescent="0.3">
      <x:c r="B565" s="12">
        <x:v>7677326500</x:v>
      </x:c>
      <x:c r="C565" s="12">
        <x:v>7677338500</x:v>
      </x:c>
      <x:c r="D565" s="11" t="s">
        <x:v>137</x:v>
      </x:c>
      <x:c r="E565" s="11" t="s">
        <x:v>126</x:v>
      </x:c>
      <x:c r="F565" s="15"/>
      <x:c r="G565" s="15"/>
    </x:row>
    <x:row r="566" spans="1:7" x14ac:dyDescent="0.3">
      <x:c r="B566" s="12">
        <x:v>7677338600</x:v>
      </x:c>
      <x:c r="C566" s="12">
        <x:v>7677338700</x:v>
      </x:c>
      <x:c r="D566" s="11" t="s">
        <x:v>138</x:v>
      </x:c>
      <x:c r="E566" s="11" t="s">
        <x:v>126</x:v>
      </x:c>
      <x:c r="F566" s="15"/>
      <x:c r="G566" s="15"/>
    </x:row>
    <x:row r="567" spans="1:7" x14ac:dyDescent="0.3">
      <x:c r="B567" s="12">
        <x:v>7677338800</x:v>
      </x:c>
      <x:c r="C567" s="12">
        <x:v>7677339900</x:v>
      </x:c>
      <x:c r="D567" s="11" t="s">
        <x:v>137</x:v>
      </x:c>
      <x:c r="E567" s="11" t="s">
        <x:v>126</x:v>
      </x:c>
      <x:c r="F567" s="15"/>
      <x:c r="G567" s="15"/>
    </x:row>
    <x:row r="568" spans="1:7" x14ac:dyDescent="0.3">
      <x:c r="B568" s="12">
        <x:v>7677340000</x:v>
      </x:c>
      <x:c r="C568" s="12">
        <x:v>7677340300</x:v>
      </x:c>
      <x:c r="D568" s="11" t="s">
        <x:v>138</x:v>
      </x:c>
      <x:c r="E568" s="11" t="s">
        <x:v>126</x:v>
      </x:c>
      <x:c r="F568" s="15"/>
      <x:c r="G568" s="15"/>
    </x:row>
    <x:row r="569" spans="1:7" x14ac:dyDescent="0.3">
      <x:c r="B569" s="12">
        <x:v>7677340400</x:v>
      </x:c>
      <x:c r="C569" s="12">
        <x:v>7677347300</x:v>
      </x:c>
      <x:c r="D569" s="11" t="s">
        <x:v>137</x:v>
      </x:c>
      <x:c r="E569" s="11" t="s">
        <x:v>126</x:v>
      </x:c>
      <x:c r="F569" s="15"/>
      <x:c r="G569" s="15"/>
    </x:row>
    <x:row r="570" spans="1:7" x14ac:dyDescent="0.3">
      <x:c r="B570" s="12">
        <x:v>7677347400</x:v>
      </x:c>
      <x:c r="C570" s="12">
        <x:v>7677347400</x:v>
      </x:c>
      <x:c r="D570" s="11" t="s">
        <x:v>138</x:v>
      </x:c>
      <x:c r="E570" s="11" t="s">
        <x:v>126</x:v>
      </x:c>
      <x:c r="F570" s="15"/>
      <x:c r="G570" s="15"/>
    </x:row>
    <x:row r="571" spans="1:7" x14ac:dyDescent="0.3">
      <x:c r="B571" s="12">
        <x:v>7677347500</x:v>
      </x:c>
      <x:c r="C571" s="12">
        <x:v>7677361700</x:v>
      </x:c>
      <x:c r="D571" s="11" t="s">
        <x:v>137</x:v>
      </x:c>
      <x:c r="E571" s="11" t="s">
        <x:v>126</x:v>
      </x:c>
      <x:c r="F571" s="15"/>
      <x:c r="G571" s="15"/>
    </x:row>
    <x:row r="572" spans="1:7" x14ac:dyDescent="0.3">
      <x:c r="B572" s="12">
        <x:v>7677361800</x:v>
      </x:c>
      <x:c r="C572" s="12">
        <x:v>7677361800</x:v>
      </x:c>
      <x:c r="D572" s="11" t="s">
        <x:v>138</x:v>
      </x:c>
      <x:c r="E572" s="11" t="s">
        <x:v>126</x:v>
      </x:c>
      <x:c r="F572" s="15"/>
      <x:c r="G572" s="15"/>
    </x:row>
    <x:row r="573" spans="1:7" x14ac:dyDescent="0.3">
      <x:c r="B573" s="12">
        <x:v>7677361900</x:v>
      </x:c>
      <x:c r="C573" s="12">
        <x:v>7677367600</x:v>
      </x:c>
      <x:c r="D573" s="11" t="s">
        <x:v>137</x:v>
      </x:c>
      <x:c r="E573" s="11" t="s">
        <x:v>126</x:v>
      </x:c>
      <x:c r="F573" s="15"/>
      <x:c r="G573" s="15"/>
    </x:row>
    <x:row r="574" spans="1:7" x14ac:dyDescent="0.3">
      <x:c r="B574" s="12">
        <x:v>7677367700</x:v>
      </x:c>
      <x:c r="C574" s="12">
        <x:v>7677367700</x:v>
      </x:c>
      <x:c r="D574" s="11" t="s">
        <x:v>138</x:v>
      </x:c>
      <x:c r="E574" s="11" t="s">
        <x:v>126</x:v>
      </x:c>
      <x:c r="F574" s="15"/>
      <x:c r="G574" s="15"/>
    </x:row>
    <x:row r="575" spans="1:7" x14ac:dyDescent="0.3">
      <x:c r="B575" s="12">
        <x:v>7677367800</x:v>
      </x:c>
      <x:c r="C575" s="12">
        <x:v>7677368900</x:v>
      </x:c>
      <x:c r="D575" s="11" t="s">
        <x:v>137</x:v>
      </x:c>
      <x:c r="E575" s="11" t="s">
        <x:v>126</x:v>
      </x:c>
      <x:c r="F575" s="15"/>
      <x:c r="G575" s="15"/>
    </x:row>
    <x:row r="576" spans="1:7" x14ac:dyDescent="0.3">
      <x:c r="B576" s="12">
        <x:v>7677369000</x:v>
      </x:c>
      <x:c r="C576" s="12">
        <x:v>7677369000</x:v>
      </x:c>
      <x:c r="D576" s="11" t="s">
        <x:v>138</x:v>
      </x:c>
      <x:c r="E576" s="11" t="s">
        <x:v>126</x:v>
      </x:c>
      <x:c r="F576" s="15"/>
      <x:c r="G576" s="15"/>
    </x:row>
    <x:row r="577" spans="1:7" x14ac:dyDescent="0.3">
      <x:c r="B577" s="12">
        <x:v>7677369100</x:v>
      </x:c>
      <x:c r="C577" s="12">
        <x:v>7677376700</x:v>
      </x:c>
      <x:c r="D577" s="11" t="s">
        <x:v>137</x:v>
      </x:c>
      <x:c r="E577" s="11" t="s">
        <x:v>126</x:v>
      </x:c>
      <x:c r="F577" s="15"/>
      <x:c r="G577" s="15"/>
    </x:row>
    <x:row r="578" spans="1:7" x14ac:dyDescent="0.3">
      <x:c r="B578" s="12">
        <x:v>7677376800</x:v>
      </x:c>
      <x:c r="C578" s="12">
        <x:v>7677376800</x:v>
      </x:c>
      <x:c r="D578" s="11" t="s">
        <x:v>138</x:v>
      </x:c>
      <x:c r="E578" s="11" t="s">
        <x:v>126</x:v>
      </x:c>
      <x:c r="F578" s="15"/>
      <x:c r="G578" s="15"/>
    </x:row>
    <x:row r="579" spans="1:7" x14ac:dyDescent="0.3">
      <x:c r="B579" s="12">
        <x:v>7677376900</x:v>
      </x:c>
      <x:c r="C579" s="12">
        <x:v>7677378500</x:v>
      </x:c>
      <x:c r="D579" s="11" t="s">
        <x:v>137</x:v>
      </x:c>
      <x:c r="E579" s="11" t="s">
        <x:v>126</x:v>
      </x:c>
      <x:c r="F579" s="15"/>
      <x:c r="G579" s="15"/>
    </x:row>
    <x:row r="580" spans="1:7" x14ac:dyDescent="0.3">
      <x:c r="B580" s="12">
        <x:v>7677378600</x:v>
      </x:c>
      <x:c r="C580" s="12">
        <x:v>7677380300</x:v>
      </x:c>
      <x:c r="D580" s="11" t="s">
        <x:v>138</x:v>
      </x:c>
      <x:c r="E580" s="11" t="s">
        <x:v>126</x:v>
      </x:c>
      <x:c r="F580" s="15"/>
      <x:c r="G580" s="15"/>
    </x:row>
    <x:row r="581" spans="1:7" x14ac:dyDescent="0.3">
      <x:c r="B581" s="12">
        <x:v>7677380400</x:v>
      </x:c>
      <x:c r="C581" s="12">
        <x:v>7677383500</x:v>
      </x:c>
      <x:c r="D581" s="11" t="s">
        <x:v>137</x:v>
      </x:c>
      <x:c r="E581" s="11" t="s">
        <x:v>126</x:v>
      </x:c>
      <x:c r="F581" s="15"/>
      <x:c r="G581" s="15"/>
    </x:row>
    <x:row r="582" spans="1:7" x14ac:dyDescent="0.3">
      <x:c r="B582" s="12">
        <x:v>7677383600</x:v>
      </x:c>
      <x:c r="C582" s="12">
        <x:v>7677383600</x:v>
      </x:c>
      <x:c r="D582" s="11" t="s">
        <x:v>138</x:v>
      </x:c>
      <x:c r="E582" s="11" t="s">
        <x:v>126</x:v>
      </x:c>
      <x:c r="F582" s="15"/>
      <x:c r="G582" s="15"/>
    </x:row>
    <x:row r="583" spans="1:7" x14ac:dyDescent="0.3">
      <x:c r="B583" s="12">
        <x:v>7677383700</x:v>
      </x:c>
      <x:c r="C583" s="12">
        <x:v>7677386800</x:v>
      </x:c>
      <x:c r="D583" s="11" t="s">
        <x:v>137</x:v>
      </x:c>
      <x:c r="E583" s="11" t="s">
        <x:v>126</x:v>
      </x:c>
      <x:c r="F583" s="15"/>
      <x:c r="G583" s="15"/>
    </x:row>
    <x:row r="584" spans="1:7" x14ac:dyDescent="0.3">
      <x:c r="B584" s="12">
        <x:v>7677386900</x:v>
      </x:c>
      <x:c r="C584" s="12">
        <x:v>7677387300</x:v>
      </x:c>
      <x:c r="D584" s="11" t="s">
        <x:v>138</x:v>
      </x:c>
      <x:c r="E584" s="11" t="s">
        <x:v>126</x:v>
      </x:c>
      <x:c r="F584" s="15"/>
      <x:c r="G584" s="15"/>
    </x:row>
    <x:row r="585" spans="1:7" x14ac:dyDescent="0.3">
      <x:c r="B585" s="12">
        <x:v>7677387400</x:v>
      </x:c>
      <x:c r="C585" s="12">
        <x:v>7677387600</x:v>
      </x:c>
      <x:c r="D585" s="11" t="s">
        <x:v>137</x:v>
      </x:c>
      <x:c r="E585" s="11" t="s">
        <x:v>126</x:v>
      </x:c>
      <x:c r="F585" s="15"/>
      <x:c r="G585" s="15"/>
    </x:row>
    <x:row r="586" spans="1:7" x14ac:dyDescent="0.3">
      <x:c r="B586" s="12">
        <x:v>7677387700</x:v>
      </x:c>
      <x:c r="C586" s="12">
        <x:v>7677388100</x:v>
      </x:c>
      <x:c r="D586" s="11" t="s">
        <x:v>138</x:v>
      </x:c>
      <x:c r="E586" s="11" t="s">
        <x:v>126</x:v>
      </x:c>
      <x:c r="F586" s="15"/>
      <x:c r="G586" s="15"/>
    </x:row>
    <x:row r="587" spans="1:7" x14ac:dyDescent="0.3">
      <x:c r="B587" s="12">
        <x:v>7677388200</x:v>
      </x:c>
      <x:c r="C587" s="12">
        <x:v>7677403800</x:v>
      </x:c>
      <x:c r="D587" s="11" t="s">
        <x:v>137</x:v>
      </x:c>
      <x:c r="E587" s="11" t="s">
        <x:v>126</x:v>
      </x:c>
      <x:c r="F587" s="15"/>
      <x:c r="G587" s="15"/>
    </x:row>
    <x:row r="588" spans="1:7" x14ac:dyDescent="0.3">
      <x:c r="B588" s="12">
        <x:v>7677403900</x:v>
      </x:c>
      <x:c r="C588" s="12">
        <x:v>7677403900</x:v>
      </x:c>
      <x:c r="D588" s="11" t="s">
        <x:v>138</x:v>
      </x:c>
      <x:c r="E588" s="11" t="s">
        <x:v>126</x:v>
      </x:c>
      <x:c r="F588" s="15"/>
      <x:c r="G588" s="15"/>
    </x:row>
    <x:row r="589" spans="1:7" x14ac:dyDescent="0.3">
      <x:c r="B589" s="12">
        <x:v>7677404000</x:v>
      </x:c>
      <x:c r="C589" s="12">
        <x:v>7677406800</x:v>
      </x:c>
      <x:c r="D589" s="11" t="s">
        <x:v>137</x:v>
      </x:c>
      <x:c r="E589" s="11" t="s">
        <x:v>126</x:v>
      </x:c>
      <x:c r="F589" s="15"/>
      <x:c r="G589" s="15"/>
    </x:row>
    <x:row r="590" spans="1:7" x14ac:dyDescent="0.3">
      <x:c r="B590" s="12">
        <x:v>7677406900</x:v>
      </x:c>
      <x:c r="C590" s="12">
        <x:v>7677406900</x:v>
      </x:c>
      <x:c r="D590" s="11" t="s">
        <x:v>138</x:v>
      </x:c>
      <x:c r="E590" s="11" t="s">
        <x:v>126</x:v>
      </x:c>
      <x:c r="F590" s="15"/>
      <x:c r="G590" s="15"/>
    </x:row>
    <x:row r="591" spans="1:7" x14ac:dyDescent="0.3">
      <x:c r="B591" s="12">
        <x:v>7677407000</x:v>
      </x:c>
      <x:c r="C591" s="12">
        <x:v>7677420300</x:v>
      </x:c>
      <x:c r="D591" s="11" t="s">
        <x:v>137</x:v>
      </x:c>
      <x:c r="E591" s="11" t="s">
        <x:v>126</x:v>
      </x:c>
      <x:c r="F591" s="15"/>
      <x:c r="G591" s="15"/>
    </x:row>
    <x:row r="592" spans="1:7" x14ac:dyDescent="0.3">
      <x:c r="B592" s="12">
        <x:v>7677420400</x:v>
      </x:c>
      <x:c r="C592" s="12">
        <x:v>7677420600</x:v>
      </x:c>
      <x:c r="D592" s="11" t="s">
        <x:v>138</x:v>
      </x:c>
      <x:c r="E592" s="11" t="s">
        <x:v>126</x:v>
      </x:c>
      <x:c r="F592" s="15"/>
      <x:c r="G592" s="15"/>
    </x:row>
    <x:row r="593" spans="1:7" x14ac:dyDescent="0.3">
      <x:c r="B593" s="12">
        <x:v>7677420700</x:v>
      </x:c>
      <x:c r="C593" s="12">
        <x:v>7677428200</x:v>
      </x:c>
      <x:c r="D593" s="11" t="s">
        <x:v>137</x:v>
      </x:c>
      <x:c r="E593" s="11" t="s">
        <x:v>126</x:v>
      </x:c>
      <x:c r="F593" s="15"/>
      <x:c r="G593" s="15"/>
    </x:row>
    <x:row r="594" spans="1:7" x14ac:dyDescent="0.3">
      <x:c r="B594" s="12">
        <x:v>7677428300</x:v>
      </x:c>
      <x:c r="C594" s="12">
        <x:v>7677428400</x:v>
      </x:c>
      <x:c r="D594" s="11" t="s">
        <x:v>138</x:v>
      </x:c>
      <x:c r="E594" s="11" t="s">
        <x:v>126</x:v>
      </x:c>
      <x:c r="F594" s="15"/>
      <x:c r="G594" s="15"/>
    </x:row>
    <x:row r="595" spans="1:7" x14ac:dyDescent="0.3">
      <x:c r="B595" s="12">
        <x:v>7677428500</x:v>
      </x:c>
      <x:c r="C595" s="12">
        <x:v>7677430000</x:v>
      </x:c>
      <x:c r="D595" s="11" t="s">
        <x:v>137</x:v>
      </x:c>
      <x:c r="E595" s="11" t="s">
        <x:v>126</x:v>
      </x:c>
      <x:c r="F595" s="15"/>
      <x:c r="G595" s="15"/>
    </x:row>
    <x:row r="596" spans="1:7" x14ac:dyDescent="0.3">
      <x:c r="B596" s="12">
        <x:v>7677430100</x:v>
      </x:c>
      <x:c r="C596" s="12">
        <x:v>7677430400</x:v>
      </x:c>
      <x:c r="D596" s="11" t="s">
        <x:v>138</x:v>
      </x:c>
      <x:c r="E596" s="11" t="s">
        <x:v>126</x:v>
      </x:c>
      <x:c r="F596" s="15"/>
      <x:c r="G596" s="15"/>
    </x:row>
    <x:row r="597" spans="1:7" x14ac:dyDescent="0.3">
      <x:c r="B597" s="12">
        <x:v>7677430500</x:v>
      </x:c>
      <x:c r="C597" s="12">
        <x:v>7677431900</x:v>
      </x:c>
      <x:c r="D597" s="11" t="s">
        <x:v>137</x:v>
      </x:c>
      <x:c r="E597" s="11" t="s">
        <x:v>126</x:v>
      </x:c>
      <x:c r="F597" s="15"/>
      <x:c r="G597" s="15"/>
    </x:row>
    <x:row r="598" spans="1:7" x14ac:dyDescent="0.3">
      <x:c r="B598" s="12">
        <x:v>7677432000</x:v>
      </x:c>
      <x:c r="C598" s="12">
        <x:v>7677433400</x:v>
      </x:c>
      <x:c r="D598" s="11" t="s">
        <x:v>138</x:v>
      </x:c>
      <x:c r="E598" s="11" t="s">
        <x:v>126</x:v>
      </x:c>
      <x:c r="F598" s="15"/>
      <x:c r="G598" s="15"/>
    </x:row>
    <x:row r="599" spans="1:7" x14ac:dyDescent="0.3">
      <x:c r="B599" s="12">
        <x:v>7677433500</x:v>
      </x:c>
      <x:c r="C599" s="12">
        <x:v>7677436500</x:v>
      </x:c>
      <x:c r="D599" s="11" t="s">
        <x:v>137</x:v>
      </x:c>
      <x:c r="E599" s="11" t="s">
        <x:v>126</x:v>
      </x:c>
      <x:c r="F599" s="15"/>
      <x:c r="G599" s="15"/>
    </x:row>
    <x:row r="600" spans="1:7" x14ac:dyDescent="0.3">
      <x:c r="B600" s="12">
        <x:v>7677436600</x:v>
      </x:c>
      <x:c r="C600" s="12">
        <x:v>7677436600</x:v>
      </x:c>
      <x:c r="D600" s="11" t="s">
        <x:v>138</x:v>
      </x:c>
      <x:c r="E600" s="11" t="s">
        <x:v>126</x:v>
      </x:c>
      <x:c r="F600" s="15"/>
      <x:c r="G600" s="15"/>
    </x:row>
    <x:row r="601" spans="1:7" x14ac:dyDescent="0.3">
      <x:c r="B601" s="12">
        <x:v>7677436700</x:v>
      </x:c>
      <x:c r="C601" s="12">
        <x:v>7677456500</x:v>
      </x:c>
      <x:c r="D601" s="11" t="s">
        <x:v>137</x:v>
      </x:c>
      <x:c r="E601" s="11" t="s">
        <x:v>126</x:v>
      </x:c>
      <x:c r="F601" s="15"/>
      <x:c r="G601" s="15"/>
    </x:row>
    <x:row r="602" spans="1:7" x14ac:dyDescent="0.3">
      <x:c r="B602" s="12">
        <x:v>7677456600</x:v>
      </x:c>
      <x:c r="C602" s="12">
        <x:v>7677456600</x:v>
      </x:c>
      <x:c r="D602" s="11" t="s">
        <x:v>138</x:v>
      </x:c>
      <x:c r="E602" s="11" t="s">
        <x:v>126</x:v>
      </x:c>
      <x:c r="F602" s="15"/>
      <x:c r="G602" s="15"/>
    </x:row>
    <x:row r="603" spans="1:7" x14ac:dyDescent="0.3">
      <x:c r="B603" s="12">
        <x:v>7677456700</x:v>
      </x:c>
      <x:c r="C603" s="12">
        <x:v>7677468300</x:v>
      </x:c>
      <x:c r="D603" s="11" t="s">
        <x:v>137</x:v>
      </x:c>
      <x:c r="E603" s="11" t="s">
        <x:v>126</x:v>
      </x:c>
      <x:c r="F603" s="15"/>
      <x:c r="G603" s="15"/>
    </x:row>
    <x:row r="604" spans="1:7" x14ac:dyDescent="0.3">
      <x:c r="B604" s="12">
        <x:v>7677468400</x:v>
      </x:c>
      <x:c r="C604" s="12">
        <x:v>7677469100</x:v>
      </x:c>
      <x:c r="D604" s="11" t="s">
        <x:v>138</x:v>
      </x:c>
      <x:c r="E604" s="11" t="s">
        <x:v>126</x:v>
      </x:c>
      <x:c r="F604" s="15"/>
      <x:c r="G604" s="15"/>
    </x:row>
    <x:row r="605" spans="1:7" x14ac:dyDescent="0.3">
      <x:c r="B605" s="12">
        <x:v>7677469200</x:v>
      </x:c>
      <x:c r="C605" s="12">
        <x:v>7677485500</x:v>
      </x:c>
      <x:c r="D605" s="11" t="s">
        <x:v>137</x:v>
      </x:c>
      <x:c r="E605" s="11" t="s">
        <x:v>126</x:v>
      </x:c>
      <x:c r="F605" s="15"/>
      <x:c r="G605" s="15"/>
    </x:row>
    <x:row r="606" spans="1:7" x14ac:dyDescent="0.3">
      <x:c r="B606" s="12">
        <x:v>7677485600</x:v>
      </x:c>
      <x:c r="C606" s="12">
        <x:v>7677485800</x:v>
      </x:c>
      <x:c r="D606" s="11" t="s">
        <x:v>138</x:v>
      </x:c>
      <x:c r="E606" s="11" t="s">
        <x:v>126</x:v>
      </x:c>
      <x:c r="F606" s="15"/>
      <x:c r="G606" s="15"/>
    </x:row>
    <x:row r="607" spans="1:7" x14ac:dyDescent="0.3">
      <x:c r="B607" s="12">
        <x:v>7677485900</x:v>
      </x:c>
      <x:c r="C607" s="12">
        <x:v>7677486500</x:v>
      </x:c>
      <x:c r="D607" s="11" t="s">
        <x:v>137</x:v>
      </x:c>
      <x:c r="E607" s="11" t="s">
        <x:v>126</x:v>
      </x:c>
      <x:c r="F607" s="15"/>
      <x:c r="G607" s="15"/>
    </x:row>
    <x:row r="608" spans="1:7" x14ac:dyDescent="0.3">
      <x:c r="B608" s="12">
        <x:v>7677486600</x:v>
      </x:c>
      <x:c r="C608" s="12">
        <x:v>7677486600</x:v>
      </x:c>
      <x:c r="D608" s="11" t="s">
        <x:v>138</x:v>
      </x:c>
      <x:c r="E608" s="11" t="s">
        <x:v>126</x:v>
      </x:c>
      <x:c r="F608" s="15"/>
      <x:c r="G608" s="15"/>
    </x:row>
    <x:row r="609" spans="1:7" x14ac:dyDescent="0.3">
      <x:c r="B609" s="12">
        <x:v>7677486700</x:v>
      </x:c>
      <x:c r="C609" s="12">
        <x:v>7677494900</x:v>
      </x:c>
      <x:c r="D609" s="11" t="s">
        <x:v>137</x:v>
      </x:c>
      <x:c r="E609" s="11" t="s">
        <x:v>126</x:v>
      </x:c>
      <x:c r="F609" s="15"/>
      <x:c r="G609" s="15"/>
    </x:row>
    <x:row r="610" spans="1:7" x14ac:dyDescent="0.3">
      <x:c r="B610" s="12">
        <x:v>7677495000</x:v>
      </x:c>
      <x:c r="C610" s="12">
        <x:v>7677497100</x:v>
      </x:c>
      <x:c r="D610" s="11" t="s">
        <x:v>138</x:v>
      </x:c>
      <x:c r="E610" s="11" t="s">
        <x:v>126</x:v>
      </x:c>
      <x:c r="F610" s="15"/>
      <x:c r="G610" s="15"/>
    </x:row>
    <x:row r="611" spans="1:7" x14ac:dyDescent="0.3">
      <x:c r="B611" s="12">
        <x:v>7677497200</x:v>
      </x:c>
      <x:c r="C611" s="12">
        <x:v>7677497700</x:v>
      </x:c>
      <x:c r="D611" s="11" t="s">
        <x:v>137</x:v>
      </x:c>
      <x:c r="E611" s="11" t="s">
        <x:v>126</x:v>
      </x:c>
      <x:c r="F611" s="15"/>
      <x:c r="G611" s="15"/>
    </x:row>
    <x:row r="612" spans="1:7" x14ac:dyDescent="0.3">
      <x:c r="B612" s="12">
        <x:v>7677497800</x:v>
      </x:c>
      <x:c r="C612" s="12">
        <x:v>7677497900</x:v>
      </x:c>
      <x:c r="D612" s="11" t="s">
        <x:v>138</x:v>
      </x:c>
      <x:c r="E612" s="11" t="s">
        <x:v>126</x:v>
      </x:c>
      <x:c r="F612" s="15"/>
      <x:c r="G612" s="15"/>
    </x:row>
    <x:row r="613" spans="1:7" x14ac:dyDescent="0.3">
      <x:c r="B613" s="12">
        <x:v>7677498000</x:v>
      </x:c>
      <x:c r="C613" s="12">
        <x:v>7677517500</x:v>
      </x:c>
      <x:c r="D613" s="11" t="s">
        <x:v>137</x:v>
      </x:c>
      <x:c r="E613" s="11" t="s">
        <x:v>126</x:v>
      </x:c>
      <x:c r="F613" s="15"/>
      <x:c r="G613" s="15"/>
    </x:row>
    <x:row r="614" spans="1:7" x14ac:dyDescent="0.3">
      <x:c r="B614" s="12">
        <x:v>7677517600</x:v>
      </x:c>
      <x:c r="C614" s="12">
        <x:v>7677517700</x:v>
      </x:c>
      <x:c r="D614" s="11" t="s">
        <x:v>138</x:v>
      </x:c>
      <x:c r="E614" s="11" t="s">
        <x:v>126</x:v>
      </x:c>
      <x:c r="F614" s="15"/>
      <x:c r="G614" s="15"/>
    </x:row>
    <x:row r="615" spans="1:7" x14ac:dyDescent="0.3">
      <x:c r="B615" s="12">
        <x:v>7677517800</x:v>
      </x:c>
      <x:c r="C615" s="12">
        <x:v>7677526500</x:v>
      </x:c>
      <x:c r="D615" s="11" t="s">
        <x:v>137</x:v>
      </x:c>
      <x:c r="E615" s="11" t="s">
        <x:v>126</x:v>
      </x:c>
      <x:c r="F615" s="15"/>
      <x:c r="G615" s="15"/>
    </x:row>
    <x:row r="616" spans="1:7" x14ac:dyDescent="0.3">
      <x:c r="B616" s="12">
        <x:v>7677526600</x:v>
      </x:c>
      <x:c r="C616" s="12">
        <x:v>7677527300</x:v>
      </x:c>
      <x:c r="D616" s="11" t="s">
        <x:v>138</x:v>
      </x:c>
      <x:c r="E616" s="11" t="s">
        <x:v>126</x:v>
      </x:c>
      <x:c r="F616" s="15"/>
      <x:c r="G616" s="15"/>
    </x:row>
    <x:row r="617" spans="1:7" x14ac:dyDescent="0.3">
      <x:c r="B617" s="12">
        <x:v>7677527400</x:v>
      </x:c>
      <x:c r="C617" s="12">
        <x:v>7677534700</x:v>
      </x:c>
      <x:c r="D617" s="11" t="s">
        <x:v>137</x:v>
      </x:c>
      <x:c r="E617" s="11" t="s">
        <x:v>126</x:v>
      </x:c>
      <x:c r="F617" s="15"/>
      <x:c r="G617" s="15"/>
    </x:row>
    <x:row r="618" spans="1:7" x14ac:dyDescent="0.3">
      <x:c r="B618" s="12">
        <x:v>7677534800</x:v>
      </x:c>
      <x:c r="C618" s="12">
        <x:v>7677534800</x:v>
      </x:c>
      <x:c r="D618" s="11" t="s">
        <x:v>138</x:v>
      </x:c>
      <x:c r="E618" s="11" t="s">
        <x:v>126</x:v>
      </x:c>
      <x:c r="F618" s="15"/>
      <x:c r="G618" s="15"/>
    </x:row>
    <x:row r="619" spans="1:7" x14ac:dyDescent="0.3">
      <x:c r="B619" s="12">
        <x:v>7677534900</x:v>
      </x:c>
      <x:c r="C619" s="12">
        <x:v>7677557500</x:v>
      </x:c>
      <x:c r="D619" s="11" t="s">
        <x:v>137</x:v>
      </x:c>
      <x:c r="E619" s="11" t="s">
        <x:v>126</x:v>
      </x:c>
      <x:c r="F619" s="15"/>
      <x:c r="G619" s="15"/>
    </x:row>
    <x:row r="620" spans="1:7" x14ac:dyDescent="0.3">
      <x:c r="B620" s="12">
        <x:v>7677557600</x:v>
      </x:c>
      <x:c r="C620" s="12">
        <x:v>7677558500</x:v>
      </x:c>
      <x:c r="D620" s="11" t="s">
        <x:v>138</x:v>
      </x:c>
      <x:c r="E620" s="11" t="s">
        <x:v>126</x:v>
      </x:c>
      <x:c r="F620" s="15"/>
      <x:c r="G620" s="15"/>
    </x:row>
    <x:row r="621" spans="1:7" x14ac:dyDescent="0.3">
      <x:c r="B621" s="12">
        <x:v>7677558600</x:v>
      </x:c>
      <x:c r="C621" s="12">
        <x:v>7677561600</x:v>
      </x:c>
      <x:c r="D621" s="11" t="s">
        <x:v>137</x:v>
      </x:c>
      <x:c r="E621" s="11" t="s">
        <x:v>126</x:v>
      </x:c>
      <x:c r="F621" s="15"/>
      <x:c r="G621" s="15"/>
    </x:row>
    <x:row r="622" spans="1:7" x14ac:dyDescent="0.3">
      <x:c r="B622" s="12">
        <x:v>7677561700</x:v>
      </x:c>
      <x:c r="C622" s="12">
        <x:v>7677561900</x:v>
      </x:c>
      <x:c r="D622" s="11" t="s">
        <x:v>138</x:v>
      </x:c>
      <x:c r="E622" s="11" t="s">
        <x:v>126</x:v>
      </x:c>
      <x:c r="F622" s="15"/>
      <x:c r="G622" s="15"/>
    </x:row>
    <x:row r="623" spans="1:7" x14ac:dyDescent="0.3">
      <x:c r="B623" s="12">
        <x:v>7677562000</x:v>
      </x:c>
      <x:c r="C623" s="12">
        <x:v>7677566700</x:v>
      </x:c>
      <x:c r="D623" s="11" t="s">
        <x:v>137</x:v>
      </x:c>
      <x:c r="E623" s="11" t="s">
        <x:v>126</x:v>
      </x:c>
      <x:c r="F623" s="15"/>
      <x:c r="G623" s="15"/>
    </x:row>
    <x:row r="624" spans="1:7" x14ac:dyDescent="0.3">
      <x:c r="B624" s="12">
        <x:v>7677566800</x:v>
      </x:c>
      <x:c r="C624" s="12">
        <x:v>7677567100</x:v>
      </x:c>
      <x:c r="D624" s="11" t="s">
        <x:v>138</x:v>
      </x:c>
      <x:c r="E624" s="11" t="s">
        <x:v>126</x:v>
      </x:c>
      <x:c r="F624" s="15"/>
      <x:c r="G624" s="15"/>
    </x:row>
    <x:row r="625" spans="1:7" x14ac:dyDescent="0.3">
      <x:c r="B625" s="12">
        <x:v>7677567200</x:v>
      </x:c>
      <x:c r="C625" s="12">
        <x:v>7677573300</x:v>
      </x:c>
      <x:c r="D625" s="11" t="s">
        <x:v>137</x:v>
      </x:c>
      <x:c r="E625" s="11" t="s">
        <x:v>126</x:v>
      </x:c>
      <x:c r="F625" s="15"/>
      <x:c r="G625" s="15"/>
    </x:row>
    <x:row r="626" spans="1:7" x14ac:dyDescent="0.3">
      <x:c r="B626" s="12">
        <x:v>7677573400</x:v>
      </x:c>
      <x:c r="C626" s="12">
        <x:v>7677573800</x:v>
      </x:c>
      <x:c r="D626" s="11" t="s">
        <x:v>137</x:v>
      </x:c>
      <x:c r="E626" s="11" t="s">
        <x:v>126</x:v>
      </x:c>
      <x:c r="F626" s="15"/>
      <x:c r="G626" s="15"/>
    </x:row>
    <x:row r="627" spans="1:7" x14ac:dyDescent="0.3">
      <x:c r="B627" s="12">
        <x:v>7677573900</x:v>
      </x:c>
      <x:c r="C627" s="12">
        <x:v>7677574200</x:v>
      </x:c>
      <x:c r="D627" s="11" t="s">
        <x:v>137</x:v>
      </x:c>
      <x:c r="E627" s="11" t="s">
        <x:v>126</x:v>
      </x:c>
      <x:c r="F627" s="15"/>
      <x:c r="G627" s="15"/>
    </x:row>
    <x:row r="628" spans="1:7" x14ac:dyDescent="0.3">
      <x:c r="B628" s="12">
        <x:v>7677574300</x:v>
      </x:c>
      <x:c r="C628" s="12">
        <x:v>7677574400</x:v>
      </x:c>
      <x:c r="D628" s="11" t="s">
        <x:v>138</x:v>
      </x:c>
      <x:c r="E628" s="11" t="s">
        <x:v>126</x:v>
      </x:c>
      <x:c r="F628" s="15"/>
      <x:c r="G628" s="15"/>
    </x:row>
    <x:row r="629" spans="1:7" x14ac:dyDescent="0.3">
      <x:c r="B629" s="12">
        <x:v>7677574500</x:v>
      </x:c>
      <x:c r="C629" s="12">
        <x:v>7677581800</x:v>
      </x:c>
      <x:c r="D629" s="11" t="s">
        <x:v>137</x:v>
      </x:c>
      <x:c r="E629" s="11" t="s">
        <x:v>126</x:v>
      </x:c>
      <x:c r="F629" s="15"/>
      <x:c r="G629" s="15"/>
    </x:row>
    <x:row r="630" spans="1:7" x14ac:dyDescent="0.3">
      <x:c r="B630" s="12">
        <x:v>7677581900</x:v>
      </x:c>
      <x:c r="C630" s="12">
        <x:v>7677582300</x:v>
      </x:c>
      <x:c r="D630" s="11" t="s">
        <x:v>138</x:v>
      </x:c>
      <x:c r="E630" s="11" t="s">
        <x:v>126</x:v>
      </x:c>
      <x:c r="F630" s="15"/>
      <x:c r="G630" s="15"/>
    </x:row>
    <x:row r="631" spans="1:7" x14ac:dyDescent="0.3">
      <x:c r="B631" s="12">
        <x:v>7677582400</x:v>
      </x:c>
      <x:c r="C631" s="12">
        <x:v>7677592500</x:v>
      </x:c>
      <x:c r="D631" s="11" t="s">
        <x:v>137</x:v>
      </x:c>
      <x:c r="E631" s="11" t="s">
        <x:v>126</x:v>
      </x:c>
      <x:c r="F631" s="15"/>
      <x:c r="G631" s="15"/>
    </x:row>
    <x:row r="632" spans="1:7" x14ac:dyDescent="0.3">
      <x:c r="B632" s="12">
        <x:v>7677592600</x:v>
      </x:c>
      <x:c r="C632" s="12">
        <x:v>7677592600</x:v>
      </x:c>
      <x:c r="D632" s="11" t="s">
        <x:v>138</x:v>
      </x:c>
      <x:c r="E632" s="11" t="s">
        <x:v>126</x:v>
      </x:c>
      <x:c r="F632" s="15"/>
      <x:c r="G632" s="15"/>
    </x:row>
    <x:row r="633" spans="1:7" x14ac:dyDescent="0.3">
      <x:c r="B633" s="12">
        <x:v>7677592700</x:v>
      </x:c>
      <x:c r="C633" s="12">
        <x:v>7677601100</x:v>
      </x:c>
      <x:c r="D633" s="11" t="s">
        <x:v>137</x:v>
      </x:c>
      <x:c r="E633" s="11" t="s">
        <x:v>126</x:v>
      </x:c>
      <x:c r="F633" s="15"/>
      <x:c r="G633" s="15"/>
    </x:row>
    <x:row r="634" spans="1:7" x14ac:dyDescent="0.3">
      <x:c r="B634" s="12">
        <x:v>7677601200</x:v>
      </x:c>
      <x:c r="C634" s="12">
        <x:v>7677601500</x:v>
      </x:c>
      <x:c r="D634" s="11" t="s">
        <x:v>138</x:v>
      </x:c>
      <x:c r="E634" s="11" t="s">
        <x:v>126</x:v>
      </x:c>
      <x:c r="F634" s="15"/>
      <x:c r="G634" s="15"/>
    </x:row>
    <x:row r="635" spans="1:7" x14ac:dyDescent="0.3">
      <x:c r="B635" s="12">
        <x:v>7677601600</x:v>
      </x:c>
      <x:c r="C635" s="12">
        <x:v>7677608100</x:v>
      </x:c>
      <x:c r="D635" s="11" t="s">
        <x:v>137</x:v>
      </x:c>
      <x:c r="E635" s="11" t="s">
        <x:v>126</x:v>
      </x:c>
      <x:c r="F635" s="15"/>
      <x:c r="G635" s="15"/>
    </x:row>
    <x:row r="636" spans="1:7" x14ac:dyDescent="0.3">
      <x:c r="B636" s="12">
        <x:v>7677608200</x:v>
      </x:c>
      <x:c r="C636" s="12">
        <x:v>7677608500</x:v>
      </x:c>
      <x:c r="D636" s="11" t="s">
        <x:v>138</x:v>
      </x:c>
      <x:c r="E636" s="11" t="s">
        <x:v>126</x:v>
      </x:c>
      <x:c r="F636" s="15"/>
      <x:c r="G636" s="15"/>
    </x:row>
    <x:row r="637" spans="1:7" x14ac:dyDescent="0.3">
      <x:c r="B637" s="12">
        <x:v>7677608600</x:v>
      </x:c>
      <x:c r="C637" s="12">
        <x:v>7677614900</x:v>
      </x:c>
      <x:c r="D637" s="11" t="s">
        <x:v>137</x:v>
      </x:c>
      <x:c r="E637" s="11" t="s">
        <x:v>126</x:v>
      </x:c>
      <x:c r="F637" s="15"/>
      <x:c r="G637" s="15"/>
    </x:row>
    <x:row r="638" spans="1:7" x14ac:dyDescent="0.3">
      <x:c r="B638" s="12">
        <x:v>7677615000</x:v>
      </x:c>
      <x:c r="C638" s="12">
        <x:v>7677615400</x:v>
      </x:c>
      <x:c r="D638" s="11" t="s">
        <x:v>138</x:v>
      </x:c>
      <x:c r="E638" s="11" t="s">
        <x:v>126</x:v>
      </x:c>
      <x:c r="F638" s="15"/>
      <x:c r="G638" s="15"/>
    </x:row>
    <x:row r="639" spans="1:7" x14ac:dyDescent="0.3">
      <x:c r="B639" s="12">
        <x:v>7677615500</x:v>
      </x:c>
      <x:c r="C639" s="12">
        <x:v>7677615600</x:v>
      </x:c>
      <x:c r="D639" s="11" t="s">
        <x:v>137</x:v>
      </x:c>
      <x:c r="E639" s="11" t="s">
        <x:v>126</x:v>
      </x:c>
      <x:c r="F639" s="15"/>
      <x:c r="G639" s="15"/>
    </x:row>
    <x:row r="640" spans="1:7" x14ac:dyDescent="0.3">
      <x:c r="B640" s="12">
        <x:v>7677615700</x:v>
      </x:c>
      <x:c r="C640" s="12">
        <x:v>7677615700</x:v>
      </x:c>
      <x:c r="D640" s="11" t="s">
        <x:v>138</x:v>
      </x:c>
      <x:c r="E640" s="11" t="s">
        <x:v>126</x:v>
      </x:c>
      <x:c r="F640" s="15"/>
      <x:c r="G640" s="15"/>
    </x:row>
    <x:row r="641" spans="1:7" x14ac:dyDescent="0.3">
      <x:c r="B641" s="12">
        <x:v>7677615800</x:v>
      </x:c>
      <x:c r="C641" s="12">
        <x:v>7677618200</x:v>
      </x:c>
      <x:c r="D641" s="11" t="s">
        <x:v>137</x:v>
      </x:c>
      <x:c r="E641" s="11" t="s">
        <x:v>126</x:v>
      </x:c>
      <x:c r="F641" s="15"/>
      <x:c r="G641" s="15"/>
    </x:row>
    <x:row r="642" spans="1:7" x14ac:dyDescent="0.3">
      <x:c r="B642" s="12">
        <x:v>7677618300</x:v>
      </x:c>
      <x:c r="C642" s="12">
        <x:v>7677618700</x:v>
      </x:c>
      <x:c r="D642" s="11" t="s">
        <x:v>138</x:v>
      </x:c>
      <x:c r="E642" s="11" t="s">
        <x:v>126</x:v>
      </x:c>
      <x:c r="F642" s="15"/>
      <x:c r="G642" s="15"/>
    </x:row>
    <x:row r="643" spans="1:7" x14ac:dyDescent="0.3">
      <x:c r="B643" s="12">
        <x:v>7677618800</x:v>
      </x:c>
      <x:c r="C643" s="12">
        <x:v>7677619700</x:v>
      </x:c>
      <x:c r="D643" s="11" t="s">
        <x:v>137</x:v>
      </x:c>
      <x:c r="E643" s="11" t="s">
        <x:v>126</x:v>
      </x:c>
      <x:c r="F643" s="15"/>
      <x:c r="G643" s="15"/>
    </x:row>
    <x:row r="644" spans="1:7" x14ac:dyDescent="0.3">
      <x:c r="B644" s="12">
        <x:v>7677619800</x:v>
      </x:c>
      <x:c r="C644" s="12">
        <x:v>7677619800</x:v>
      </x:c>
      <x:c r="D644" s="11" t="s">
        <x:v>138</x:v>
      </x:c>
      <x:c r="E644" s="11" t="s">
        <x:v>126</x:v>
      </x:c>
      <x:c r="F644" s="15"/>
      <x:c r="G644" s="15"/>
    </x:row>
    <x:row r="645" spans="1:7" x14ac:dyDescent="0.3">
      <x:c r="B645" s="12">
        <x:v>7677619900</x:v>
      </x:c>
      <x:c r="C645" s="12">
        <x:v>7677623900</x:v>
      </x:c>
      <x:c r="D645" s="11" t="s">
        <x:v>137</x:v>
      </x:c>
      <x:c r="E645" s="11" t="s">
        <x:v>126</x:v>
      </x:c>
      <x:c r="F645" s="15"/>
      <x:c r="G645" s="15"/>
    </x:row>
    <x:row r="646" spans="1:7" x14ac:dyDescent="0.3">
      <x:c r="B646" s="12">
        <x:v>7677624000</x:v>
      </x:c>
      <x:c r="C646" s="12">
        <x:v>7677624000</x:v>
      </x:c>
      <x:c r="D646" s="11" t="s">
        <x:v>138</x:v>
      </x:c>
      <x:c r="E646" s="11" t="s">
        <x:v>126</x:v>
      </x:c>
      <x:c r="F646" s="15"/>
      <x:c r="G646" s="15"/>
    </x:row>
    <x:row r="647" spans="1:7" x14ac:dyDescent="0.3">
      <x:c r="B647" s="12">
        <x:v>7677624100</x:v>
      </x:c>
      <x:c r="C647" s="12">
        <x:v>7677639100</x:v>
      </x:c>
      <x:c r="D647" s="11" t="s">
        <x:v>137</x:v>
      </x:c>
      <x:c r="E647" s="11" t="s">
        <x:v>126</x:v>
      </x:c>
      <x:c r="F647" s="15"/>
      <x:c r="G647" s="15"/>
    </x:row>
    <x:row r="648" spans="1:7" x14ac:dyDescent="0.3">
      <x:c r="B648" s="12">
        <x:v>7677639200</x:v>
      </x:c>
      <x:c r="C648" s="12">
        <x:v>7677639600</x:v>
      </x:c>
      <x:c r="D648" s="11" t="s">
        <x:v>138</x:v>
      </x:c>
      <x:c r="E648" s="11" t="s">
        <x:v>126</x:v>
      </x:c>
      <x:c r="F648" s="15"/>
      <x:c r="G648" s="15"/>
    </x:row>
    <x:row r="649" spans="1:7" x14ac:dyDescent="0.3">
      <x:c r="B649" s="12">
        <x:v>7677639700</x:v>
      </x:c>
      <x:c r="C649" s="12">
        <x:v>7677641900</x:v>
      </x:c>
      <x:c r="D649" s="11" t="s">
        <x:v>137</x:v>
      </x:c>
      <x:c r="E649" s="11" t="s">
        <x:v>126</x:v>
      </x:c>
      <x:c r="F649" s="15"/>
      <x:c r="G649" s="15"/>
    </x:row>
    <x:row r="650" spans="1:7" x14ac:dyDescent="0.3">
      <x:c r="B650" s="12">
        <x:v>7677642000</x:v>
      </x:c>
      <x:c r="C650" s="12">
        <x:v>7677642000</x:v>
      </x:c>
      <x:c r="D650" s="11" t="s">
        <x:v>138</x:v>
      </x:c>
      <x:c r="E650" s="11" t="s">
        <x:v>126</x:v>
      </x:c>
      <x:c r="F650" s="15"/>
      <x:c r="G650" s="15"/>
    </x:row>
    <x:row r="651" spans="1:7" x14ac:dyDescent="0.3">
      <x:c r="B651" s="12">
        <x:v>7677642100</x:v>
      </x:c>
      <x:c r="C651" s="12">
        <x:v>7677647600</x:v>
      </x:c>
      <x:c r="D651" s="11" t="s">
        <x:v>137</x:v>
      </x:c>
      <x:c r="E651" s="11" t="s">
        <x:v>126</x:v>
      </x:c>
      <x:c r="F651" s="15"/>
      <x:c r="G651" s="15"/>
    </x:row>
    <x:row r="652" spans="1:7" x14ac:dyDescent="0.3">
      <x:c r="B652" s="12">
        <x:v>7677647700</x:v>
      </x:c>
      <x:c r="C652" s="12">
        <x:v>7677647900</x:v>
      </x:c>
      <x:c r="D652" s="11" t="s">
        <x:v>138</x:v>
      </x:c>
      <x:c r="E652" s="11" t="s">
        <x:v>126</x:v>
      </x:c>
      <x:c r="F652" s="15"/>
      <x:c r="G652" s="15"/>
    </x:row>
    <x:row r="653" spans="1:7" x14ac:dyDescent="0.3">
      <x:c r="B653" s="12">
        <x:v>7677648000</x:v>
      </x:c>
      <x:c r="C653" s="12">
        <x:v>7677659800</x:v>
      </x:c>
      <x:c r="D653" s="11" t="s">
        <x:v>137</x:v>
      </x:c>
      <x:c r="E653" s="11" t="s">
        <x:v>126</x:v>
      </x:c>
      <x:c r="F653" s="15"/>
      <x:c r="G653" s="15"/>
    </x:row>
    <x:row r="654" spans="1:7" x14ac:dyDescent="0.3">
      <x:c r="B654" s="12">
        <x:v>7677659900</x:v>
      </x:c>
      <x:c r="C654" s="12">
        <x:v>7677660300</x:v>
      </x:c>
      <x:c r="D654" s="11" t="s">
        <x:v>138</x:v>
      </x:c>
      <x:c r="E654" s="11" t="s">
        <x:v>126</x:v>
      </x:c>
      <x:c r="F654" s="15"/>
      <x:c r="G654" s="15"/>
    </x:row>
    <x:row r="655" spans="1:7" x14ac:dyDescent="0.3">
      <x:c r="B655" s="12">
        <x:v>7677660400</x:v>
      </x:c>
      <x:c r="C655" s="12">
        <x:v>7677667000</x:v>
      </x:c>
      <x:c r="D655" s="11" t="s">
        <x:v>137</x:v>
      </x:c>
      <x:c r="E655" s="11" t="s">
        <x:v>126</x:v>
      </x:c>
      <x:c r="F655" s="15"/>
      <x:c r="G655" s="15"/>
    </x:row>
    <x:row r="656" spans="1:7" x14ac:dyDescent="0.3">
      <x:c r="B656" s="12">
        <x:v>7677667100</x:v>
      </x:c>
      <x:c r="C656" s="12">
        <x:v>7677667800</x:v>
      </x:c>
      <x:c r="D656" s="11" t="s">
        <x:v>138</x:v>
      </x:c>
      <x:c r="E656" s="11" t="s">
        <x:v>126</x:v>
      </x:c>
      <x:c r="F656" s="15"/>
      <x:c r="G656" s="15"/>
    </x:row>
    <x:row r="657" spans="1:7" x14ac:dyDescent="0.3">
      <x:c r="B657" s="12">
        <x:v>7677667900</x:v>
      </x:c>
      <x:c r="C657" s="12">
        <x:v>7677668800</x:v>
      </x:c>
      <x:c r="D657" s="11" t="s">
        <x:v>137</x:v>
      </x:c>
      <x:c r="E657" s="11" t="s">
        <x:v>126</x:v>
      </x:c>
      <x:c r="F657" s="15"/>
      <x:c r="G657" s="15"/>
    </x:row>
    <x:row r="658" spans="1:7" x14ac:dyDescent="0.3">
      <x:c r="B658" s="12">
        <x:v>7677668900</x:v>
      </x:c>
      <x:c r="C658" s="12">
        <x:v>7677668900</x:v>
      </x:c>
      <x:c r="D658" s="11" t="s">
        <x:v>138</x:v>
      </x:c>
      <x:c r="E658" s="11" t="s">
        <x:v>126</x:v>
      </x:c>
      <x:c r="F658" s="15"/>
      <x:c r="G658" s="15"/>
    </x:row>
    <x:row r="659" spans="1:7" x14ac:dyDescent="0.3">
      <x:c r="B659" s="12">
        <x:v>7677669000</x:v>
      </x:c>
      <x:c r="C659" s="12">
        <x:v>7677673600</x:v>
      </x:c>
      <x:c r="D659" s="11" t="s">
        <x:v>137</x:v>
      </x:c>
      <x:c r="E659" s="11" t="s">
        <x:v>126</x:v>
      </x:c>
      <x:c r="F659" s="15"/>
      <x:c r="G659" s="15"/>
    </x:row>
    <x:row r="660" spans="1:7" x14ac:dyDescent="0.3">
      <x:c r="B660" s="12">
        <x:v>7677673700</x:v>
      </x:c>
      <x:c r="C660" s="12">
        <x:v>7677678700</x:v>
      </x:c>
      <x:c r="D660" s="11" t="s">
        <x:v>138</x:v>
      </x:c>
      <x:c r="E660" s="11" t="s">
        <x:v>126</x:v>
      </x:c>
      <x:c r="F660" s="15"/>
      <x:c r="G660" s="15"/>
    </x:row>
    <x:row r="661" spans="1:7" x14ac:dyDescent="0.3">
      <x:c r="B661" s="12">
        <x:v>7677678800</x:v>
      </x:c>
      <x:c r="C661" s="12">
        <x:v>7677679800</x:v>
      </x:c>
      <x:c r="D661" s="11" t="s">
        <x:v>137</x:v>
      </x:c>
      <x:c r="E661" s="11" t="s">
        <x:v>126</x:v>
      </x:c>
      <x:c r="F661" s="15"/>
      <x:c r="G661" s="15"/>
    </x:row>
    <x:row r="662" spans="1:7" x14ac:dyDescent="0.3">
      <x:c r="B662" s="12">
        <x:v>7677679900</x:v>
      </x:c>
      <x:c r="C662" s="12">
        <x:v>7677680100</x:v>
      </x:c>
      <x:c r="D662" s="11" t="s">
        <x:v>138</x:v>
      </x:c>
      <x:c r="E662" s="11" t="s">
        <x:v>126</x:v>
      </x:c>
      <x:c r="F662" s="15"/>
      <x:c r="G662" s="15"/>
    </x:row>
    <x:row r="663" spans="1:7" x14ac:dyDescent="0.3">
      <x:c r="B663" s="12">
        <x:v>7677680200</x:v>
      </x:c>
      <x:c r="C663" s="12">
        <x:v>7677684400</x:v>
      </x:c>
      <x:c r="D663" s="11" t="s">
        <x:v>137</x:v>
      </x:c>
      <x:c r="E663" s="11" t="s">
        <x:v>126</x:v>
      </x:c>
      <x:c r="F663" s="15"/>
      <x:c r="G663" s="15"/>
    </x:row>
    <x:row r="664" spans="1:7" x14ac:dyDescent="0.3">
      <x:c r="B664" s="12">
        <x:v>7677684500</x:v>
      </x:c>
      <x:c r="C664" s="12">
        <x:v>7677684500</x:v>
      </x:c>
      <x:c r="D664" s="11" t="s">
        <x:v>138</x:v>
      </x:c>
      <x:c r="E664" s="11" t="s">
        <x:v>126</x:v>
      </x:c>
      <x:c r="F664" s="15"/>
      <x:c r="G664" s="15"/>
    </x:row>
    <x:row r="665" spans="1:7" x14ac:dyDescent="0.3">
      <x:c r="B665" s="12">
        <x:v>7677684600</x:v>
      </x:c>
      <x:c r="C665" s="12">
        <x:v>7677685500</x:v>
      </x:c>
      <x:c r="D665" s="11" t="s">
        <x:v>137</x:v>
      </x:c>
      <x:c r="E665" s="11" t="s">
        <x:v>126</x:v>
      </x:c>
      <x:c r="F665" s="15"/>
      <x:c r="G665" s="15"/>
    </x:row>
    <x:row r="666" spans="1:7" x14ac:dyDescent="0.3">
      <x:c r="B666" s="12">
        <x:v>7677685600</x:v>
      </x:c>
      <x:c r="C666" s="12">
        <x:v>7677685700</x:v>
      </x:c>
      <x:c r="D666" s="11" t="s">
        <x:v>138</x:v>
      </x:c>
      <x:c r="E666" s="11" t="s">
        <x:v>126</x:v>
      </x:c>
      <x:c r="F666" s="15"/>
      <x:c r="G666" s="15"/>
    </x:row>
    <x:row r="667" spans="1:7" x14ac:dyDescent="0.3">
      <x:c r="B667" s="12">
        <x:v>7677685800</x:v>
      </x:c>
      <x:c r="C667" s="12">
        <x:v>7677691300</x:v>
      </x:c>
      <x:c r="D667" s="11" t="s">
        <x:v>137</x:v>
      </x:c>
      <x:c r="E667" s="11" t="s">
        <x:v>126</x:v>
      </x:c>
      <x:c r="F667" s="15"/>
      <x:c r="G667" s="15"/>
    </x:row>
    <x:row r="668" spans="1:7" x14ac:dyDescent="0.3">
      <x:c r="B668" s="12">
        <x:v>7677691400</x:v>
      </x:c>
      <x:c r="C668" s="12">
        <x:v>7677691800</x:v>
      </x:c>
      <x:c r="D668" s="11" t="s">
        <x:v>138</x:v>
      </x:c>
      <x:c r="E668" s="11" t="s">
        <x:v>126</x:v>
      </x:c>
      <x:c r="F668" s="15"/>
      <x:c r="G668" s="15"/>
    </x:row>
    <x:row r="669" spans="1:7" x14ac:dyDescent="0.3">
      <x:c r="B669" s="12">
        <x:v>7677691900</x:v>
      </x:c>
      <x:c r="C669" s="12">
        <x:v>7677715200</x:v>
      </x:c>
      <x:c r="D669" s="11" t="s">
        <x:v>137</x:v>
      </x:c>
      <x:c r="E669" s="11" t="s">
        <x:v>126</x:v>
      </x:c>
      <x:c r="F669" s="15"/>
      <x:c r="G669" s="15"/>
    </x:row>
    <x:row r="670" spans="1:7" x14ac:dyDescent="0.3">
      <x:c r="B670" s="12">
        <x:v>7677715300</x:v>
      </x:c>
      <x:c r="C670" s="12">
        <x:v>7677715300</x:v>
      </x:c>
      <x:c r="D670" s="11" t="s">
        <x:v>138</x:v>
      </x:c>
      <x:c r="E670" s="11" t="s">
        <x:v>126</x:v>
      </x:c>
      <x:c r="F670" s="15"/>
      <x:c r="G670" s="15"/>
    </x:row>
    <x:row r="671" spans="1:7" x14ac:dyDescent="0.3">
      <x:c r="B671" s="12">
        <x:v>7677715400</x:v>
      </x:c>
      <x:c r="C671" s="12">
        <x:v>7677728800</x:v>
      </x:c>
      <x:c r="D671" s="11" t="s">
        <x:v>137</x:v>
      </x:c>
      <x:c r="E671" s="11" t="s">
        <x:v>126</x:v>
      </x:c>
      <x:c r="F671" s="15"/>
      <x:c r="G671" s="15"/>
    </x:row>
    <x:row r="672" spans="1:7" x14ac:dyDescent="0.3">
      <x:c r="B672" s="12">
        <x:v>7677728900</x:v>
      </x:c>
      <x:c r="C672" s="12">
        <x:v>7677729100</x:v>
      </x:c>
      <x:c r="D672" s="11" t="s">
        <x:v>138</x:v>
      </x:c>
      <x:c r="E672" s="11" t="s">
        <x:v>126</x:v>
      </x:c>
      <x:c r="F672" s="15"/>
      <x:c r="G672" s="15"/>
    </x:row>
    <x:row r="673" spans="1:7" x14ac:dyDescent="0.3">
      <x:c r="B673" s="12">
        <x:v>7677729200</x:v>
      </x:c>
      <x:c r="C673" s="12">
        <x:v>7677738000</x:v>
      </x:c>
      <x:c r="D673" s="11" t="s">
        <x:v>137</x:v>
      </x:c>
      <x:c r="E673" s="11" t="s">
        <x:v>126</x:v>
      </x:c>
      <x:c r="F673" s="15"/>
      <x:c r="G673" s="15"/>
    </x:row>
    <x:row r="674" spans="1:7" x14ac:dyDescent="0.3">
      <x:c r="B674" s="12">
        <x:v>7677738100</x:v>
      </x:c>
      <x:c r="C674" s="12">
        <x:v>7677738100</x:v>
      </x:c>
      <x:c r="D674" s="11" t="s">
        <x:v>138</x:v>
      </x:c>
      <x:c r="E674" s="11" t="s">
        <x:v>126</x:v>
      </x:c>
      <x:c r="F674" s="15"/>
      <x:c r="G674" s="15"/>
    </x:row>
    <x:row r="675" spans="1:7" x14ac:dyDescent="0.3">
      <x:c r="B675" s="12">
        <x:v>7677738200</x:v>
      </x:c>
      <x:c r="C675" s="12">
        <x:v>7677771000</x:v>
      </x:c>
      <x:c r="D675" s="11" t="s">
        <x:v>137</x:v>
      </x:c>
      <x:c r="E675" s="11" t="s">
        <x:v>126</x:v>
      </x:c>
      <x:c r="F675" s="15"/>
      <x:c r="G675" s="15"/>
    </x:row>
    <x:row r="676" spans="1:7" x14ac:dyDescent="0.3">
      <x:c r="B676" s="12">
        <x:v>7677771100</x:v>
      </x:c>
      <x:c r="C676" s="12">
        <x:v>7677771300</x:v>
      </x:c>
      <x:c r="D676" s="11" t="s">
        <x:v>138</x:v>
      </x:c>
      <x:c r="E676" s="11" t="s">
        <x:v>126</x:v>
      </x:c>
      <x:c r="F676" s="15"/>
      <x:c r="G676" s="15"/>
    </x:row>
    <x:row r="677" spans="1:7" x14ac:dyDescent="0.3">
      <x:c r="B677" s="12">
        <x:v>7677771400</x:v>
      </x:c>
      <x:c r="C677" s="12">
        <x:v>7677772300</x:v>
      </x:c>
      <x:c r="D677" s="11" t="s">
        <x:v>137</x:v>
      </x:c>
      <x:c r="E677" s="11" t="s">
        <x:v>126</x:v>
      </x:c>
      <x:c r="F677" s="15"/>
      <x:c r="G677" s="15"/>
    </x:row>
    <x:row r="678" spans="1:7" x14ac:dyDescent="0.3">
      <x:c r="B678" s="12">
        <x:v>7677772400</x:v>
      </x:c>
      <x:c r="C678" s="12">
        <x:v>7677772600</x:v>
      </x:c>
      <x:c r="D678" s="11" t="s">
        <x:v>138</x:v>
      </x:c>
      <x:c r="E678" s="11" t="s">
        <x:v>126</x:v>
      </x:c>
      <x:c r="F678" s="15"/>
      <x:c r="G678" s="15"/>
    </x:row>
    <x:row r="679" spans="1:7" x14ac:dyDescent="0.3">
      <x:c r="B679" s="12">
        <x:v>7677772700</x:v>
      </x:c>
      <x:c r="C679" s="12">
        <x:v>7677777400</x:v>
      </x:c>
      <x:c r="D679" s="11" t="s">
        <x:v>137</x:v>
      </x:c>
      <x:c r="E679" s="11" t="s">
        <x:v>126</x:v>
      </x:c>
      <x:c r="F679" s="15"/>
      <x:c r="G679" s="15"/>
    </x:row>
    <x:row r="680" spans="1:7" x14ac:dyDescent="0.3">
      <x:c r="B680" s="12">
        <x:v>7677777500</x:v>
      </x:c>
      <x:c r="C680" s="12">
        <x:v>7677778500</x:v>
      </x:c>
      <x:c r="D680" s="11" t="s">
        <x:v>138</x:v>
      </x:c>
      <x:c r="E680" s="11" t="s">
        <x:v>126</x:v>
      </x:c>
      <x:c r="F680" s="15"/>
      <x:c r="G680" s="15"/>
    </x:row>
    <x:row r="681" spans="1:7" x14ac:dyDescent="0.3">
      <x:c r="B681" s="12">
        <x:v>7677778600</x:v>
      </x:c>
      <x:c r="C681" s="12">
        <x:v>7677779000</x:v>
      </x:c>
      <x:c r="D681" s="11" t="s">
        <x:v>137</x:v>
      </x:c>
      <x:c r="E681" s="11" t="s">
        <x:v>126</x:v>
      </x:c>
      <x:c r="F681" s="15"/>
      <x:c r="G681" s="15"/>
    </x:row>
    <x:row r="682" spans="1:7" x14ac:dyDescent="0.3">
      <x:c r="B682" s="12">
        <x:v>7677779100</x:v>
      </x:c>
      <x:c r="C682" s="12">
        <x:v>7677779200</x:v>
      </x:c>
      <x:c r="D682" s="11" t="s">
        <x:v>138</x:v>
      </x:c>
      <x:c r="E682" s="11" t="s">
        <x:v>126</x:v>
      </x:c>
      <x:c r="F682" s="15"/>
      <x:c r="G682" s="15"/>
    </x:row>
    <x:row r="683" spans="1:7" x14ac:dyDescent="0.3">
      <x:c r="B683" s="12">
        <x:v>7677779300</x:v>
      </x:c>
      <x:c r="C683" s="12">
        <x:v>7677779500</x:v>
      </x:c>
      <x:c r="D683" s="11" t="s">
        <x:v>137</x:v>
      </x:c>
      <x:c r="E683" s="11" t="s">
        <x:v>126</x:v>
      </x:c>
      <x:c r="F683" s="15"/>
      <x:c r="G683" s="15"/>
    </x:row>
    <x:row r="684" spans="1:7" x14ac:dyDescent="0.3">
      <x:c r="B684" s="12">
        <x:v>7677779600</x:v>
      </x:c>
      <x:c r="C684" s="12">
        <x:v>7677779600</x:v>
      </x:c>
      <x:c r="D684" s="11" t="s">
        <x:v>138</x:v>
      </x:c>
      <x:c r="E684" s="11" t="s">
        <x:v>126</x:v>
      </x:c>
      <x:c r="F684" s="15"/>
      <x:c r="G684" s="15"/>
    </x:row>
    <x:row r="685" spans="1:7" x14ac:dyDescent="0.3">
      <x:c r="B685" s="12">
        <x:v>7677779700</x:v>
      </x:c>
      <x:c r="C685" s="12">
        <x:v>7677780300</x:v>
      </x:c>
      <x:c r="D685" s="11" t="s">
        <x:v>137</x:v>
      </x:c>
      <x:c r="E685" s="11" t="s">
        <x:v>126</x:v>
      </x:c>
      <x:c r="F685" s="15"/>
      <x:c r="G685" s="15"/>
    </x:row>
    <x:row r="686" spans="1:7" x14ac:dyDescent="0.3">
      <x:c r="B686" s="12">
        <x:v>7677780400</x:v>
      </x:c>
      <x:c r="C686" s="12">
        <x:v>7677780400</x:v>
      </x:c>
      <x:c r="D686" s="11" t="s">
        <x:v>138</x:v>
      </x:c>
      <x:c r="E686" s="11" t="s">
        <x:v>126</x:v>
      </x:c>
      <x:c r="F686" s="15"/>
      <x:c r="G686" s="15"/>
    </x:row>
    <x:row r="687" spans="1:7" x14ac:dyDescent="0.3">
      <x:c r="B687" s="12">
        <x:v>7677780500</x:v>
      </x:c>
      <x:c r="C687" s="12">
        <x:v>7677785800</x:v>
      </x:c>
      <x:c r="D687" s="11" t="s">
        <x:v>137</x:v>
      </x:c>
      <x:c r="E687" s="11" t="s">
        <x:v>126</x:v>
      </x:c>
      <x:c r="F687" s="15"/>
      <x:c r="G687" s="15"/>
    </x:row>
    <x:row r="688" spans="1:7" x14ac:dyDescent="0.3">
      <x:c r="B688" s="12">
        <x:v>7677785900</x:v>
      </x:c>
      <x:c r="C688" s="12">
        <x:v>7677786000</x:v>
      </x:c>
      <x:c r="D688" s="11" t="s">
        <x:v>138</x:v>
      </x:c>
      <x:c r="E688" s="11" t="s">
        <x:v>126</x:v>
      </x:c>
      <x:c r="F688" s="15"/>
      <x:c r="G688" s="15"/>
    </x:row>
    <x:row r="689" spans="1:7" x14ac:dyDescent="0.3">
      <x:c r="B689" s="12">
        <x:v>7677786100</x:v>
      </x:c>
      <x:c r="C689" s="12">
        <x:v>7677787600</x:v>
      </x:c>
      <x:c r="D689" s="11" t="s">
        <x:v>137</x:v>
      </x:c>
      <x:c r="E689" s="11" t="s">
        <x:v>126</x:v>
      </x:c>
      <x:c r="F689" s="15"/>
      <x:c r="G689" s="15"/>
    </x:row>
    <x:row r="690" spans="1:7" x14ac:dyDescent="0.3">
      <x:c r="B690" s="12">
        <x:v>7677787700</x:v>
      </x:c>
      <x:c r="C690" s="12">
        <x:v>7677788000</x:v>
      </x:c>
      <x:c r="D690" s="11" t="s">
        <x:v>138</x:v>
      </x:c>
      <x:c r="E690" s="11" t="s">
        <x:v>126</x:v>
      </x:c>
      <x:c r="F690" s="15"/>
      <x:c r="G690" s="15"/>
    </x:row>
    <x:row r="691" spans="1:7" x14ac:dyDescent="0.3">
      <x:c r="B691" s="12">
        <x:v>7677788100</x:v>
      </x:c>
      <x:c r="C691" s="12">
        <x:v>7677792500</x:v>
      </x:c>
      <x:c r="D691" s="11" t="s">
        <x:v>137</x:v>
      </x:c>
      <x:c r="E691" s="11" t="s">
        <x:v>126</x:v>
      </x:c>
      <x:c r="F691" s="15"/>
      <x:c r="G691" s="15"/>
    </x:row>
    <x:row r="692" spans="1:7" x14ac:dyDescent="0.3">
      <x:c r="B692" s="12">
        <x:v>7677792600</x:v>
      </x:c>
      <x:c r="C692" s="12">
        <x:v>7677792800</x:v>
      </x:c>
      <x:c r="D692" s="11" t="s">
        <x:v>138</x:v>
      </x:c>
      <x:c r="E692" s="11" t="s">
        <x:v>126</x:v>
      </x:c>
      <x:c r="F692" s="15"/>
      <x:c r="G692" s="15"/>
    </x:row>
    <x:row r="693" spans="1:7" x14ac:dyDescent="0.3">
      <x:c r="B693" s="12">
        <x:v>7677792900</x:v>
      </x:c>
      <x:c r="C693" s="12">
        <x:v>7677794300</x:v>
      </x:c>
      <x:c r="D693" s="11" t="s">
        <x:v>137</x:v>
      </x:c>
      <x:c r="E693" s="11" t="s">
        <x:v>126</x:v>
      </x:c>
      <x:c r="F693" s="15"/>
      <x:c r="G693" s="15"/>
    </x:row>
    <x:row r="694" spans="1:7" x14ac:dyDescent="0.3">
      <x:c r="B694" s="12">
        <x:v>7677794400</x:v>
      </x:c>
      <x:c r="C694" s="12">
        <x:v>7677794400</x:v>
      </x:c>
      <x:c r="D694" s="11" t="s">
        <x:v>138</x:v>
      </x:c>
      <x:c r="E694" s="11" t="s">
        <x:v>126</x:v>
      </x:c>
      <x:c r="F694" s="15"/>
      <x:c r="G694" s="15"/>
    </x:row>
    <x:row r="695" spans="1:7" x14ac:dyDescent="0.3">
      <x:c r="B695" s="12">
        <x:v>7677794500</x:v>
      </x:c>
      <x:c r="C695" s="12">
        <x:v>7677795300</x:v>
      </x:c>
      <x:c r="D695" s="11" t="s">
        <x:v>137</x:v>
      </x:c>
      <x:c r="E695" s="11" t="s">
        <x:v>126</x:v>
      </x:c>
      <x:c r="F695" s="15"/>
      <x:c r="G695" s="15"/>
    </x:row>
    <x:row r="696" spans="1:7" x14ac:dyDescent="0.3">
      <x:c r="B696" s="12">
        <x:v>7677795400</x:v>
      </x:c>
      <x:c r="C696" s="12">
        <x:v>7677795600</x:v>
      </x:c>
      <x:c r="D696" s="11" t="s">
        <x:v>138</x:v>
      </x:c>
      <x:c r="E696" s="11" t="s">
        <x:v>126</x:v>
      </x:c>
      <x:c r="F696" s="15"/>
      <x:c r="G696" s="15"/>
    </x:row>
    <x:row r="697" spans="1:7" x14ac:dyDescent="0.3">
      <x:c r="B697" s="12">
        <x:v>7677795700</x:v>
      </x:c>
      <x:c r="C697" s="12">
        <x:v>7677805600</x:v>
      </x:c>
      <x:c r="D697" s="11" t="s">
        <x:v>137</x:v>
      </x:c>
      <x:c r="E697" s="11" t="s">
        <x:v>126</x:v>
      </x:c>
      <x:c r="F697" s="15"/>
      <x:c r="G697" s="15"/>
    </x:row>
    <x:row r="698" spans="1:7" x14ac:dyDescent="0.3">
      <x:c r="B698" s="12">
        <x:v>7677805700</x:v>
      </x:c>
      <x:c r="C698" s="12">
        <x:v>7677806100</x:v>
      </x:c>
      <x:c r="D698" s="11" t="s">
        <x:v>138</x:v>
      </x:c>
      <x:c r="E698" s="11" t="s">
        <x:v>126</x:v>
      </x:c>
      <x:c r="F698" s="15"/>
      <x:c r="G698" s="15"/>
    </x:row>
    <x:row r="699" spans="1:7" x14ac:dyDescent="0.3">
      <x:c r="B699" s="12">
        <x:v>7677806200</x:v>
      </x:c>
      <x:c r="C699" s="12">
        <x:v>7677810400</x:v>
      </x:c>
      <x:c r="D699" s="11" t="s">
        <x:v>137</x:v>
      </x:c>
      <x:c r="E699" s="11" t="s">
        <x:v>126</x:v>
      </x:c>
      <x:c r="F699" s="15"/>
      <x:c r="G699" s="15"/>
    </x:row>
    <x:row r="700" spans="1:7" x14ac:dyDescent="0.3">
      <x:c r="B700" s="12">
        <x:v>7677810500</x:v>
      </x:c>
      <x:c r="C700" s="12">
        <x:v>7677810900</x:v>
      </x:c>
      <x:c r="D700" s="11" t="s">
        <x:v>138</x:v>
      </x:c>
      <x:c r="E700" s="11" t="s">
        <x:v>126</x:v>
      </x:c>
      <x:c r="F700" s="15"/>
      <x:c r="G700" s="15"/>
    </x:row>
    <x:row r="701" spans="1:7" x14ac:dyDescent="0.3">
      <x:c r="B701" s="12">
        <x:v>7677811000</x:v>
      </x:c>
      <x:c r="C701" s="12">
        <x:v>7677858600</x:v>
      </x:c>
      <x:c r="D701" s="11" t="s">
        <x:v>137</x:v>
      </x:c>
      <x:c r="E701" s="11" t="s">
        <x:v>126</x:v>
      </x:c>
      <x:c r="F701" s="15"/>
      <x:c r="G701" s="15"/>
    </x:row>
    <x:row r="702" spans="1:7" x14ac:dyDescent="0.3">
      <x:c r="B702" s="12">
        <x:v>7677858700</x:v>
      </x:c>
      <x:c r="C702" s="12">
        <x:v>7677858800</x:v>
      </x:c>
      <x:c r="D702" s="11" t="s">
        <x:v>138</x:v>
      </x:c>
      <x:c r="E702" s="11" t="s">
        <x:v>126</x:v>
      </x:c>
      <x:c r="F702" s="15"/>
      <x:c r="G702" s="15"/>
    </x:row>
    <x:row r="703" spans="1:7" x14ac:dyDescent="0.3">
      <x:c r="B703" s="12">
        <x:v>7677858900</x:v>
      </x:c>
      <x:c r="C703" s="12">
        <x:v>7677866800</x:v>
      </x:c>
      <x:c r="D703" s="11" t="s">
        <x:v>137</x:v>
      </x:c>
      <x:c r="E703" s="11" t="s">
        <x:v>126</x:v>
      </x:c>
      <x:c r="F703" s="15"/>
      <x:c r="G703" s="15"/>
    </x:row>
    <x:row r="704" spans="1:7" x14ac:dyDescent="0.3">
      <x:c r="B704" s="12">
        <x:v>7677866900</x:v>
      </x:c>
      <x:c r="C704" s="12">
        <x:v>7677867300</x:v>
      </x:c>
      <x:c r="D704" s="11" t="s">
        <x:v>138</x:v>
      </x:c>
      <x:c r="E704" s="11" t="s">
        <x:v>126</x:v>
      </x:c>
      <x:c r="F704" s="15"/>
      <x:c r="G704" s="15"/>
    </x:row>
    <x:row r="705" spans="1:7" x14ac:dyDescent="0.3">
      <x:c r="B705" s="12">
        <x:v>7677867400</x:v>
      </x:c>
      <x:c r="C705" s="12">
        <x:v>7677870000</x:v>
      </x:c>
      <x:c r="D705" s="11" t="s">
        <x:v>137</x:v>
      </x:c>
      <x:c r="E705" s="11" t="s">
        <x:v>126</x:v>
      </x:c>
      <x:c r="F705" s="15"/>
      <x:c r="G705" s="15"/>
    </x:row>
    <x:row r="706" spans="1:7" x14ac:dyDescent="0.3">
      <x:c r="B706" s="12">
        <x:v>7677870100</x:v>
      </x:c>
      <x:c r="C706" s="12">
        <x:v>7677870400</x:v>
      </x:c>
      <x:c r="D706" s="11" t="s">
        <x:v>138</x:v>
      </x:c>
      <x:c r="E706" s="11" t="s">
        <x:v>126</x:v>
      </x:c>
      <x:c r="F706" s="15"/>
      <x:c r="G706" s="15"/>
    </x:row>
    <x:row r="707" spans="1:7" x14ac:dyDescent="0.3">
      <x:c r="B707" s="12">
        <x:v>7677870500</x:v>
      </x:c>
      <x:c r="C707" s="12">
        <x:v>7677870500</x:v>
      </x:c>
      <x:c r="D707" s="11" t="s">
        <x:v>137</x:v>
      </x:c>
      <x:c r="E707" s="11" t="s">
        <x:v>126</x:v>
      </x:c>
      <x:c r="F707" s="15"/>
      <x:c r="G707" s="15"/>
    </x:row>
    <x:row r="708" spans="1:7" x14ac:dyDescent="0.3">
      <x:c r="B708" s="12">
        <x:v>7677870600</x:v>
      </x:c>
      <x:c r="C708" s="12">
        <x:v>7677870600</x:v>
      </x:c>
      <x:c r="D708" s="11" t="s">
        <x:v>138</x:v>
      </x:c>
      <x:c r="E708" s="11" t="s">
        <x:v>126</x:v>
      </x:c>
      <x:c r="F708" s="15"/>
      <x:c r="G708" s="15"/>
    </x:row>
    <x:row r="709" spans="1:7" x14ac:dyDescent="0.3">
      <x:c r="B709" s="12">
        <x:v>7677870700</x:v>
      </x:c>
      <x:c r="C709" s="12">
        <x:v>7677877000</x:v>
      </x:c>
      <x:c r="D709" s="11" t="s">
        <x:v>137</x:v>
      </x:c>
      <x:c r="E709" s="11" t="s">
        <x:v>126</x:v>
      </x:c>
      <x:c r="F709" s="15"/>
      <x:c r="G709" s="15"/>
    </x:row>
    <x:row r="710" spans="1:7" x14ac:dyDescent="0.3">
      <x:c r="B710" s="12">
        <x:v>7677877100</x:v>
      </x:c>
      <x:c r="C710" s="12">
        <x:v>7677877700</x:v>
      </x:c>
      <x:c r="D710" s="11" t="s">
        <x:v>138</x:v>
      </x:c>
      <x:c r="E710" s="11" t="s">
        <x:v>126</x:v>
      </x:c>
      <x:c r="F710" s="15"/>
      <x:c r="G710" s="15"/>
    </x:row>
    <x:row r="711" spans="1:7" x14ac:dyDescent="0.3">
      <x:c r="B711" s="12">
        <x:v>7677877800</x:v>
      </x:c>
      <x:c r="C711" s="12">
        <x:v>7677880300</x:v>
      </x:c>
      <x:c r="D711" s="11" t="s">
        <x:v>137</x:v>
      </x:c>
      <x:c r="E711" s="11" t="s">
        <x:v>126</x:v>
      </x:c>
      <x:c r="F711" s="15"/>
      <x:c r="G711" s="15"/>
    </x:row>
    <x:row r="712" spans="1:7" x14ac:dyDescent="0.3">
      <x:c r="B712" s="12">
        <x:v>7677880400</x:v>
      </x:c>
      <x:c r="C712" s="12">
        <x:v>7677884700</x:v>
      </x:c>
      <x:c r="D712" s="11" t="s">
        <x:v>138</x:v>
      </x:c>
      <x:c r="E712" s="11" t="s">
        <x:v>126</x:v>
      </x:c>
      <x:c r="F712" s="15"/>
      <x:c r="G712" s="15"/>
    </x:row>
    <x:row r="713" spans="1:7" x14ac:dyDescent="0.3">
      <x:c r="B713" s="12">
        <x:v>7677884800</x:v>
      </x:c>
      <x:c r="C713" s="12">
        <x:v>7677907000</x:v>
      </x:c>
      <x:c r="D713" s="11" t="s">
        <x:v>137</x:v>
      </x:c>
      <x:c r="E713" s="11" t="s">
        <x:v>126</x:v>
      </x:c>
      <x:c r="F713" s="15"/>
      <x:c r="G713" s="15"/>
    </x:row>
    <x:row r="714" spans="1:7" x14ac:dyDescent="0.3">
      <x:c r="B714" s="12">
        <x:v>7677907100</x:v>
      </x:c>
      <x:c r="C714" s="12">
        <x:v>7677907100</x:v>
      </x:c>
      <x:c r="D714" s="11" t="s">
        <x:v>138</x:v>
      </x:c>
      <x:c r="E714" s="11" t="s">
        <x:v>126</x:v>
      </x:c>
      <x:c r="F714" s="15"/>
      <x:c r="G714" s="15"/>
    </x:row>
    <x:row r="715" spans="1:7" x14ac:dyDescent="0.3">
      <x:c r="B715" s="12">
        <x:v>7677907200</x:v>
      </x:c>
      <x:c r="C715" s="12">
        <x:v>7677907700</x:v>
      </x:c>
      <x:c r="D715" s="11" t="s">
        <x:v>137</x:v>
      </x:c>
      <x:c r="E715" s="11" t="s">
        <x:v>126</x:v>
      </x:c>
      <x:c r="F715" s="15"/>
      <x:c r="G715" s="15"/>
    </x:row>
    <x:row r="716" spans="1:7" x14ac:dyDescent="0.3">
      <x:c r="B716" s="12">
        <x:v>7677907800</x:v>
      </x:c>
      <x:c r="C716" s="12">
        <x:v>7677907800</x:v>
      </x:c>
      <x:c r="D716" s="11" t="s">
        <x:v>138</x:v>
      </x:c>
      <x:c r="E716" s="11" t="s">
        <x:v>126</x:v>
      </x:c>
      <x:c r="F716" s="15"/>
      <x:c r="G716" s="15"/>
    </x:row>
    <x:row r="717" spans="1:7" x14ac:dyDescent="0.3">
      <x:c r="B717" s="12">
        <x:v>7677907900</x:v>
      </x:c>
      <x:c r="C717" s="12">
        <x:v>7677922600</x:v>
      </x:c>
      <x:c r="D717" s="11" t="s">
        <x:v>137</x:v>
      </x:c>
      <x:c r="E717" s="11" t="s">
        <x:v>126</x:v>
      </x:c>
      <x:c r="F717" s="15"/>
      <x:c r="G717" s="15"/>
    </x:row>
    <x:row r="718" spans="1:7" x14ac:dyDescent="0.3">
      <x:c r="B718" s="12">
        <x:v>7677922700</x:v>
      </x:c>
      <x:c r="C718" s="12">
        <x:v>7677922800</x:v>
      </x:c>
      <x:c r="D718" s="11" t="s">
        <x:v>138</x:v>
      </x:c>
      <x:c r="E718" s="11" t="s">
        <x:v>126</x:v>
      </x:c>
      <x:c r="F718" s="15"/>
      <x:c r="G718" s="15"/>
    </x:row>
    <x:row r="719" spans="1:7" x14ac:dyDescent="0.3">
      <x:c r="B719" s="12">
        <x:v>7677922900</x:v>
      </x:c>
      <x:c r="C719" s="12">
        <x:v>7677923600</x:v>
      </x:c>
      <x:c r="D719" s="11" t="s">
        <x:v>137</x:v>
      </x:c>
      <x:c r="E719" s="11" t="s">
        <x:v>126</x:v>
      </x:c>
      <x:c r="F719" s="15"/>
      <x:c r="G719" s="15"/>
    </x:row>
    <x:row r="720" spans="1:7" x14ac:dyDescent="0.3">
      <x:c r="B720" s="12">
        <x:v>7677923700</x:v>
      </x:c>
      <x:c r="C720" s="12">
        <x:v>7677923700</x:v>
      </x:c>
      <x:c r="D720" s="11" t="s">
        <x:v>138</x:v>
      </x:c>
      <x:c r="E720" s="11" t="s">
        <x:v>126</x:v>
      </x:c>
      <x:c r="F720" s="15"/>
      <x:c r="G720" s="15"/>
    </x:row>
    <x:row r="721" spans="1:7" x14ac:dyDescent="0.3">
      <x:c r="B721" s="12">
        <x:v>7677923800</x:v>
      </x:c>
      <x:c r="C721" s="12">
        <x:v>7677928800</x:v>
      </x:c>
      <x:c r="D721" s="11" t="s">
        <x:v>137</x:v>
      </x:c>
      <x:c r="E721" s="11" t="s">
        <x:v>126</x:v>
      </x:c>
      <x:c r="F721" s="15"/>
      <x:c r="G721" s="15"/>
    </x:row>
    <x:row r="722" spans="1:7" x14ac:dyDescent="0.3">
      <x:c r="B722" s="12">
        <x:v>7677928900</x:v>
      </x:c>
      <x:c r="C722" s="12">
        <x:v>7677929100</x:v>
      </x:c>
      <x:c r="D722" s="11" t="s">
        <x:v>138</x:v>
      </x:c>
      <x:c r="E722" s="11" t="s">
        <x:v>126</x:v>
      </x:c>
      <x:c r="F722" s="15"/>
      <x:c r="G722" s="15"/>
    </x:row>
    <x:row r="723" spans="1:7" x14ac:dyDescent="0.3">
      <x:c r="B723" s="12">
        <x:v>7677929200</x:v>
      </x:c>
      <x:c r="C723" s="12">
        <x:v>7677929900</x:v>
      </x:c>
      <x:c r="D723" s="11" t="s">
        <x:v>137</x:v>
      </x:c>
      <x:c r="E723" s="11" t="s">
        <x:v>126</x:v>
      </x:c>
      <x:c r="F723" s="15"/>
      <x:c r="G723" s="15"/>
    </x:row>
    <x:row r="724" spans="1:7" x14ac:dyDescent="0.3">
      <x:c r="B724" s="12">
        <x:v>7677930000</x:v>
      </x:c>
      <x:c r="C724" s="12">
        <x:v>7677930000</x:v>
      </x:c>
      <x:c r="D724" s="11" t="s">
        <x:v>138</x:v>
      </x:c>
      <x:c r="E724" s="11" t="s">
        <x:v>126</x:v>
      </x:c>
      <x:c r="F724" s="15"/>
      <x:c r="G724" s="15"/>
    </x:row>
    <x:row r="725" spans="1:7" x14ac:dyDescent="0.3">
      <x:c r="B725" s="12">
        <x:v>7677930100</x:v>
      </x:c>
      <x:c r="C725" s="12">
        <x:v>7677936900</x:v>
      </x:c>
      <x:c r="D725" s="11" t="s">
        <x:v>137</x:v>
      </x:c>
      <x:c r="E725" s="11" t="s">
        <x:v>126</x:v>
      </x:c>
      <x:c r="F725" s="15"/>
      <x:c r="G725" s="15"/>
    </x:row>
    <x:row r="726" spans="1:7" x14ac:dyDescent="0.3">
      <x:c r="B726" s="12">
        <x:v>7677937000</x:v>
      </x:c>
      <x:c r="C726" s="12">
        <x:v>7677938000</x:v>
      </x:c>
      <x:c r="D726" s="11" t="s">
        <x:v>138</x:v>
      </x:c>
      <x:c r="E726" s="11" t="s">
        <x:v>126</x:v>
      </x:c>
      <x:c r="F726" s="15"/>
      <x:c r="G726" s="15"/>
    </x:row>
    <x:row r="727" spans="1:7" x14ac:dyDescent="0.3">
      <x:c r="B727" s="12">
        <x:v>7677938100</x:v>
      </x:c>
      <x:c r="C727" s="12">
        <x:v>7677942400</x:v>
      </x:c>
      <x:c r="D727" s="11" t="s">
        <x:v>137</x:v>
      </x:c>
      <x:c r="E727" s="11" t="s">
        <x:v>126</x:v>
      </x:c>
      <x:c r="F727" s="15"/>
      <x:c r="G727" s="15"/>
    </x:row>
    <x:row r="728" spans="1:7" x14ac:dyDescent="0.3">
      <x:c r="B728" s="12">
        <x:v>7677942500</x:v>
      </x:c>
      <x:c r="C728" s="12">
        <x:v>7677942500</x:v>
      </x:c>
      <x:c r="D728" s="11" t="s">
        <x:v>138</x:v>
      </x:c>
      <x:c r="E728" s="11" t="s">
        <x:v>126</x:v>
      </x:c>
      <x:c r="F728" s="15"/>
      <x:c r="G728" s="15"/>
    </x:row>
    <x:row r="729" spans="1:7" x14ac:dyDescent="0.3">
      <x:c r="B729" s="12">
        <x:v>7677942600</x:v>
      </x:c>
      <x:c r="C729" s="12">
        <x:v>7677943300</x:v>
      </x:c>
      <x:c r="D729" s="11" t="s">
        <x:v>137</x:v>
      </x:c>
      <x:c r="E729" s="11" t="s">
        <x:v>126</x:v>
      </x:c>
      <x:c r="F729" s="15"/>
      <x:c r="G729" s="15"/>
    </x:row>
    <x:row r="730" spans="1:7" x14ac:dyDescent="0.3">
      <x:c r="B730" s="12">
        <x:v>7677943400</x:v>
      </x:c>
      <x:c r="C730" s="12">
        <x:v>7677943400</x:v>
      </x:c>
      <x:c r="D730" s="11" t="s">
        <x:v>138</x:v>
      </x:c>
      <x:c r="E730" s="11" t="s">
        <x:v>126</x:v>
      </x:c>
      <x:c r="F730" s="15"/>
      <x:c r="G730" s="15"/>
    </x:row>
    <x:row r="731" spans="1:7" x14ac:dyDescent="0.3">
      <x:c r="B731" s="12">
        <x:v>7677943500</x:v>
      </x:c>
      <x:c r="C731" s="12">
        <x:v>7677944600</x:v>
      </x:c>
      <x:c r="D731" s="11" t="s">
        <x:v>137</x:v>
      </x:c>
      <x:c r="E731" s="11" t="s">
        <x:v>126</x:v>
      </x:c>
      <x:c r="F731" s="15"/>
      <x:c r="G731" s="15"/>
    </x:row>
    <x:row r="732" spans="1:7" x14ac:dyDescent="0.3">
      <x:c r="B732" s="12">
        <x:v>7677944700</x:v>
      </x:c>
      <x:c r="C732" s="12">
        <x:v>7677944700</x:v>
      </x:c>
      <x:c r="D732" s="11" t="s">
        <x:v>137</x:v>
      </x:c>
      <x:c r="E732" s="11" t="s">
        <x:v>126</x:v>
      </x:c>
      <x:c r="F732" s="15"/>
      <x:c r="G732" s="15"/>
    </x:row>
    <x:row r="733" spans="1:7" x14ac:dyDescent="0.3">
      <x:c r="B733" s="12">
        <x:v>7677944800</x:v>
      </x:c>
      <x:c r="C733" s="12">
        <x:v>7677952400</x:v>
      </x:c>
      <x:c r="D733" s="11" t="s">
        <x:v>137</x:v>
      </x:c>
      <x:c r="E733" s="11" t="s">
        <x:v>126</x:v>
      </x:c>
      <x:c r="F733" s="15"/>
      <x:c r="G733" s="15"/>
    </x:row>
    <x:row r="734" spans="1:7" x14ac:dyDescent="0.3">
      <x:c r="B734" s="12">
        <x:v>7677952500</x:v>
      </x:c>
      <x:c r="C734" s="12">
        <x:v>7677954100</x:v>
      </x:c>
      <x:c r="D734" s="11" t="s">
        <x:v>138</x:v>
      </x:c>
      <x:c r="E734" s="11" t="s">
        <x:v>126</x:v>
      </x:c>
      <x:c r="F734" s="15"/>
      <x:c r="G734" s="15"/>
    </x:row>
    <x:row r="735" spans="1:7" x14ac:dyDescent="0.3">
      <x:c r="B735" s="12">
        <x:v>7677954200</x:v>
      </x:c>
      <x:c r="C735" s="12">
        <x:v>7677955000</x:v>
      </x:c>
      <x:c r="D735" s="11" t="s">
        <x:v>137</x:v>
      </x:c>
      <x:c r="E735" s="11" t="s">
        <x:v>126</x:v>
      </x:c>
      <x:c r="F735" s="15"/>
      <x:c r="G735" s="15"/>
    </x:row>
    <x:row r="736" spans="1:7" x14ac:dyDescent="0.3">
      <x:c r="B736" s="12">
        <x:v>7677955100</x:v>
      </x:c>
      <x:c r="C736" s="12">
        <x:v>7677955100</x:v>
      </x:c>
      <x:c r="D736" s="11" t="s">
        <x:v>138</x:v>
      </x:c>
      <x:c r="E736" s="11" t="s">
        <x:v>126</x:v>
      </x:c>
      <x:c r="F736" s="15"/>
      <x:c r="G736" s="15"/>
    </x:row>
    <x:row r="737" spans="1:7" x14ac:dyDescent="0.3">
      <x:c r="B737" s="12">
        <x:v>7677955200</x:v>
      </x:c>
      <x:c r="C737" s="12">
        <x:v>7677969900</x:v>
      </x:c>
      <x:c r="D737" s="11" t="s">
        <x:v>137</x:v>
      </x:c>
      <x:c r="E737" s="11" t="s">
        <x:v>126</x:v>
      </x:c>
      <x:c r="F737" s="15"/>
      <x:c r="G737" s="15"/>
    </x:row>
    <x:row r="738" spans="1:7" x14ac:dyDescent="0.3">
      <x:c r="B738" s="12">
        <x:v>7677970000</x:v>
      </x:c>
      <x:c r="C738" s="12">
        <x:v>7677970000</x:v>
      </x:c>
      <x:c r="D738" s="11" t="s">
        <x:v>138</x:v>
      </x:c>
      <x:c r="E738" s="11" t="s">
        <x:v>126</x:v>
      </x:c>
      <x:c r="F738" s="15"/>
      <x:c r="G738" s="15"/>
    </x:row>
    <x:row r="739" spans="1:7" x14ac:dyDescent="0.3">
      <x:c r="B739" s="12">
        <x:v>7677970100</x:v>
      </x:c>
      <x:c r="C739" s="12">
        <x:v>7677984000</x:v>
      </x:c>
      <x:c r="D739" s="11" t="s">
        <x:v>137</x:v>
      </x:c>
      <x:c r="E739" s="11" t="s">
        <x:v>126</x:v>
      </x:c>
      <x:c r="F739" s="15"/>
      <x:c r="G739" s="15"/>
    </x:row>
    <x:row r="740" spans="1:7" x14ac:dyDescent="0.3">
      <x:c r="B740" s="12">
        <x:v>7677984100</x:v>
      </x:c>
      <x:c r="C740" s="12">
        <x:v>7677984100</x:v>
      </x:c>
      <x:c r="D740" s="11" t="s">
        <x:v>138</x:v>
      </x:c>
      <x:c r="E740" s="11" t="s">
        <x:v>126</x:v>
      </x:c>
      <x:c r="F740" s="15"/>
      <x:c r="G740" s="15"/>
    </x:row>
    <x:row r="741" spans="1:7" x14ac:dyDescent="0.3">
      <x:c r="B741" s="12">
        <x:v>7677984200</x:v>
      </x:c>
      <x:c r="C741" s="12">
        <x:v>7677989400</x:v>
      </x:c>
      <x:c r="D741" s="11" t="s">
        <x:v>137</x:v>
      </x:c>
      <x:c r="E741" s="11" t="s">
        <x:v>126</x:v>
      </x:c>
      <x:c r="F741" s="15"/>
      <x:c r="G741" s="15"/>
    </x:row>
    <x:row r="742" spans="1:7" x14ac:dyDescent="0.3">
      <x:c r="B742" s="12">
        <x:v>7677989500</x:v>
      </x:c>
      <x:c r="C742" s="12">
        <x:v>7677989600</x:v>
      </x:c>
      <x:c r="D742" s="11" t="s">
        <x:v>138</x:v>
      </x:c>
      <x:c r="E742" s="11" t="s">
        <x:v>126</x:v>
      </x:c>
      <x:c r="F742" s="15"/>
      <x:c r="G742" s="15"/>
    </x:row>
    <x:row r="743" spans="1:7" x14ac:dyDescent="0.3">
      <x:c r="B743" s="12">
        <x:v>7677989700</x:v>
      </x:c>
      <x:c r="C743" s="12">
        <x:v>7678009500</x:v>
      </x:c>
      <x:c r="D743" s="11" t="s">
        <x:v>137</x:v>
      </x:c>
      <x:c r="E743" s="11" t="s">
        <x:v>126</x:v>
      </x:c>
      <x:c r="F743" s="15"/>
      <x:c r="G743" s="15"/>
    </x:row>
    <x:row r="744" spans="1:7" x14ac:dyDescent="0.3">
      <x:c r="B744" s="12">
        <x:v>7678009600</x:v>
      </x:c>
      <x:c r="C744" s="12">
        <x:v>7678009600</x:v>
      </x:c>
      <x:c r="D744" s="11" t="s">
        <x:v>138</x:v>
      </x:c>
      <x:c r="E744" s="11" t="s">
        <x:v>126</x:v>
      </x:c>
      <x:c r="F744" s="15"/>
      <x:c r="G744" s="15"/>
    </x:row>
    <x:row r="745" spans="1:7" x14ac:dyDescent="0.3">
      <x:c r="B745" s="12">
        <x:v>7678009700</x:v>
      </x:c>
      <x:c r="C745" s="12">
        <x:v>7678012700</x:v>
      </x:c>
      <x:c r="D745" s="11" t="s">
        <x:v>137</x:v>
      </x:c>
      <x:c r="E745" s="11" t="s">
        <x:v>126</x:v>
      </x:c>
      <x:c r="F745" s="15"/>
      <x:c r="G745" s="15"/>
    </x:row>
    <x:row r="746" spans="1:7" x14ac:dyDescent="0.3">
      <x:c r="B746" s="12">
        <x:v>7678012800</x:v>
      </x:c>
      <x:c r="C746" s="12">
        <x:v>7678012900</x:v>
      </x:c>
      <x:c r="D746" s="11" t="s">
        <x:v>138</x:v>
      </x:c>
      <x:c r="E746" s="11" t="s">
        <x:v>126</x:v>
      </x:c>
      <x:c r="F746" s="15"/>
      <x:c r="G746" s="15"/>
    </x:row>
    <x:row r="747" spans="1:7" x14ac:dyDescent="0.3">
      <x:c r="B747" s="12">
        <x:v>7678013000</x:v>
      </x:c>
      <x:c r="C747" s="12">
        <x:v>7678021500</x:v>
      </x:c>
      <x:c r="D747" s="11" t="s">
        <x:v>137</x:v>
      </x:c>
      <x:c r="E747" s="11" t="s">
        <x:v>126</x:v>
      </x:c>
      <x:c r="F747" s="15"/>
      <x:c r="G747" s="15"/>
    </x:row>
    <x:row r="748" spans="1:7" x14ac:dyDescent="0.3">
      <x:c r="B748" s="12">
        <x:v>7678021600</x:v>
      </x:c>
      <x:c r="C748" s="12">
        <x:v>7678021600</x:v>
      </x:c>
      <x:c r="D748" s="11" t="s">
        <x:v>138</x:v>
      </x:c>
      <x:c r="E748" s="11" t="s">
        <x:v>126</x:v>
      </x:c>
      <x:c r="F748" s="15"/>
      <x:c r="G748" s="15"/>
    </x:row>
    <x:row r="749" spans="1:7" x14ac:dyDescent="0.3">
      <x:c r="B749" s="12">
        <x:v>7678021700</x:v>
      </x:c>
      <x:c r="C749" s="12">
        <x:v>7678021900</x:v>
      </x:c>
      <x:c r="D749" s="11" t="s">
        <x:v>137</x:v>
      </x:c>
      <x:c r="E749" s="11" t="s">
        <x:v>126</x:v>
      </x:c>
      <x:c r="F749" s="15"/>
      <x:c r="G749" s="15"/>
    </x:row>
    <x:row r="750" spans="1:7" x14ac:dyDescent="0.3">
      <x:c r="B750" s="12">
        <x:v>7678022000</x:v>
      </x:c>
      <x:c r="C750" s="12">
        <x:v>7678022000</x:v>
      </x:c>
      <x:c r="D750" s="11" t="s">
        <x:v>138</x:v>
      </x:c>
      <x:c r="E750" s="11" t="s">
        <x:v>126</x:v>
      </x:c>
      <x:c r="F750" s="15"/>
      <x:c r="G750" s="15"/>
    </x:row>
    <x:row r="751" spans="1:7" x14ac:dyDescent="0.3">
      <x:c r="B751" s="12">
        <x:v>7678022100</x:v>
      </x:c>
      <x:c r="C751" s="12">
        <x:v>7678022500</x:v>
      </x:c>
      <x:c r="D751" s="11" t="s">
        <x:v>137</x:v>
      </x:c>
      <x:c r="E751" s="11" t="s">
        <x:v>126</x:v>
      </x:c>
      <x:c r="F751" s="15"/>
      <x:c r="G751" s="15"/>
    </x:row>
    <x:row r="752" spans="1:7" x14ac:dyDescent="0.3">
      <x:c r="B752" s="12">
        <x:v>7678022600</x:v>
      </x:c>
      <x:c r="C752" s="12">
        <x:v>7678022600</x:v>
      </x:c>
      <x:c r="D752" s="11" t="s">
        <x:v>138</x:v>
      </x:c>
      <x:c r="E752" s="11" t="s">
        <x:v>126</x:v>
      </x:c>
      <x:c r="F752" s="15"/>
      <x:c r="G752" s="15"/>
    </x:row>
    <x:row r="753" spans="1:7" x14ac:dyDescent="0.3">
      <x:c r="B753" s="12">
        <x:v>7678022700</x:v>
      </x:c>
      <x:c r="C753" s="12">
        <x:v>7678024200</x:v>
      </x:c>
      <x:c r="D753" s="11" t="s">
        <x:v>137</x:v>
      </x:c>
      <x:c r="E753" s="11" t="s">
        <x:v>126</x:v>
      </x:c>
      <x:c r="F753" s="15"/>
      <x:c r="G753" s="15"/>
    </x:row>
    <x:row r="754" spans="1:7" x14ac:dyDescent="0.3">
      <x:c r="B754" s="12">
        <x:v>7678024300</x:v>
      </x:c>
      <x:c r="C754" s="12">
        <x:v>7678024900</x:v>
      </x:c>
      <x:c r="D754" s="11" t="s">
        <x:v>138</x:v>
      </x:c>
      <x:c r="E754" s="11" t="s">
        <x:v>126</x:v>
      </x:c>
      <x:c r="F754" s="15"/>
      <x:c r="G754" s="15"/>
    </x:row>
    <x:row r="755" spans="1:7" x14ac:dyDescent="0.3">
      <x:c r="B755" s="12">
        <x:v>7678025000</x:v>
      </x:c>
      <x:c r="C755" s="12">
        <x:v>7678032900</x:v>
      </x:c>
      <x:c r="D755" s="11" t="s">
        <x:v>137</x:v>
      </x:c>
      <x:c r="E755" s="11" t="s">
        <x:v>126</x:v>
      </x:c>
      <x:c r="F755" s="15"/>
      <x:c r="G755" s="15"/>
    </x:row>
    <x:row r="756" spans="1:7" x14ac:dyDescent="0.3">
      <x:c r="B756" s="12">
        <x:v>7678033000</x:v>
      </x:c>
      <x:c r="C756" s="12">
        <x:v>7678033100</x:v>
      </x:c>
      <x:c r="D756" s="11" t="s">
        <x:v>138</x:v>
      </x:c>
      <x:c r="E756" s="11" t="s">
        <x:v>126</x:v>
      </x:c>
      <x:c r="F756" s="15"/>
      <x:c r="G756" s="15"/>
    </x:row>
    <x:row r="757" spans="1:7" x14ac:dyDescent="0.3">
      <x:c r="B757" s="12">
        <x:v>7678033200</x:v>
      </x:c>
      <x:c r="C757" s="12">
        <x:v>7678034800</x:v>
      </x:c>
      <x:c r="D757" s="11" t="s">
        <x:v>137</x:v>
      </x:c>
      <x:c r="E757" s="11" t="s">
        <x:v>126</x:v>
      </x:c>
      <x:c r="F757" s="15"/>
      <x:c r="G757" s="15"/>
    </x:row>
    <x:row r="758" spans="1:7" x14ac:dyDescent="0.3">
      <x:c r="B758" s="12">
        <x:v>7678034900</x:v>
      </x:c>
      <x:c r="C758" s="12">
        <x:v>7678034900</x:v>
      </x:c>
      <x:c r="D758" s="11" t="s">
        <x:v>138</x:v>
      </x:c>
      <x:c r="E758" s="11" t="s">
        <x:v>126</x:v>
      </x:c>
      <x:c r="F758" s="15"/>
      <x:c r="G758" s="15"/>
    </x:row>
    <x:row r="759" spans="1:7" x14ac:dyDescent="0.3">
      <x:c r="B759" s="12">
        <x:v>7678035000</x:v>
      </x:c>
      <x:c r="C759" s="12">
        <x:v>7678038400</x:v>
      </x:c>
      <x:c r="D759" s="11" t="s">
        <x:v>137</x:v>
      </x:c>
      <x:c r="E759" s="11" t="s">
        <x:v>126</x:v>
      </x:c>
      <x:c r="F759" s="15"/>
      <x:c r="G759" s="15"/>
    </x:row>
    <x:row r="760" spans="1:7" x14ac:dyDescent="0.3">
      <x:c r="B760" s="12">
        <x:v>7678038500</x:v>
      </x:c>
      <x:c r="C760" s="12">
        <x:v>7678038500</x:v>
      </x:c>
      <x:c r="D760" s="11" t="s">
        <x:v>138</x:v>
      </x:c>
      <x:c r="E760" s="11" t="s">
        <x:v>126</x:v>
      </x:c>
      <x:c r="F760" s="15"/>
      <x:c r="G760" s="15"/>
    </x:row>
    <x:row r="761" spans="1:7" x14ac:dyDescent="0.3">
      <x:c r="B761" s="12">
        <x:v>7678038600</x:v>
      </x:c>
      <x:c r="C761" s="12">
        <x:v>7678040400</x:v>
      </x:c>
      <x:c r="D761" s="11" t="s">
        <x:v>137</x:v>
      </x:c>
      <x:c r="E761" s="11" t="s">
        <x:v>126</x:v>
      </x:c>
      <x:c r="F761" s="15"/>
      <x:c r="G761" s="15"/>
    </x:row>
    <x:row r="762" spans="1:7" x14ac:dyDescent="0.3">
      <x:c r="B762" s="12">
        <x:v>7678040500</x:v>
      </x:c>
      <x:c r="C762" s="12">
        <x:v>7678040500</x:v>
      </x:c>
      <x:c r="D762" s="11" t="s">
        <x:v>138</x:v>
      </x:c>
      <x:c r="E762" s="11" t="s">
        <x:v>126</x:v>
      </x:c>
      <x:c r="F762" s="15"/>
      <x:c r="G762" s="15"/>
    </x:row>
    <x:row r="763" spans="1:7" x14ac:dyDescent="0.3">
      <x:c r="B763" s="12">
        <x:v>7678040600</x:v>
      </x:c>
      <x:c r="C763" s="12">
        <x:v>7678064000</x:v>
      </x:c>
      <x:c r="D763" s="11" t="s">
        <x:v>137</x:v>
      </x:c>
      <x:c r="E763" s="11" t="s">
        <x:v>126</x:v>
      </x:c>
      <x:c r="F763" s="15"/>
      <x:c r="G763" s="15"/>
    </x:row>
    <x:row r="764" spans="1:7" x14ac:dyDescent="0.3">
      <x:c r="B764" s="12">
        <x:v>7678064100</x:v>
      </x:c>
      <x:c r="C764" s="12">
        <x:v>7678065300</x:v>
      </x:c>
      <x:c r="D764" s="11" t="s">
        <x:v>138</x:v>
      </x:c>
      <x:c r="E764" s="11" t="s">
        <x:v>126</x:v>
      </x:c>
      <x:c r="F764" s="15"/>
      <x:c r="G764" s="15"/>
    </x:row>
    <x:row r="765" spans="1:7" x14ac:dyDescent="0.3">
      <x:c r="B765" s="12">
        <x:v>7678065400</x:v>
      </x:c>
      <x:c r="C765" s="12">
        <x:v>7678066100</x:v>
      </x:c>
      <x:c r="D765" s="11" t="s">
        <x:v>137</x:v>
      </x:c>
      <x:c r="E765" s="11" t="s">
        <x:v>126</x:v>
      </x:c>
      <x:c r="F765" s="15"/>
      <x:c r="G765" s="15"/>
    </x:row>
    <x:row r="766" spans="1:7" x14ac:dyDescent="0.3">
      <x:c r="B766" s="12">
        <x:v>7678066200</x:v>
      </x:c>
      <x:c r="C766" s="12">
        <x:v>7678066700</x:v>
      </x:c>
      <x:c r="D766" s="11" t="s">
        <x:v>138</x:v>
      </x:c>
      <x:c r="E766" s="11" t="s">
        <x:v>126</x:v>
      </x:c>
      <x:c r="F766" s="15"/>
      <x:c r="G766" s="15"/>
    </x:row>
    <x:row r="767" spans="1:7" x14ac:dyDescent="0.3">
      <x:c r="B767" s="12">
        <x:v>7678066800</x:v>
      </x:c>
      <x:c r="C767" s="12">
        <x:v>7678077700</x:v>
      </x:c>
      <x:c r="D767" s="11" t="s">
        <x:v>137</x:v>
      </x:c>
      <x:c r="E767" s="11" t="s">
        <x:v>126</x:v>
      </x:c>
      <x:c r="F767" s="15"/>
      <x:c r="G767" s="15"/>
    </x:row>
    <x:row r="768" spans="1:7" x14ac:dyDescent="0.3">
      <x:c r="B768" s="12">
        <x:v>7678077800</x:v>
      </x:c>
      <x:c r="C768" s="12">
        <x:v>7678078000</x:v>
      </x:c>
      <x:c r="D768" s="11" t="s">
        <x:v>138</x:v>
      </x:c>
      <x:c r="E768" s="11" t="s">
        <x:v>126</x:v>
      </x:c>
      <x:c r="F768" s="15"/>
      <x:c r="G768" s="15"/>
    </x:row>
    <x:row r="769" spans="1:7" x14ac:dyDescent="0.3">
      <x:c r="B769" s="12">
        <x:v>7678078100</x:v>
      </x:c>
      <x:c r="C769" s="12">
        <x:v>7678080700</x:v>
      </x:c>
      <x:c r="D769" s="11" t="s">
        <x:v>137</x:v>
      </x:c>
      <x:c r="E769" s="11" t="s">
        <x:v>126</x:v>
      </x:c>
      <x:c r="F769" s="15"/>
      <x:c r="G769" s="15"/>
    </x:row>
    <x:row r="770" spans="1:7" x14ac:dyDescent="0.3">
      <x:c r="B770" s="12">
        <x:v>7678080800</x:v>
      </x:c>
      <x:c r="C770" s="12">
        <x:v>7678080900</x:v>
      </x:c>
      <x:c r="D770" s="11" t="s">
        <x:v>138</x:v>
      </x:c>
      <x:c r="E770" s="11" t="s">
        <x:v>126</x:v>
      </x:c>
      <x:c r="F770" s="15"/>
      <x:c r="G770" s="15"/>
    </x:row>
    <x:row r="771" spans="1:7" x14ac:dyDescent="0.3">
      <x:c r="B771" s="12">
        <x:v>7678081000</x:v>
      </x:c>
      <x:c r="C771" s="12">
        <x:v>7678081700</x:v>
      </x:c>
      <x:c r="D771" s="11" t="s">
        <x:v>137</x:v>
      </x:c>
      <x:c r="E771" s="11" t="s">
        <x:v>126</x:v>
      </x:c>
      <x:c r="F771" s="15"/>
      <x:c r="G771" s="15"/>
    </x:row>
    <x:row r="772" spans="1:7" x14ac:dyDescent="0.3">
      <x:c r="B772" s="12">
        <x:v>7678081800</x:v>
      </x:c>
      <x:c r="C772" s="12">
        <x:v>7678081900</x:v>
      </x:c>
      <x:c r="D772" s="11" t="s">
        <x:v>138</x:v>
      </x:c>
      <x:c r="E772" s="11" t="s">
        <x:v>126</x:v>
      </x:c>
      <x:c r="F772" s="15"/>
      <x:c r="G772" s="15"/>
    </x:row>
    <x:row r="773" spans="1:7" x14ac:dyDescent="0.3">
      <x:c r="B773" s="12">
        <x:v>7678082000</x:v>
      </x:c>
      <x:c r="C773" s="12">
        <x:v>7678082000</x:v>
      </x:c>
      <x:c r="D773" s="11" t="s">
        <x:v>137</x:v>
      </x:c>
      <x:c r="E773" s="11" t="s">
        <x:v>126</x:v>
      </x:c>
      <x:c r="F773" s="15"/>
      <x:c r="G773" s="15"/>
    </x:row>
    <x:row r="774" spans="1:7" x14ac:dyDescent="0.3">
      <x:c r="B774" s="12">
        <x:v>7678082100</x:v>
      </x:c>
      <x:c r="C774" s="12">
        <x:v>7678082100</x:v>
      </x:c>
      <x:c r="D774" s="11" t="s">
        <x:v>138</x:v>
      </x:c>
      <x:c r="E774" s="11" t="s">
        <x:v>126</x:v>
      </x:c>
      <x:c r="F774" s="15"/>
      <x:c r="G774" s="15"/>
    </x:row>
    <x:row r="775" spans="1:7" x14ac:dyDescent="0.3">
      <x:c r="B775" s="12">
        <x:v>7678082200</x:v>
      </x:c>
      <x:c r="C775" s="12">
        <x:v>7678085100</x:v>
      </x:c>
      <x:c r="D775" s="11" t="s">
        <x:v>137</x:v>
      </x:c>
      <x:c r="E775" s="11" t="s">
        <x:v>126</x:v>
      </x:c>
      <x:c r="F775" s="15"/>
      <x:c r="G775" s="15"/>
    </x:row>
    <x:row r="776" spans="1:7" x14ac:dyDescent="0.3">
      <x:c r="B776" s="12">
        <x:v>7678085200</x:v>
      </x:c>
      <x:c r="C776" s="12">
        <x:v>7678085500</x:v>
      </x:c>
      <x:c r="D776" s="11" t="s">
        <x:v>138</x:v>
      </x:c>
      <x:c r="E776" s="11" t="s">
        <x:v>126</x:v>
      </x:c>
      <x:c r="F776" s="15"/>
      <x:c r="G776" s="15"/>
    </x:row>
    <x:row r="777" spans="1:7" x14ac:dyDescent="0.3">
      <x:c r="B777" s="12">
        <x:v>7678085600</x:v>
      </x:c>
      <x:c r="C777" s="12">
        <x:v>7678092900</x:v>
      </x:c>
      <x:c r="D777" s="11" t="s">
        <x:v>137</x:v>
      </x:c>
      <x:c r="E777" s="11" t="s">
        <x:v>126</x:v>
      </x:c>
      <x:c r="F777" s="15"/>
      <x:c r="G777" s="15"/>
    </x:row>
    <x:row r="778" spans="1:7" x14ac:dyDescent="0.3">
      <x:c r="B778" s="12">
        <x:v>7678093000</x:v>
      </x:c>
      <x:c r="C778" s="12">
        <x:v>7678093200</x:v>
      </x:c>
      <x:c r="D778" s="11" t="s">
        <x:v>138</x:v>
      </x:c>
      <x:c r="E778" s="11" t="s">
        <x:v>126</x:v>
      </x:c>
      <x:c r="F778" s="15"/>
      <x:c r="G778" s="15"/>
    </x:row>
    <x:row r="779" spans="1:7" x14ac:dyDescent="0.3">
      <x:c r="B779" s="12">
        <x:v>7678093300</x:v>
      </x:c>
      <x:c r="C779" s="12">
        <x:v>7678100700</x:v>
      </x:c>
      <x:c r="D779" s="11" t="s">
        <x:v>137</x:v>
      </x:c>
      <x:c r="E779" s="11" t="s">
        <x:v>126</x:v>
      </x:c>
      <x:c r="F779" s="15"/>
      <x:c r="G779" s="15"/>
    </x:row>
    <x:row r="780" spans="1:7" x14ac:dyDescent="0.3">
      <x:c r="B780" s="12">
        <x:v>7678100800</x:v>
      </x:c>
      <x:c r="C780" s="12">
        <x:v>7678101000</x:v>
      </x:c>
      <x:c r="D780" s="11" t="s">
        <x:v>138</x:v>
      </x:c>
      <x:c r="E780" s="11" t="s">
        <x:v>126</x:v>
      </x:c>
      <x:c r="F780" s="15"/>
      <x:c r="G780" s="15"/>
    </x:row>
    <x:row r="781" spans="1:7" x14ac:dyDescent="0.3">
      <x:c r="B781" s="12">
        <x:v>7678101100</x:v>
      </x:c>
      <x:c r="C781" s="12">
        <x:v>7678106000</x:v>
      </x:c>
      <x:c r="D781" s="11" t="s">
        <x:v>137</x:v>
      </x:c>
      <x:c r="E781" s="11" t="s">
        <x:v>126</x:v>
      </x:c>
      <x:c r="F781" s="15"/>
      <x:c r="G781" s="15"/>
    </x:row>
    <x:row r="782" spans="1:7" x14ac:dyDescent="0.3">
      <x:c r="B782" s="12">
        <x:v>7678106100</x:v>
      </x:c>
      <x:c r="C782" s="12">
        <x:v>7678106800</x:v>
      </x:c>
      <x:c r="D782" s="11" t="s">
        <x:v>138</x:v>
      </x:c>
      <x:c r="E782" s="11" t="s">
        <x:v>126</x:v>
      </x:c>
      <x:c r="F782" s="15"/>
      <x:c r="G782" s="15"/>
    </x:row>
    <x:row r="783" spans="1:7" x14ac:dyDescent="0.3">
      <x:c r="B783" s="12">
        <x:v>7678106900</x:v>
      </x:c>
      <x:c r="C783" s="12">
        <x:v>7678110000</x:v>
      </x:c>
      <x:c r="D783" s="11" t="s">
        <x:v>137</x:v>
      </x:c>
      <x:c r="E783" s="11" t="s">
        <x:v>126</x:v>
      </x:c>
      <x:c r="F783" s="15"/>
      <x:c r="G783" s="15"/>
    </x:row>
    <x:row r="784" spans="1:7" x14ac:dyDescent="0.3">
      <x:c r="B784" s="12">
        <x:v>7678110100</x:v>
      </x:c>
      <x:c r="C784" s="12">
        <x:v>7678110500</x:v>
      </x:c>
      <x:c r="D784" s="11" t="s">
        <x:v>138</x:v>
      </x:c>
      <x:c r="E784" s="11" t="s">
        <x:v>126</x:v>
      </x:c>
      <x:c r="F784" s="15"/>
      <x:c r="G784" s="15"/>
    </x:row>
    <x:row r="785" spans="1:7" x14ac:dyDescent="0.3">
      <x:c r="B785" s="12">
        <x:v>7678110600</x:v>
      </x:c>
      <x:c r="C785" s="12">
        <x:v>7678121300</x:v>
      </x:c>
      <x:c r="D785" s="11" t="s">
        <x:v>137</x:v>
      </x:c>
      <x:c r="E785" s="11" t="s">
        <x:v>126</x:v>
      </x:c>
      <x:c r="F785" s="15"/>
      <x:c r="G785" s="15"/>
    </x:row>
    <x:row r="786" spans="1:7" x14ac:dyDescent="0.3">
      <x:c r="B786" s="12">
        <x:v>7678121400</x:v>
      </x:c>
      <x:c r="C786" s="12">
        <x:v>7678121700</x:v>
      </x:c>
      <x:c r="D786" s="11" t="s">
        <x:v>138</x:v>
      </x:c>
      <x:c r="E786" s="11" t="s">
        <x:v>126</x:v>
      </x:c>
      <x:c r="F786" s="15"/>
      <x:c r="G786" s="15"/>
    </x:row>
    <x:row r="787" spans="1:7" x14ac:dyDescent="0.3">
      <x:c r="B787" s="12">
        <x:v>7678121800</x:v>
      </x:c>
      <x:c r="C787" s="12">
        <x:v>7678124400</x:v>
      </x:c>
      <x:c r="D787" s="11" t="s">
        <x:v>137</x:v>
      </x:c>
      <x:c r="E787" s="11" t="s">
        <x:v>126</x:v>
      </x:c>
      <x:c r="F787" s="15"/>
      <x:c r="G787" s="15"/>
    </x:row>
    <x:row r="788" spans="1:7" x14ac:dyDescent="0.3">
      <x:c r="B788" s="12">
        <x:v>7678124500</x:v>
      </x:c>
      <x:c r="C788" s="12">
        <x:v>7678125000</x:v>
      </x:c>
      <x:c r="D788" s="11" t="s">
        <x:v>138</x:v>
      </x:c>
      <x:c r="E788" s="11" t="s">
        <x:v>126</x:v>
      </x:c>
      <x:c r="F788" s="15"/>
      <x:c r="G788" s="15"/>
    </x:row>
    <x:row r="789" spans="1:7" x14ac:dyDescent="0.3">
      <x:c r="B789" s="12">
        <x:v>7678125100</x:v>
      </x:c>
      <x:c r="C789" s="12">
        <x:v>7678128700</x:v>
      </x:c>
      <x:c r="D789" s="11" t="s">
        <x:v>137</x:v>
      </x:c>
      <x:c r="E789" s="11" t="s">
        <x:v>126</x:v>
      </x:c>
      <x:c r="F789" s="15"/>
      <x:c r="G789" s="15"/>
    </x:row>
    <x:row r="790" spans="1:7" x14ac:dyDescent="0.3">
      <x:c r="B790" s="12">
        <x:v>7678128800</x:v>
      </x:c>
      <x:c r="C790" s="12">
        <x:v>7678128900</x:v>
      </x:c>
      <x:c r="D790" s="11" t="s">
        <x:v>138</x:v>
      </x:c>
      <x:c r="E790" s="11" t="s">
        <x:v>126</x:v>
      </x:c>
      <x:c r="F790" s="15"/>
      <x:c r="G790" s="15"/>
    </x:row>
    <x:row r="791" spans="1:7" x14ac:dyDescent="0.3">
      <x:c r="B791" s="12">
        <x:v>7678129000</x:v>
      </x:c>
      <x:c r="C791" s="12">
        <x:v>7678129400</x:v>
      </x:c>
      <x:c r="D791" s="11" t="s">
        <x:v>137</x:v>
      </x:c>
      <x:c r="E791" s="11" t="s">
        <x:v>126</x:v>
      </x:c>
      <x:c r="F791" s="15"/>
      <x:c r="G791" s="15"/>
    </x:row>
    <x:row r="792" spans="1:7" x14ac:dyDescent="0.3">
      <x:c r="B792" s="12">
        <x:v>7678129500</x:v>
      </x:c>
      <x:c r="C792" s="12">
        <x:v>7678129800</x:v>
      </x:c>
      <x:c r="D792" s="11" t="s">
        <x:v>138</x:v>
      </x:c>
      <x:c r="E792" s="11" t="s">
        <x:v>126</x:v>
      </x:c>
      <x:c r="F792" s="15"/>
      <x:c r="G792" s="15"/>
    </x:row>
    <x:row r="793" spans="1:7" x14ac:dyDescent="0.3">
      <x:c r="B793" s="12">
        <x:v>7678129900</x:v>
      </x:c>
      <x:c r="C793" s="12">
        <x:v>7678139000</x:v>
      </x:c>
      <x:c r="D793" s="11" t="s">
        <x:v>137</x:v>
      </x:c>
      <x:c r="E793" s="11" t="s">
        <x:v>126</x:v>
      </x:c>
      <x:c r="F793" s="15"/>
      <x:c r="G793" s="15"/>
    </x:row>
    <x:row r="794" spans="1:7" x14ac:dyDescent="0.3">
      <x:c r="B794" s="12">
        <x:v>7678139100</x:v>
      </x:c>
      <x:c r="C794" s="12">
        <x:v>7678139200</x:v>
      </x:c>
      <x:c r="D794" s="11" t="s">
        <x:v>138</x:v>
      </x:c>
      <x:c r="E794" s="11" t="s">
        <x:v>126</x:v>
      </x:c>
      <x:c r="F794" s="15"/>
      <x:c r="G794" s="15"/>
    </x:row>
    <x:row r="795" spans="1:7" x14ac:dyDescent="0.3">
      <x:c r="B795" s="12">
        <x:v>7678139300</x:v>
      </x:c>
      <x:c r="C795" s="12">
        <x:v>7678139700</x:v>
      </x:c>
      <x:c r="D795" s="11" t="s">
        <x:v>137</x:v>
      </x:c>
      <x:c r="E795" s="11" t="s">
        <x:v>126</x:v>
      </x:c>
      <x:c r="F795" s="15"/>
      <x:c r="G795" s="15"/>
    </x:row>
    <x:row r="796" spans="1:7" x14ac:dyDescent="0.3">
      <x:c r="B796" s="12">
        <x:v>7678139800</x:v>
      </x:c>
      <x:c r="C796" s="12">
        <x:v>7678140000</x:v>
      </x:c>
      <x:c r="D796" s="11" t="s">
        <x:v>138</x:v>
      </x:c>
      <x:c r="E796" s="11" t="s">
        <x:v>126</x:v>
      </x:c>
      <x:c r="F796" s="15"/>
      <x:c r="G796" s="15"/>
    </x:row>
    <x:row r="797" spans="1:7" x14ac:dyDescent="0.3">
      <x:c r="B797" s="12">
        <x:v>7678140100</x:v>
      </x:c>
      <x:c r="C797" s="12">
        <x:v>7678148200</x:v>
      </x:c>
      <x:c r="D797" s="11" t="s">
        <x:v>137</x:v>
      </x:c>
      <x:c r="E797" s="11" t="s">
        <x:v>126</x:v>
      </x:c>
      <x:c r="F797" s="15"/>
      <x:c r="G797" s="15"/>
    </x:row>
    <x:row r="798" spans="1:7" x14ac:dyDescent="0.3">
      <x:c r="B798" s="12">
        <x:v>7678148300</x:v>
      </x:c>
      <x:c r="C798" s="12">
        <x:v>7678148400</x:v>
      </x:c>
      <x:c r="D798" s="11" t="s">
        <x:v>138</x:v>
      </x:c>
      <x:c r="E798" s="11" t="s">
        <x:v>126</x:v>
      </x:c>
      <x:c r="F798" s="15"/>
      <x:c r="G798" s="15"/>
    </x:row>
    <x:row r="799" spans="1:7" x14ac:dyDescent="0.3">
      <x:c r="B799" s="12">
        <x:v>7678148500</x:v>
      </x:c>
      <x:c r="C799" s="12">
        <x:v>7678152000</x:v>
      </x:c>
      <x:c r="D799" s="11" t="s">
        <x:v>137</x:v>
      </x:c>
      <x:c r="E799" s="11" t="s">
        <x:v>126</x:v>
      </x:c>
      <x:c r="F799" s="15"/>
      <x:c r="G799" s="15"/>
    </x:row>
    <x:row r="800" spans="1:7" x14ac:dyDescent="0.3">
      <x:c r="B800" s="12">
        <x:v>7678152100</x:v>
      </x:c>
      <x:c r="C800" s="12">
        <x:v>7678153800</x:v>
      </x:c>
      <x:c r="D800" s="11" t="s">
        <x:v>138</x:v>
      </x:c>
      <x:c r="E800" s="11" t="s">
        <x:v>126</x:v>
      </x:c>
      <x:c r="F800" s="15"/>
      <x:c r="G800" s="15"/>
    </x:row>
    <x:row r="801" spans="1:7" x14ac:dyDescent="0.3">
      <x:c r="B801" s="12">
        <x:v>7678153900</x:v>
      </x:c>
      <x:c r="C801" s="12">
        <x:v>7678156600</x:v>
      </x:c>
      <x:c r="D801" s="11" t="s">
        <x:v>137</x:v>
      </x:c>
      <x:c r="E801" s="11" t="s">
        <x:v>126</x:v>
      </x:c>
      <x:c r="F801" s="15"/>
      <x:c r="G801" s="15"/>
    </x:row>
    <x:row r="802" spans="1:7" x14ac:dyDescent="0.3">
      <x:c r="B802" s="12">
        <x:v>7678156700</x:v>
      </x:c>
      <x:c r="C802" s="12">
        <x:v>7678157200</x:v>
      </x:c>
      <x:c r="D802" s="11" t="s">
        <x:v>138</x:v>
      </x:c>
      <x:c r="E802" s="11" t="s">
        <x:v>126</x:v>
      </x:c>
      <x:c r="F802" s="15"/>
      <x:c r="G802" s="15"/>
    </x:row>
    <x:row r="803" spans="1:7" x14ac:dyDescent="0.3">
      <x:c r="B803" s="12">
        <x:v>7678157300</x:v>
      </x:c>
      <x:c r="C803" s="12">
        <x:v>7678160700</x:v>
      </x:c>
      <x:c r="D803" s="11" t="s">
        <x:v>137</x:v>
      </x:c>
      <x:c r="E803" s="11" t="s">
        <x:v>126</x:v>
      </x:c>
      <x:c r="F803" s="15"/>
      <x:c r="G803" s="15"/>
    </x:row>
    <x:row r="804" spans="1:7" x14ac:dyDescent="0.3">
      <x:c r="B804" s="12">
        <x:v>7678160800</x:v>
      </x:c>
      <x:c r="C804" s="12">
        <x:v>7678161000</x:v>
      </x:c>
      <x:c r="D804" s="11" t="s">
        <x:v>138</x:v>
      </x:c>
      <x:c r="E804" s="11" t="s">
        <x:v>126</x:v>
      </x:c>
      <x:c r="F804" s="15"/>
      <x:c r="G804" s="15"/>
    </x:row>
    <x:row r="805" spans="1:7" x14ac:dyDescent="0.3">
      <x:c r="B805" s="12">
        <x:v>7678161100</x:v>
      </x:c>
      <x:c r="C805" s="12">
        <x:v>7678161100</x:v>
      </x:c>
      <x:c r="D805" s="11" t="s">
        <x:v>137</x:v>
      </x:c>
      <x:c r="E805" s="11" t="s">
        <x:v>126</x:v>
      </x:c>
      <x:c r="F805" s="15"/>
      <x:c r="G805" s="15"/>
    </x:row>
    <x:row r="806" spans="1:7" x14ac:dyDescent="0.3">
      <x:c r="B806" s="12">
        <x:v>7678161200</x:v>
      </x:c>
      <x:c r="C806" s="12">
        <x:v>7678161800</x:v>
      </x:c>
      <x:c r="D806" s="11" t="s">
        <x:v>137</x:v>
      </x:c>
      <x:c r="E806" s="11" t="s">
        <x:v>126</x:v>
      </x:c>
      <x:c r="F806" s="15"/>
      <x:c r="G806" s="15"/>
    </x:row>
    <x:row r="807" spans="1:7" x14ac:dyDescent="0.3">
      <x:c r="B807" s="12">
        <x:v>7678161900</x:v>
      </x:c>
      <x:c r="C807" s="12">
        <x:v>7678166800</x:v>
      </x:c>
      <x:c r="D807" s="11" t="s">
        <x:v>137</x:v>
      </x:c>
      <x:c r="E807" s="11" t="s">
        <x:v>126</x:v>
      </x:c>
      <x:c r="F807" s="15"/>
      <x:c r="G807" s="15"/>
    </x:row>
    <x:row r="808" spans="1:7" x14ac:dyDescent="0.3">
      <x:c r="B808" s="12">
        <x:v>7678166900</x:v>
      </x:c>
      <x:c r="C808" s="12">
        <x:v>7678167000</x:v>
      </x:c>
      <x:c r="D808" s="11" t="s">
        <x:v>138</x:v>
      </x:c>
      <x:c r="E808" s="11" t="s">
        <x:v>126</x:v>
      </x:c>
      <x:c r="F808" s="15"/>
      <x:c r="G808" s="15"/>
    </x:row>
    <x:row r="809" spans="1:7" x14ac:dyDescent="0.3">
      <x:c r="B809" s="12">
        <x:v>7678167100</x:v>
      </x:c>
      <x:c r="C809" s="12">
        <x:v>7678168900</x:v>
      </x:c>
      <x:c r="D809" s="11" t="s">
        <x:v>137</x:v>
      </x:c>
      <x:c r="E809" s="11" t="s">
        <x:v>126</x:v>
      </x:c>
      <x:c r="F809" s="15"/>
      <x:c r="G809" s="15"/>
    </x:row>
    <x:row r="810" spans="1:7" x14ac:dyDescent="0.3">
      <x:c r="B810" s="12">
        <x:v>7678169000</x:v>
      </x:c>
      <x:c r="C810" s="12">
        <x:v>7678169100</x:v>
      </x:c>
      <x:c r="D810" s="11" t="s">
        <x:v>138</x:v>
      </x:c>
      <x:c r="E810" s="11" t="s">
        <x:v>126</x:v>
      </x:c>
      <x:c r="F810" s="15"/>
      <x:c r="G810" s="15"/>
    </x:row>
    <x:row r="811" spans="1:7" x14ac:dyDescent="0.3">
      <x:c r="B811" s="12">
        <x:v>7678169200</x:v>
      </x:c>
      <x:c r="C811" s="12">
        <x:v>7678170500</x:v>
      </x:c>
      <x:c r="D811" s="11" t="s">
        <x:v>137</x:v>
      </x:c>
      <x:c r="E811" s="11" t="s">
        <x:v>126</x:v>
      </x:c>
      <x:c r="F811" s="15"/>
      <x:c r="G811" s="15"/>
    </x:row>
    <x:row r="812" spans="1:7" x14ac:dyDescent="0.3">
      <x:c r="B812" s="12">
        <x:v>7678170600</x:v>
      </x:c>
      <x:c r="C812" s="12">
        <x:v>7678171800</x:v>
      </x:c>
      <x:c r="D812" s="11" t="s">
        <x:v>138</x:v>
      </x:c>
      <x:c r="E812" s="11" t="s">
        <x:v>126</x:v>
      </x:c>
      <x:c r="F812" s="15"/>
      <x:c r="G812" s="15"/>
    </x:row>
    <x:row r="813" spans="1:7" x14ac:dyDescent="0.3">
      <x:c r="B813" s="12">
        <x:v>7678171900</x:v>
      </x:c>
      <x:c r="C813" s="12">
        <x:v>7678172500</x:v>
      </x:c>
      <x:c r="D813" s="11" t="s">
        <x:v>137</x:v>
      </x:c>
      <x:c r="E813" s="11" t="s">
        <x:v>126</x:v>
      </x:c>
      <x:c r="F813" s="15"/>
      <x:c r="G813" s="15"/>
    </x:row>
    <x:row r="814" spans="1:7" x14ac:dyDescent="0.3">
      <x:c r="B814" s="12">
        <x:v>7678172600</x:v>
      </x:c>
      <x:c r="C814" s="12">
        <x:v>7678172600</x:v>
      </x:c>
      <x:c r="D814" s="11" t="s">
        <x:v>138</x:v>
      </x:c>
      <x:c r="E814" s="11" t="s">
        <x:v>126</x:v>
      </x:c>
      <x:c r="F814" s="15"/>
      <x:c r="G814" s="15"/>
    </x:row>
    <x:row r="815" spans="1:7" x14ac:dyDescent="0.3">
      <x:c r="B815" s="12">
        <x:v>7678172700</x:v>
      </x:c>
      <x:c r="C815" s="12">
        <x:v>7678180200</x:v>
      </x:c>
      <x:c r="D815" s="11" t="s">
        <x:v>137</x:v>
      </x:c>
      <x:c r="E815" s="11" t="s">
        <x:v>126</x:v>
      </x:c>
      <x:c r="F815" s="15"/>
      <x:c r="G815" s="15"/>
    </x:row>
    <x:row r="816" spans="1:7" x14ac:dyDescent="0.3">
      <x:c r="B816" s="12">
        <x:v>7678180300</x:v>
      </x:c>
      <x:c r="C816" s="12">
        <x:v>7678180700</x:v>
      </x:c>
      <x:c r="D816" s="11" t="s">
        <x:v>138</x:v>
      </x:c>
      <x:c r="E816" s="11" t="s">
        <x:v>126</x:v>
      </x:c>
      <x:c r="F816" s="15"/>
      <x:c r="G816" s="15"/>
    </x:row>
    <x:row r="817" spans="1:7" x14ac:dyDescent="0.3">
      <x:c r="B817" s="12">
        <x:v>7678180800</x:v>
      </x:c>
      <x:c r="C817" s="12">
        <x:v>7678184900</x:v>
      </x:c>
      <x:c r="D817" s="11" t="s">
        <x:v>137</x:v>
      </x:c>
      <x:c r="E817" s="11" t="s">
        <x:v>126</x:v>
      </x:c>
      <x:c r="F817" s="15"/>
      <x:c r="G817" s="15"/>
    </x:row>
    <x:row r="818" spans="1:7" x14ac:dyDescent="0.3">
      <x:c r="B818" s="12">
        <x:v>7678185000</x:v>
      </x:c>
      <x:c r="C818" s="12">
        <x:v>7678185100</x:v>
      </x:c>
      <x:c r="D818" s="11" t="s">
        <x:v>138</x:v>
      </x:c>
      <x:c r="E818" s="11" t="s">
        <x:v>126</x:v>
      </x:c>
      <x:c r="F818" s="15"/>
      <x:c r="G818" s="15"/>
    </x:row>
    <x:row r="819" spans="1:7" x14ac:dyDescent="0.3">
      <x:c r="B819" s="12">
        <x:v>7678185200</x:v>
      </x:c>
      <x:c r="C819" s="12">
        <x:v>7678191000</x:v>
      </x:c>
      <x:c r="D819" s="11" t="s">
        <x:v>137</x:v>
      </x:c>
      <x:c r="E819" s="11" t="s">
        <x:v>126</x:v>
      </x:c>
      <x:c r="F819" s="15"/>
      <x:c r="G819" s="15"/>
    </x:row>
    <x:row r="820" spans="1:7" x14ac:dyDescent="0.3">
      <x:c r="B820" s="12">
        <x:v>7678191100</x:v>
      </x:c>
      <x:c r="C820" s="12">
        <x:v>7678191600</x:v>
      </x:c>
      <x:c r="D820" s="11" t="s">
        <x:v>138</x:v>
      </x:c>
      <x:c r="E820" s="11" t="s">
        <x:v>126</x:v>
      </x:c>
      <x:c r="F820" s="15"/>
      <x:c r="G820" s="15"/>
    </x:row>
    <x:row r="821" spans="1:7" x14ac:dyDescent="0.3">
      <x:c r="B821" s="12">
        <x:v>7678191700</x:v>
      </x:c>
      <x:c r="C821" s="12">
        <x:v>7678193800</x:v>
      </x:c>
      <x:c r="D821" s="11" t="s">
        <x:v>137</x:v>
      </x:c>
      <x:c r="E821" s="11" t="s">
        <x:v>126</x:v>
      </x:c>
      <x:c r="F821" s="15"/>
      <x:c r="G821" s="15"/>
    </x:row>
    <x:row r="822" spans="1:7" x14ac:dyDescent="0.3">
      <x:c r="B822" s="12">
        <x:v>7678193900</x:v>
      </x:c>
      <x:c r="C822" s="12">
        <x:v>7678194100</x:v>
      </x:c>
      <x:c r="D822" s="11" t="s">
        <x:v>138</x:v>
      </x:c>
      <x:c r="E822" s="11" t="s">
        <x:v>126</x:v>
      </x:c>
      <x:c r="F822" s="15"/>
      <x:c r="G822" s="15"/>
    </x:row>
    <x:row r="823" spans="1:7" x14ac:dyDescent="0.3">
      <x:c r="B823" s="12">
        <x:v>7678194200</x:v>
      </x:c>
      <x:c r="C823" s="12">
        <x:v>7678198800</x:v>
      </x:c>
      <x:c r="D823" s="11" t="s">
        <x:v>137</x:v>
      </x:c>
      <x:c r="E823" s="11" t="s">
        <x:v>126</x:v>
      </x:c>
      <x:c r="F823" s="15"/>
      <x:c r="G823" s="15"/>
    </x:row>
    <x:row r="824" spans="1:7" x14ac:dyDescent="0.3">
      <x:c r="B824" s="12">
        <x:v>7678198900</x:v>
      </x:c>
      <x:c r="C824" s="12">
        <x:v>7678198900</x:v>
      </x:c>
      <x:c r="D824" s="11" t="s">
        <x:v>138</x:v>
      </x:c>
      <x:c r="E824" s="11" t="s">
        <x:v>126</x:v>
      </x:c>
      <x:c r="F824" s="15"/>
      <x:c r="G824" s="15"/>
    </x:row>
    <x:row r="825" spans="1:7" x14ac:dyDescent="0.3">
      <x:c r="B825" s="12">
        <x:v>7678199000</x:v>
      </x:c>
      <x:c r="C825" s="12">
        <x:v>7678200600</x:v>
      </x:c>
      <x:c r="D825" s="11" t="s">
        <x:v>137</x:v>
      </x:c>
      <x:c r="E825" s="11" t="s">
        <x:v>126</x:v>
      </x:c>
      <x:c r="F825" s="15"/>
      <x:c r="G825" s="15"/>
    </x:row>
    <x:row r="826" spans="1:7" x14ac:dyDescent="0.3">
      <x:c r="B826" s="12">
        <x:v>7678200700</x:v>
      </x:c>
      <x:c r="C826" s="12">
        <x:v>7678201000</x:v>
      </x:c>
      <x:c r="D826" s="11" t="s">
        <x:v>138</x:v>
      </x:c>
      <x:c r="E826" s="11" t="s">
        <x:v>126</x:v>
      </x:c>
      <x:c r="F826" s="15"/>
      <x:c r="G826" s="15"/>
    </x:row>
    <x:row r="827" spans="1:7" x14ac:dyDescent="0.3">
      <x:c r="B827" s="12">
        <x:v>7678201100</x:v>
      </x:c>
      <x:c r="C827" s="12">
        <x:v>7678201800</x:v>
      </x:c>
      <x:c r="D827" s="11" t="s">
        <x:v>137</x:v>
      </x:c>
      <x:c r="E827" s="11" t="s">
        <x:v>126</x:v>
      </x:c>
      <x:c r="F827" s="15"/>
      <x:c r="G827" s="15"/>
    </x:row>
    <x:row r="828" spans="1:7" x14ac:dyDescent="0.3">
      <x:c r="B828" s="12">
        <x:v>7678201900</x:v>
      </x:c>
      <x:c r="C828" s="12">
        <x:v>7678202200</x:v>
      </x:c>
      <x:c r="D828" s="11" t="s">
        <x:v>138</x:v>
      </x:c>
      <x:c r="E828" s="11" t="s">
        <x:v>126</x:v>
      </x:c>
      <x:c r="F828" s="15"/>
      <x:c r="G828" s="15"/>
    </x:row>
    <x:row r="829" spans="1:7" x14ac:dyDescent="0.3">
      <x:c r="B829" s="12">
        <x:v>7678202300</x:v>
      </x:c>
      <x:c r="C829" s="12">
        <x:v>7678210000</x:v>
      </x:c>
      <x:c r="D829" s="11" t="s">
        <x:v>137</x:v>
      </x:c>
      <x:c r="E829" s="11" t="s">
        <x:v>126</x:v>
      </x:c>
      <x:c r="F829" s="15"/>
      <x:c r="G829" s="15"/>
    </x:row>
    <x:row r="830" spans="1:7" x14ac:dyDescent="0.3">
      <x:c r="B830" s="12">
        <x:v>7678210100</x:v>
      </x:c>
      <x:c r="C830" s="12">
        <x:v>7678210200</x:v>
      </x:c>
      <x:c r="D830" s="11" t="s">
        <x:v>138</x:v>
      </x:c>
      <x:c r="E830" s="11" t="s">
        <x:v>126</x:v>
      </x:c>
      <x:c r="F830" s="15"/>
      <x:c r="G830" s="15"/>
    </x:row>
    <x:row r="831" spans="1:7" x14ac:dyDescent="0.3">
      <x:c r="B831" s="12">
        <x:v>7678210300</x:v>
      </x:c>
      <x:c r="C831" s="12">
        <x:v>7678214600</x:v>
      </x:c>
      <x:c r="D831" s="11" t="s">
        <x:v>137</x:v>
      </x:c>
      <x:c r="E831" s="11" t="s">
        <x:v>126</x:v>
      </x:c>
      <x:c r="F831" s="15"/>
      <x:c r="G831" s="15"/>
    </x:row>
    <x:row r="832" spans="1:7" x14ac:dyDescent="0.3">
      <x:c r="B832" s="12">
        <x:v>7678214700</x:v>
      </x:c>
      <x:c r="C832" s="12">
        <x:v>7678214800</x:v>
      </x:c>
      <x:c r="D832" s="11" t="s">
        <x:v>138</x:v>
      </x:c>
      <x:c r="E832" s="11" t="s">
        <x:v>126</x:v>
      </x:c>
      <x:c r="F832" s="15"/>
      <x:c r="G832" s="15"/>
    </x:row>
    <x:row r="833" spans="1:7" x14ac:dyDescent="0.3">
      <x:c r="B833" s="12">
        <x:v>7678214900</x:v>
      </x:c>
      <x:c r="C833" s="12">
        <x:v>7678215200</x:v>
      </x:c>
      <x:c r="D833" s="11" t="s">
        <x:v>137</x:v>
      </x:c>
      <x:c r="E833" s="11" t="s">
        <x:v>126</x:v>
      </x:c>
      <x:c r="F833" s="15"/>
      <x:c r="G833" s="15"/>
    </x:row>
    <x:row r="834" spans="1:7" x14ac:dyDescent="0.3">
      <x:c r="B834" s="12">
        <x:v>7678215300</x:v>
      </x:c>
      <x:c r="C834" s="12">
        <x:v>7678216300</x:v>
      </x:c>
      <x:c r="D834" s="11" t="s">
        <x:v>138</x:v>
      </x:c>
      <x:c r="E834" s="11" t="s">
        <x:v>126</x:v>
      </x:c>
      <x:c r="F834" s="15"/>
      <x:c r="G834" s="15"/>
    </x:row>
    <x:row r="835" spans="1:7" x14ac:dyDescent="0.3">
      <x:c r="B835" s="12">
        <x:v>7678216400</x:v>
      </x:c>
      <x:c r="C835" s="12">
        <x:v>7678220400</x:v>
      </x:c>
      <x:c r="D835" s="11" t="s">
        <x:v>137</x:v>
      </x:c>
      <x:c r="E835" s="11" t="s">
        <x:v>126</x:v>
      </x:c>
      <x:c r="F835" s="15"/>
      <x:c r="G835" s="15"/>
    </x:row>
    <x:row r="836" spans="1:7" x14ac:dyDescent="0.3">
      <x:c r="B836" s="12">
        <x:v>7678220500</x:v>
      </x:c>
      <x:c r="C836" s="12">
        <x:v>7678220800</x:v>
      </x:c>
      <x:c r="D836" s="11" t="s">
        <x:v>138</x:v>
      </x:c>
      <x:c r="E836" s="11" t="s">
        <x:v>126</x:v>
      </x:c>
      <x:c r="F836" s="15"/>
      <x:c r="G836" s="15"/>
    </x:row>
    <x:row r="837" spans="1:7" x14ac:dyDescent="0.3">
      <x:c r="B837" s="12">
        <x:v>7678220900</x:v>
      </x:c>
      <x:c r="C837" s="12">
        <x:v>7678226300</x:v>
      </x:c>
      <x:c r="D837" s="11" t="s">
        <x:v>137</x:v>
      </x:c>
      <x:c r="E837" s="11" t="s">
        <x:v>126</x:v>
      </x:c>
      <x:c r="F837" s="15"/>
      <x:c r="G837" s="15"/>
    </x:row>
    <x:row r="838" spans="1:7" x14ac:dyDescent="0.3">
      <x:c r="B838" s="12">
        <x:v>7678226400</x:v>
      </x:c>
      <x:c r="C838" s="12">
        <x:v>7678227100</x:v>
      </x:c>
      <x:c r="D838" s="11" t="s">
        <x:v>138</x:v>
      </x:c>
      <x:c r="E838" s="11" t="s">
        <x:v>126</x:v>
      </x:c>
      <x:c r="F838" s="15"/>
      <x:c r="G838" s="15"/>
    </x:row>
    <x:row r="839" spans="1:7" x14ac:dyDescent="0.3">
      <x:c r="B839" s="12">
        <x:v>7678227200</x:v>
      </x:c>
      <x:c r="C839" s="12">
        <x:v>7678230700</x:v>
      </x:c>
      <x:c r="D839" s="11" t="s">
        <x:v>137</x:v>
      </x:c>
      <x:c r="E839" s="11" t="s">
        <x:v>126</x:v>
      </x:c>
      <x:c r="F839" s="15"/>
      <x:c r="G839" s="15"/>
    </x:row>
    <x:row r="840" spans="1:7" x14ac:dyDescent="0.3">
      <x:c r="B840" s="12">
        <x:v>7678230800</x:v>
      </x:c>
      <x:c r="C840" s="12">
        <x:v>7678230800</x:v>
      </x:c>
      <x:c r="D840" s="11" t="s">
        <x:v>138</x:v>
      </x:c>
      <x:c r="E840" s="11" t="s">
        <x:v>126</x:v>
      </x:c>
      <x:c r="F840" s="15"/>
      <x:c r="G840" s="15"/>
    </x:row>
    <x:row r="841" spans="1:7" x14ac:dyDescent="0.3">
      <x:c r="B841" s="12">
        <x:v>7678230900</x:v>
      </x:c>
      <x:c r="C841" s="12">
        <x:v>7678232600</x:v>
      </x:c>
      <x:c r="D841" s="11" t="s">
        <x:v>137</x:v>
      </x:c>
      <x:c r="E841" s="11" t="s">
        <x:v>126</x:v>
      </x:c>
      <x:c r="F841" s="15"/>
      <x:c r="G841" s="15"/>
    </x:row>
    <x:row r="842" spans="1:7" x14ac:dyDescent="0.3">
      <x:c r="B842" s="12">
        <x:v>7678232700</x:v>
      </x:c>
      <x:c r="C842" s="12">
        <x:v>7678233100</x:v>
      </x:c>
      <x:c r="D842" s="11" t="s">
        <x:v>138</x:v>
      </x:c>
      <x:c r="E842" s="11" t="s">
        <x:v>126</x:v>
      </x:c>
      <x:c r="F842" s="15"/>
      <x:c r="G842" s="15"/>
    </x:row>
    <x:row r="843" spans="1:7" x14ac:dyDescent="0.3">
      <x:c r="B843" s="12">
        <x:v>7678233200</x:v>
      </x:c>
      <x:c r="C843" s="12">
        <x:v>7678235700</x:v>
      </x:c>
      <x:c r="D843" s="11" t="s">
        <x:v>137</x:v>
      </x:c>
      <x:c r="E843" s="11" t="s">
        <x:v>126</x:v>
      </x:c>
      <x:c r="F843" s="15"/>
      <x:c r="G843" s="15"/>
    </x:row>
    <x:row r="844" spans="1:7" x14ac:dyDescent="0.3">
      <x:c r="B844" s="12">
        <x:v>7678235800</x:v>
      </x:c>
      <x:c r="C844" s="12">
        <x:v>7678236800</x:v>
      </x:c>
      <x:c r="D844" s="11" t="s">
        <x:v>138</x:v>
      </x:c>
      <x:c r="E844" s="11" t="s">
        <x:v>126</x:v>
      </x:c>
      <x:c r="F844" s="15"/>
      <x:c r="G844" s="15"/>
    </x:row>
    <x:row r="845" spans="1:7" x14ac:dyDescent="0.3">
      <x:c r="B845" s="12">
        <x:v>7678236900</x:v>
      </x:c>
      <x:c r="C845" s="12">
        <x:v>7678251000</x:v>
      </x:c>
      <x:c r="D845" s="11" t="s">
        <x:v>137</x:v>
      </x:c>
      <x:c r="E845" s="11" t="s">
        <x:v>126</x:v>
      </x:c>
      <x:c r="F845" s="15"/>
      <x:c r="G845" s="15"/>
    </x:row>
    <x:row r="846" spans="1:7" x14ac:dyDescent="0.3">
      <x:c r="B846" s="12">
        <x:v>7678251100</x:v>
      </x:c>
      <x:c r="C846" s="12">
        <x:v>7678251200</x:v>
      </x:c>
      <x:c r="D846" s="11" t="s">
        <x:v>138</x:v>
      </x:c>
      <x:c r="E846" s="11" t="s">
        <x:v>126</x:v>
      </x:c>
      <x:c r="F846" s="15"/>
      <x:c r="G846" s="15"/>
    </x:row>
    <x:row r="847" spans="1:7" x14ac:dyDescent="0.3">
      <x:c r="B847" s="12">
        <x:v>7678251300</x:v>
      </x:c>
      <x:c r="C847" s="12">
        <x:v>7678251300</x:v>
      </x:c>
      <x:c r="D847" s="11" t="s">
        <x:v>137</x:v>
      </x:c>
      <x:c r="E847" s="11" t="s">
        <x:v>126</x:v>
      </x:c>
      <x:c r="F847" s="15"/>
      <x:c r="G847" s="15"/>
    </x:row>
    <x:row r="848" spans="1:7" x14ac:dyDescent="0.3">
      <x:c r="B848" s="12">
        <x:v>7678251400</x:v>
      </x:c>
      <x:c r="C848" s="12">
        <x:v>7678252500</x:v>
      </x:c>
      <x:c r="D848" s="11" t="s">
        <x:v>138</x:v>
      </x:c>
      <x:c r="E848" s="11" t="s">
        <x:v>126</x:v>
      </x:c>
      <x:c r="F848" s="15"/>
      <x:c r="G848" s="15"/>
    </x:row>
    <x:row r="849" spans="1:7" x14ac:dyDescent="0.3">
      <x:c r="B849" s="12">
        <x:v>7678252600</x:v>
      </x:c>
      <x:c r="C849" s="12">
        <x:v>7678259900</x:v>
      </x:c>
      <x:c r="D849" s="11" t="s">
        <x:v>137</x:v>
      </x:c>
      <x:c r="E849" s="11" t="s">
        <x:v>126</x:v>
      </x:c>
      <x:c r="F849" s="15"/>
      <x:c r="G849" s="15"/>
    </x:row>
    <x:row r="850" spans="1:7" x14ac:dyDescent="0.3">
      <x:c r="B850" s="12">
        <x:v>7678260000</x:v>
      </x:c>
      <x:c r="C850" s="12">
        <x:v>7678260200</x:v>
      </x:c>
      <x:c r="D850" s="11" t="s">
        <x:v>138</x:v>
      </x:c>
      <x:c r="E850" s="11" t="s">
        <x:v>126</x:v>
      </x:c>
      <x:c r="F850" s="15"/>
      <x:c r="G850" s="15"/>
    </x:row>
    <x:row r="851" spans="1:7" x14ac:dyDescent="0.3">
      <x:c r="B851" s="12">
        <x:v>7678260300</x:v>
      </x:c>
      <x:c r="C851" s="12">
        <x:v>7678262200</x:v>
      </x:c>
      <x:c r="D851" s="11" t="s">
        <x:v>137</x:v>
      </x:c>
      <x:c r="E851" s="11" t="s">
        <x:v>126</x:v>
      </x:c>
      <x:c r="F851" s="15"/>
      <x:c r="G851" s="15"/>
    </x:row>
    <x:row r="852" spans="1:7" x14ac:dyDescent="0.3">
      <x:c r="B852" s="12">
        <x:v>7678262300</x:v>
      </x:c>
      <x:c r="C852" s="12">
        <x:v>7678263200</x:v>
      </x:c>
      <x:c r="D852" s="11" t="s">
        <x:v>138</x:v>
      </x:c>
      <x:c r="E852" s="11" t="s">
        <x:v>126</x:v>
      </x:c>
      <x:c r="F852" s="15"/>
      <x:c r="G852" s="15"/>
    </x:row>
    <x:row r="853" spans="1:7" x14ac:dyDescent="0.3">
      <x:c r="B853" s="12">
        <x:v>7678263300</x:v>
      </x:c>
      <x:c r="C853" s="12">
        <x:v>7678263900</x:v>
      </x:c>
      <x:c r="D853" s="11" t="s">
        <x:v>137</x:v>
      </x:c>
      <x:c r="E853" s="11" t="s">
        <x:v>126</x:v>
      </x:c>
      <x:c r="F853" s="15"/>
      <x:c r="G853" s="15"/>
    </x:row>
    <x:row r="854" spans="1:7" x14ac:dyDescent="0.3">
      <x:c r="B854" s="12">
        <x:v>7678264000</x:v>
      </x:c>
      <x:c r="C854" s="12">
        <x:v>7678264000</x:v>
      </x:c>
      <x:c r="D854" s="11" t="s">
        <x:v>138</x:v>
      </x:c>
      <x:c r="E854" s="11" t="s">
        <x:v>126</x:v>
      </x:c>
      <x:c r="F854" s="15"/>
      <x:c r="G854" s="15"/>
    </x:row>
    <x:row r="855" spans="1:7" x14ac:dyDescent="0.3">
      <x:c r="B855" s="12">
        <x:v>7678264100</x:v>
      </x:c>
      <x:c r="C855" s="12">
        <x:v>7678278500</x:v>
      </x:c>
      <x:c r="D855" s="11" t="s">
        <x:v>137</x:v>
      </x:c>
      <x:c r="E855" s="11" t="s">
        <x:v>126</x:v>
      </x:c>
      <x:c r="F855" s="15"/>
      <x:c r="G855" s="15"/>
    </x:row>
    <x:row r="856" spans="1:7" x14ac:dyDescent="0.3">
      <x:c r="B856" s="12">
        <x:v>7678278600</x:v>
      </x:c>
      <x:c r="C856" s="12">
        <x:v>7678278700</x:v>
      </x:c>
      <x:c r="D856" s="11" t="s">
        <x:v>138</x:v>
      </x:c>
      <x:c r="E856" s="11" t="s">
        <x:v>126</x:v>
      </x:c>
      <x:c r="F856" s="15"/>
      <x:c r="G856" s="15"/>
    </x:row>
    <x:row r="857" spans="1:7" x14ac:dyDescent="0.3">
      <x:c r="B857" s="12">
        <x:v>7678278800</x:v>
      </x:c>
      <x:c r="C857" s="12">
        <x:v>7678281000</x:v>
      </x:c>
      <x:c r="D857" s="11" t="s">
        <x:v>137</x:v>
      </x:c>
      <x:c r="E857" s="11" t="s">
        <x:v>126</x:v>
      </x:c>
      <x:c r="F857" s="15"/>
      <x:c r="G857" s="15"/>
    </x:row>
    <x:row r="858" spans="1:7" x14ac:dyDescent="0.3">
      <x:c r="B858" s="12">
        <x:v>7678281100</x:v>
      </x:c>
      <x:c r="C858" s="12">
        <x:v>7678281300</x:v>
      </x:c>
      <x:c r="D858" s="11" t="s">
        <x:v>138</x:v>
      </x:c>
      <x:c r="E858" s="11" t="s">
        <x:v>126</x:v>
      </x:c>
      <x:c r="F858" s="15"/>
      <x:c r="G858" s="15"/>
    </x:row>
    <x:row r="859" spans="1:7" x14ac:dyDescent="0.3">
      <x:c r="B859" s="12">
        <x:v>7678281400</x:v>
      </x:c>
      <x:c r="C859" s="12">
        <x:v>7678283400</x:v>
      </x:c>
      <x:c r="D859" s="11" t="s">
        <x:v>137</x:v>
      </x:c>
      <x:c r="E859" s="11" t="s">
        <x:v>126</x:v>
      </x:c>
      <x:c r="F859" s="15"/>
      <x:c r="G859" s="15"/>
    </x:row>
    <x:row r="860" spans="1:7" x14ac:dyDescent="0.3">
      <x:c r="B860" s="12">
        <x:v>7678283500</x:v>
      </x:c>
      <x:c r="C860" s="12">
        <x:v>7678283500</x:v>
      </x:c>
      <x:c r="D860" s="11" t="s">
        <x:v>138</x:v>
      </x:c>
      <x:c r="E860" s="11" t="s">
        <x:v>126</x:v>
      </x:c>
      <x:c r="F860" s="15"/>
      <x:c r="G860" s="15"/>
    </x:row>
    <x:row r="861" spans="1:7" x14ac:dyDescent="0.3">
      <x:c r="B861" s="12">
        <x:v>7678283600</x:v>
      </x:c>
      <x:c r="C861" s="12">
        <x:v>7678285400</x:v>
      </x:c>
      <x:c r="D861" s="11" t="s">
        <x:v>137</x:v>
      </x:c>
      <x:c r="E861" s="11" t="s">
        <x:v>126</x:v>
      </x:c>
      <x:c r="F861" s="15"/>
      <x:c r="G861" s="15"/>
    </x:row>
    <x:row r="862" spans="1:7" x14ac:dyDescent="0.3">
      <x:c r="B862" s="12">
        <x:v>7678285500</x:v>
      </x:c>
      <x:c r="C862" s="12">
        <x:v>7678286400</x:v>
      </x:c>
      <x:c r="D862" s="11" t="s">
        <x:v>138</x:v>
      </x:c>
      <x:c r="E862" s="11" t="s">
        <x:v>126</x:v>
      </x:c>
      <x:c r="F862" s="15"/>
      <x:c r="G862" s="15"/>
    </x:row>
    <x:row r="863" spans="1:7" x14ac:dyDescent="0.3">
      <x:c r="B863" s="12">
        <x:v>7678286500</x:v>
      </x:c>
      <x:c r="C863" s="12">
        <x:v>7678296100</x:v>
      </x:c>
      <x:c r="D863" s="11" t="s">
        <x:v>137</x:v>
      </x:c>
      <x:c r="E863" s="11" t="s">
        <x:v>126</x:v>
      </x:c>
      <x:c r="F863" s="15"/>
      <x:c r="G863" s="15"/>
    </x:row>
    <x:row r="864" spans="1:7" x14ac:dyDescent="0.3">
      <x:c r="B864" s="12">
        <x:v>7678296200</x:v>
      </x:c>
      <x:c r="C864" s="12">
        <x:v>7678296400</x:v>
      </x:c>
      <x:c r="D864" s="11" t="s">
        <x:v>138</x:v>
      </x:c>
      <x:c r="E864" s="11" t="s">
        <x:v>126</x:v>
      </x:c>
      <x:c r="F864" s="15"/>
      <x:c r="G864" s="15"/>
    </x:row>
    <x:row r="865" spans="1:7" x14ac:dyDescent="0.3">
      <x:c r="B865" s="12">
        <x:v>7678296500</x:v>
      </x:c>
      <x:c r="C865" s="12">
        <x:v>7678296900</x:v>
      </x:c>
      <x:c r="D865" s="11" t="s">
        <x:v>137</x:v>
      </x:c>
      <x:c r="E865" s="11" t="s">
        <x:v>126</x:v>
      </x:c>
      <x:c r="F865" s="15"/>
      <x:c r="G865" s="15"/>
    </x:row>
    <x:row r="866" spans="1:7" x14ac:dyDescent="0.3">
      <x:c r="B866" s="12">
        <x:v>7678297000</x:v>
      </x:c>
      <x:c r="C866" s="12">
        <x:v>7678297300</x:v>
      </x:c>
      <x:c r="D866" s="11" t="s">
        <x:v>138</x:v>
      </x:c>
      <x:c r="E866" s="11" t="s">
        <x:v>126</x:v>
      </x:c>
      <x:c r="F866" s="15"/>
      <x:c r="G866" s="15"/>
    </x:row>
    <x:row r="867" spans="1:7" x14ac:dyDescent="0.3">
      <x:c r="B867" s="12">
        <x:v>7678297400</x:v>
      </x:c>
      <x:c r="C867" s="12">
        <x:v>7678307500</x:v>
      </x:c>
      <x:c r="D867" s="11" t="s">
        <x:v>137</x:v>
      </x:c>
      <x:c r="E867" s="11" t="s">
        <x:v>126</x:v>
      </x:c>
      <x:c r="F867" s="15"/>
      <x:c r="G867" s="15"/>
    </x:row>
    <x:row r="868" spans="1:7" x14ac:dyDescent="0.3">
      <x:c r="B868" s="12">
        <x:v>7678307600</x:v>
      </x:c>
      <x:c r="C868" s="12">
        <x:v>7678307600</x:v>
      </x:c>
      <x:c r="D868" s="11" t="s">
        <x:v>138</x:v>
      </x:c>
      <x:c r="E868" s="11" t="s">
        <x:v>126</x:v>
      </x:c>
      <x:c r="F868" s="15"/>
      <x:c r="G868" s="15"/>
    </x:row>
    <x:row r="869" spans="1:7" x14ac:dyDescent="0.3">
      <x:c r="B869" s="12">
        <x:v>7678307700</x:v>
      </x:c>
      <x:c r="C869" s="12">
        <x:v>7678314400</x:v>
      </x:c>
      <x:c r="D869" s="11" t="s">
        <x:v>137</x:v>
      </x:c>
      <x:c r="E869" s="11" t="s">
        <x:v>126</x:v>
      </x:c>
      <x:c r="F869" s="15"/>
      <x:c r="G869" s="15"/>
    </x:row>
    <x:row r="870" spans="1:7" x14ac:dyDescent="0.3">
      <x:c r="B870" s="12">
        <x:v>7678314500</x:v>
      </x:c>
      <x:c r="C870" s="12">
        <x:v>7678314500</x:v>
      </x:c>
      <x:c r="D870" s="11" t="s">
        <x:v>138</x:v>
      </x:c>
      <x:c r="E870" s="11" t="s">
        <x:v>126</x:v>
      </x:c>
      <x:c r="F870" s="15"/>
      <x:c r="G870" s="15"/>
    </x:row>
    <x:row r="871" spans="1:7" x14ac:dyDescent="0.3">
      <x:c r="B871" s="12">
        <x:v>7678314600</x:v>
      </x:c>
      <x:c r="C871" s="12">
        <x:v>7678315000</x:v>
      </x:c>
      <x:c r="D871" s="11" t="s">
        <x:v>137</x:v>
      </x:c>
      <x:c r="E871" s="11" t="s">
        <x:v>126</x:v>
      </x:c>
      <x:c r="F871" s="15"/>
      <x:c r="G871" s="15"/>
    </x:row>
    <x:row r="872" spans="1:7" x14ac:dyDescent="0.3">
      <x:c r="B872" s="12">
        <x:v>7678315100</x:v>
      </x:c>
      <x:c r="C872" s="12">
        <x:v>7678316300</x:v>
      </x:c>
      <x:c r="D872" s="11" t="s">
        <x:v>138</x:v>
      </x:c>
      <x:c r="E872" s="11" t="s">
        <x:v>126</x:v>
      </x:c>
      <x:c r="F872" s="15"/>
      <x:c r="G872" s="15"/>
    </x:row>
    <x:row r="873" spans="1:7" x14ac:dyDescent="0.3">
      <x:c r="B873" s="12">
        <x:v>7678316400</x:v>
      </x:c>
      <x:c r="C873" s="12">
        <x:v>7678319000</x:v>
      </x:c>
      <x:c r="D873" s="11" t="s">
        <x:v>137</x:v>
      </x:c>
      <x:c r="E873" s="11" t="s">
        <x:v>126</x:v>
      </x:c>
      <x:c r="F873" s="15"/>
      <x:c r="G873" s="15"/>
    </x:row>
    <x:row r="874" spans="1:7" x14ac:dyDescent="0.3">
      <x:c r="B874" s="12">
        <x:v>7678319100</x:v>
      </x:c>
      <x:c r="C874" s="12">
        <x:v>7678319900</x:v>
      </x:c>
      <x:c r="D874" s="11" t="s">
        <x:v>138</x:v>
      </x:c>
      <x:c r="E874" s="11" t="s">
        <x:v>126</x:v>
      </x:c>
      <x:c r="F874" s="15"/>
      <x:c r="G874" s="15"/>
    </x:row>
    <x:row r="875" spans="1:7" x14ac:dyDescent="0.3">
      <x:c r="B875" s="12">
        <x:v>7678320000</x:v>
      </x:c>
      <x:c r="C875" s="12">
        <x:v>7678327100</x:v>
      </x:c>
      <x:c r="D875" s="11" t="s">
        <x:v>137</x:v>
      </x:c>
      <x:c r="E875" s="11" t="s">
        <x:v>126</x:v>
      </x:c>
      <x:c r="F875" s="15"/>
      <x:c r="G875" s="15"/>
    </x:row>
    <x:row r="876" spans="1:7" x14ac:dyDescent="0.3">
      <x:c r="B876" s="12">
        <x:v>7678327200</x:v>
      </x:c>
      <x:c r="C876" s="12">
        <x:v>7678327600</x:v>
      </x:c>
      <x:c r="D876" s="11" t="s">
        <x:v>138</x:v>
      </x:c>
      <x:c r="E876" s="11" t="s">
        <x:v>126</x:v>
      </x:c>
      <x:c r="F876" s="15"/>
      <x:c r="G876" s="15"/>
    </x:row>
    <x:row r="877" spans="1:7" x14ac:dyDescent="0.3">
      <x:c r="B877" s="12">
        <x:v>7678327700</x:v>
      </x:c>
      <x:c r="C877" s="12">
        <x:v>7678332100</x:v>
      </x:c>
      <x:c r="D877" s="11" t="s">
        <x:v>137</x:v>
      </x:c>
      <x:c r="E877" s="11" t="s">
        <x:v>126</x:v>
      </x:c>
      <x:c r="F877" s="15"/>
      <x:c r="G877" s="15"/>
    </x:row>
    <x:row r="878" spans="1:7" x14ac:dyDescent="0.3">
      <x:c r="B878" s="12">
        <x:v>7678332200</x:v>
      </x:c>
      <x:c r="C878" s="12">
        <x:v>7678332200</x:v>
      </x:c>
      <x:c r="D878" s="11" t="s">
        <x:v>138</x:v>
      </x:c>
      <x:c r="E878" s="11" t="s">
        <x:v>126</x:v>
      </x:c>
      <x:c r="F878" s="15"/>
      <x:c r="G878" s="15"/>
    </x:row>
    <x:row r="879" spans="1:7" x14ac:dyDescent="0.3">
      <x:c r="B879" s="12">
        <x:v>7678332300</x:v>
      </x:c>
      <x:c r="C879" s="12">
        <x:v>7678345300</x:v>
      </x:c>
      <x:c r="D879" s="11" t="s">
        <x:v>137</x:v>
      </x:c>
      <x:c r="E879" s="11" t="s">
        <x:v>126</x:v>
      </x:c>
      <x:c r="F879" s="15"/>
      <x:c r="G879" s="15"/>
    </x:row>
    <x:row r="880" spans="1:7" x14ac:dyDescent="0.3">
      <x:c r="B880" s="12">
        <x:v>7678345400</x:v>
      </x:c>
      <x:c r="C880" s="12">
        <x:v>7678345500</x:v>
      </x:c>
      <x:c r="D880" s="11" t="s">
        <x:v>138</x:v>
      </x:c>
      <x:c r="E880" s="11" t="s">
        <x:v>126</x:v>
      </x:c>
      <x:c r="F880" s="15"/>
      <x:c r="G880" s="15"/>
    </x:row>
    <x:row r="881" spans="1:7" x14ac:dyDescent="0.3">
      <x:c r="B881" s="12">
        <x:v>7678345600</x:v>
      </x:c>
      <x:c r="C881" s="12">
        <x:v>7678348800</x:v>
      </x:c>
      <x:c r="D881" s="11" t="s">
        <x:v>137</x:v>
      </x:c>
      <x:c r="E881" s="11" t="s">
        <x:v>126</x:v>
      </x:c>
      <x:c r="F881" s="15"/>
      <x:c r="G881" s="15"/>
    </x:row>
    <x:row r="882" spans="1:7" x14ac:dyDescent="0.3">
      <x:c r="B882" s="12">
        <x:v>7678348900</x:v>
      </x:c>
      <x:c r="C882" s="12">
        <x:v>7678349200</x:v>
      </x:c>
      <x:c r="D882" s="11" t="s">
        <x:v>138</x:v>
      </x:c>
      <x:c r="E882" s="11" t="s">
        <x:v>126</x:v>
      </x:c>
      <x:c r="F882" s="15"/>
      <x:c r="G882" s="15"/>
    </x:row>
    <x:row r="883" spans="1:7" x14ac:dyDescent="0.3">
      <x:c r="B883" s="12">
        <x:v>7678349300</x:v>
      </x:c>
      <x:c r="C883" s="12">
        <x:v>7678351700</x:v>
      </x:c>
      <x:c r="D883" s="11" t="s">
        <x:v>137</x:v>
      </x:c>
      <x:c r="E883" s="11" t="s">
        <x:v>126</x:v>
      </x:c>
      <x:c r="F883" s="15"/>
      <x:c r="G883" s="15"/>
    </x:row>
    <x:row r="884" spans="1:7" x14ac:dyDescent="0.3">
      <x:c r="B884" s="12">
        <x:v>7678351800</x:v>
      </x:c>
      <x:c r="C884" s="12">
        <x:v>7678352800</x:v>
      </x:c>
      <x:c r="D884" s="11" t="s">
        <x:v>138</x:v>
      </x:c>
      <x:c r="E884" s="11" t="s">
        <x:v>126</x:v>
      </x:c>
      <x:c r="F884" s="15"/>
      <x:c r="G884" s="15"/>
    </x:row>
    <x:row r="885" spans="1:7" x14ac:dyDescent="0.3">
      <x:c r="B885" s="12">
        <x:v>7678352900</x:v>
      </x:c>
      <x:c r="C885" s="12">
        <x:v>7678353400</x:v>
      </x:c>
      <x:c r="D885" s="11" t="s">
        <x:v>137</x:v>
      </x:c>
      <x:c r="E885" s="11" t="s">
        <x:v>126</x:v>
      </x:c>
      <x:c r="F885" s="15"/>
      <x:c r="G885" s="15"/>
    </x:row>
    <x:row r="886" spans="1:7" x14ac:dyDescent="0.3">
      <x:c r="B886" s="12">
        <x:v>7678353500</x:v>
      </x:c>
      <x:c r="C886" s="12">
        <x:v>7678353500</x:v>
      </x:c>
      <x:c r="D886" s="11" t="s">
        <x:v>138</x:v>
      </x:c>
      <x:c r="E886" s="11" t="s">
        <x:v>126</x:v>
      </x:c>
      <x:c r="F886" s="15"/>
      <x:c r="G886" s="15"/>
    </x:row>
    <x:row r="887" spans="1:7" x14ac:dyDescent="0.3">
      <x:c r="B887" s="12">
        <x:v>7678353600</x:v>
      </x:c>
      <x:c r="C887" s="12">
        <x:v>7678354200</x:v>
      </x:c>
      <x:c r="D887" s="11" t="s">
        <x:v>137</x:v>
      </x:c>
      <x:c r="E887" s="11" t="s">
        <x:v>126</x:v>
      </x:c>
      <x:c r="F887" s="15"/>
      <x:c r="G887" s="15"/>
    </x:row>
    <x:row r="888" spans="1:7" x14ac:dyDescent="0.3">
      <x:c r="B888" s="12">
        <x:v>7678354300</x:v>
      </x:c>
      <x:c r="C888" s="12">
        <x:v>7678354600</x:v>
      </x:c>
      <x:c r="D888" s="11" t="s">
        <x:v>138</x:v>
      </x:c>
      <x:c r="E888" s="11" t="s">
        <x:v>126</x:v>
      </x:c>
      <x:c r="F888" s="15"/>
      <x:c r="G888" s="15"/>
    </x:row>
    <x:row r="889" spans="1:7" x14ac:dyDescent="0.3">
      <x:c r="B889" s="12">
        <x:v>7678354700</x:v>
      </x:c>
      <x:c r="C889" s="12">
        <x:v>7678363900</x:v>
      </x:c>
      <x:c r="D889" s="11" t="s">
        <x:v>137</x:v>
      </x:c>
      <x:c r="E889" s="11" t="s">
        <x:v>126</x:v>
      </x:c>
      <x:c r="F889" s="15"/>
      <x:c r="G889" s="15"/>
    </x:row>
    <x:row r="890" spans="1:7" x14ac:dyDescent="0.3">
      <x:c r="B890" s="12">
        <x:v>7678364000</x:v>
      </x:c>
      <x:c r="C890" s="12">
        <x:v>7678364300</x:v>
      </x:c>
      <x:c r="D890" s="11" t="s">
        <x:v>138</x:v>
      </x:c>
      <x:c r="E890" s="11" t="s">
        <x:v>126</x:v>
      </x:c>
      <x:c r="F890" s="15"/>
      <x:c r="G890" s="15"/>
    </x:row>
    <x:row r="891" spans="1:7" x14ac:dyDescent="0.3">
      <x:c r="B891" s="12">
        <x:v>7678364400</x:v>
      </x:c>
      <x:c r="C891" s="12">
        <x:v>7678372800</x:v>
      </x:c>
      <x:c r="D891" s="11" t="s">
        <x:v>137</x:v>
      </x:c>
      <x:c r="E891" s="11" t="s">
        <x:v>126</x:v>
      </x:c>
      <x:c r="F891" s="15"/>
      <x:c r="G891" s="15"/>
    </x:row>
    <x:row r="892" spans="1:7" x14ac:dyDescent="0.3">
      <x:c r="B892" s="12">
        <x:v>7678372900</x:v>
      </x:c>
      <x:c r="C892" s="12">
        <x:v>7678372900</x:v>
      </x:c>
      <x:c r="D892" s="11" t="s">
        <x:v>138</x:v>
      </x:c>
      <x:c r="E892" s="11" t="s">
        <x:v>126</x:v>
      </x:c>
      <x:c r="F892" s="15"/>
      <x:c r="G892" s="15"/>
    </x:row>
    <x:row r="893" spans="1:7" x14ac:dyDescent="0.3">
      <x:c r="B893" s="12">
        <x:v>7678373000</x:v>
      </x:c>
      <x:c r="C893" s="12">
        <x:v>7678376300</x:v>
      </x:c>
      <x:c r="D893" s="11" t="s">
        <x:v>137</x:v>
      </x:c>
      <x:c r="E893" s="11" t="s">
        <x:v>126</x:v>
      </x:c>
      <x:c r="F893" s="15"/>
      <x:c r="G893" s="15"/>
    </x:row>
    <x:row r="894" spans="1:7" x14ac:dyDescent="0.3">
      <x:c r="B894" s="12">
        <x:v>7678376400</x:v>
      </x:c>
      <x:c r="C894" s="12">
        <x:v>7678377200</x:v>
      </x:c>
      <x:c r="D894" s="11" t="s">
        <x:v>138</x:v>
      </x:c>
      <x:c r="E894" s="11" t="s">
        <x:v>126</x:v>
      </x:c>
      <x:c r="F894" s="15"/>
      <x:c r="G894" s="15"/>
    </x:row>
    <x:row r="895" spans="1:7" x14ac:dyDescent="0.3">
      <x:c r="B895" s="12">
        <x:v>7678377300</x:v>
      </x:c>
      <x:c r="C895" s="12">
        <x:v>7678386700</x:v>
      </x:c>
      <x:c r="D895" s="11" t="s">
        <x:v>137</x:v>
      </x:c>
      <x:c r="E895" s="11" t="s">
        <x:v>126</x:v>
      </x:c>
      <x:c r="F895" s="15"/>
      <x:c r="G895" s="15"/>
    </x:row>
    <x:row r="896" spans="1:7" x14ac:dyDescent="0.3">
      <x:c r="B896" s="12">
        <x:v>7678386800</x:v>
      </x:c>
      <x:c r="C896" s="12">
        <x:v>7678386800</x:v>
      </x:c>
      <x:c r="D896" s="11" t="s">
        <x:v>138</x:v>
      </x:c>
      <x:c r="E896" s="11" t="s">
        <x:v>126</x:v>
      </x:c>
      <x:c r="F896" s="15"/>
      <x:c r="G896" s="15"/>
    </x:row>
    <x:row r="897" spans="1:7" x14ac:dyDescent="0.3">
      <x:c r="B897" s="12">
        <x:v>7678386900</x:v>
      </x:c>
      <x:c r="C897" s="12">
        <x:v>7678388800</x:v>
      </x:c>
      <x:c r="D897" s="11" t="s">
        <x:v>137</x:v>
      </x:c>
      <x:c r="E897" s="11" t="s">
        <x:v>126</x:v>
      </x:c>
      <x:c r="F897" s="15"/>
      <x:c r="G897" s="15"/>
    </x:row>
    <x:row r="898" spans="1:7" x14ac:dyDescent="0.3">
      <x:c r="B898" s="12">
        <x:v>7678388900</x:v>
      </x:c>
      <x:c r="C898" s="12">
        <x:v>7678389100</x:v>
      </x:c>
      <x:c r="D898" s="11" t="s">
        <x:v>138</x:v>
      </x:c>
      <x:c r="E898" s="11" t="s">
        <x:v>126</x:v>
      </x:c>
      <x:c r="F898" s="15"/>
      <x:c r="G898" s="15"/>
    </x:row>
    <x:row r="899" spans="1:7" x14ac:dyDescent="0.3">
      <x:c r="B899" s="12">
        <x:v>7678389200</x:v>
      </x:c>
      <x:c r="C899" s="12">
        <x:v>7678389300</x:v>
      </x:c>
      <x:c r="D899" s="11" t="s">
        <x:v>137</x:v>
      </x:c>
      <x:c r="E899" s="11" t="s">
        <x:v>126</x:v>
      </x:c>
      <x:c r="F899" s="15"/>
      <x:c r="G899" s="15"/>
    </x:row>
    <x:row r="900" spans="1:7" x14ac:dyDescent="0.3">
      <x:c r="B900" s="12">
        <x:v>7678389400</x:v>
      </x:c>
      <x:c r="C900" s="12">
        <x:v>7678389900</x:v>
      </x:c>
      <x:c r="D900" s="11" t="s">
        <x:v>138</x:v>
      </x:c>
      <x:c r="E900" s="11" t="s">
        <x:v>126</x:v>
      </x:c>
      <x:c r="F900" s="15"/>
      <x:c r="G900" s="15"/>
    </x:row>
    <x:row r="901" spans="1:7" x14ac:dyDescent="0.3">
      <x:c r="B901" s="12">
        <x:v>7678390000</x:v>
      </x:c>
      <x:c r="C901" s="12">
        <x:v>7678393600</x:v>
      </x:c>
      <x:c r="D901" s="11" t="s">
        <x:v>137</x:v>
      </x:c>
      <x:c r="E901" s="11" t="s">
        <x:v>126</x:v>
      </x:c>
      <x:c r="F901" s="15"/>
      <x:c r="G901" s="15"/>
    </x:row>
    <x:row r="902" spans="1:7" x14ac:dyDescent="0.3">
      <x:c r="B902" s="12">
        <x:v>7678393700</x:v>
      </x:c>
      <x:c r="C902" s="12">
        <x:v>7678393700</x:v>
      </x:c>
      <x:c r="D902" s="11" t="s">
        <x:v>138</x:v>
      </x:c>
      <x:c r="E902" s="11" t="s">
        <x:v>126</x:v>
      </x:c>
      <x:c r="F902" s="15"/>
      <x:c r="G902" s="15"/>
    </x:row>
    <x:row r="903" spans="1:7" x14ac:dyDescent="0.3">
      <x:c r="B903" s="12">
        <x:v>7678393800</x:v>
      </x:c>
      <x:c r="C903" s="12">
        <x:v>7678398300</x:v>
      </x:c>
      <x:c r="D903" s="11" t="s">
        <x:v>137</x:v>
      </x:c>
      <x:c r="E903" s="11" t="s">
        <x:v>126</x:v>
      </x:c>
      <x:c r="F903" s="15"/>
      <x:c r="G903" s="15"/>
    </x:row>
    <x:row r="904" spans="1:7" x14ac:dyDescent="0.3">
      <x:c r="B904" s="12">
        <x:v>7678398400</x:v>
      </x:c>
      <x:c r="C904" s="12">
        <x:v>7678398500</x:v>
      </x:c>
      <x:c r="D904" s="11" t="s">
        <x:v>138</x:v>
      </x:c>
      <x:c r="E904" s="11" t="s">
        <x:v>126</x:v>
      </x:c>
      <x:c r="F904" s="15"/>
      <x:c r="G904" s="15"/>
    </x:row>
    <x:row r="905" spans="1:7" x14ac:dyDescent="0.3">
      <x:c r="B905" s="12">
        <x:v>7678398600</x:v>
      </x:c>
      <x:c r="C905" s="12">
        <x:v>7678399100</x:v>
      </x:c>
      <x:c r="D905" s="11" t="s">
        <x:v>137</x:v>
      </x:c>
      <x:c r="E905" s="11" t="s">
        <x:v>126</x:v>
      </x:c>
      <x:c r="F905" s="15"/>
      <x:c r="G905" s="15"/>
    </x:row>
    <x:row r="906" spans="1:7" x14ac:dyDescent="0.3">
      <x:c r="B906" s="12">
        <x:v>7678399200</x:v>
      </x:c>
      <x:c r="C906" s="12">
        <x:v>7678399200</x:v>
      </x:c>
      <x:c r="D906" s="11" t="s">
        <x:v>138</x:v>
      </x:c>
      <x:c r="E906" s="11" t="s">
        <x:v>126</x:v>
      </x:c>
      <x:c r="F906" s="15"/>
      <x:c r="G906" s="15"/>
    </x:row>
    <x:row r="907" spans="1:7" x14ac:dyDescent="0.3">
      <x:c r="B907" s="12">
        <x:v>7678399300</x:v>
      </x:c>
      <x:c r="C907" s="12">
        <x:v>7678405200</x:v>
      </x:c>
      <x:c r="D907" s="11" t="s">
        <x:v>137</x:v>
      </x:c>
      <x:c r="E907" s="11" t="s">
        <x:v>126</x:v>
      </x:c>
      <x:c r="F907" s="15"/>
      <x:c r="G907" s="15"/>
    </x:row>
    <x:row r="908" spans="1:7" x14ac:dyDescent="0.3">
      <x:c r="B908" s="12">
        <x:v>7678405300</x:v>
      </x:c>
      <x:c r="C908" s="12">
        <x:v>7678405800</x:v>
      </x:c>
      <x:c r="D908" s="11" t="s">
        <x:v>138</x:v>
      </x:c>
      <x:c r="E908" s="11" t="s">
        <x:v>126</x:v>
      </x:c>
      <x:c r="F908" s="15"/>
      <x:c r="G908" s="15"/>
    </x:row>
    <x:row r="909" spans="1:7" x14ac:dyDescent="0.3">
      <x:c r="B909" s="12">
        <x:v>7678405900</x:v>
      </x:c>
      <x:c r="C909" s="12">
        <x:v>7678408000</x:v>
      </x:c>
      <x:c r="D909" s="11" t="s">
        <x:v>137</x:v>
      </x:c>
      <x:c r="E909" s="11" t="s">
        <x:v>126</x:v>
      </x:c>
      <x:c r="F909" s="15"/>
      <x:c r="G909" s="15"/>
    </x:row>
    <x:row r="910" spans="1:7" x14ac:dyDescent="0.3">
      <x:c r="B910" s="12">
        <x:v>7678408100</x:v>
      </x:c>
      <x:c r="C910" s="12">
        <x:v>7678408400</x:v>
      </x:c>
      <x:c r="D910" s="11" t="s">
        <x:v>138</x:v>
      </x:c>
      <x:c r="E910" s="11" t="s">
        <x:v>126</x:v>
      </x:c>
      <x:c r="F910" s="15"/>
      <x:c r="G910" s="15"/>
    </x:row>
    <x:row r="911" spans="1:7" x14ac:dyDescent="0.3">
      <x:c r="B911" s="12">
        <x:v>7678408500</x:v>
      </x:c>
      <x:c r="C911" s="12">
        <x:v>7678409000</x:v>
      </x:c>
      <x:c r="D911" s="11" t="s">
        <x:v>137</x:v>
      </x:c>
      <x:c r="E911" s="11" t="s">
        <x:v>126</x:v>
      </x:c>
      <x:c r="F911" s="15"/>
      <x:c r="G911" s="15"/>
    </x:row>
    <x:row r="912" spans="1:7" x14ac:dyDescent="0.3">
      <x:c r="B912" s="12">
        <x:v>7678409100</x:v>
      </x:c>
      <x:c r="C912" s="12">
        <x:v>7678409700</x:v>
      </x:c>
      <x:c r="D912" s="11" t="s">
        <x:v>138</x:v>
      </x:c>
      <x:c r="E912" s="11" t="s">
        <x:v>126</x:v>
      </x:c>
      <x:c r="F912" s="15"/>
      <x:c r="G912" s="15"/>
    </x:row>
    <x:row r="913" spans="1:7" x14ac:dyDescent="0.3">
      <x:c r="B913" s="12">
        <x:v>7678409800</x:v>
      </x:c>
      <x:c r="C913" s="12">
        <x:v>7678411300</x:v>
      </x:c>
      <x:c r="D913" s="11" t="s">
        <x:v>137</x:v>
      </x:c>
      <x:c r="E913" s="11" t="s">
        <x:v>126</x:v>
      </x:c>
      <x:c r="F913" s="15"/>
      <x:c r="G913" s="15"/>
    </x:row>
    <x:row r="914" spans="1:7" x14ac:dyDescent="0.3">
      <x:c r="B914" s="12">
        <x:v>7678411400</x:v>
      </x:c>
      <x:c r="C914" s="12">
        <x:v>7678412200</x:v>
      </x:c>
      <x:c r="D914" s="11" t="s">
        <x:v>138</x:v>
      </x:c>
      <x:c r="E914" s="11" t="s">
        <x:v>126</x:v>
      </x:c>
      <x:c r="F914" s="15"/>
      <x:c r="G914" s="15"/>
    </x:row>
    <x:row r="915" spans="1:7" x14ac:dyDescent="0.3">
      <x:c r="B915" s="12">
        <x:v>7678412300</x:v>
      </x:c>
      <x:c r="C915" s="12">
        <x:v>7678415200</x:v>
      </x:c>
      <x:c r="D915" s="11" t="s">
        <x:v>137</x:v>
      </x:c>
      <x:c r="E915" s="11" t="s">
        <x:v>126</x:v>
      </x:c>
      <x:c r="F915" s="15"/>
      <x:c r="G915" s="15"/>
    </x:row>
    <x:row r="916" spans="1:7" x14ac:dyDescent="0.3">
      <x:c r="B916" s="12">
        <x:v>7678415300</x:v>
      </x:c>
      <x:c r="C916" s="12">
        <x:v>7678416500</x:v>
      </x:c>
      <x:c r="D916" s="11" t="s">
        <x:v>138</x:v>
      </x:c>
      <x:c r="E916" s="11" t="s">
        <x:v>126</x:v>
      </x:c>
      <x:c r="F916" s="15"/>
      <x:c r="G916" s="15"/>
    </x:row>
    <x:row r="917" spans="1:7" x14ac:dyDescent="0.3">
      <x:c r="B917" s="12">
        <x:v>7678416600</x:v>
      </x:c>
      <x:c r="C917" s="12">
        <x:v>7678418700</x:v>
      </x:c>
      <x:c r="D917" s="11" t="s">
        <x:v>137</x:v>
      </x:c>
      <x:c r="E917" s="11" t="s">
        <x:v>126</x:v>
      </x:c>
      <x:c r="F917" s="15"/>
      <x:c r="G917" s="15"/>
    </x:row>
    <x:row r="918" spans="1:7" x14ac:dyDescent="0.3">
      <x:c r="B918" s="12">
        <x:v>7678418800</x:v>
      </x:c>
      <x:c r="C918" s="12">
        <x:v>7678418900</x:v>
      </x:c>
      <x:c r="D918" s="11" t="s">
        <x:v>138</x:v>
      </x:c>
      <x:c r="E918" s="11" t="s">
        <x:v>126</x:v>
      </x:c>
      <x:c r="F918" s="15"/>
      <x:c r="G918" s="15"/>
    </x:row>
    <x:row r="919" spans="1:7" x14ac:dyDescent="0.3">
      <x:c r="B919" s="12">
        <x:v>7678419000</x:v>
      </x:c>
      <x:c r="C919" s="12">
        <x:v>7678423300</x:v>
      </x:c>
      <x:c r="D919" s="11" t="s">
        <x:v>137</x:v>
      </x:c>
      <x:c r="E919" s="11" t="s">
        <x:v>126</x:v>
      </x:c>
      <x:c r="F919" s="15"/>
      <x:c r="G919" s="15"/>
    </x:row>
    <x:row r="920" spans="1:7" x14ac:dyDescent="0.3">
      <x:c r="B920" s="12">
        <x:v>7678423400</x:v>
      </x:c>
      <x:c r="C920" s="12">
        <x:v>7678423700</x:v>
      </x:c>
      <x:c r="D920" s="11" t="s">
        <x:v>138</x:v>
      </x:c>
      <x:c r="E920" s="11" t="s">
        <x:v>126</x:v>
      </x:c>
      <x:c r="F920" s="15"/>
      <x:c r="G920" s="15"/>
    </x:row>
    <x:row r="921" spans="1:7" x14ac:dyDescent="0.3">
      <x:c r="B921" s="12">
        <x:v>7678423800</x:v>
      </x:c>
      <x:c r="C921" s="12">
        <x:v>7678424200</x:v>
      </x:c>
      <x:c r="D921" s="11" t="s">
        <x:v>137</x:v>
      </x:c>
      <x:c r="E921" s="11" t="s">
        <x:v>126</x:v>
      </x:c>
      <x:c r="F921" s="15"/>
      <x:c r="G921" s="15"/>
    </x:row>
    <x:row r="922" spans="1:7" x14ac:dyDescent="0.3">
      <x:c r="B922" s="12">
        <x:v>7678424300</x:v>
      </x:c>
      <x:c r="C922" s="12">
        <x:v>7678424600</x:v>
      </x:c>
      <x:c r="D922" s="11" t="s">
        <x:v>138</x:v>
      </x:c>
      <x:c r="E922" s="11" t="s">
        <x:v>126</x:v>
      </x:c>
      <x:c r="F922" s="15"/>
      <x:c r="G922" s="15"/>
    </x:row>
    <x:row r="923" spans="1:7" x14ac:dyDescent="0.3">
      <x:c r="B923" s="12">
        <x:v>7678424700</x:v>
      </x:c>
      <x:c r="C923" s="12">
        <x:v>7678429200</x:v>
      </x:c>
      <x:c r="D923" s="11" t="s">
        <x:v>137</x:v>
      </x:c>
      <x:c r="E923" s="11" t="s">
        <x:v>126</x:v>
      </x:c>
      <x:c r="F923" s="15"/>
      <x:c r="G923" s="15"/>
    </x:row>
    <x:row r="924" spans="1:7" x14ac:dyDescent="0.3">
      <x:c r="B924" s="12">
        <x:v>7678429300</x:v>
      </x:c>
      <x:c r="C924" s="12">
        <x:v>7678429500</x:v>
      </x:c>
      <x:c r="D924" s="11" t="s">
        <x:v>138</x:v>
      </x:c>
      <x:c r="E924" s="11" t="s">
        <x:v>126</x:v>
      </x:c>
      <x:c r="F924" s="15"/>
      <x:c r="G924" s="15"/>
    </x:row>
    <x:row r="925" spans="1:7" x14ac:dyDescent="0.3">
      <x:c r="B925" s="12">
        <x:v>7678429600</x:v>
      </x:c>
      <x:c r="C925" s="12">
        <x:v>7678431500</x:v>
      </x:c>
      <x:c r="D925" s="11" t="s">
        <x:v>137</x:v>
      </x:c>
      <x:c r="E925" s="11" t="s">
        <x:v>126</x:v>
      </x:c>
      <x:c r="F925" s="15"/>
      <x:c r="G925" s="15"/>
    </x:row>
    <x:row r="926" spans="1:7" x14ac:dyDescent="0.3">
      <x:c r="B926" s="12">
        <x:v>7678431600</x:v>
      </x:c>
      <x:c r="C926" s="12">
        <x:v>7678431600</x:v>
      </x:c>
      <x:c r="D926" s="11" t="s">
        <x:v>138</x:v>
      </x:c>
      <x:c r="E926" s="11" t="s">
        <x:v>126</x:v>
      </x:c>
      <x:c r="F926" s="15"/>
      <x:c r="G926" s="15"/>
    </x:row>
    <x:row r="927" spans="1:7" x14ac:dyDescent="0.3">
      <x:c r="B927" s="12">
        <x:v>7678431700</x:v>
      </x:c>
      <x:c r="C927" s="12">
        <x:v>7678433900</x:v>
      </x:c>
      <x:c r="D927" s="11" t="s">
        <x:v>137</x:v>
      </x:c>
      <x:c r="E927" s="11" t="s">
        <x:v>126</x:v>
      </x:c>
      <x:c r="F927" s="15"/>
      <x:c r="G927" s="15"/>
    </x:row>
    <x:row r="928" spans="1:7" x14ac:dyDescent="0.3">
      <x:c r="B928" s="12">
        <x:v>7678434000</x:v>
      </x:c>
      <x:c r="C928" s="12">
        <x:v>7678434200</x:v>
      </x:c>
      <x:c r="D928" s="11" t="s">
        <x:v>138</x:v>
      </x:c>
      <x:c r="E928" s="11" t="s">
        <x:v>126</x:v>
      </x:c>
      <x:c r="F928" s="15"/>
      <x:c r="G928" s="15"/>
    </x:row>
    <x:row r="929" spans="1:7" x14ac:dyDescent="0.3">
      <x:c r="B929" s="12">
        <x:v>7678434300</x:v>
      </x:c>
      <x:c r="C929" s="12">
        <x:v>7678436700</x:v>
      </x:c>
      <x:c r="D929" s="11" t="s">
        <x:v>137</x:v>
      </x:c>
      <x:c r="E929" s="11" t="s">
        <x:v>126</x:v>
      </x:c>
      <x:c r="F929" s="15"/>
      <x:c r="G929" s="15"/>
    </x:row>
    <x:row r="930" spans="1:7" x14ac:dyDescent="0.3">
      <x:c r="B930" s="12">
        <x:v>7678436800</x:v>
      </x:c>
      <x:c r="C930" s="12">
        <x:v>7678436800</x:v>
      </x:c>
      <x:c r="D930" s="11" t="s">
        <x:v>138</x:v>
      </x:c>
      <x:c r="E930" s="11" t="s">
        <x:v>126</x:v>
      </x:c>
      <x:c r="F930" s="15"/>
      <x:c r="G930" s="15"/>
    </x:row>
    <x:row r="931" spans="1:7" x14ac:dyDescent="0.3">
      <x:c r="B931" s="12">
        <x:v>7678436900</x:v>
      </x:c>
      <x:c r="C931" s="12">
        <x:v>7678443000</x:v>
      </x:c>
      <x:c r="D931" s="11" t="s">
        <x:v>137</x:v>
      </x:c>
      <x:c r="E931" s="11" t="s">
        <x:v>126</x:v>
      </x:c>
      <x:c r="F931" s="15"/>
      <x:c r="G931" s="15"/>
    </x:row>
    <x:row r="932" spans="1:7" x14ac:dyDescent="0.3">
      <x:c r="B932" s="12">
        <x:v>7678443100</x:v>
      </x:c>
      <x:c r="C932" s="12">
        <x:v>7678444300</x:v>
      </x:c>
      <x:c r="D932" s="11" t="s">
        <x:v>138</x:v>
      </x:c>
      <x:c r="E932" s="11" t="s">
        <x:v>126</x:v>
      </x:c>
      <x:c r="F932" s="15"/>
      <x:c r="G932" s="15"/>
    </x:row>
    <x:row r="933" spans="1:7" x14ac:dyDescent="0.3">
      <x:c r="B933" s="12">
        <x:v>7678444400</x:v>
      </x:c>
      <x:c r="C933" s="12">
        <x:v>7678445500</x:v>
      </x:c>
      <x:c r="D933" s="11" t="s">
        <x:v>137</x:v>
      </x:c>
      <x:c r="E933" s="11" t="s">
        <x:v>126</x:v>
      </x:c>
      <x:c r="F933" s="15"/>
      <x:c r="G933" s="15"/>
    </x:row>
    <x:row r="934" spans="1:7" x14ac:dyDescent="0.3">
      <x:c r="B934" s="12">
        <x:v>7678445600</x:v>
      </x:c>
      <x:c r="C934" s="12">
        <x:v>7678445600</x:v>
      </x:c>
      <x:c r="D934" s="11" t="s">
        <x:v>138</x:v>
      </x:c>
      <x:c r="E934" s="11" t="s">
        <x:v>126</x:v>
      </x:c>
      <x:c r="F934" s="15"/>
      <x:c r="G934" s="15"/>
    </x:row>
    <x:row r="935" spans="1:7" x14ac:dyDescent="0.3">
      <x:c r="B935" s="12">
        <x:v>7678445700</x:v>
      </x:c>
      <x:c r="C935" s="12">
        <x:v>7678447400</x:v>
      </x:c>
      <x:c r="D935" s="11" t="s">
        <x:v>137</x:v>
      </x:c>
      <x:c r="E935" s="11" t="s">
        <x:v>126</x:v>
      </x:c>
      <x:c r="F935" s="15"/>
      <x:c r="G935" s="15"/>
    </x:row>
    <x:row r="936" spans="1:7" x14ac:dyDescent="0.3">
      <x:c r="B936" s="12">
        <x:v>7678447500</x:v>
      </x:c>
      <x:c r="C936" s="12">
        <x:v>7678449500</x:v>
      </x:c>
      <x:c r="D936" s="11" t="s">
        <x:v>137</x:v>
      </x:c>
      <x:c r="E936" s="11" t="s">
        <x:v>126</x:v>
      </x:c>
      <x:c r="F936" s="15"/>
      <x:c r="G936" s="15"/>
    </x:row>
    <x:row r="937" spans="1:7" x14ac:dyDescent="0.3">
      <x:c r="B937" s="12">
        <x:v>7678449600</x:v>
      </x:c>
      <x:c r="C937" s="12">
        <x:v>7678451700</x:v>
      </x:c>
      <x:c r="D937" s="11" t="s">
        <x:v>137</x:v>
      </x:c>
      <x:c r="E937" s="11" t="s">
        <x:v>126</x:v>
      </x:c>
      <x:c r="F937" s="15"/>
      <x:c r="G937" s="15"/>
    </x:row>
    <x:row r="938" spans="1:7" x14ac:dyDescent="0.3">
      <x:c r="B938" s="12">
        <x:v>7678451800</x:v>
      </x:c>
      <x:c r="C938" s="12">
        <x:v>7678451800</x:v>
      </x:c>
      <x:c r="D938" s="11" t="s">
        <x:v>138</x:v>
      </x:c>
      <x:c r="E938" s="11" t="s">
        <x:v>126</x:v>
      </x:c>
      <x:c r="F938" s="15"/>
      <x:c r="G938" s="15"/>
    </x:row>
    <x:row r="939" spans="1:7" x14ac:dyDescent="0.3">
      <x:c r="B939" s="12">
        <x:v>7678451900</x:v>
      </x:c>
      <x:c r="C939" s="12">
        <x:v>7678453300</x:v>
      </x:c>
      <x:c r="D939" s="11" t="s">
        <x:v>137</x:v>
      </x:c>
      <x:c r="E939" s="11" t="s">
        <x:v>126</x:v>
      </x:c>
      <x:c r="F939" s="15"/>
      <x:c r="G939" s="15"/>
    </x:row>
    <x:row r="940" spans="1:7" x14ac:dyDescent="0.3">
      <x:c r="B940" s="12">
        <x:v>7678453400</x:v>
      </x:c>
      <x:c r="C940" s="12">
        <x:v>7678453400</x:v>
      </x:c>
      <x:c r="D940" s="11" t="s">
        <x:v>138</x:v>
      </x:c>
      <x:c r="E940" s="11" t="s">
        <x:v>126</x:v>
      </x:c>
      <x:c r="F940" s="15"/>
      <x:c r="G940" s="15"/>
    </x:row>
    <x:row r="941" spans="1:7" x14ac:dyDescent="0.3">
      <x:c r="B941" s="12">
        <x:v>7678453500</x:v>
      </x:c>
      <x:c r="C941" s="12">
        <x:v>7678454400</x:v>
      </x:c>
      <x:c r="D941" s="11" t="s">
        <x:v>137</x:v>
      </x:c>
      <x:c r="E941" s="11" t="s">
        <x:v>126</x:v>
      </x:c>
      <x:c r="F941" s="15"/>
      <x:c r="G941" s="15"/>
    </x:row>
    <x:row r="942" spans="1:7" x14ac:dyDescent="0.3">
      <x:c r="B942" s="12">
        <x:v>7678454500</x:v>
      </x:c>
      <x:c r="C942" s="12">
        <x:v>7678455000</x:v>
      </x:c>
      <x:c r="D942" s="11" t="s">
        <x:v>138</x:v>
      </x:c>
      <x:c r="E942" s="11" t="s">
        <x:v>126</x:v>
      </x:c>
      <x:c r="F942" s="15"/>
      <x:c r="G942" s="15"/>
    </x:row>
    <x:row r="943" spans="1:7" x14ac:dyDescent="0.3">
      <x:c r="B943" s="12">
        <x:v>7678455100</x:v>
      </x:c>
      <x:c r="C943" s="12">
        <x:v>7678459900</x:v>
      </x:c>
      <x:c r="D943" s="11" t="s">
        <x:v>137</x:v>
      </x:c>
      <x:c r="E943" s="11" t="s">
        <x:v>126</x:v>
      </x:c>
      <x:c r="F943" s="15"/>
      <x:c r="G943" s="15"/>
    </x:row>
    <x:row r="944" spans="1:7" x14ac:dyDescent="0.3">
      <x:c r="B944" s="12">
        <x:v>7678460000</x:v>
      </x:c>
      <x:c r="C944" s="12">
        <x:v>7678460300</x:v>
      </x:c>
      <x:c r="D944" s="11" t="s">
        <x:v>138</x:v>
      </x:c>
      <x:c r="E944" s="11" t="s">
        <x:v>126</x:v>
      </x:c>
      <x:c r="F944" s="15"/>
      <x:c r="G944" s="15"/>
    </x:row>
    <x:row r="945" spans="1:7" x14ac:dyDescent="0.3">
      <x:c r="B945" s="12">
        <x:v>7678460400</x:v>
      </x:c>
      <x:c r="C945" s="12">
        <x:v>7678476500</x:v>
      </x:c>
      <x:c r="D945" s="11" t="s">
        <x:v>137</x:v>
      </x:c>
      <x:c r="E945" s="11" t="s">
        <x:v>126</x:v>
      </x:c>
      <x:c r="F945" s="15"/>
      <x:c r="G945" s="15"/>
    </x:row>
    <x:row r="946" spans="1:7" x14ac:dyDescent="0.3">
      <x:c r="B946" s="12">
        <x:v>7678476600</x:v>
      </x:c>
      <x:c r="C946" s="12">
        <x:v>7678476900</x:v>
      </x:c>
      <x:c r="D946" s="11" t="s">
        <x:v>138</x:v>
      </x:c>
      <x:c r="E946" s="11" t="s">
        <x:v>126</x:v>
      </x:c>
      <x:c r="F946" s="15"/>
      <x:c r="G946" s="15"/>
    </x:row>
    <x:row r="947" spans="1:7" x14ac:dyDescent="0.3">
      <x:c r="B947" s="12">
        <x:v>7678477000</x:v>
      </x:c>
      <x:c r="C947" s="12">
        <x:v>7678477400</x:v>
      </x:c>
      <x:c r="D947" s="11" t="s">
        <x:v>137</x:v>
      </x:c>
      <x:c r="E947" s="11" t="s">
        <x:v>126</x:v>
      </x:c>
      <x:c r="F947" s="15"/>
      <x:c r="G947" s="15"/>
    </x:row>
    <x:row r="948" spans="1:7" x14ac:dyDescent="0.3">
      <x:c r="B948" s="12">
        <x:v>7678477500</x:v>
      </x:c>
      <x:c r="C948" s="12">
        <x:v>7678477600</x:v>
      </x:c>
      <x:c r="D948" s="11" t="s">
        <x:v>138</x:v>
      </x:c>
      <x:c r="E948" s="11" t="s">
        <x:v>126</x:v>
      </x:c>
      <x:c r="F948" s="15"/>
      <x:c r="G948" s="15"/>
    </x:row>
    <x:row r="949" spans="1:7" x14ac:dyDescent="0.3">
      <x:c r="B949" s="12">
        <x:v>7678477700</x:v>
      </x:c>
      <x:c r="C949" s="12">
        <x:v>7678479400</x:v>
      </x:c>
      <x:c r="D949" s="11" t="s">
        <x:v>137</x:v>
      </x:c>
      <x:c r="E949" s="11" t="s">
        <x:v>126</x:v>
      </x:c>
      <x:c r="F949" s="15"/>
      <x:c r="G949" s="15"/>
    </x:row>
    <x:row r="950" spans="1:7" x14ac:dyDescent="0.3">
      <x:c r="B950" s="12">
        <x:v>7678479500</x:v>
      </x:c>
      <x:c r="C950" s="12">
        <x:v>7678479600</x:v>
      </x:c>
      <x:c r="D950" s="11" t="s">
        <x:v>138</x:v>
      </x:c>
      <x:c r="E950" s="11" t="s">
        <x:v>126</x:v>
      </x:c>
      <x:c r="F950" s="15"/>
      <x:c r="G950" s="15"/>
    </x:row>
    <x:row r="951" spans="1:7" x14ac:dyDescent="0.3">
      <x:c r="B951" s="12">
        <x:v>7678479700</x:v>
      </x:c>
      <x:c r="C951" s="12">
        <x:v>7678484500</x:v>
      </x:c>
      <x:c r="D951" s="11" t="s">
        <x:v>137</x:v>
      </x:c>
      <x:c r="E951" s="11" t="s">
        <x:v>126</x:v>
      </x:c>
      <x:c r="F951" s="15"/>
      <x:c r="G951" s="15"/>
    </x:row>
    <x:row r="952" spans="1:7" x14ac:dyDescent="0.3">
      <x:c r="B952" s="12">
        <x:v>7678484600</x:v>
      </x:c>
      <x:c r="C952" s="12">
        <x:v>7678484800</x:v>
      </x:c>
      <x:c r="D952" s="11" t="s">
        <x:v>138</x:v>
      </x:c>
      <x:c r="E952" s="11" t="s">
        <x:v>126</x:v>
      </x:c>
      <x:c r="F952" s="15"/>
      <x:c r="G952" s="15"/>
    </x:row>
    <x:row r="953" spans="1:7" x14ac:dyDescent="0.3">
      <x:c r="B953" s="12">
        <x:v>7678484900</x:v>
      </x:c>
      <x:c r="C953" s="12">
        <x:v>7678497300</x:v>
      </x:c>
      <x:c r="D953" s="11" t="s">
        <x:v>137</x:v>
      </x:c>
      <x:c r="E953" s="11" t="s">
        <x:v>126</x:v>
      </x:c>
      <x:c r="F953" s="15"/>
      <x:c r="G953" s="15"/>
    </x:row>
    <x:row r="954" spans="1:7" x14ac:dyDescent="0.3">
      <x:c r="B954" s="12">
        <x:v>7678497400</x:v>
      </x:c>
      <x:c r="C954" s="12">
        <x:v>7678499000</x:v>
      </x:c>
      <x:c r="D954" s="11" t="s">
        <x:v>138</x:v>
      </x:c>
      <x:c r="E954" s="11" t="s">
        <x:v>126</x:v>
      </x:c>
      <x:c r="F954" s="15"/>
      <x:c r="G954" s="15"/>
    </x:row>
    <x:row r="955" spans="1:7" x14ac:dyDescent="0.3">
      <x:c r="B955" s="12">
        <x:v>7678499100</x:v>
      </x:c>
      <x:c r="C955" s="12">
        <x:v>7678518900</x:v>
      </x:c>
      <x:c r="D955" s="11" t="s">
        <x:v>137</x:v>
      </x:c>
      <x:c r="E955" s="11" t="s">
        <x:v>126</x:v>
      </x:c>
      <x:c r="F955" s="15"/>
      <x:c r="G955" s="15"/>
    </x:row>
    <x:row r="956" spans="1:7" x14ac:dyDescent="0.3">
      <x:c r="B956" s="12">
        <x:v>7678519000</x:v>
      </x:c>
      <x:c r="C956" s="12">
        <x:v>7678519200</x:v>
      </x:c>
      <x:c r="D956" s="11" t="s">
        <x:v>138</x:v>
      </x:c>
      <x:c r="E956" s="11" t="s">
        <x:v>126</x:v>
      </x:c>
      <x:c r="F956" s="15"/>
      <x:c r="G956" s="15"/>
    </x:row>
    <x:row r="957" spans="1:7" x14ac:dyDescent="0.3">
      <x:c r="B957" s="12">
        <x:v>7678519300</x:v>
      </x:c>
      <x:c r="C957" s="12">
        <x:v>7678519500</x:v>
      </x:c>
      <x:c r="D957" s="11" t="s">
        <x:v>137</x:v>
      </x:c>
      <x:c r="E957" s="11" t="s">
        <x:v>126</x:v>
      </x:c>
      <x:c r="F957" s="15"/>
      <x:c r="G957" s="15"/>
    </x:row>
    <x:row r="958" spans="1:7" x14ac:dyDescent="0.3">
      <x:c r="B958" s="12">
        <x:v>7678519600</x:v>
      </x:c>
      <x:c r="C958" s="12">
        <x:v>7678519700</x:v>
      </x:c>
      <x:c r="D958" s="11" t="s">
        <x:v>138</x:v>
      </x:c>
      <x:c r="E958" s="11" t="s">
        <x:v>126</x:v>
      </x:c>
      <x:c r="F958" s="15"/>
      <x:c r="G958" s="15"/>
    </x:row>
    <x:row r="959" spans="1:7" x14ac:dyDescent="0.3">
      <x:c r="B959" s="12">
        <x:v>7678519800</x:v>
      </x:c>
      <x:c r="C959" s="12">
        <x:v>7678528700</x:v>
      </x:c>
      <x:c r="D959" s="11" t="s">
        <x:v>137</x:v>
      </x:c>
      <x:c r="E959" s="11" t="s">
        <x:v>126</x:v>
      </x:c>
      <x:c r="F959" s="15"/>
      <x:c r="G959" s="15"/>
    </x:row>
    <x:row r="960" spans="1:7" x14ac:dyDescent="0.3">
      <x:c r="B960" s="12">
        <x:v>7678528800</x:v>
      </x:c>
      <x:c r="C960" s="12">
        <x:v>7678529400</x:v>
      </x:c>
      <x:c r="D960" s="11" t="s">
        <x:v>138</x:v>
      </x:c>
      <x:c r="E960" s="11" t="s">
        <x:v>126</x:v>
      </x:c>
      <x:c r="F960" s="15"/>
      <x:c r="G960" s="15"/>
    </x:row>
    <x:row r="961" spans="1:7" x14ac:dyDescent="0.3">
      <x:c r="B961" s="12">
        <x:v>7678529500</x:v>
      </x:c>
      <x:c r="C961" s="12">
        <x:v>7678529600</x:v>
      </x:c>
      <x:c r="D961" s="11" t="s">
        <x:v>137</x:v>
      </x:c>
      <x:c r="E961" s="11" t="s">
        <x:v>126</x:v>
      </x:c>
      <x:c r="F961" s="15"/>
      <x:c r="G961" s="15"/>
    </x:row>
    <x:row r="962" spans="1:7" x14ac:dyDescent="0.3">
      <x:c r="B962" s="12">
        <x:v>7678529700</x:v>
      </x:c>
      <x:c r="C962" s="12">
        <x:v>7678529700</x:v>
      </x:c>
      <x:c r="D962" s="11" t="s">
        <x:v>138</x:v>
      </x:c>
      <x:c r="E962" s="11" t="s">
        <x:v>126</x:v>
      </x:c>
      <x:c r="F962" s="15"/>
      <x:c r="G962" s="15"/>
    </x:row>
    <x:row r="963" spans="1:7" x14ac:dyDescent="0.3">
      <x:c r="B963" s="12">
        <x:v>7678529800</x:v>
      </x:c>
      <x:c r="C963" s="12">
        <x:v>7678529900</x:v>
      </x:c>
      <x:c r="D963" s="11" t="s">
        <x:v>137</x:v>
      </x:c>
      <x:c r="E963" s="11" t="s">
        <x:v>126</x:v>
      </x:c>
      <x:c r="F963" s="15"/>
      <x:c r="G963" s="15"/>
    </x:row>
    <x:row r="964" spans="1:7" x14ac:dyDescent="0.3">
      <x:c r="B964" s="12">
        <x:v>7678530000</x:v>
      </x:c>
      <x:c r="C964" s="12">
        <x:v>7678530100</x:v>
      </x:c>
      <x:c r="D964" s="11" t="s">
        <x:v>138</x:v>
      </x:c>
      <x:c r="E964" s="11" t="s">
        <x:v>126</x:v>
      </x:c>
      <x:c r="F964" s="15"/>
      <x:c r="G964" s="15"/>
    </x:row>
    <x:row r="965" spans="1:7" x14ac:dyDescent="0.3">
      <x:c r="B965" s="12">
        <x:v>7678530200</x:v>
      </x:c>
      <x:c r="C965" s="12">
        <x:v>7678533100</x:v>
      </x:c>
      <x:c r="D965" s="11" t="s">
        <x:v>137</x:v>
      </x:c>
      <x:c r="E965" s="11" t="s">
        <x:v>126</x:v>
      </x:c>
      <x:c r="F965" s="15"/>
      <x:c r="G965" s="15"/>
    </x:row>
    <x:row r="966" spans="1:7" x14ac:dyDescent="0.3">
      <x:c r="B966" s="12">
        <x:v>7678533200</x:v>
      </x:c>
      <x:c r="C966" s="12">
        <x:v>7678533800</x:v>
      </x:c>
      <x:c r="D966" s="11" t="s">
        <x:v>138</x:v>
      </x:c>
      <x:c r="E966" s="11" t="s">
        <x:v>126</x:v>
      </x:c>
      <x:c r="F966" s="15"/>
      <x:c r="G966" s="15"/>
    </x:row>
    <x:row r="967" spans="1:7" x14ac:dyDescent="0.3">
      <x:c r="B967" s="12">
        <x:v>7678533900</x:v>
      </x:c>
      <x:c r="C967" s="12">
        <x:v>7678537200</x:v>
      </x:c>
      <x:c r="D967" s="11" t="s">
        <x:v>137</x:v>
      </x:c>
      <x:c r="E967" s="11" t="s">
        <x:v>126</x:v>
      </x:c>
      <x:c r="F967" s="15"/>
      <x:c r="G967" s="15"/>
    </x:row>
    <x:row r="968" spans="1:7" x14ac:dyDescent="0.3">
      <x:c r="B968" s="12">
        <x:v>7678537300</x:v>
      </x:c>
      <x:c r="C968" s="12">
        <x:v>7678537300</x:v>
      </x:c>
      <x:c r="D968" s="11" t="s">
        <x:v>138</x:v>
      </x:c>
      <x:c r="E968" s="11" t="s">
        <x:v>126</x:v>
      </x:c>
      <x:c r="F968" s="15"/>
      <x:c r="G968" s="15"/>
    </x:row>
    <x:row r="969" spans="1:7" x14ac:dyDescent="0.3">
      <x:c r="B969" s="12">
        <x:v>7678537400</x:v>
      </x:c>
      <x:c r="C969" s="12">
        <x:v>7678541000</x:v>
      </x:c>
      <x:c r="D969" s="11" t="s">
        <x:v>137</x:v>
      </x:c>
      <x:c r="E969" s="11" t="s">
        <x:v>126</x:v>
      </x:c>
      <x:c r="F969" s="15"/>
      <x:c r="G969" s="15"/>
    </x:row>
    <x:row r="970" spans="1:7" x14ac:dyDescent="0.3">
      <x:c r="B970" s="12">
        <x:v>7678541100</x:v>
      </x:c>
      <x:c r="C970" s="12">
        <x:v>7678541400</x:v>
      </x:c>
      <x:c r="D970" s="11" t="s">
        <x:v>138</x:v>
      </x:c>
      <x:c r="E970" s="11" t="s">
        <x:v>126</x:v>
      </x:c>
      <x:c r="F970" s="15"/>
      <x:c r="G970" s="15"/>
    </x:row>
    <x:row r="971" spans="1:7" x14ac:dyDescent="0.3">
      <x:c r="B971" s="12">
        <x:v>7678541500</x:v>
      </x:c>
      <x:c r="C971" s="12">
        <x:v>7678556700</x:v>
      </x:c>
      <x:c r="D971" s="11" t="s">
        <x:v>137</x:v>
      </x:c>
      <x:c r="E971" s="11" t="s">
        <x:v>126</x:v>
      </x:c>
      <x:c r="F971" s="15"/>
      <x:c r="G971" s="15"/>
    </x:row>
    <x:row r="972" spans="1:7" x14ac:dyDescent="0.3">
      <x:c r="B972" s="12">
        <x:v>7678556800</x:v>
      </x:c>
      <x:c r="C972" s="12">
        <x:v>7678556900</x:v>
      </x:c>
      <x:c r="D972" s="11" t="s">
        <x:v>138</x:v>
      </x:c>
      <x:c r="E972" s="11" t="s">
        <x:v>126</x:v>
      </x:c>
      <x:c r="F972" s="15"/>
      <x:c r="G972" s="15"/>
    </x:row>
    <x:row r="973" spans="1:7" x14ac:dyDescent="0.3">
      <x:c r="B973" s="12">
        <x:v>7678557000</x:v>
      </x:c>
      <x:c r="C973" s="12">
        <x:v>7678566000</x:v>
      </x:c>
      <x:c r="D973" s="11" t="s">
        <x:v>137</x:v>
      </x:c>
      <x:c r="E973" s="11" t="s">
        <x:v>126</x:v>
      </x:c>
      <x:c r="F973" s="15"/>
      <x:c r="G973" s="15"/>
    </x:row>
    <x:row r="974" spans="1:7" x14ac:dyDescent="0.3">
      <x:c r="B974" s="12">
        <x:v>7678566100</x:v>
      </x:c>
      <x:c r="C974" s="12">
        <x:v>7678567700</x:v>
      </x:c>
      <x:c r="D974" s="11" t="s">
        <x:v>138</x:v>
      </x:c>
      <x:c r="E974" s="11" t="s">
        <x:v>126</x:v>
      </x:c>
      <x:c r="F974" s="15"/>
      <x:c r="G974" s="15"/>
    </x:row>
    <x:row r="975" spans="1:7" x14ac:dyDescent="0.3">
      <x:c r="B975" s="12">
        <x:v>7678567800</x:v>
      </x:c>
      <x:c r="C975" s="12">
        <x:v>7678569600</x:v>
      </x:c>
      <x:c r="D975" s="11" t="s">
        <x:v>137</x:v>
      </x:c>
      <x:c r="E975" s="11" t="s">
        <x:v>126</x:v>
      </x:c>
      <x:c r="F975" s="15"/>
      <x:c r="G975" s="15"/>
    </x:row>
    <x:row r="976" spans="1:7" x14ac:dyDescent="0.3">
      <x:c r="B976" s="12">
        <x:v>7678569700</x:v>
      </x:c>
      <x:c r="C976" s="12">
        <x:v>7678569800</x:v>
      </x:c>
      <x:c r="D976" s="11" t="s">
        <x:v>138</x:v>
      </x:c>
      <x:c r="E976" s="11" t="s">
        <x:v>126</x:v>
      </x:c>
      <x:c r="F976" s="15"/>
      <x:c r="G976" s="15"/>
    </x:row>
    <x:row r="977" spans="1:7" x14ac:dyDescent="0.3">
      <x:c r="B977" s="12">
        <x:v>7678569900</x:v>
      </x:c>
      <x:c r="C977" s="12">
        <x:v>7678570500</x:v>
      </x:c>
      <x:c r="D977" s="11" t="s">
        <x:v>137</x:v>
      </x:c>
      <x:c r="E977" s="11" t="s">
        <x:v>126</x:v>
      </x:c>
      <x:c r="F977" s="15"/>
      <x:c r="G977" s="15"/>
    </x:row>
    <x:row r="978" spans="1:7" x14ac:dyDescent="0.3">
      <x:c r="B978" s="12">
        <x:v>7678570600</x:v>
      </x:c>
      <x:c r="C978" s="12">
        <x:v>7678570600</x:v>
      </x:c>
      <x:c r="D978" s="11" t="s">
        <x:v>138</x:v>
      </x:c>
      <x:c r="E978" s="11" t="s">
        <x:v>126</x:v>
      </x:c>
      <x:c r="F978" s="15"/>
      <x:c r="G978" s="15"/>
    </x:row>
    <x:row r="979" spans="1:7" x14ac:dyDescent="0.3">
      <x:c r="B979" s="12">
        <x:v>7678570700</x:v>
      </x:c>
      <x:c r="C979" s="12">
        <x:v>7678576500</x:v>
      </x:c>
      <x:c r="D979" s="11" t="s">
        <x:v>137</x:v>
      </x:c>
      <x:c r="E979" s="11" t="s">
        <x:v>126</x:v>
      </x:c>
      <x:c r="F979" s="15"/>
      <x:c r="G979" s="15"/>
    </x:row>
    <x:row r="980" spans="1:7" x14ac:dyDescent="0.3">
      <x:c r="B980" s="12">
        <x:v>7678576600</x:v>
      </x:c>
      <x:c r="C980" s="12">
        <x:v>7678576900</x:v>
      </x:c>
      <x:c r="D980" s="11" t="s">
        <x:v>138</x:v>
      </x:c>
      <x:c r="E980" s="11" t="s">
        <x:v>126</x:v>
      </x:c>
      <x:c r="F980" s="15"/>
      <x:c r="G980" s="15"/>
    </x:row>
    <x:row r="981" spans="1:7" x14ac:dyDescent="0.3">
      <x:c r="B981" s="12">
        <x:v>7678577000</x:v>
      </x:c>
      <x:c r="C981" s="12">
        <x:v>7678587800</x:v>
      </x:c>
      <x:c r="D981" s="11" t="s">
        <x:v>137</x:v>
      </x:c>
      <x:c r="E981" s="11" t="s">
        <x:v>126</x:v>
      </x:c>
      <x:c r="F981" s="15"/>
      <x:c r="G981" s="15"/>
    </x:row>
    <x:row r="982" spans="1:7" x14ac:dyDescent="0.3">
      <x:c r="B982" s="12">
        <x:v>7678587900</x:v>
      </x:c>
      <x:c r="C982" s="12">
        <x:v>7678587900</x:v>
      </x:c>
      <x:c r="D982" s="11" t="s">
        <x:v>138</x:v>
      </x:c>
      <x:c r="E982" s="11" t="s">
        <x:v>126</x:v>
      </x:c>
      <x:c r="F982" s="15"/>
      <x:c r="G982" s="15"/>
    </x:row>
    <x:row r="983" spans="1:7" x14ac:dyDescent="0.3">
      <x:c r="B983" s="12">
        <x:v>7678588000</x:v>
      </x:c>
      <x:c r="C983" s="12">
        <x:v>7678588500</x:v>
      </x:c>
      <x:c r="D983" s="11" t="s">
        <x:v>137</x:v>
      </x:c>
      <x:c r="E983" s="11" t="s">
        <x:v>126</x:v>
      </x:c>
      <x:c r="F983" s="15"/>
      <x:c r="G983" s="15"/>
    </x:row>
    <x:row r="984" spans="1:7" x14ac:dyDescent="0.3">
      <x:c r="B984" s="12">
        <x:v>7678588600</x:v>
      </x:c>
      <x:c r="C984" s="12">
        <x:v>7678588700</x:v>
      </x:c>
      <x:c r="D984" s="11" t="s">
        <x:v>138</x:v>
      </x:c>
      <x:c r="E984" s="11" t="s">
        <x:v>126</x:v>
      </x:c>
      <x:c r="F984" s="15"/>
      <x:c r="G984" s="15"/>
    </x:row>
    <x:row r="985" spans="1:7" x14ac:dyDescent="0.3">
      <x:c r="B985" s="12">
        <x:v>7678588800</x:v>
      </x:c>
      <x:c r="C985" s="12">
        <x:v>7678608400</x:v>
      </x:c>
      <x:c r="D985" s="11" t="s">
        <x:v>137</x:v>
      </x:c>
      <x:c r="E985" s="11" t="s">
        <x:v>126</x:v>
      </x:c>
      <x:c r="F985" s="15"/>
      <x:c r="G985" s="15"/>
    </x:row>
    <x:row r="986" spans="1:7" x14ac:dyDescent="0.3">
      <x:c r="B986" s="12">
        <x:v>7678608500</x:v>
      </x:c>
      <x:c r="C986" s="12">
        <x:v>7678608800</x:v>
      </x:c>
      <x:c r="D986" s="11" t="s">
        <x:v>138</x:v>
      </x:c>
      <x:c r="E986" s="11" t="s">
        <x:v>126</x:v>
      </x:c>
      <x:c r="F986" s="15"/>
      <x:c r="G986" s="15"/>
    </x:row>
    <x:row r="987" spans="1:7" x14ac:dyDescent="0.3">
      <x:c r="B987" s="12">
        <x:v>7678608900</x:v>
      </x:c>
      <x:c r="C987" s="12">
        <x:v>7678614500</x:v>
      </x:c>
      <x:c r="D987" s="11" t="s">
        <x:v>137</x:v>
      </x:c>
      <x:c r="E987" s="11" t="s">
        <x:v>126</x:v>
      </x:c>
      <x:c r="F987" s="15"/>
      <x:c r="G987" s="15"/>
    </x:row>
    <x:row r="988" spans="1:7" x14ac:dyDescent="0.3">
      <x:c r="B988" s="12">
        <x:v>7678614600</x:v>
      </x:c>
      <x:c r="C988" s="12">
        <x:v>7678615600</x:v>
      </x:c>
      <x:c r="D988" s="11" t="s">
        <x:v>138</x:v>
      </x:c>
      <x:c r="E988" s="11" t="s">
        <x:v>126</x:v>
      </x:c>
      <x:c r="F988" s="15"/>
      <x:c r="G988" s="15"/>
    </x:row>
    <x:row r="989" spans="1:7" x14ac:dyDescent="0.3">
      <x:c r="B989" s="12">
        <x:v>7678615700</x:v>
      </x:c>
      <x:c r="C989" s="12">
        <x:v>7678616800</x:v>
      </x:c>
      <x:c r="D989" s="11" t="s">
        <x:v>137</x:v>
      </x:c>
      <x:c r="E989" s="11" t="s">
        <x:v>126</x:v>
      </x:c>
      <x:c r="F989" s="15"/>
      <x:c r="G989" s="15"/>
    </x:row>
    <x:row r="990" spans="1:7" x14ac:dyDescent="0.3">
      <x:c r="B990" s="12">
        <x:v>7678616900</x:v>
      </x:c>
      <x:c r="C990" s="12">
        <x:v>7678617100</x:v>
      </x:c>
      <x:c r="D990" s="11" t="s">
        <x:v>138</x:v>
      </x:c>
      <x:c r="E990" s="11" t="s">
        <x:v>126</x:v>
      </x:c>
      <x:c r="F990" s="15"/>
      <x:c r="G990" s="15"/>
    </x:row>
    <x:row r="991" spans="1:7" x14ac:dyDescent="0.3">
      <x:c r="B991" s="12">
        <x:v>7678617200</x:v>
      </x:c>
      <x:c r="C991" s="12">
        <x:v>7678618100</x:v>
      </x:c>
      <x:c r="D991" s="11" t="s">
        <x:v>137</x:v>
      </x:c>
      <x:c r="E991" s="11" t="s">
        <x:v>126</x:v>
      </x:c>
      <x:c r="F991" s="15"/>
      <x:c r="G991" s="15"/>
    </x:row>
    <x:row r="992" spans="1:7" x14ac:dyDescent="0.3">
      <x:c r="B992" s="12">
        <x:v>7678618200</x:v>
      </x:c>
      <x:c r="C992" s="12">
        <x:v>7678618300</x:v>
      </x:c>
      <x:c r="D992" s="11" t="s">
        <x:v>138</x:v>
      </x:c>
      <x:c r="E992" s="11" t="s">
        <x:v>126</x:v>
      </x:c>
      <x:c r="F992" s="15"/>
      <x:c r="G992" s="15"/>
    </x:row>
    <x:row r="993" spans="1:7" x14ac:dyDescent="0.3">
      <x:c r="B993" s="12">
        <x:v>7678618400</x:v>
      </x:c>
      <x:c r="C993" s="12">
        <x:v>7678620600</x:v>
      </x:c>
      <x:c r="D993" s="11" t="s">
        <x:v>137</x:v>
      </x:c>
      <x:c r="E993" s="11" t="s">
        <x:v>126</x:v>
      </x:c>
      <x:c r="F993" s="15"/>
      <x:c r="G993" s="15"/>
    </x:row>
    <x:row r="994" spans="1:7" x14ac:dyDescent="0.3">
      <x:c r="B994" s="12">
        <x:v>7678620700</x:v>
      </x:c>
      <x:c r="C994" s="12">
        <x:v>7678622700</x:v>
      </x:c>
      <x:c r="D994" s="11" t="s">
        <x:v>138</x:v>
      </x:c>
      <x:c r="E994" s="11" t="s">
        <x:v>126</x:v>
      </x:c>
      <x:c r="F994" s="15"/>
      <x:c r="G994" s="15"/>
    </x:row>
    <x:row r="995" spans="1:7" x14ac:dyDescent="0.3">
      <x:c r="B995" s="12">
        <x:v>7678622800</x:v>
      </x:c>
      <x:c r="C995" s="12">
        <x:v>7678622900</x:v>
      </x:c>
      <x:c r="D995" s="11" t="s">
        <x:v>137</x:v>
      </x:c>
      <x:c r="E995" s="11" t="s">
        <x:v>126</x:v>
      </x:c>
      <x:c r="F995" s="15"/>
      <x:c r="G995" s="15"/>
    </x:row>
    <x:row r="996" spans="1:7" x14ac:dyDescent="0.3">
      <x:c r="B996" s="12">
        <x:v>7678623000</x:v>
      </x:c>
      <x:c r="C996" s="12">
        <x:v>7678623100</x:v>
      </x:c>
      <x:c r="D996" s="11" t="s">
        <x:v>138</x:v>
      </x:c>
      <x:c r="E996" s="11" t="s">
        <x:v>126</x:v>
      </x:c>
      <x:c r="F996" s="15"/>
      <x:c r="G996" s="15"/>
    </x:row>
    <x:row r="997" spans="1:7" x14ac:dyDescent="0.3">
      <x:c r="B997" s="12">
        <x:v>7678623200</x:v>
      </x:c>
      <x:c r="C997" s="12">
        <x:v>7678625200</x:v>
      </x:c>
      <x:c r="D997" s="11" t="s">
        <x:v>137</x:v>
      </x:c>
      <x:c r="E997" s="11" t="s">
        <x:v>126</x:v>
      </x:c>
      <x:c r="F997" s="15"/>
      <x:c r="G997" s="15"/>
    </x:row>
    <x:row r="998" spans="1:7" x14ac:dyDescent="0.3">
      <x:c r="B998" s="12">
        <x:v>7678625300</x:v>
      </x:c>
      <x:c r="C998" s="12">
        <x:v>7678625600</x:v>
      </x:c>
      <x:c r="D998" s="11" t="s">
        <x:v>138</x:v>
      </x:c>
      <x:c r="E998" s="11" t="s">
        <x:v>126</x:v>
      </x:c>
      <x:c r="F998" s="15"/>
      <x:c r="G998" s="15"/>
    </x:row>
    <x:row r="999" spans="1:7" x14ac:dyDescent="0.3">
      <x:c r="B999" s="12">
        <x:v>7678625700</x:v>
      </x:c>
      <x:c r="C999" s="12">
        <x:v>7678634000</x:v>
      </x:c>
      <x:c r="D999" s="11" t="s">
        <x:v>137</x:v>
      </x:c>
      <x:c r="E999" s="11" t="s">
        <x:v>126</x:v>
      </x:c>
      <x:c r="F999" s="15"/>
      <x:c r="G999" s="15"/>
    </x:row>
    <x:row r="1000" spans="1:7" x14ac:dyDescent="0.3">
      <x:c r="B1000" s="12">
        <x:v>7678634100</x:v>
      </x:c>
      <x:c r="C1000" s="12">
        <x:v>7678635800</x:v>
      </x:c>
      <x:c r="D1000" s="11" t="s">
        <x:v>138</x:v>
      </x:c>
      <x:c r="E1000" s="11" t="s">
        <x:v>126</x:v>
      </x:c>
      <x:c r="F1000" s="15"/>
      <x:c r="G1000" s="15"/>
    </x:row>
    <x:row r="1001" spans="1:7" x14ac:dyDescent="0.3">
      <x:c r="B1001" s="12">
        <x:v>7678635900</x:v>
      </x:c>
      <x:c r="C1001" s="12">
        <x:v>7678636800</x:v>
      </x:c>
      <x:c r="D1001" s="11" t="s">
        <x:v>137</x:v>
      </x:c>
      <x:c r="E1001" s="11" t="s">
        <x:v>126</x:v>
      </x:c>
      <x:c r="F1001" s="15"/>
      <x:c r="G1001" s="15"/>
    </x:row>
    <x:row r="1002" spans="1:7" x14ac:dyDescent="0.3">
      <x:c r="B1002" s="12">
        <x:v>7678636900</x:v>
      </x:c>
      <x:c r="C1002" s="12">
        <x:v>7678637100</x:v>
      </x:c>
      <x:c r="D1002" s="11" t="s">
        <x:v>138</x:v>
      </x:c>
      <x:c r="E1002" s="11" t="s">
        <x:v>126</x:v>
      </x:c>
      <x:c r="F1002" s="15"/>
      <x:c r="G1002" s="15"/>
    </x:row>
    <x:row r="1003" spans="1:7" x14ac:dyDescent="0.3">
      <x:c r="B1003" s="12">
        <x:v>7678637200</x:v>
      </x:c>
      <x:c r="C1003" s="12">
        <x:v>7678642200</x:v>
      </x:c>
      <x:c r="D1003" s="11" t="s">
        <x:v>137</x:v>
      </x:c>
      <x:c r="E1003" s="11" t="s">
        <x:v>126</x:v>
      </x:c>
      <x:c r="F1003" s="15"/>
      <x:c r="G1003" s="15"/>
    </x:row>
    <x:row r="1004" spans="1:7" x14ac:dyDescent="0.3">
      <x:c r="B1004" s="12">
        <x:v>7678642300</x:v>
      </x:c>
      <x:c r="C1004" s="12">
        <x:v>7678642300</x:v>
      </x:c>
      <x:c r="D1004" s="11" t="s">
        <x:v>138</x:v>
      </x:c>
      <x:c r="E1004" s="11" t="s">
        <x:v>126</x:v>
      </x:c>
      <x:c r="F1004" s="15"/>
      <x:c r="G1004" s="15"/>
    </x:row>
    <x:row r="1005" spans="1:7" x14ac:dyDescent="0.3">
      <x:c r="B1005" s="12">
        <x:v>7678642400</x:v>
      </x:c>
      <x:c r="C1005" s="12">
        <x:v>7678642800</x:v>
      </x:c>
      <x:c r="D1005" s="11" t="s">
        <x:v>137</x:v>
      </x:c>
      <x:c r="E1005" s="11" t="s">
        <x:v>126</x:v>
      </x:c>
      <x:c r="F1005" s="15"/>
      <x:c r="G1005" s="15"/>
    </x:row>
    <x:row r="1006" spans="1:7" x14ac:dyDescent="0.3">
      <x:c r="B1006" s="12">
        <x:v>7678642900</x:v>
      </x:c>
      <x:c r="C1006" s="12">
        <x:v>7678644000</x:v>
      </x:c>
      <x:c r="D1006" s="11" t="s">
        <x:v>138</x:v>
      </x:c>
      <x:c r="E1006" s="11" t="s">
        <x:v>126</x:v>
      </x:c>
      <x:c r="F1006" s="15"/>
      <x:c r="G1006" s="15"/>
    </x:row>
    <x:row r="1007" spans="1:7" x14ac:dyDescent="0.3">
      <x:c r="B1007" s="12">
        <x:v>7678644100</x:v>
      </x:c>
      <x:c r="C1007" s="12">
        <x:v>7678645300</x:v>
      </x:c>
      <x:c r="D1007" s="11" t="s">
        <x:v>137</x:v>
      </x:c>
      <x:c r="E1007" s="11" t="s">
        <x:v>126</x:v>
      </x:c>
      <x:c r="F1007" s="15"/>
      <x:c r="G1007" s="15"/>
    </x:row>
    <x:row r="1008" spans="1:7" x14ac:dyDescent="0.3">
      <x:c r="B1008" s="12">
        <x:v>7678645400</x:v>
      </x:c>
      <x:c r="C1008" s="12">
        <x:v>7678646500</x:v>
      </x:c>
      <x:c r="D1008" s="11" t="s">
        <x:v>138</x:v>
      </x:c>
      <x:c r="E1008" s="11" t="s">
        <x:v>126</x:v>
      </x:c>
      <x:c r="F1008" s="15"/>
      <x:c r="G1008" s="15"/>
    </x:row>
    <x:row r="1009" spans="1:7" x14ac:dyDescent="0.3">
      <x:c r="B1009" s="12">
        <x:v>7678646600</x:v>
      </x:c>
      <x:c r="C1009" s="12">
        <x:v>7678649600</x:v>
      </x:c>
      <x:c r="D1009" s="11" t="s">
        <x:v>137</x:v>
      </x:c>
      <x:c r="E1009" s="11" t="s">
        <x:v>126</x:v>
      </x:c>
      <x:c r="F1009" s="15"/>
      <x:c r="G1009" s="15"/>
    </x:row>
    <x:row r="1010" spans="1:7" x14ac:dyDescent="0.3">
      <x:c r="B1010" s="12">
        <x:v>7678649700</x:v>
      </x:c>
      <x:c r="C1010" s="12">
        <x:v>7678649700</x:v>
      </x:c>
      <x:c r="D1010" s="11" t="s">
        <x:v>138</x:v>
      </x:c>
      <x:c r="E1010" s="11" t="s">
        <x:v>126</x:v>
      </x:c>
      <x:c r="F1010" s="15"/>
      <x:c r="G1010" s="15"/>
    </x:row>
    <x:row r="1011" spans="1:7" x14ac:dyDescent="0.3">
      <x:c r="B1011" s="12">
        <x:v>7678649800</x:v>
      </x:c>
      <x:c r="C1011" s="12">
        <x:v>7678654000</x:v>
      </x:c>
      <x:c r="D1011" s="11" t="s">
        <x:v>137</x:v>
      </x:c>
      <x:c r="E1011" s="11" t="s">
        <x:v>126</x:v>
      </x:c>
      <x:c r="F1011" s="15"/>
      <x:c r="G1011" s="15"/>
    </x:row>
    <x:row r="1012" spans="1:7" x14ac:dyDescent="0.3">
      <x:c r="B1012" s="12">
        <x:v>7678654100</x:v>
      </x:c>
      <x:c r="C1012" s="12">
        <x:v>7678654500</x:v>
      </x:c>
      <x:c r="D1012" s="11" t="s">
        <x:v>138</x:v>
      </x:c>
      <x:c r="E1012" s="11" t="s">
        <x:v>126</x:v>
      </x:c>
      <x:c r="F1012" s="15"/>
      <x:c r="G1012" s="15"/>
    </x:row>
    <x:row r="1013" spans="1:7" x14ac:dyDescent="0.3">
      <x:c r="B1013" s="12">
        <x:v>7678654600</x:v>
      </x:c>
      <x:c r="C1013" s="12">
        <x:v>7678655600</x:v>
      </x:c>
      <x:c r="D1013" s="11" t="s">
        <x:v>137</x:v>
      </x:c>
      <x:c r="E1013" s="11" t="s">
        <x:v>126</x:v>
      </x:c>
      <x:c r="F1013" s="15"/>
      <x:c r="G1013" s="15"/>
    </x:row>
    <x:row r="1014" spans="1:7" x14ac:dyDescent="0.3">
      <x:c r="B1014" s="12">
        <x:v>7678655700</x:v>
      </x:c>
      <x:c r="C1014" s="12">
        <x:v>7678656600</x:v>
      </x:c>
      <x:c r="D1014" s="11" t="s">
        <x:v>138</x:v>
      </x:c>
      <x:c r="E1014" s="11" t="s">
        <x:v>126</x:v>
      </x:c>
      <x:c r="F1014" s="15"/>
      <x:c r="G1014" s="15"/>
    </x:row>
    <x:row r="1015" spans="1:7" x14ac:dyDescent="0.3">
      <x:c r="B1015" s="12">
        <x:v>7678656700</x:v>
      </x:c>
      <x:c r="C1015" s="12">
        <x:v>7678657700</x:v>
      </x:c>
      <x:c r="D1015" s="11" t="s">
        <x:v>137</x:v>
      </x:c>
      <x:c r="E1015" s="11" t="s">
        <x:v>126</x:v>
      </x:c>
      <x:c r="F1015" s="15"/>
      <x:c r="G1015" s="15"/>
    </x:row>
    <x:row r="1016" spans="1:7" x14ac:dyDescent="0.3">
      <x:c r="B1016" s="12">
        <x:v>7678657800</x:v>
      </x:c>
      <x:c r="C1016" s="12">
        <x:v>7678658400</x:v>
      </x:c>
      <x:c r="D1016" s="11" t="s">
        <x:v>138</x:v>
      </x:c>
      <x:c r="E1016" s="11" t="s">
        <x:v>126</x:v>
      </x:c>
      <x:c r="F1016" s="15"/>
      <x:c r="G1016" s="15"/>
    </x:row>
    <x:row r="1017" spans="1:7" x14ac:dyDescent="0.3">
      <x:c r="B1017" s="12">
        <x:v>7678658500</x:v>
      </x:c>
      <x:c r="C1017" s="12">
        <x:v>7678665000</x:v>
      </x:c>
      <x:c r="D1017" s="11" t="s">
        <x:v>137</x:v>
      </x:c>
      <x:c r="E1017" s="11" t="s">
        <x:v>126</x:v>
      </x:c>
      <x:c r="F1017" s="15"/>
      <x:c r="G1017" s="15"/>
    </x:row>
    <x:row r="1018" spans="1:7" x14ac:dyDescent="0.3">
      <x:c r="B1018" s="12">
        <x:v>7678665100</x:v>
      </x:c>
      <x:c r="C1018" s="12">
        <x:v>7678667100</x:v>
      </x:c>
      <x:c r="D1018" s="11" t="s">
        <x:v>138</x:v>
      </x:c>
      <x:c r="E1018" s="11" t="s">
        <x:v>126</x:v>
      </x:c>
      <x:c r="F1018" s="15"/>
      <x:c r="G1018" s="15"/>
    </x:row>
    <x:row r="1019" spans="1:7" x14ac:dyDescent="0.3">
      <x:c r="B1019" s="12">
        <x:v>7678667200</x:v>
      </x:c>
      <x:c r="C1019" s="12">
        <x:v>7678671600</x:v>
      </x:c>
      <x:c r="D1019" s="11" t="s">
        <x:v>137</x:v>
      </x:c>
      <x:c r="E1019" s="11" t="s">
        <x:v>126</x:v>
      </x:c>
      <x:c r="F1019" s="15"/>
      <x:c r="G1019" s="15"/>
    </x:row>
    <x:row r="1020" spans="1:7" x14ac:dyDescent="0.3">
      <x:c r="B1020" s="12">
        <x:v>7678671700</x:v>
      </x:c>
      <x:c r="C1020" s="12">
        <x:v>7678671700</x:v>
      </x:c>
      <x:c r="D1020" s="11" t="s">
        <x:v>138</x:v>
      </x:c>
      <x:c r="E1020" s="11" t="s">
        <x:v>126</x:v>
      </x:c>
      <x:c r="F1020" s="15"/>
      <x:c r="G1020" s="15"/>
    </x:row>
    <x:row r="1021" spans="1:7" x14ac:dyDescent="0.3">
      <x:c r="B1021" s="12">
        <x:v>7678671800</x:v>
      </x:c>
      <x:c r="C1021" s="12">
        <x:v>7678678400</x:v>
      </x:c>
      <x:c r="D1021" s="11" t="s">
        <x:v>137</x:v>
      </x:c>
      <x:c r="E1021" s="11" t="s">
        <x:v>126</x:v>
      </x:c>
      <x:c r="F1021" s="15"/>
      <x:c r="G1021" s="15"/>
    </x:row>
    <x:row r="1022" spans="1:7" x14ac:dyDescent="0.3">
      <x:c r="B1022" s="12">
        <x:v>7678678500</x:v>
      </x:c>
      <x:c r="C1022" s="12">
        <x:v>7678678500</x:v>
      </x:c>
      <x:c r="D1022" s="11" t="s">
        <x:v>138</x:v>
      </x:c>
      <x:c r="E1022" s="11" t="s">
        <x:v>126</x:v>
      </x:c>
      <x:c r="F1022" s="15"/>
      <x:c r="G1022" s="15"/>
    </x:row>
    <x:row r="1023" spans="1:7" x14ac:dyDescent="0.3">
      <x:c r="B1023" s="12">
        <x:v>7678678600</x:v>
      </x:c>
      <x:c r="C1023" s="12">
        <x:v>7678679900</x:v>
      </x:c>
      <x:c r="D1023" s="11" t="s">
        <x:v>137</x:v>
      </x:c>
      <x:c r="E1023" s="11" t="s">
        <x:v>126</x:v>
      </x:c>
      <x:c r="F1023" s="15"/>
      <x:c r="G1023" s="15"/>
    </x:row>
    <x:row r="1024" spans="1:7" x14ac:dyDescent="0.3">
      <x:c r="B1024" s="12">
        <x:v>7678680000</x:v>
      </x:c>
      <x:c r="C1024" s="12">
        <x:v>7678680200</x:v>
      </x:c>
      <x:c r="D1024" s="11" t="s">
        <x:v>138</x:v>
      </x:c>
      <x:c r="E1024" s="11" t="s">
        <x:v>126</x:v>
      </x:c>
      <x:c r="F1024" s="15"/>
      <x:c r="G1024" s="15"/>
    </x:row>
    <x:row r="1025" spans="1:7" x14ac:dyDescent="0.3">
      <x:c r="B1025" s="12">
        <x:v>7678680300</x:v>
      </x:c>
      <x:c r="C1025" s="12">
        <x:v>7678692600</x:v>
      </x:c>
      <x:c r="D1025" s="11" t="s">
        <x:v>137</x:v>
      </x:c>
      <x:c r="E1025" s="11" t="s">
        <x:v>126</x:v>
      </x:c>
      <x:c r="F1025" s="15"/>
      <x:c r="G1025" s="15"/>
    </x:row>
    <x:row r="1026" spans="1:7" x14ac:dyDescent="0.3">
      <x:c r="B1026" s="12">
        <x:v>7678692700</x:v>
      </x:c>
      <x:c r="C1026" s="12">
        <x:v>7678693500</x:v>
      </x:c>
      <x:c r="D1026" s="11" t="s">
        <x:v>138</x:v>
      </x:c>
      <x:c r="E1026" s="11" t="s">
        <x:v>126</x:v>
      </x:c>
      <x:c r="F1026" s="15"/>
      <x:c r="G1026" s="15"/>
    </x:row>
    <x:row r="1027" spans="1:7" x14ac:dyDescent="0.3">
      <x:c r="B1027" s="12">
        <x:v>7678693600</x:v>
      </x:c>
      <x:c r="C1027" s="12">
        <x:v>7678696700</x:v>
      </x:c>
      <x:c r="D1027" s="11" t="s">
        <x:v>137</x:v>
      </x:c>
      <x:c r="E1027" s="11" t="s">
        <x:v>126</x:v>
      </x:c>
      <x:c r="F1027" s="15"/>
      <x:c r="G1027" s="15"/>
    </x:row>
    <x:row r="1028" spans="1:7" x14ac:dyDescent="0.3">
      <x:c r="B1028" s="12">
        <x:v>7678696800</x:v>
      </x:c>
      <x:c r="C1028" s="12">
        <x:v>7678697300</x:v>
      </x:c>
      <x:c r="D1028" s="11" t="s">
        <x:v>138</x:v>
      </x:c>
      <x:c r="E1028" s="11" t="s">
        <x:v>126</x:v>
      </x:c>
      <x:c r="F1028" s="15"/>
      <x:c r="G1028" s="15"/>
    </x:row>
    <x:row r="1029" spans="1:7" x14ac:dyDescent="0.3">
      <x:c r="B1029" s="12">
        <x:v>7678697400</x:v>
      </x:c>
      <x:c r="C1029" s="12">
        <x:v>7678701500</x:v>
      </x:c>
      <x:c r="D1029" s="11" t="s">
        <x:v>137</x:v>
      </x:c>
      <x:c r="E1029" s="11" t="s">
        <x:v>126</x:v>
      </x:c>
      <x:c r="F1029" s="15"/>
      <x:c r="G1029" s="15"/>
    </x:row>
    <x:row r="1030" spans="1:7" x14ac:dyDescent="0.3">
      <x:c r="B1030" s="12">
        <x:v>7678701600</x:v>
      </x:c>
      <x:c r="C1030" s="12">
        <x:v>7678702300</x:v>
      </x:c>
      <x:c r="D1030" s="11" t="s">
        <x:v>138</x:v>
      </x:c>
      <x:c r="E1030" s="11" t="s">
        <x:v>126</x:v>
      </x:c>
      <x:c r="F1030" s="15"/>
      <x:c r="G1030" s="15"/>
    </x:row>
    <x:row r="1031" spans="1:7" x14ac:dyDescent="0.3">
      <x:c r="B1031" s="12">
        <x:v>7678702400</x:v>
      </x:c>
      <x:c r="C1031" s="12">
        <x:v>7678702900</x:v>
      </x:c>
      <x:c r="D1031" s="11" t="s">
        <x:v>137</x:v>
      </x:c>
      <x:c r="E1031" s="11" t="s">
        <x:v>126</x:v>
      </x:c>
      <x:c r="F1031" s="15"/>
      <x:c r="G1031" s="15"/>
    </x:row>
    <x:row r="1032" spans="1:7" x14ac:dyDescent="0.3">
      <x:c r="B1032" s="12">
        <x:v>7678703000</x:v>
      </x:c>
      <x:c r="C1032" s="12">
        <x:v>7678703000</x:v>
      </x:c>
      <x:c r="D1032" s="11" t="s">
        <x:v>138</x:v>
      </x:c>
      <x:c r="E1032" s="11" t="s">
        <x:v>126</x:v>
      </x:c>
      <x:c r="F1032" s="15"/>
      <x:c r="G1032" s="15"/>
    </x:row>
    <x:row r="1033" spans="1:7" x14ac:dyDescent="0.3">
      <x:c r="B1033" s="12">
        <x:v>7678703100</x:v>
      </x:c>
      <x:c r="C1033" s="12">
        <x:v>7678704500</x:v>
      </x:c>
      <x:c r="D1033" s="11" t="s">
        <x:v>137</x:v>
      </x:c>
      <x:c r="E1033" s="11" t="s">
        <x:v>126</x:v>
      </x:c>
      <x:c r="F1033" s="15"/>
      <x:c r="G1033" s="15"/>
    </x:row>
    <x:row r="1034" spans="1:7" x14ac:dyDescent="0.3">
      <x:c r="B1034" s="12">
        <x:v>7678704600</x:v>
      </x:c>
      <x:c r="C1034" s="12">
        <x:v>7678704900</x:v>
      </x:c>
      <x:c r="D1034" s="11" t="s">
        <x:v>138</x:v>
      </x:c>
      <x:c r="E1034" s="11" t="s">
        <x:v>126</x:v>
      </x:c>
      <x:c r="F1034" s="15"/>
      <x:c r="G1034" s="15"/>
    </x:row>
    <x:row r="1035" spans="1:7" x14ac:dyDescent="0.3">
      <x:c r="B1035" s="12">
        <x:v>7678705000</x:v>
      </x:c>
      <x:c r="C1035" s="12">
        <x:v>7678710400</x:v>
      </x:c>
      <x:c r="D1035" s="11" t="s">
        <x:v>137</x:v>
      </x:c>
      <x:c r="E1035" s="11" t="s">
        <x:v>126</x:v>
      </x:c>
      <x:c r="F1035" s="15"/>
      <x:c r="G1035" s="15"/>
    </x:row>
    <x:row r="1036" spans="1:7" x14ac:dyDescent="0.3">
      <x:c r="B1036" s="12">
        <x:v>7678710500</x:v>
      </x:c>
      <x:c r="C1036" s="12">
        <x:v>7678711400</x:v>
      </x:c>
      <x:c r="D1036" s="11" t="s">
        <x:v>138</x:v>
      </x:c>
      <x:c r="E1036" s="11" t="s">
        <x:v>126</x:v>
      </x:c>
      <x:c r="F1036" s="15"/>
      <x:c r="G1036" s="15"/>
    </x:row>
    <x:row r="1037" spans="1:7" x14ac:dyDescent="0.3">
      <x:c r="B1037" s="12">
        <x:v>7678711500</x:v>
      </x:c>
      <x:c r="C1037" s="12">
        <x:v>7678722200</x:v>
      </x:c>
      <x:c r="D1037" s="11" t="s">
        <x:v>137</x:v>
      </x:c>
      <x:c r="E1037" s="11" t="s">
        <x:v>126</x:v>
      </x:c>
      <x:c r="F1037" s="15"/>
      <x:c r="G1037" s="15"/>
    </x:row>
    <x:row r="1038" spans="1:7" x14ac:dyDescent="0.3">
      <x:c r="B1038" s="12">
        <x:v>7678722300</x:v>
      </x:c>
      <x:c r="C1038" s="12">
        <x:v>7678727300</x:v>
      </x:c>
      <x:c r="D1038" s="11" t="s">
        <x:v>138</x:v>
      </x:c>
      <x:c r="E1038" s="11" t="s">
        <x:v>126</x:v>
      </x:c>
      <x:c r="F1038" s="15"/>
      <x:c r="G1038" s="15"/>
    </x:row>
    <x:row r="1039" spans="1:7" x14ac:dyDescent="0.3">
      <x:c r="B1039" s="12">
        <x:v>7678727400</x:v>
      </x:c>
      <x:c r="C1039" s="12">
        <x:v>7678728500</x:v>
      </x:c>
      <x:c r="D1039" s="11" t="s">
        <x:v>137</x:v>
      </x:c>
      <x:c r="E1039" s="11" t="s">
        <x:v>126</x:v>
      </x:c>
      <x:c r="F1039" s="15"/>
      <x:c r="G1039" s="15"/>
    </x:row>
    <x:row r="1040" spans="1:7" x14ac:dyDescent="0.3">
      <x:c r="B1040" s="12">
        <x:v>7678728600</x:v>
      </x:c>
      <x:c r="C1040" s="12">
        <x:v>7678728700</x:v>
      </x:c>
      <x:c r="D1040" s="11" t="s">
        <x:v>138</x:v>
      </x:c>
      <x:c r="E1040" s="11" t="s">
        <x:v>126</x:v>
      </x:c>
      <x:c r="F1040" s="15"/>
      <x:c r="G1040" s="15"/>
    </x:row>
    <x:row r="1041" spans="1:7" x14ac:dyDescent="0.3">
      <x:c r="B1041" s="12">
        <x:v>7678728800</x:v>
      </x:c>
      <x:c r="C1041" s="12">
        <x:v>7678737700</x:v>
      </x:c>
      <x:c r="D1041" s="11" t="s">
        <x:v>137</x:v>
      </x:c>
      <x:c r="E1041" s="11" t="s">
        <x:v>126</x:v>
      </x:c>
      <x:c r="F1041" s="15"/>
      <x:c r="G1041" s="15"/>
    </x:row>
    <x:row r="1042" spans="1:7" x14ac:dyDescent="0.3">
      <x:c r="B1042" s="12">
        <x:v>7678737800</x:v>
      </x:c>
      <x:c r="C1042" s="12">
        <x:v>7678738100</x:v>
      </x:c>
      <x:c r="D1042" s="11" t="s">
        <x:v>138</x:v>
      </x:c>
      <x:c r="E1042" s="11" t="s">
        <x:v>126</x:v>
      </x:c>
      <x:c r="F1042" s="15"/>
      <x:c r="G1042" s="15"/>
    </x:row>
    <x:row r="1043" spans="1:7" x14ac:dyDescent="0.3">
      <x:c r="B1043" s="12">
        <x:v>7678738200</x:v>
      </x:c>
      <x:c r="C1043" s="12">
        <x:v>7678739300</x:v>
      </x:c>
      <x:c r="D1043" s="11" t="s">
        <x:v>137</x:v>
      </x:c>
      <x:c r="E1043" s="11" t="s">
        <x:v>126</x:v>
      </x:c>
      <x:c r="F1043" s="15"/>
      <x:c r="G1043" s="15"/>
    </x:row>
    <x:row r="1044" spans="1:7" x14ac:dyDescent="0.3">
      <x:c r="B1044" s="12">
        <x:v>7678739400</x:v>
      </x:c>
      <x:c r="C1044" s="12">
        <x:v>7678739800</x:v>
      </x:c>
      <x:c r="D1044" s="11" t="s">
        <x:v>138</x:v>
      </x:c>
      <x:c r="E1044" s="11" t="s">
        <x:v>126</x:v>
      </x:c>
      <x:c r="F1044" s="15"/>
      <x:c r="G1044" s="15"/>
    </x:row>
    <x:row r="1045" spans="1:7" x14ac:dyDescent="0.3">
      <x:c r="B1045" s="12">
        <x:v>7678739900</x:v>
      </x:c>
      <x:c r="C1045" s="12">
        <x:v>7678741900</x:v>
      </x:c>
      <x:c r="D1045" s="11" t="s">
        <x:v>137</x:v>
      </x:c>
      <x:c r="E1045" s="11" t="s">
        <x:v>126</x:v>
      </x:c>
      <x:c r="F1045" s="15"/>
      <x:c r="G1045" s="15"/>
    </x:row>
    <x:row r="1046" spans="1:7" x14ac:dyDescent="0.3">
      <x:c r="B1046" s="12">
        <x:v>7678742000</x:v>
      </x:c>
      <x:c r="C1046" s="12">
        <x:v>7678742900</x:v>
      </x:c>
      <x:c r="D1046" s="11" t="s">
        <x:v>138</x:v>
      </x:c>
      <x:c r="E1046" s="11" t="s">
        <x:v>126</x:v>
      </x:c>
      <x:c r="F1046" s="15"/>
      <x:c r="G1046" s="15"/>
    </x:row>
    <x:row r="1047" spans="1:7" x14ac:dyDescent="0.3">
      <x:c r="B1047" s="12">
        <x:v>7678743000</x:v>
      </x:c>
      <x:c r="C1047" s="12">
        <x:v>7678746400</x:v>
      </x:c>
      <x:c r="D1047" s="11" t="s">
        <x:v>137</x:v>
      </x:c>
      <x:c r="E1047" s="11" t="s">
        <x:v>126</x:v>
      </x:c>
      <x:c r="F1047" s="15"/>
      <x:c r="G1047" s="15"/>
    </x:row>
    <x:row r="1048" spans="1:7" x14ac:dyDescent="0.3">
      <x:c r="B1048" s="12">
        <x:v>7678746500</x:v>
      </x:c>
      <x:c r="C1048" s="12">
        <x:v>7678747100</x:v>
      </x:c>
      <x:c r="D1048" s="11" t="s">
        <x:v>138</x:v>
      </x:c>
      <x:c r="E1048" s="11" t="s">
        <x:v>126</x:v>
      </x:c>
      <x:c r="F1048" s="15"/>
      <x:c r="G1048" s="15"/>
    </x:row>
    <x:row r="1049" spans="1:7" x14ac:dyDescent="0.3">
      <x:c r="B1049" s="12">
        <x:v>7678747200</x:v>
      </x:c>
      <x:c r="C1049" s="12">
        <x:v>7678750800</x:v>
      </x:c>
      <x:c r="D1049" s="11" t="s">
        <x:v>137</x:v>
      </x:c>
      <x:c r="E1049" s="11" t="s">
        <x:v>126</x:v>
      </x:c>
      <x:c r="F1049" s="15"/>
      <x:c r="G1049" s="15"/>
    </x:row>
    <x:row r="1050" spans="1:7" x14ac:dyDescent="0.3">
      <x:c r="B1050" s="12">
        <x:v>7678750900</x:v>
      </x:c>
      <x:c r="C1050" s="12">
        <x:v>7678751300</x:v>
      </x:c>
      <x:c r="D1050" s="11" t="s">
        <x:v>138</x:v>
      </x:c>
      <x:c r="E1050" s="11" t="s">
        <x:v>126</x:v>
      </x:c>
      <x:c r="F1050" s="15"/>
      <x:c r="G1050" s="15"/>
    </x:row>
    <x:row r="1051" spans="1:7" x14ac:dyDescent="0.3">
      <x:c r="B1051" s="12">
        <x:v>7678751400</x:v>
      </x:c>
      <x:c r="C1051" s="12">
        <x:v>7678751600</x:v>
      </x:c>
      <x:c r="D1051" s="11" t="s">
        <x:v>137</x:v>
      </x:c>
      <x:c r="E1051" s="11" t="s">
        <x:v>126</x:v>
      </x:c>
      <x:c r="F1051" s="15"/>
      <x:c r="G1051" s="15"/>
    </x:row>
    <x:row r="1052" spans="1:7" x14ac:dyDescent="0.3">
      <x:c r="B1052" s="12">
        <x:v>7678751700</x:v>
      </x:c>
      <x:c r="C1052" s="12">
        <x:v>7678753200</x:v>
      </x:c>
      <x:c r="D1052" s="11" t="s">
        <x:v>138</x:v>
      </x:c>
      <x:c r="E1052" s="11" t="s">
        <x:v>126</x:v>
      </x:c>
      <x:c r="F1052" s="15"/>
      <x:c r="G1052" s="15"/>
    </x:row>
    <x:row r="1053" spans="1:7" x14ac:dyDescent="0.3">
      <x:c r="B1053" s="12">
        <x:v>7678753300</x:v>
      </x:c>
      <x:c r="C1053" s="12">
        <x:v>7678758100</x:v>
      </x:c>
      <x:c r="D1053" s="11" t="s">
        <x:v>137</x:v>
      </x:c>
      <x:c r="E1053" s="11" t="s">
        <x:v>126</x:v>
      </x:c>
      <x:c r="F1053" s="15"/>
      <x:c r="G1053" s="15"/>
    </x:row>
    <x:row r="1054" spans="1:7" x14ac:dyDescent="0.3">
      <x:c r="B1054" s="12">
        <x:v>7678758200</x:v>
      </x:c>
      <x:c r="C1054" s="12">
        <x:v>7678758400</x:v>
      </x:c>
      <x:c r="D1054" s="11" t="s">
        <x:v>138</x:v>
      </x:c>
      <x:c r="E1054" s="11" t="s">
        <x:v>126</x:v>
      </x:c>
      <x:c r="F1054" s="15"/>
      <x:c r="G1054" s="15"/>
    </x:row>
    <x:row r="1055" spans="1:7" x14ac:dyDescent="0.3">
      <x:c r="B1055" s="12">
        <x:v>7678758500</x:v>
      </x:c>
      <x:c r="C1055" s="12">
        <x:v>7678762000</x:v>
      </x:c>
      <x:c r="D1055" s="11" t="s">
        <x:v>137</x:v>
      </x:c>
      <x:c r="E1055" s="11" t="s">
        <x:v>126</x:v>
      </x:c>
      <x:c r="F1055" s="15"/>
      <x:c r="G1055" s="15"/>
    </x:row>
    <x:row r="1056" spans="1:7" x14ac:dyDescent="0.3">
      <x:c r="B1056" s="12">
        <x:v>7678762100</x:v>
      </x:c>
      <x:c r="C1056" s="12">
        <x:v>7678764000</x:v>
      </x:c>
      <x:c r="D1056" s="11" t="s">
        <x:v>138</x:v>
      </x:c>
      <x:c r="E1056" s="11" t="s">
        <x:v>126</x:v>
      </x:c>
      <x:c r="F1056" s="15"/>
      <x:c r="G1056" s="15"/>
    </x:row>
    <x:row r="1057" spans="1:7" x14ac:dyDescent="0.3">
      <x:c r="B1057" s="12">
        <x:v>7678764100</x:v>
      </x:c>
      <x:c r="C1057" s="12">
        <x:v>7678789600</x:v>
      </x:c>
      <x:c r="D1057" s="11" t="s">
        <x:v>137</x:v>
      </x:c>
      <x:c r="E1057" s="11" t="s">
        <x:v>126</x:v>
      </x:c>
      <x:c r="F1057" s="15"/>
      <x:c r="G1057" s="15"/>
    </x:row>
    <x:row r="1058" spans="1:7" x14ac:dyDescent="0.3">
      <x:c r="B1058" s="12">
        <x:v>7678789700</x:v>
      </x:c>
      <x:c r="C1058" s="12">
        <x:v>7678789800</x:v>
      </x:c>
      <x:c r="D1058" s="11" t="s">
        <x:v>138</x:v>
      </x:c>
      <x:c r="E1058" s="11" t="s">
        <x:v>126</x:v>
      </x:c>
      <x:c r="F1058" s="15"/>
      <x:c r="G1058" s="15"/>
    </x:row>
    <x:row r="1059" spans="1:7" x14ac:dyDescent="0.3">
      <x:c r="B1059" s="12">
        <x:v>7678789900</x:v>
      </x:c>
      <x:c r="C1059" s="12">
        <x:v>7678791500</x:v>
      </x:c>
      <x:c r="D1059" s="11" t="s">
        <x:v>137</x:v>
      </x:c>
      <x:c r="E1059" s="11" t="s">
        <x:v>126</x:v>
      </x:c>
      <x:c r="F1059" s="15"/>
      <x:c r="G1059" s="15"/>
    </x:row>
    <x:row r="1060" spans="1:7" x14ac:dyDescent="0.3">
      <x:c r="B1060" s="12">
        <x:v>7678791600</x:v>
      </x:c>
      <x:c r="C1060" s="12">
        <x:v>7678792400</x:v>
      </x:c>
      <x:c r="D1060" s="11" t="s">
        <x:v>138</x:v>
      </x:c>
      <x:c r="E1060" s="11" t="s">
        <x:v>126</x:v>
      </x:c>
      <x:c r="F1060" s="15"/>
      <x:c r="G1060" s="15"/>
    </x:row>
    <x:row r="1061" spans="1:7" x14ac:dyDescent="0.3">
      <x:c r="B1061" s="12">
        <x:v>7678792500</x:v>
      </x:c>
      <x:c r="C1061" s="12">
        <x:v>7678792900</x:v>
      </x:c>
      <x:c r="D1061" s="11" t="s">
        <x:v>137</x:v>
      </x:c>
      <x:c r="E1061" s="11" t="s">
        <x:v>126</x:v>
      </x:c>
      <x:c r="F1061" s="15"/>
      <x:c r="G1061" s="15"/>
    </x:row>
    <x:row r="1062" spans="1:7" x14ac:dyDescent="0.3">
      <x:c r="B1062" s="12">
        <x:v>7678793000</x:v>
      </x:c>
      <x:c r="C1062" s="12">
        <x:v>7678793400</x:v>
      </x:c>
      <x:c r="D1062" s="11" t="s">
        <x:v>138</x:v>
      </x:c>
      <x:c r="E1062" s="11" t="s">
        <x:v>126</x:v>
      </x:c>
      <x:c r="F1062" s="15"/>
      <x:c r="G1062" s="15"/>
    </x:row>
    <x:row r="1063" spans="1:7" x14ac:dyDescent="0.3">
      <x:c r="B1063" s="12">
        <x:v>7678793500</x:v>
      </x:c>
      <x:c r="C1063" s="12">
        <x:v>7678797200</x:v>
      </x:c>
      <x:c r="D1063" s="11" t="s">
        <x:v>137</x:v>
      </x:c>
      <x:c r="E1063" s="11" t="s">
        <x:v>126</x:v>
      </x:c>
      <x:c r="F1063" s="15"/>
      <x:c r="G1063" s="15"/>
    </x:row>
    <x:row r="1064" spans="1:7" x14ac:dyDescent="0.3">
      <x:c r="B1064" s="12">
        <x:v>7678797300</x:v>
      </x:c>
      <x:c r="C1064" s="12">
        <x:v>7678798100</x:v>
      </x:c>
      <x:c r="D1064" s="11" t="s">
        <x:v>138</x:v>
      </x:c>
      <x:c r="E1064" s="11" t="s">
        <x:v>126</x:v>
      </x:c>
      <x:c r="F1064" s="15"/>
      <x:c r="G1064" s="15"/>
    </x:row>
    <x:row r="1065" spans="1:7" x14ac:dyDescent="0.3">
      <x:c r="B1065" s="12">
        <x:v>7678798200</x:v>
      </x:c>
      <x:c r="C1065" s="12">
        <x:v>7678802100</x:v>
      </x:c>
      <x:c r="D1065" s="11" t="s">
        <x:v>137</x:v>
      </x:c>
      <x:c r="E1065" s="11" t="s">
        <x:v>126</x:v>
      </x:c>
      <x:c r="F1065" s="15"/>
      <x:c r="G1065" s="15"/>
    </x:row>
    <x:row r="1066" spans="1:7" x14ac:dyDescent="0.3">
      <x:c r="B1066" s="12">
        <x:v>7678802200</x:v>
      </x:c>
      <x:c r="C1066" s="12">
        <x:v>7678802200</x:v>
      </x:c>
      <x:c r="D1066" s="11" t="s">
        <x:v>138</x:v>
      </x:c>
      <x:c r="E1066" s="11" t="s">
        <x:v>126</x:v>
      </x:c>
      <x:c r="F1066" s="15"/>
      <x:c r="G1066" s="15"/>
    </x:row>
    <x:row r="1067" spans="1:7" x14ac:dyDescent="0.3">
      <x:c r="B1067" s="12">
        <x:v>7678802300</x:v>
      </x:c>
      <x:c r="C1067" s="12">
        <x:v>7678802900</x:v>
      </x:c>
      <x:c r="D1067" s="11" t="s">
        <x:v>137</x:v>
      </x:c>
      <x:c r="E1067" s="11" t="s">
        <x:v>126</x:v>
      </x:c>
      <x:c r="F1067" s="15"/>
      <x:c r="G1067" s="15"/>
    </x:row>
    <x:row r="1068" spans="1:7" x14ac:dyDescent="0.3">
      <x:c r="B1068" s="12">
        <x:v>7678803000</x:v>
      </x:c>
      <x:c r="C1068" s="12">
        <x:v>7678804900</x:v>
      </x:c>
      <x:c r="D1068" s="11" t="s">
        <x:v>138</x:v>
      </x:c>
      <x:c r="E1068" s="11" t="s">
        <x:v>126</x:v>
      </x:c>
      <x:c r="F1068" s="15"/>
      <x:c r="G1068" s="15"/>
    </x:row>
    <x:row r="1069" spans="1:7" x14ac:dyDescent="0.3">
      <x:c r="B1069" s="12">
        <x:v>7678805000</x:v>
      </x:c>
      <x:c r="C1069" s="12">
        <x:v>7678805400</x:v>
      </x:c>
      <x:c r="D1069" s="11" t="s">
        <x:v>137</x:v>
      </x:c>
      <x:c r="E1069" s="11" t="s">
        <x:v>126</x:v>
      </x:c>
      <x:c r="F1069" s="15"/>
      <x:c r="G1069" s="15"/>
    </x:row>
    <x:row r="1070" spans="1:7" x14ac:dyDescent="0.3">
      <x:c r="B1070" s="12">
        <x:v>7678805500</x:v>
      </x:c>
      <x:c r="C1070" s="12">
        <x:v>7678806600</x:v>
      </x:c>
      <x:c r="D1070" s="11" t="s">
        <x:v>138</x:v>
      </x:c>
      <x:c r="E1070" s="11" t="s">
        <x:v>126</x:v>
      </x:c>
      <x:c r="F1070" s="15"/>
      <x:c r="G1070" s="15"/>
    </x:row>
    <x:row r="1071" spans="1:7" x14ac:dyDescent="0.3">
      <x:c r="B1071" s="12">
        <x:v>7678806700</x:v>
      </x:c>
      <x:c r="C1071" s="12">
        <x:v>7678808800</x:v>
      </x:c>
      <x:c r="D1071" s="11" t="s">
        <x:v>137</x:v>
      </x:c>
      <x:c r="E1071" s="11" t="s">
        <x:v>126</x:v>
      </x:c>
      <x:c r="F1071" s="15"/>
      <x:c r="G1071" s="15"/>
    </x:row>
    <x:row r="1072" spans="1:7" x14ac:dyDescent="0.3">
      <x:c r="B1072" s="12">
        <x:v>7678808900</x:v>
      </x:c>
      <x:c r="C1072" s="12">
        <x:v>7678810000</x:v>
      </x:c>
      <x:c r="D1072" s="11" t="s">
        <x:v>138</x:v>
      </x:c>
      <x:c r="E1072" s="11" t="s">
        <x:v>126</x:v>
      </x:c>
      <x:c r="F1072" s="15"/>
      <x:c r="G1072" s="15"/>
    </x:row>
    <x:row r="1073" spans="1:7" x14ac:dyDescent="0.3">
      <x:c r="B1073" s="12">
        <x:v>7678810100</x:v>
      </x:c>
      <x:c r="C1073" s="12">
        <x:v>7678811300</x:v>
      </x:c>
      <x:c r="D1073" s="11" t="s">
        <x:v>137</x:v>
      </x:c>
      <x:c r="E1073" s="11" t="s">
        <x:v>126</x:v>
      </x:c>
      <x:c r="F1073" s="15"/>
      <x:c r="G1073" s="15"/>
    </x:row>
    <x:row r="1074" spans="1:7" x14ac:dyDescent="0.3">
      <x:c r="B1074" s="12">
        <x:v>7678811400</x:v>
      </x:c>
      <x:c r="C1074" s="12">
        <x:v>7678818300</x:v>
      </x:c>
      <x:c r="D1074" s="11" t="s">
        <x:v>138</x:v>
      </x:c>
      <x:c r="E1074" s="11" t="s">
        <x:v>126</x:v>
      </x:c>
      <x:c r="F1074" s="15"/>
      <x:c r="G1074" s="15"/>
    </x:row>
    <x:row r="1075" spans="1:7" x14ac:dyDescent="0.3">
      <x:c r="B1075" s="12">
        <x:v>7678818400</x:v>
      </x:c>
      <x:c r="C1075" s="12">
        <x:v>7678819300</x:v>
      </x:c>
      <x:c r="D1075" s="11" t="s">
        <x:v>137</x:v>
      </x:c>
      <x:c r="E1075" s="11" t="s">
        <x:v>126</x:v>
      </x:c>
      <x:c r="F1075" s="15"/>
      <x:c r="G1075" s="15"/>
    </x:row>
    <x:row r="1076" spans="1:7" x14ac:dyDescent="0.3">
      <x:c r="B1076" s="12">
        <x:v>7678819400</x:v>
      </x:c>
      <x:c r="C1076" s="12">
        <x:v>7678820900</x:v>
      </x:c>
      <x:c r="D1076" s="11" t="s">
        <x:v>138</x:v>
      </x:c>
      <x:c r="E1076" s="11" t="s">
        <x:v>126</x:v>
      </x:c>
      <x:c r="F1076" s="15"/>
      <x:c r="G1076" s="15"/>
    </x:row>
    <x:row r="1077" spans="1:7" x14ac:dyDescent="0.3">
      <x:c r="B1077" s="12">
        <x:v>7678821000</x:v>
      </x:c>
      <x:c r="C1077" s="12">
        <x:v>7678821800</x:v>
      </x:c>
      <x:c r="D1077" s="11" t="s">
        <x:v>137</x:v>
      </x:c>
      <x:c r="E1077" s="11" t="s">
        <x:v>126</x:v>
      </x:c>
      <x:c r="F1077" s="15"/>
      <x:c r="G1077" s="15"/>
    </x:row>
    <x:row r="1078" spans="1:7" x14ac:dyDescent="0.3">
      <x:c r="B1078" s="12">
        <x:v>7678821900</x:v>
      </x:c>
      <x:c r="C1078" s="12">
        <x:v>7678821900</x:v>
      </x:c>
      <x:c r="D1078" s="11" t="s">
        <x:v>138</x:v>
      </x:c>
      <x:c r="E1078" s="11" t="s">
        <x:v>126</x:v>
      </x:c>
      <x:c r="F1078" s="15"/>
      <x:c r="G1078" s="15"/>
    </x:row>
    <x:row r="1079" spans="1:7" x14ac:dyDescent="0.3">
      <x:c r="B1079" s="12">
        <x:v>7678822000</x:v>
      </x:c>
      <x:c r="C1079" s="12">
        <x:v>7678822200</x:v>
      </x:c>
      <x:c r="D1079" s="11" t="s">
        <x:v>137</x:v>
      </x:c>
      <x:c r="E1079" s="11" t="s">
        <x:v>126</x:v>
      </x:c>
      <x:c r="F1079" s="15"/>
      <x:c r="G1079" s="15"/>
    </x:row>
    <x:row r="1080" spans="1:7" x14ac:dyDescent="0.3">
      <x:c r="B1080" s="12">
        <x:v>7678822300</x:v>
      </x:c>
      <x:c r="C1080" s="12">
        <x:v>7678823600</x:v>
      </x:c>
      <x:c r="D1080" s="11" t="s">
        <x:v>138</x:v>
      </x:c>
      <x:c r="E1080" s="11" t="s">
        <x:v>126</x:v>
      </x:c>
      <x:c r="F1080" s="15"/>
      <x:c r="G1080" s="15"/>
    </x:row>
    <x:row r="1081" spans="1:7" x14ac:dyDescent="0.3">
      <x:c r="B1081" s="12">
        <x:v>7678823700</x:v>
      </x:c>
      <x:c r="C1081" s="12">
        <x:v>7678824200</x:v>
      </x:c>
      <x:c r="D1081" s="11" t="s">
        <x:v>137</x:v>
      </x:c>
      <x:c r="E1081" s="11" t="s">
        <x:v>126</x:v>
      </x:c>
      <x:c r="F1081" s="15"/>
      <x:c r="G1081" s="15"/>
    </x:row>
    <x:row r="1082" spans="1:7" x14ac:dyDescent="0.3">
      <x:c r="B1082" s="12">
        <x:v>7678824300</x:v>
      </x:c>
      <x:c r="C1082" s="12">
        <x:v>7678824300</x:v>
      </x:c>
      <x:c r="D1082" s="11" t="s">
        <x:v>138</x:v>
      </x:c>
      <x:c r="E1082" s="11" t="s">
        <x:v>126</x:v>
      </x:c>
      <x:c r="F1082" s="15"/>
      <x:c r="G1082" s="15"/>
    </x:row>
    <x:row r="1083" spans="1:7" x14ac:dyDescent="0.3">
      <x:c r="B1083" s="12">
        <x:v>7678824400</x:v>
      </x:c>
      <x:c r="C1083" s="12">
        <x:v>7678825700</x:v>
      </x:c>
      <x:c r="D1083" s="11" t="s">
        <x:v>137</x:v>
      </x:c>
      <x:c r="E1083" s="11" t="s">
        <x:v>126</x:v>
      </x:c>
      <x:c r="F1083" s="15"/>
      <x:c r="G1083" s="15"/>
    </x:row>
    <x:row r="1084" spans="1:7" x14ac:dyDescent="0.3">
      <x:c r="B1084" s="12">
        <x:v>7678825800</x:v>
      </x:c>
      <x:c r="C1084" s="12">
        <x:v>7678825800</x:v>
      </x:c>
      <x:c r="D1084" s="11" t="s">
        <x:v>138</x:v>
      </x:c>
      <x:c r="E1084" s="11" t="s">
        <x:v>126</x:v>
      </x:c>
      <x:c r="F1084" s="15"/>
      <x:c r="G1084" s="15"/>
    </x:row>
    <x:row r="1085" spans="1:7" x14ac:dyDescent="0.3">
      <x:c r="B1085" s="12">
        <x:v>7678825900</x:v>
      </x:c>
      <x:c r="C1085" s="12">
        <x:v>7678828100</x:v>
      </x:c>
      <x:c r="D1085" s="11" t="s">
        <x:v>137</x:v>
      </x:c>
      <x:c r="E1085" s="11" t="s">
        <x:v>126</x:v>
      </x:c>
      <x:c r="F1085" s="15"/>
      <x:c r="G1085" s="15"/>
    </x:row>
    <x:row r="1086" spans="1:7" x14ac:dyDescent="0.3">
      <x:c r="B1086" s="12">
        <x:v>7678828200</x:v>
      </x:c>
      <x:c r="C1086" s="12">
        <x:v>7678828400</x:v>
      </x:c>
      <x:c r="D1086" s="11" t="s">
        <x:v>138</x:v>
      </x:c>
      <x:c r="E1086" s="11" t="s">
        <x:v>126</x:v>
      </x:c>
      <x:c r="F1086" s="15"/>
      <x:c r="G1086" s="15"/>
    </x:row>
    <x:row r="1087" spans="1:7" x14ac:dyDescent="0.3">
      <x:c r="B1087" s="12">
        <x:v>7678828500</x:v>
      </x:c>
      <x:c r="C1087" s="12">
        <x:v>7678833200</x:v>
      </x:c>
      <x:c r="D1087" s="11" t="s">
        <x:v>137</x:v>
      </x:c>
      <x:c r="E1087" s="11" t="s">
        <x:v>126</x:v>
      </x:c>
      <x:c r="F1087" s="15"/>
      <x:c r="G1087" s="15"/>
    </x:row>
    <x:row r="1088" spans="1:7" x14ac:dyDescent="0.3">
      <x:c r="B1088" s="12">
        <x:v>7678833300</x:v>
      </x:c>
      <x:c r="C1088" s="12">
        <x:v>7678833300</x:v>
      </x:c>
      <x:c r="D1088" s="11" t="s">
        <x:v>138</x:v>
      </x:c>
      <x:c r="E1088" s="11" t="s">
        <x:v>126</x:v>
      </x:c>
      <x:c r="F1088" s="15"/>
      <x:c r="G1088" s="15"/>
    </x:row>
    <x:row r="1089" spans="1:7" x14ac:dyDescent="0.3">
      <x:c r="B1089" s="12">
        <x:v>7678833400</x:v>
      </x:c>
      <x:c r="C1089" s="12">
        <x:v>7678834200</x:v>
      </x:c>
      <x:c r="D1089" s="11" t="s">
        <x:v>137</x:v>
      </x:c>
      <x:c r="E1089" s="11" t="s">
        <x:v>126</x:v>
      </x:c>
      <x:c r="F1089" s="15"/>
      <x:c r="G1089" s="15"/>
    </x:row>
    <x:row r="1090" spans="1:7" x14ac:dyDescent="0.3">
      <x:c r="B1090" s="12">
        <x:v>7678834300</x:v>
      </x:c>
      <x:c r="C1090" s="12">
        <x:v>7678837300</x:v>
      </x:c>
      <x:c r="D1090" s="11" t="s">
        <x:v>138</x:v>
      </x:c>
      <x:c r="E1090" s="11" t="s">
        <x:v>126</x:v>
      </x:c>
      <x:c r="F1090" s="15"/>
      <x:c r="G1090" s="15"/>
    </x:row>
    <x:row r="1091" spans="1:7" x14ac:dyDescent="0.3">
      <x:c r="B1091" s="12">
        <x:v>7678837400</x:v>
      </x:c>
      <x:c r="C1091" s="12">
        <x:v>7678837600</x:v>
      </x:c>
      <x:c r="D1091" s="11" t="s">
        <x:v>137</x:v>
      </x:c>
      <x:c r="E1091" s="11" t="s">
        <x:v>126</x:v>
      </x:c>
      <x:c r="F1091" s="15"/>
      <x:c r="G1091" s="15"/>
    </x:row>
    <x:row r="1092" spans="1:7" x14ac:dyDescent="0.3">
      <x:c r="B1092" s="12">
        <x:v>7678837700</x:v>
      </x:c>
      <x:c r="C1092" s="12">
        <x:v>7678838000</x:v>
      </x:c>
      <x:c r="D1092" s="11" t="s">
        <x:v>138</x:v>
      </x:c>
      <x:c r="E1092" s="11" t="s">
        <x:v>126</x:v>
      </x:c>
      <x:c r="F1092" s="15"/>
      <x:c r="G1092" s="15"/>
    </x:row>
    <x:row r="1093" spans="1:7" x14ac:dyDescent="0.3">
      <x:c r="B1093" s="12">
        <x:v>7678838100</x:v>
      </x:c>
      <x:c r="C1093" s="12">
        <x:v>7678841500</x:v>
      </x:c>
      <x:c r="D1093" s="11" t="s">
        <x:v>137</x:v>
      </x:c>
      <x:c r="E1093" s="11" t="s">
        <x:v>126</x:v>
      </x:c>
      <x:c r="F1093" s="15"/>
      <x:c r="G1093" s="15"/>
    </x:row>
    <x:row r="1094" spans="1:7" x14ac:dyDescent="0.3">
      <x:c r="B1094" s="12">
        <x:v>7678841600</x:v>
      </x:c>
      <x:c r="C1094" s="12">
        <x:v>7678843500</x:v>
      </x:c>
      <x:c r="D1094" s="11" t="s">
        <x:v>138</x:v>
      </x:c>
      <x:c r="E1094" s="11" t="s">
        <x:v>126</x:v>
      </x:c>
      <x:c r="F1094" s="15"/>
      <x:c r="G1094" s="15"/>
    </x:row>
    <x:row r="1095" spans="1:7" x14ac:dyDescent="0.3">
      <x:c r="B1095" s="12">
        <x:v>7678843600</x:v>
      </x:c>
      <x:c r="C1095" s="12">
        <x:v>7678845500</x:v>
      </x:c>
      <x:c r="D1095" s="11" t="s">
        <x:v>137</x:v>
      </x:c>
      <x:c r="E1095" s="11" t="s">
        <x:v>126</x:v>
      </x:c>
      <x:c r="F1095" s="15"/>
      <x:c r="G1095" s="15"/>
    </x:row>
    <x:row r="1096" spans="1:7" x14ac:dyDescent="0.3">
      <x:c r="B1096" s="12">
        <x:v>7678845600</x:v>
      </x:c>
      <x:c r="C1096" s="12">
        <x:v>7678845900</x:v>
      </x:c>
      <x:c r="D1096" s="11" t="s">
        <x:v>138</x:v>
      </x:c>
      <x:c r="E1096" s="11" t="s">
        <x:v>126</x:v>
      </x:c>
      <x:c r="F1096" s="15"/>
      <x:c r="G1096" s="15"/>
    </x:row>
    <x:row r="1097" spans="1:7" x14ac:dyDescent="0.3">
      <x:c r="B1097" s="12">
        <x:v>7678846000</x:v>
      </x:c>
      <x:c r="C1097" s="12">
        <x:v>7678846200</x:v>
      </x:c>
      <x:c r="D1097" s="11" t="s">
        <x:v>137</x:v>
      </x:c>
      <x:c r="E1097" s="11" t="s">
        <x:v>126</x:v>
      </x:c>
      <x:c r="F1097" s="15"/>
      <x:c r="G1097" s="15"/>
    </x:row>
    <x:row r="1098" spans="1:7" x14ac:dyDescent="0.3">
      <x:c r="B1098" s="12">
        <x:v>7678846300</x:v>
      </x:c>
      <x:c r="C1098" s="12">
        <x:v>7678850900</x:v>
      </x:c>
      <x:c r="D1098" s="11" t="s">
        <x:v>138</x:v>
      </x:c>
      <x:c r="E1098" s="11" t="s">
        <x:v>126</x:v>
      </x:c>
      <x:c r="F1098" s="15"/>
      <x:c r="G1098" s="15"/>
    </x:row>
    <x:row r="1099" spans="1:7" x14ac:dyDescent="0.3">
      <x:c r="B1099" s="12">
        <x:v>7678851000</x:v>
      </x:c>
      <x:c r="C1099" s="12">
        <x:v>7678851900</x:v>
      </x:c>
      <x:c r="D1099" s="11" t="s">
        <x:v>137</x:v>
      </x:c>
      <x:c r="E1099" s="11" t="s">
        <x:v>126</x:v>
      </x:c>
      <x:c r="F1099" s="15"/>
      <x:c r="G1099" s="15"/>
    </x:row>
    <x:row r="1100" spans="1:7" x14ac:dyDescent="0.3">
      <x:c r="B1100" s="12">
        <x:v>7678852000</x:v>
      </x:c>
      <x:c r="C1100" s="12">
        <x:v>7678858900</x:v>
      </x:c>
      <x:c r="D1100" s="11" t="s">
        <x:v>138</x:v>
      </x:c>
      <x:c r="E1100" s="11" t="s">
        <x:v>126</x:v>
      </x:c>
      <x:c r="F1100" s="15"/>
      <x:c r="G1100" s="15"/>
    </x:row>
    <x:row r="1101" spans="1:7" x14ac:dyDescent="0.3">
      <x:c r="B1101" s="12">
        <x:v>7678859000</x:v>
      </x:c>
      <x:c r="C1101" s="12">
        <x:v>7678859900</x:v>
      </x:c>
      <x:c r="D1101" s="11" t="s">
        <x:v>137</x:v>
      </x:c>
      <x:c r="E1101" s="11" t="s">
        <x:v>126</x:v>
      </x:c>
      <x:c r="F1101" s="15"/>
      <x:c r="G1101" s="15"/>
    </x:row>
    <x:row r="1102" spans="1:7" x14ac:dyDescent="0.3">
      <x:c r="B1102" s="12">
        <x:v>7678860000</x:v>
      </x:c>
      <x:c r="C1102" s="12">
        <x:v>7678862700</x:v>
      </x:c>
      <x:c r="D1102" s="11" t="s">
        <x:v>138</x:v>
      </x:c>
      <x:c r="E1102" s="11" t="s">
        <x:v>126</x:v>
      </x:c>
      <x:c r="F1102" s="15"/>
      <x:c r="G1102" s="15"/>
    </x:row>
    <x:row r="1103" spans="1:7" x14ac:dyDescent="0.3">
      <x:c r="B1103" s="12">
        <x:v>7678862800</x:v>
      </x:c>
      <x:c r="C1103" s="12">
        <x:v>7678862800</x:v>
      </x:c>
      <x:c r="D1103" s="11" t="s">
        <x:v>137</x:v>
      </x:c>
      <x:c r="E1103" s="11" t="s">
        <x:v>126</x:v>
      </x:c>
      <x:c r="F1103" s="15"/>
      <x:c r="G1103" s="15"/>
    </x:row>
    <x:row r="1104" spans="1:7" x14ac:dyDescent="0.3">
      <x:c r="B1104" s="12">
        <x:v>7678862900</x:v>
      </x:c>
      <x:c r="C1104" s="12">
        <x:v>7678874400</x:v>
      </x:c>
      <x:c r="D1104" s="11" t="s">
        <x:v>138</x:v>
      </x:c>
      <x:c r="E1104" s="11" t="s">
        <x:v>126</x:v>
      </x:c>
      <x:c r="F1104" s="15"/>
      <x:c r="G1104" s="15"/>
    </x:row>
    <x:row r="1105" spans="1:7" x14ac:dyDescent="0.3">
      <x:c r="B1105" s="12">
        <x:v>7678874500</x:v>
      </x:c>
      <x:c r="C1105" s="12">
        <x:v>7678874800</x:v>
      </x:c>
      <x:c r="D1105" s="11" t="s">
        <x:v>137</x:v>
      </x:c>
      <x:c r="E1105" s="11" t="s">
        <x:v>126</x:v>
      </x:c>
      <x:c r="F1105" s="15"/>
      <x:c r="G1105" s="15"/>
    </x:row>
    <x:row r="1106" spans="1:7" x14ac:dyDescent="0.3">
      <x:c r="B1106" s="12">
        <x:v>7678874900</x:v>
      </x:c>
      <x:c r="C1106" s="12">
        <x:v>7678877200</x:v>
      </x:c>
      <x:c r="D1106" s="11" t="s">
        <x:v>138</x:v>
      </x:c>
      <x:c r="E1106" s="11" t="s">
        <x:v>126</x:v>
      </x:c>
      <x:c r="F1106" s="15"/>
      <x:c r="G1106" s="15"/>
    </x:row>
    <x:row r="1107" spans="1:7" x14ac:dyDescent="0.3">
      <x:c r="B1107" s="12">
        <x:v>7678877300</x:v>
      </x:c>
      <x:c r="C1107" s="12">
        <x:v>7678877300</x:v>
      </x:c>
      <x:c r="D1107" s="11" t="s">
        <x:v>137</x:v>
      </x:c>
      <x:c r="E1107" s="11" t="s">
        <x:v>126</x:v>
      </x:c>
      <x:c r="F1107" s="15"/>
      <x:c r="G1107" s="15"/>
    </x:row>
    <x:row r="1108" spans="1:7" x14ac:dyDescent="0.3">
      <x:c r="B1108" s="12">
        <x:v>7678877400</x:v>
      </x:c>
      <x:c r="C1108" s="12">
        <x:v>7678879300</x:v>
      </x:c>
      <x:c r="D1108" s="11" t="s">
        <x:v>138</x:v>
      </x:c>
      <x:c r="E1108" s="11" t="s">
        <x:v>126</x:v>
      </x:c>
      <x:c r="F1108" s="15"/>
      <x:c r="G1108" s="15"/>
    </x:row>
    <x:row r="1109" spans="1:7" x14ac:dyDescent="0.3">
      <x:c r="B1109" s="12">
        <x:v>7678879400</x:v>
      </x:c>
      <x:c r="C1109" s="12">
        <x:v>7678879400</x:v>
      </x:c>
      <x:c r="D1109" s="11" t="s">
        <x:v>137</x:v>
      </x:c>
      <x:c r="E1109" s="11" t="s">
        <x:v>126</x:v>
      </x:c>
      <x:c r="F1109" s="15"/>
      <x:c r="G1109" s="15"/>
    </x:row>
    <x:row r="1110" spans="1:7" x14ac:dyDescent="0.3">
      <x:c r="B1110" s="12">
        <x:v>7678879500</x:v>
      </x:c>
      <x:c r="C1110" s="12">
        <x:v>7678899500</x:v>
      </x:c>
      <x:c r="D1110" s="11" t="s">
        <x:v>138</x:v>
      </x:c>
      <x:c r="E1110" s="11" t="s">
        <x:v>126</x:v>
      </x:c>
      <x:c r="F1110" s="15"/>
      <x:c r="G1110" s="15"/>
    </x:row>
    <x:row r="1111" spans="1:7" x14ac:dyDescent="0.3">
      <x:c r="B1111" s="12">
        <x:v>7678899600</x:v>
      </x:c>
      <x:c r="C1111" s="12">
        <x:v>7678899600</x:v>
      </x:c>
      <x:c r="D1111" s="11" t="s">
        <x:v>137</x:v>
      </x:c>
      <x:c r="E1111" s="11" t="s">
        <x:v>126</x:v>
      </x:c>
      <x:c r="F1111" s="15"/>
      <x:c r="G1111" s="15"/>
    </x:row>
    <x:row r="1112" spans="1:7" x14ac:dyDescent="0.3">
      <x:c r="B1112" s="12">
        <x:v>7678899700</x:v>
      </x:c>
      <x:c r="C1112" s="12">
        <x:v>7678900300</x:v>
      </x:c>
      <x:c r="D1112" s="11" t="s">
        <x:v>138</x:v>
      </x:c>
      <x:c r="E1112" s="11" t="s">
        <x:v>126</x:v>
      </x:c>
      <x:c r="F1112" s="15"/>
      <x:c r="G1112" s="15"/>
    </x:row>
    <x:row r="1113" spans="1:7" x14ac:dyDescent="0.3">
      <x:c r="B1113" s="12">
        <x:v>7678900400</x:v>
      </x:c>
      <x:c r="C1113" s="12">
        <x:v>7678901200</x:v>
      </x:c>
      <x:c r="D1113" s="11" t="s">
        <x:v>137</x:v>
      </x:c>
      <x:c r="E1113" s="11" t="s">
        <x:v>126</x:v>
      </x:c>
      <x:c r="F1113" s="15"/>
      <x:c r="G1113" s="15"/>
    </x:row>
    <x:row r="1114" spans="1:7" x14ac:dyDescent="0.3">
      <x:c r="B1114" s="12">
        <x:v>7678901300</x:v>
      </x:c>
      <x:c r="C1114" s="12">
        <x:v>7678910900</x:v>
      </x:c>
      <x:c r="D1114" s="11" t="s">
        <x:v>138</x:v>
      </x:c>
      <x:c r="E1114" s="11" t="s">
        <x:v>126</x:v>
      </x:c>
      <x:c r="F1114" s="15"/>
      <x:c r="G1114" s="15"/>
    </x:row>
    <x:row r="1115" spans="1:7" x14ac:dyDescent="0.3">
      <x:c r="B1115" s="12">
        <x:v>7678911000</x:v>
      </x:c>
      <x:c r="C1115" s="12">
        <x:v>7678911000</x:v>
      </x:c>
      <x:c r="D1115" s="11" t="s">
        <x:v>137</x:v>
      </x:c>
      <x:c r="E1115" s="11" t="s">
        <x:v>126</x:v>
      </x:c>
      <x:c r="F1115" s="15"/>
      <x:c r="G1115" s="15"/>
    </x:row>
    <x:row r="1116" spans="1:7" x14ac:dyDescent="0.3">
      <x:c r="B1116" s="12">
        <x:v>7678911100</x:v>
      </x:c>
      <x:c r="C1116" s="12">
        <x:v>7678919300</x:v>
      </x:c>
      <x:c r="D1116" s="11" t="s">
        <x:v>138</x:v>
      </x:c>
      <x:c r="E1116" s="11" t="s">
        <x:v>126</x:v>
      </x:c>
      <x:c r="F1116" s="15"/>
      <x:c r="G1116" s="15"/>
    </x:row>
    <x:row r="1117" spans="1:7" x14ac:dyDescent="0.3">
      <x:c r="B1117" s="12">
        <x:v>7678919400</x:v>
      </x:c>
      <x:c r="C1117" s="12">
        <x:v>7678919500</x:v>
      </x:c>
      <x:c r="D1117" s="11" t="s">
        <x:v>137</x:v>
      </x:c>
      <x:c r="E1117" s="11" t="s">
        <x:v>126</x:v>
      </x:c>
      <x:c r="F1117" s="15"/>
      <x:c r="G1117" s="15"/>
    </x:row>
    <x:row r="1118" spans="1:7" x14ac:dyDescent="0.3">
      <x:c r="B1118" s="12">
        <x:v>7678919600</x:v>
      </x:c>
      <x:c r="C1118" s="12">
        <x:v>7678923600</x:v>
      </x:c>
      <x:c r="D1118" s="11" t="s">
        <x:v>138</x:v>
      </x:c>
      <x:c r="E1118" s="11" t="s">
        <x:v>126</x:v>
      </x:c>
      <x:c r="F1118" s="15"/>
      <x:c r="G1118" s="15"/>
    </x:row>
    <x:row r="1119" spans="1:7" x14ac:dyDescent="0.3">
      <x:c r="B1119" s="12">
        <x:v>7678923700</x:v>
      </x:c>
      <x:c r="C1119" s="12">
        <x:v>7678923900</x:v>
      </x:c>
      <x:c r="D1119" s="11" t="s">
        <x:v>137</x:v>
      </x:c>
      <x:c r="E1119" s="11" t="s">
        <x:v>126</x:v>
      </x:c>
      <x:c r="F1119" s="15"/>
      <x:c r="G1119" s="15"/>
    </x:row>
    <x:row r="1120" spans="1:7" x14ac:dyDescent="0.3">
      <x:c r="B1120" s="12">
        <x:v>7678924000</x:v>
      </x:c>
      <x:c r="C1120" s="12">
        <x:v>7678927300</x:v>
      </x:c>
      <x:c r="D1120" s="11" t="s">
        <x:v>138</x:v>
      </x:c>
      <x:c r="E1120" s="11" t="s">
        <x:v>126</x:v>
      </x:c>
      <x:c r="F1120" s="15"/>
      <x:c r="G1120" s="15"/>
    </x:row>
    <x:row r="1121" spans="1:7" x14ac:dyDescent="0.3">
      <x:c r="B1121" s="12">
        <x:v>7678927400</x:v>
      </x:c>
      <x:c r="C1121" s="12">
        <x:v>7678927400</x:v>
      </x:c>
      <x:c r="D1121" s="11" t="s">
        <x:v>137</x:v>
      </x:c>
      <x:c r="E1121" s="11" t="s">
        <x:v>126</x:v>
      </x:c>
      <x:c r="F1121" s="15"/>
      <x:c r="G1121" s="15"/>
    </x:row>
    <x:row r="1122" spans="1:7" x14ac:dyDescent="0.3">
      <x:c r="B1122" s="12">
        <x:v>7678927500</x:v>
      </x:c>
      <x:c r="C1122" s="12">
        <x:v>7678956400</x:v>
      </x:c>
      <x:c r="D1122" s="11" t="s">
        <x:v>138</x:v>
      </x:c>
      <x:c r="E1122" s="11" t="s">
        <x:v>126</x:v>
      </x:c>
      <x:c r="F1122" s="15"/>
      <x:c r="G1122" s="15"/>
    </x:row>
    <x:row r="1123" spans="1:7" x14ac:dyDescent="0.3">
      <x:c r="B1123" s="12">
        <x:v>7678956500</x:v>
      </x:c>
      <x:c r="C1123" s="12">
        <x:v>7678956500</x:v>
      </x:c>
      <x:c r="D1123" s="11" t="s">
        <x:v>137</x:v>
      </x:c>
      <x:c r="E1123" s="11" t="s">
        <x:v>126</x:v>
      </x:c>
      <x:c r="F1123" s="15"/>
      <x:c r="G1123" s="15"/>
    </x:row>
    <x:row r="1124" spans="1:7" x14ac:dyDescent="0.3">
      <x:c r="B1124" s="12">
        <x:v>7678956600</x:v>
      </x:c>
      <x:c r="C1124" s="12">
        <x:v>7678958800</x:v>
      </x:c>
      <x:c r="D1124" s="11" t="s">
        <x:v>138</x:v>
      </x:c>
      <x:c r="E1124" s="11" t="s">
        <x:v>126</x:v>
      </x:c>
      <x:c r="F1124" s="15"/>
      <x:c r="G1124" s="15"/>
    </x:row>
    <x:row r="1125" spans="1:7" x14ac:dyDescent="0.3">
      <x:c r="B1125" s="12">
        <x:v>7678958900</x:v>
      </x:c>
      <x:c r="C1125" s="12">
        <x:v>7678959800</x:v>
      </x:c>
      <x:c r="D1125" s="11" t="s">
        <x:v>137</x:v>
      </x:c>
      <x:c r="E1125" s="11" t="s">
        <x:v>126</x:v>
      </x:c>
      <x:c r="F1125" s="15"/>
      <x:c r="G1125" s="15"/>
    </x:row>
    <x:row r="1126" spans="1:7" x14ac:dyDescent="0.3">
      <x:c r="B1126" s="12">
        <x:v>7678959900</x:v>
      </x:c>
      <x:c r="C1126" s="12">
        <x:v>7678967500</x:v>
      </x:c>
      <x:c r="D1126" s="11" t="s">
        <x:v>138</x:v>
      </x:c>
      <x:c r="E1126" s="11" t="s">
        <x:v>126</x:v>
      </x:c>
      <x:c r="F1126" s="15"/>
      <x:c r="G1126" s="15"/>
    </x:row>
    <x:row r="1127" spans="1:7" x14ac:dyDescent="0.3">
      <x:c r="B1127" s="12">
        <x:v>7678967600</x:v>
      </x:c>
      <x:c r="C1127" s="12">
        <x:v>7678967600</x:v>
      </x:c>
      <x:c r="D1127" s="11" t="s">
        <x:v>137</x:v>
      </x:c>
      <x:c r="E1127" s="11" t="s">
        <x:v>126</x:v>
      </x:c>
      <x:c r="F1127" s="15"/>
      <x:c r="G1127" s="15"/>
    </x:row>
    <x:row r="1128" spans="1:7" x14ac:dyDescent="0.3">
      <x:c r="B1128" s="12">
        <x:v>7678967700</x:v>
      </x:c>
      <x:c r="C1128" s="12">
        <x:v>7678978300</x:v>
      </x:c>
      <x:c r="D1128" s="11" t="s">
        <x:v>138</x:v>
      </x:c>
      <x:c r="E1128" s="11" t="s">
        <x:v>126</x:v>
      </x:c>
      <x:c r="F1128" s="15"/>
      <x:c r="G1128" s="15"/>
    </x:row>
    <x:row r="1129" spans="1:7" x14ac:dyDescent="0.3">
      <x:c r="B1129" s="12">
        <x:v>7678978400</x:v>
      </x:c>
      <x:c r="C1129" s="12">
        <x:v>7678980100</x:v>
      </x:c>
      <x:c r="D1129" s="11" t="s">
        <x:v>137</x:v>
      </x:c>
      <x:c r="E1129" s="11" t="s">
        <x:v>126</x:v>
      </x:c>
      <x:c r="F1129" s="15"/>
      <x:c r="G1129" s="15"/>
    </x:row>
    <x:row r="1130" spans="1:7" x14ac:dyDescent="0.3">
      <x:c r="B1130" s="12">
        <x:v>7678980200</x:v>
      </x:c>
      <x:c r="C1130" s="12">
        <x:v>7678988600</x:v>
      </x:c>
      <x:c r="D1130" s="11" t="s">
        <x:v>138</x:v>
      </x:c>
      <x:c r="E1130" s="11" t="s">
        <x:v>126</x:v>
      </x:c>
      <x:c r="F1130" s="15"/>
      <x:c r="G1130" s="15"/>
    </x:row>
    <x:row r="1131" spans="1:7" x14ac:dyDescent="0.3">
      <x:c r="B1131" s="12">
        <x:v>7678988700</x:v>
      </x:c>
      <x:c r="C1131" s="12">
        <x:v>7678988700</x:v>
      </x:c>
      <x:c r="D1131" s="11" t="s">
        <x:v>137</x:v>
      </x:c>
      <x:c r="E1131" s="11" t="s">
        <x:v>126</x:v>
      </x:c>
      <x:c r="F1131" s="15"/>
      <x:c r="G1131" s="15"/>
    </x:row>
    <x:row r="1132" spans="1:7" x14ac:dyDescent="0.3">
      <x:c r="B1132" s="12">
        <x:v>7678988800</x:v>
      </x:c>
      <x:c r="C1132" s="12">
        <x:v>7678995400</x:v>
      </x:c>
      <x:c r="D1132" s="11" t="s">
        <x:v>138</x:v>
      </x:c>
      <x:c r="E1132" s="11" t="s">
        <x:v>126</x:v>
      </x:c>
      <x:c r="F1132" s="15"/>
      <x:c r="G1132" s="15"/>
    </x:row>
    <x:row r="1133" spans="1:7" x14ac:dyDescent="0.3">
      <x:c r="B1133" s="12">
        <x:v>7678995500</x:v>
      </x:c>
      <x:c r="C1133" s="12">
        <x:v>7678995500</x:v>
      </x:c>
      <x:c r="D1133" s="11" t="s">
        <x:v>137</x:v>
      </x:c>
      <x:c r="E1133" s="11" t="s">
        <x:v>126</x:v>
      </x:c>
      <x:c r="F1133" s="15"/>
      <x:c r="G1133" s="15"/>
    </x:row>
    <x:row r="1134" spans="1:7" x14ac:dyDescent="0.3">
      <x:c r="B1134" s="12">
        <x:v>7678995600</x:v>
      </x:c>
      <x:c r="C1134" s="12">
        <x:v>7678996400</x:v>
      </x:c>
      <x:c r="D1134" s="11" t="s">
        <x:v>138</x:v>
      </x:c>
      <x:c r="E1134" s="11" t="s">
        <x:v>126</x:v>
      </x:c>
      <x:c r="F1134" s="15"/>
      <x:c r="G1134" s="15"/>
    </x:row>
    <x:row r="1135" spans="1:7" x14ac:dyDescent="0.3">
      <x:c r="B1135" s="12">
        <x:v>7678996500</x:v>
      </x:c>
      <x:c r="C1135" s="12">
        <x:v>7678996500</x:v>
      </x:c>
      <x:c r="D1135" s="11" t="s">
        <x:v>137</x:v>
      </x:c>
      <x:c r="E1135" s="11" t="s">
        <x:v>126</x:v>
      </x:c>
      <x:c r="F1135" s="15"/>
      <x:c r="G1135" s="15"/>
    </x:row>
    <x:row r="1136" spans="1:7" x14ac:dyDescent="0.3">
      <x:c r="B1136" s="12">
        <x:v>7678996600</x:v>
      </x:c>
      <x:c r="C1136" s="12">
        <x:v>7678999800</x:v>
      </x:c>
      <x:c r="D1136" s="11" t="s">
        <x:v>138</x:v>
      </x:c>
      <x:c r="E1136" s="11" t="s">
        <x:v>126</x:v>
      </x:c>
      <x:c r="F1136" s="15"/>
      <x:c r="G1136" s="15"/>
    </x:row>
    <x:row r="1137" spans="1:7" x14ac:dyDescent="0.3">
      <x:c r="B1137" s="12">
        <x:v>7678999900</x:v>
      </x:c>
      <x:c r="C1137" s="12">
        <x:v>7678999900</x:v>
      </x:c>
      <x:c r="D1137" s="11" t="s">
        <x:v>137</x:v>
      </x:c>
      <x:c r="E1137" s="11" t="s">
        <x:v>126</x:v>
      </x:c>
      <x:c r="F1137" s="15"/>
      <x:c r="G1137" s="15"/>
    </x:row>
    <x:row r="1138" spans="1:7" x14ac:dyDescent="0.3">
      <x:c r="B1138" s="12">
        <x:v>7679000000</x:v>
      </x:c>
      <x:c r="C1138" s="12">
        <x:v>7679000200</x:v>
      </x:c>
      <x:c r="D1138" s="11" t="s">
        <x:v>138</x:v>
      </x:c>
      <x:c r="E1138" s="11" t="s">
        <x:v>126</x:v>
      </x:c>
      <x:c r="F1138" s="15"/>
      <x:c r="G1138" s="15"/>
    </x:row>
    <x:row r="1139" spans="1:7" x14ac:dyDescent="0.3">
      <x:c r="B1139" s="12">
        <x:v>7679000300</x:v>
      </x:c>
      <x:c r="C1139" s="12">
        <x:v>7679000400</x:v>
      </x:c>
      <x:c r="D1139" s="11" t="s">
        <x:v>137</x:v>
      </x:c>
      <x:c r="E1139" s="11" t="s">
        <x:v>126</x:v>
      </x:c>
      <x:c r="F1139" s="15"/>
      <x:c r="G1139" s="15"/>
    </x:row>
    <x:row r="1140" spans="1:7" x14ac:dyDescent="0.3">
      <x:c r="B1140" s="12">
        <x:v>7679000500</x:v>
      </x:c>
      <x:c r="C1140" s="12">
        <x:v>7679000600</x:v>
      </x:c>
      <x:c r="D1140" s="11" t="s">
        <x:v>138</x:v>
      </x:c>
      <x:c r="E1140" s="11" t="s">
        <x:v>126</x:v>
      </x:c>
      <x:c r="F1140" s="15"/>
      <x:c r="G1140" s="15"/>
    </x:row>
    <x:row r="1141" spans="1:7" x14ac:dyDescent="0.3">
      <x:c r="B1141" s="12">
        <x:v>7679000700</x:v>
      </x:c>
      <x:c r="C1141" s="12">
        <x:v>7679000700</x:v>
      </x:c>
      <x:c r="D1141" s="11" t="s">
        <x:v>137</x:v>
      </x:c>
      <x:c r="E1141" s="11" t="s">
        <x:v>126</x:v>
      </x:c>
      <x:c r="F1141" s="15"/>
      <x:c r="G1141" s="15"/>
    </x:row>
    <x:row r="1142" spans="1:7" x14ac:dyDescent="0.3">
      <x:c r="B1142" s="12">
        <x:v>7679000800</x:v>
      </x:c>
      <x:c r="C1142" s="12">
        <x:v>7679013100</x:v>
      </x:c>
      <x:c r="D1142" s="11" t="s">
        <x:v>138</x:v>
      </x:c>
      <x:c r="E1142" s="11" t="s">
        <x:v>126</x:v>
      </x:c>
      <x:c r="F1142" s="15"/>
      <x:c r="G1142" s="15"/>
    </x:row>
    <x:row r="1143" spans="1:7" x14ac:dyDescent="0.3">
      <x:c r="B1143" s="12">
        <x:v>7679013200</x:v>
      </x:c>
      <x:c r="C1143" s="12">
        <x:v>7679013200</x:v>
      </x:c>
      <x:c r="D1143" s="11" t="s">
        <x:v>137</x:v>
      </x:c>
      <x:c r="E1143" s="11" t="s">
        <x:v>126</x:v>
      </x:c>
      <x:c r="F1143" s="15"/>
      <x:c r="G1143" s="15"/>
    </x:row>
    <x:row r="1144" spans="1:7" x14ac:dyDescent="0.3">
      <x:c r="B1144" s="12">
        <x:v>7679013300</x:v>
      </x:c>
      <x:c r="C1144" s="12">
        <x:v>7679020100</x:v>
      </x:c>
      <x:c r="D1144" s="11" t="s">
        <x:v>138</x:v>
      </x:c>
      <x:c r="E1144" s="11" t="s">
        <x:v>126</x:v>
      </x:c>
      <x:c r="F1144" s="15"/>
      <x:c r="G1144" s="15"/>
    </x:row>
    <x:row r="1145" spans="1:7" x14ac:dyDescent="0.3">
      <x:c r="B1145" s="12">
        <x:v>7679020200</x:v>
      </x:c>
      <x:c r="C1145" s="12">
        <x:v>7679020200</x:v>
      </x:c>
      <x:c r="D1145" s="11" t="s">
        <x:v>137</x:v>
      </x:c>
      <x:c r="E1145" s="11" t="s">
        <x:v>126</x:v>
      </x:c>
      <x:c r="F1145" s="15"/>
      <x:c r="G1145" s="15"/>
    </x:row>
    <x:row r="1146" spans="1:7" x14ac:dyDescent="0.3">
      <x:c r="B1146" s="12">
        <x:v>7679020300</x:v>
      </x:c>
      <x:c r="C1146" s="12">
        <x:v>7679025900</x:v>
      </x:c>
      <x:c r="D1146" s="11" t="s">
        <x:v>138</x:v>
      </x:c>
      <x:c r="E1146" s="11" t="s">
        <x:v>126</x:v>
      </x:c>
      <x:c r="F1146" s="15"/>
      <x:c r="G1146" s="15"/>
    </x:row>
    <x:row r="1147" spans="1:7" x14ac:dyDescent="0.3">
      <x:c r="B1147" s="12">
        <x:v>7679026000</x:v>
      </x:c>
      <x:c r="C1147" s="12">
        <x:v>7679026000</x:v>
      </x:c>
      <x:c r="D1147" s="11" t="s">
        <x:v>137</x:v>
      </x:c>
      <x:c r="E1147" s="11" t="s">
        <x:v>126</x:v>
      </x:c>
      <x:c r="F1147" s="15"/>
      <x:c r="G1147" s="15"/>
    </x:row>
    <x:row r="1148" spans="1:7" x14ac:dyDescent="0.3">
      <x:c r="B1148" s="12">
        <x:v>7679026100</x:v>
      </x:c>
      <x:c r="C1148" s="12">
        <x:v>7679034300</x:v>
      </x:c>
      <x:c r="D1148" s="11" t="s">
        <x:v>138</x:v>
      </x:c>
      <x:c r="E1148" s="11" t="s">
        <x:v>126</x:v>
      </x:c>
      <x:c r="F1148" s="15"/>
      <x:c r="G1148" s="15"/>
    </x:row>
    <x:row r="1149" spans="1:7" x14ac:dyDescent="0.3">
      <x:c r="B1149" s="12">
        <x:v>7679034400</x:v>
      </x:c>
      <x:c r="C1149" s="12">
        <x:v>7679034400</x:v>
      </x:c>
      <x:c r="D1149" s="11" t="s">
        <x:v>137</x:v>
      </x:c>
      <x:c r="E1149" s="11" t="s">
        <x:v>126</x:v>
      </x:c>
      <x:c r="F1149" s="15"/>
      <x:c r="G1149" s="15"/>
    </x:row>
    <x:row r="1150" spans="1:7" x14ac:dyDescent="0.3">
      <x:c r="B1150" s="12">
        <x:v>7679034500</x:v>
      </x:c>
      <x:c r="C1150" s="12">
        <x:v>7679040300</x:v>
      </x:c>
      <x:c r="D1150" s="11" t="s">
        <x:v>138</x:v>
      </x:c>
      <x:c r="E1150" s="11" t="s">
        <x:v>126</x:v>
      </x:c>
      <x:c r="F1150" s="15"/>
      <x:c r="G1150" s="15"/>
    </x:row>
    <x:row r="1151" spans="1:7" x14ac:dyDescent="0.3">
      <x:c r="B1151" s="12">
        <x:v>7679040400</x:v>
      </x:c>
      <x:c r="C1151" s="12">
        <x:v>7679041400</x:v>
      </x:c>
      <x:c r="D1151" s="11" t="s">
        <x:v>137</x:v>
      </x:c>
      <x:c r="E1151" s="11" t="s">
        <x:v>126</x:v>
      </x:c>
      <x:c r="F1151" s="15"/>
      <x:c r="G1151" s="15"/>
    </x:row>
    <x:row r="1152" spans="1:7" x14ac:dyDescent="0.3">
      <x:c r="B1152" s="12">
        <x:v>7679041500</x:v>
      </x:c>
      <x:c r="C1152" s="12">
        <x:v>7679044500</x:v>
      </x:c>
      <x:c r="D1152" s="11" t="s">
        <x:v>138</x:v>
      </x:c>
      <x:c r="E1152" s="11" t="s">
        <x:v>126</x:v>
      </x:c>
      <x:c r="F1152" s="15"/>
      <x:c r="G1152" s="15"/>
    </x:row>
    <x:row r="1153" spans="1:7" x14ac:dyDescent="0.3">
      <x:c r="B1153" s="12">
        <x:v>7679044600</x:v>
      </x:c>
      <x:c r="C1153" s="12">
        <x:v>7679044600</x:v>
      </x:c>
      <x:c r="D1153" s="11" t="s">
        <x:v>137</x:v>
      </x:c>
      <x:c r="E1153" s="11" t="s">
        <x:v>126</x:v>
      </x:c>
      <x:c r="F1153" s="15"/>
      <x:c r="G1153" s="15"/>
    </x:row>
    <x:row r="1154" spans="1:7" x14ac:dyDescent="0.3">
      <x:c r="B1154" s="12">
        <x:v>7679044700</x:v>
      </x:c>
      <x:c r="C1154" s="12">
        <x:v>7679062200</x:v>
      </x:c>
      <x:c r="D1154" s="11" t="s">
        <x:v>138</x:v>
      </x:c>
      <x:c r="E1154" s="11" t="s">
        <x:v>126</x:v>
      </x:c>
      <x:c r="F1154" s="15"/>
      <x:c r="G1154" s="15"/>
    </x:row>
    <x:row r="1155" spans="1:7" x14ac:dyDescent="0.3">
      <x:c r="B1155" s="12">
        <x:v>7679062300</x:v>
      </x:c>
      <x:c r="C1155" s="12">
        <x:v>7679062700</x:v>
      </x:c>
      <x:c r="D1155" s="11" t="s">
        <x:v>137</x:v>
      </x:c>
      <x:c r="E1155" s="11" t="s">
        <x:v>126</x:v>
      </x:c>
      <x:c r="F1155" s="15"/>
      <x:c r="G1155" s="15"/>
    </x:row>
    <x:row r="1156" spans="1:7" x14ac:dyDescent="0.3">
      <x:c r="B1156" s="12">
        <x:v>7679062800</x:v>
      </x:c>
      <x:c r="C1156" s="12">
        <x:v>7679063900</x:v>
      </x:c>
      <x:c r="D1156" s="11" t="s">
        <x:v>138</x:v>
      </x:c>
      <x:c r="E1156" s="11" t="s">
        <x:v>126</x:v>
      </x:c>
      <x:c r="F1156" s="15"/>
      <x:c r="G1156" s="15"/>
    </x:row>
    <x:row r="1157" spans="1:7" x14ac:dyDescent="0.3">
      <x:c r="B1157" s="12">
        <x:v>7679064000</x:v>
      </x:c>
      <x:c r="C1157" s="12">
        <x:v>7679064000</x:v>
      </x:c>
      <x:c r="D1157" s="11" t="s">
        <x:v>137</x:v>
      </x:c>
      <x:c r="E1157" s="11" t="s">
        <x:v>126</x:v>
      </x:c>
      <x:c r="F1157" s="15"/>
      <x:c r="G1157" s="15"/>
    </x:row>
    <x:row r="1158" spans="1:7" x14ac:dyDescent="0.3">
      <x:c r="B1158" s="12">
        <x:v>7679064100</x:v>
      </x:c>
      <x:c r="C1158" s="12">
        <x:v>7695360600</x:v>
      </x:c>
      <x:c r="D1158" s="11" t="s">
        <x:v>138</x:v>
      </x:c>
      <x:c r="E1158" s="11" t="s">
        <x:v>126</x:v>
      </x:c>
      <x:c r="F1158" s="15"/>
      <x:c r="G1158" s="15"/>
    </x:row>
    <x:row r="1159" spans="1:7" x14ac:dyDescent="0.3">
      <x:c r="B1159" s="12">
        <x:v>7695360700</x:v>
      </x:c>
      <x:c r="C1159" s="12">
        <x:v>7700360600</x:v>
      </x:c>
      <x:c r="D1159" s="14" t="s">
        <x:v>130</x:v>
      </x:c>
      <x:c r="E1159" s="11" t="s">
        <x:v>126</x:v>
      </x:c>
      <x:c r="F1159" s="15"/>
      <x:c r="G1159" s="15"/>
    </x:row>
    <x:row r="1160" spans="1:7" x14ac:dyDescent="0.3">
      <x:c r="B1160" s="12">
        <x:v>7700360700</x:v>
      </x:c>
      <x:c r="C1160" s="12">
        <x:v>7705360600</x:v>
      </x:c>
      <x:c r="D1160" s="14" t="s">
        <x:v>130</x:v>
      </x:c>
      <x:c r="E1160" s="11" t="s">
        <x:v>126</x:v>
      </x:c>
      <x:c r="F1160" s="15"/>
      <x:c r="G1160" s="15"/>
    </x:row>
    <x:row r="1161" spans="1:7" x14ac:dyDescent="0.3">
      <x:c r="B1161" s="12">
        <x:v>7705360700</x:v>
      </x:c>
      <x:c r="C1161" s="12">
        <x:v>7710360600</x:v>
      </x:c>
      <x:c r="D1161" s="14" t="s">
        <x:v>135</x:v>
      </x:c>
      <x:c r="E1161" s="11" t="s">
        <x:v>126</x:v>
      </x:c>
      <x:c r="F1161" s="15"/>
      <x:c r="G1161" s="15"/>
    </x:row>
    <x:row r="1162" spans="1:7" x14ac:dyDescent="0.3">
      <x:c r="B1162" s="12">
        <x:v>7710360700</x:v>
      </x:c>
      <x:c r="C1162" s="12">
        <x:v>7728360600</x:v>
      </x:c>
      <x:c r="D1162" s="14" t="s">
        <x:v>139</x:v>
      </x:c>
      <x:c r="E1162" s="11" t="s">
        <x:v>126</x:v>
      </x:c>
      <x:c r="F1162" s="15"/>
      <x:c r="G1162" s="15"/>
    </x:row>
    <x:row r="1163" spans="1:7" x14ac:dyDescent="0.3">
      <x:c r="B1163" s="12">
        <x:v>7728360700</x:v>
      </x:c>
      <x:c r="C1163" s="12">
        <x:v>7766598300</x:v>
      </x:c>
      <x:c r="D1163" s="14" t="s">
        <x:v>140</x:v>
      </x:c>
      <x:c r="E1163" s="11" t="s">
        <x:v>126</x:v>
      </x:c>
      <x:c r="F1163" s="15"/>
      <x:c r="G1163" s="15"/>
    </x:row>
    <x:row r="1164" spans="1:7" x14ac:dyDescent="0.3">
      <x:c r="B1164" s="12">
        <x:v>7766598400</x:v>
      </x:c>
      <x:c r="C1164" s="12">
        <x:v>7766598400</x:v>
      </x:c>
      <x:c r="D1164" s="14" t="s">
        <x:v>136</x:v>
      </x:c>
      <x:c r="E1164" s="11" t="s">
        <x:v>126</x:v>
      </x:c>
      <x:c r="F1164" s="15"/>
      <x:c r="G1164" s="15"/>
    </x:row>
    <x:row r="1165" spans="1:7" x14ac:dyDescent="0.3">
      <x:c r="B1165" s="12">
        <x:v>7766598500</x:v>
      </x:c>
      <x:c r="C1165" s="12">
        <x:v>7799999900</x:v>
      </x:c>
      <x:c r="D1165" s="14" t="s">
        <x:v>140</x:v>
      </x:c>
      <x:c r="E1165" s="11" t="s">
        <x:v>126</x:v>
      </x:c>
      <x:c r="F1165" s="15"/>
      <x:c r="G1165" s="15"/>
    </x:row>
    <x:row r="1166" spans="1:7" x14ac:dyDescent="0.3">
      <x:c r="D1166" s="7"/>
    </x:row>
    <x:row r="1167" spans="1:7" x14ac:dyDescent="0.3">
      <x:c r="D1167" s="7"/>
    </x:row>
    <x:row r="1168" spans="1:7" x14ac:dyDescent="0.3">
      <x:c r="D1168" s="7"/>
    </x:row>
    <x:row r="1169" spans="1:7" x14ac:dyDescent="0.3">
      <x:c r="D1169" s="7"/>
    </x:row>
    <x:row r="1170" spans="1:7" x14ac:dyDescent="0.3">
      <x:c r="D1170" s="7"/>
    </x:row>
    <x:row r="1171" spans="1:7" x14ac:dyDescent="0.3">
      <x:c r="D1171" s="7"/>
    </x:row>
    <x:row r="1172" spans="1:7" x14ac:dyDescent="0.3">
      <x:c r="D1172" s="7"/>
    </x:row>
    <x:row r="1173" spans="1:7" x14ac:dyDescent="0.3">
      <x:c r="D1173" s="7"/>
    </x:row>
    <x:row r="1174" spans="1:7" x14ac:dyDescent="0.3">
      <x:c r="D1174" s="7"/>
    </x:row>
    <x:row r="1175" spans="1:7" x14ac:dyDescent="0.3">
      <x:c r="D1175" s="7"/>
    </x:row>
    <x:row r="1176" spans="1:7" x14ac:dyDescent="0.3">
      <x:c r="D1176" s="7"/>
    </x:row>
    <x:row r="1177" spans="1:7" x14ac:dyDescent="0.3">
      <x:c r="D1177" s="7"/>
    </x:row>
    <x:row r="1178" spans="1:7" x14ac:dyDescent="0.3">
      <x:c r="D1178" s="7"/>
    </x:row>
    <x:row r="1179" spans="1:7" x14ac:dyDescent="0.3">
      <x:c r="D1179" s="7"/>
    </x:row>
    <x:row r="1180" spans="1:7" x14ac:dyDescent="0.3">
      <x:c r="D1180" s="7"/>
    </x:row>
    <x:row r="1181" spans="1:7" x14ac:dyDescent="0.3">
      <x:c r="D1181" s="7"/>
    </x:row>
    <x:row r="1182" spans="1:7" x14ac:dyDescent="0.3">
      <x:c r="D1182" s="7"/>
    </x:row>
    <x:row r="1183" spans="1:7" x14ac:dyDescent="0.3">
      <x:c r="D1183" s="7"/>
    </x:row>
    <x:row r="1184" spans="1:7" x14ac:dyDescent="0.3">
      <x:c r="D1184" s="7"/>
    </x:row>
    <x:row r="1185" spans="1:7" x14ac:dyDescent="0.3">
      <x:c r="D1185" s="7"/>
    </x:row>
    <x:row r="1186" spans="1:7" x14ac:dyDescent="0.3">
      <x:c r="D1186" s="7"/>
    </x:row>
    <x:row r="1187" spans="1:7" x14ac:dyDescent="0.3">
      <x:c r="D1187" s="7"/>
    </x:row>
    <x:row r="1188" spans="1:7" x14ac:dyDescent="0.3">
      <x:c r="D1188" s="7"/>
    </x:row>
    <x:row r="1189" spans="1:7" x14ac:dyDescent="0.3">
      <x:c r="B1189" s="202"/>
      <x:c r="C1189" s="202"/>
      <x:c r="D1189" s="173"/>
    </x:row>
    <x:row r="1190" spans="1:7" x14ac:dyDescent="0.3">
      <x:c r="B1190" s="202"/>
      <x:c r="C1190" s="202"/>
      <x:c r="D1190" s="173"/>
    </x:row>
    <x:row r="1191" spans="1:7" x14ac:dyDescent="0.3">
      <x:c r="B1191" s="203"/>
      <x:c r="C1191" s="203"/>
      <x:c r="D1191" s="173"/>
    </x:row>
    <x:row r="1192" spans="1:7" x14ac:dyDescent="0.3">
      <x:c r="B1192" s="203"/>
      <x:c r="C1192" s="203"/>
      <x:c r="D1192" s="173"/>
    </x:row>
    <x:row r="1193" spans="1:7" x14ac:dyDescent="0.3">
      <x:c r="B1193" s="203"/>
      <x:c r="C1193" s="203"/>
      <x:c r="D1193" s="173"/>
    </x:row>
    <x:row r="1194" spans="1:7" x14ac:dyDescent="0.3">
      <x:c r="B1194" s="203"/>
      <x:c r="C1194" s="203"/>
      <x:c r="D1194" s="173"/>
    </x:row>
    <x:row r="1195" spans="1:7" x14ac:dyDescent="0.3">
      <x:c r="B1195" s="203"/>
      <x:c r="C1195" s="203"/>
      <x:c r="D1195" s="173"/>
    </x:row>
    <x:row r="1196" spans="1:7" x14ac:dyDescent="0.3">
      <x:c r="D1196" s="7"/>
    </x:row>
    <x:row r="1197" spans="1:7" x14ac:dyDescent="0.3">
      <x:c r="D1197" s="7"/>
    </x:row>
    <x:row r="1198" spans="1:7" x14ac:dyDescent="0.3">
      <x:c r="D1198" s="7"/>
    </x:row>
    <x:row r="1199" spans="1:7" x14ac:dyDescent="0.3">
      <x:c r="D1199" s="7"/>
    </x:row>
    <x:row r="1200" spans="1:7" x14ac:dyDescent="0.3">
      <x:c r="D1200" s="7"/>
    </x:row>
    <x:row r="1201" spans="1:7" x14ac:dyDescent="0.3">
      <x:c r="D1201" s="7"/>
    </x:row>
    <x:row r="1202" spans="1:7" x14ac:dyDescent="0.3">
      <x:c r="D1202" s="7"/>
    </x:row>
    <x:row r="1203" spans="1:7" x14ac:dyDescent="0.3">
      <x:c r="D1203" s="7"/>
    </x:row>
    <x:row r="1204" spans="1:7" x14ac:dyDescent="0.3">
      <x:c r="D1204" s="7"/>
    </x:row>
    <x:row r="1205" spans="1:7" x14ac:dyDescent="0.3">
      <x:c r="D1205" s="7"/>
    </x:row>
    <x:row r="1206" spans="1:7" x14ac:dyDescent="0.3">
      <x:c r="D1206" s="7"/>
    </x:row>
    <x:row r="1207" spans="1:7" x14ac:dyDescent="0.3">
      <x:c r="D1207" s="7"/>
    </x:row>
    <x:row r="1208" spans="1:7" x14ac:dyDescent="0.3">
      <x:c r="D1208" s="7"/>
    </x:row>
    <x:row r="1209" spans="1:7" x14ac:dyDescent="0.3">
      <x:c r="D1209" s="7"/>
    </x:row>
    <x:row r="1210" spans="1:7" x14ac:dyDescent="0.3">
      <x:c r="D1210" s="7"/>
    </x:row>
    <x:row r="1211" spans="1:7" x14ac:dyDescent="0.3">
      <x:c r="D1211" s="7"/>
    </x:row>
    <x:row r="1212" spans="1:7" x14ac:dyDescent="0.3">
      <x:c r="D1212" s="7"/>
    </x:row>
    <x:row r="1213" spans="1:7" x14ac:dyDescent="0.3">
      <x:c r="D1213" s="7"/>
    </x:row>
    <x:row r="1214" spans="1:7" x14ac:dyDescent="0.3">
      <x:c r="D1214" s="7"/>
    </x:row>
    <x:row r="1215" spans="1:7" x14ac:dyDescent="0.3">
      <x:c r="D1215" s="7"/>
    </x:row>
    <x:row r="1216" spans="1:7" x14ac:dyDescent="0.3">
      <x:c r="D1216" s="7"/>
    </x:row>
    <x:row r="1217" spans="1:7" x14ac:dyDescent="0.3">
      <x:c r="D1217" s="7"/>
    </x:row>
    <x:row r="1218" spans="1:7" x14ac:dyDescent="0.3">
      <x:c r="D1218" s="7"/>
    </x:row>
    <x:row r="1219" spans="1:7" x14ac:dyDescent="0.3">
      <x:c r="D1219" s="7"/>
    </x:row>
    <x:row r="1220" spans="1:7" x14ac:dyDescent="0.3">
      <x:c r="D1220" s="7"/>
    </x:row>
    <x:row r="1221" spans="1:7" x14ac:dyDescent="0.3">
      <x:c r="D1221" s="7"/>
    </x:row>
    <x:row r="1222" spans="1:7" x14ac:dyDescent="0.3">
      <x:c r="D1222" s="7"/>
    </x:row>
    <x:row r="1223" spans="1:7" x14ac:dyDescent="0.3">
      <x:c r="D1223" s="7"/>
    </x:row>
    <x:row r="1224" spans="1:7" x14ac:dyDescent="0.3">
      <x:c r="D1224" s="7"/>
    </x:row>
    <x:row r="1225" spans="1:7" x14ac:dyDescent="0.3">
      <x:c r="D1225" s="7"/>
    </x:row>
    <x:row r="1226" spans="1:7" x14ac:dyDescent="0.3">
      <x:c r="D1226" s="7"/>
    </x:row>
    <x:row r="1227" spans="1:7" x14ac:dyDescent="0.3">
      <x:c r="D1227" s="7"/>
    </x:row>
    <x:row r="1228" spans="1:7" x14ac:dyDescent="0.3">
      <x:c r="D1228" s="7"/>
    </x:row>
    <x:row r="1229" spans="1:7" x14ac:dyDescent="0.3">
      <x:c r="D1229" s="7"/>
    </x:row>
    <x:row r="1230" spans="1:7" x14ac:dyDescent="0.3">
      <x:c r="D1230" s="7"/>
    </x:row>
    <x:row r="1231" spans="1:7" x14ac:dyDescent="0.3">
      <x:c r="D1231" s="7"/>
    </x:row>
    <x:row r="1232" spans="1:7" x14ac:dyDescent="0.3">
      <x:c r="D1232" s="7"/>
    </x:row>
    <x:row r="1233" spans="1:7" x14ac:dyDescent="0.3">
      <x:c r="D1233" s="7"/>
    </x:row>
    <x:row r="1234" spans="1:7" x14ac:dyDescent="0.3">
      <x:c r="D1234" s="7"/>
    </x:row>
    <x:row r="1235" spans="1:7" x14ac:dyDescent="0.3">
      <x:c r="D1235" s="7"/>
    </x:row>
    <x:row r="1236" spans="1:7" x14ac:dyDescent="0.3">
      <x:c r="D1236" s="7"/>
    </x:row>
    <x:row r="1237" spans="1:7" x14ac:dyDescent="0.3">
      <x:c r="D1237" s="7"/>
    </x:row>
    <x:row r="1238" spans="1:7" x14ac:dyDescent="0.3">
      <x:c r="D1238" s="7"/>
    </x:row>
    <x:row r="1239" spans="1:7" x14ac:dyDescent="0.3">
      <x:c r="D1239" s="7"/>
    </x:row>
    <x:row r="1240" spans="1:7" x14ac:dyDescent="0.3">
      <x:c r="D1240" s="7"/>
    </x:row>
    <x:row r="1241" spans="1:7" x14ac:dyDescent="0.3">
      <x:c r="D1241" s="7"/>
    </x:row>
    <x:row r="1242" spans="1:7" x14ac:dyDescent="0.3">
      <x:c r="D1242" s="7"/>
    </x:row>
    <x:row r="1243" spans="1:7" x14ac:dyDescent="0.3">
      <x:c r="D1243" s="7"/>
    </x:row>
    <x:row r="1244" spans="1:7" x14ac:dyDescent="0.3">
      <x:c r="D1244" s="7"/>
    </x:row>
    <x:row r="1245" spans="1:7" x14ac:dyDescent="0.3">
      <x:c r="D1245" s="7"/>
    </x:row>
    <x:row r="1246" spans="1:7" x14ac:dyDescent="0.3">
      <x:c r="D1246" s="7"/>
    </x:row>
    <x:row r="1247" spans="1:7" x14ac:dyDescent="0.3">
      <x:c r="D1247" s="7"/>
    </x:row>
    <x:row r="1248" spans="1:7" x14ac:dyDescent="0.3">
      <x:c r="D1248" s="7"/>
    </x:row>
    <x:row r="1249" spans="1:7" x14ac:dyDescent="0.3">
      <x:c r="D1249" s="7"/>
    </x:row>
    <x:row r="1250" spans="1:7" x14ac:dyDescent="0.3">
      <x:c r="D1250" s="7"/>
    </x:row>
    <x:row r="1251" spans="1:7" x14ac:dyDescent="0.3">
      <x:c r="D1251" s="7"/>
    </x:row>
    <x:row r="1252" spans="1:7" x14ac:dyDescent="0.3">
      <x:c r="D1252" s="7"/>
    </x:row>
    <x:row r="1253" spans="1:7" x14ac:dyDescent="0.3">
      <x:c r="D1253" s="7"/>
    </x:row>
    <x:row r="1254" spans="1:7" x14ac:dyDescent="0.3">
      <x:c r="D1254" s="7"/>
    </x:row>
    <x:row r="1255" spans="1:7" x14ac:dyDescent="0.3">
      <x:c r="D1255" s="7"/>
    </x:row>
    <x:row r="1256" spans="1:7" x14ac:dyDescent="0.3">
      <x:c r="D1256" s="7"/>
    </x:row>
    <x:row r="1257" spans="1:7" x14ac:dyDescent="0.3">
      <x:c r="D1257" s="7"/>
    </x:row>
    <x:row r="1258" spans="1:7" x14ac:dyDescent="0.3">
      <x:c r="D1258" s="7"/>
    </x:row>
    <x:row r="1259" spans="1:7" x14ac:dyDescent="0.3">
      <x:c r="D1259" s="7"/>
    </x:row>
    <x:row r="1260" spans="1:7" x14ac:dyDescent="0.3">
      <x:c r="D1260" s="7"/>
    </x:row>
    <x:row r="1261" spans="1:7" x14ac:dyDescent="0.3">
      <x:c r="D1261" s="7"/>
    </x:row>
    <x:row r="1262" spans="1:7" x14ac:dyDescent="0.3">
      <x:c r="D1262" s="7"/>
    </x:row>
    <x:row r="1263" spans="1:7" x14ac:dyDescent="0.3">
      <x:c r="D1263" s="7"/>
    </x:row>
    <x:row r="1264" spans="1:7" x14ac:dyDescent="0.3">
      <x:c r="D1264" s="7"/>
    </x:row>
    <x:row r="1265" spans="1:7" x14ac:dyDescent="0.3">
      <x:c r="D1265" s="7"/>
    </x:row>
    <x:row r="1266" spans="1:7" x14ac:dyDescent="0.3">
      <x:c r="D1266" s="7"/>
    </x:row>
    <x:row r="1267" spans="1:7" x14ac:dyDescent="0.3">
      <x:c r="D1267" s="7"/>
    </x:row>
    <x:row r="1268" spans="1:7" x14ac:dyDescent="0.3">
      <x:c r="D1268" s="7"/>
    </x:row>
    <x:row r="1269" spans="1:7" x14ac:dyDescent="0.3">
      <x:c r="D1269" s="7"/>
    </x:row>
    <x:row r="1270" spans="1:7" x14ac:dyDescent="0.3">
      <x:c r="D1270" s="7"/>
    </x:row>
    <x:row r="1271" spans="1:7" x14ac:dyDescent="0.3">
      <x:c r="D1271" s="7"/>
    </x:row>
    <x:row r="1272" spans="1:7" x14ac:dyDescent="0.3">
      <x:c r="D1272" s="7"/>
    </x:row>
    <x:row r="1273" spans="1:7" x14ac:dyDescent="0.3">
      <x:c r="D1273" s="7"/>
    </x:row>
    <x:row r="1274" spans="1:7" x14ac:dyDescent="0.3">
      <x:c r="D1274" s="7"/>
    </x:row>
    <x:row r="1275" spans="1:7" x14ac:dyDescent="0.3">
      <x:c r="D1275" s="7"/>
    </x:row>
    <x:row r="1276" spans="1:7" x14ac:dyDescent="0.3">
      <x:c r="D1276" s="7"/>
    </x:row>
    <x:row r="1277" spans="1:7" x14ac:dyDescent="0.3">
      <x:c r="D1277" s="7"/>
    </x:row>
    <x:row r="1278" spans="1:7" x14ac:dyDescent="0.3">
      <x:c r="D1278" s="7"/>
    </x:row>
    <x:row r="1279" spans="1:7" x14ac:dyDescent="0.3">
      <x:c r="D1279" s="7"/>
    </x:row>
    <x:row r="1280" spans="1:7" x14ac:dyDescent="0.3">
      <x:c r="D1280" s="7"/>
    </x:row>
    <x:row r="1281" spans="1:7" x14ac:dyDescent="0.3">
      <x:c r="D1281" s="7"/>
    </x:row>
    <x:row r="1282" spans="1:7" x14ac:dyDescent="0.3">
      <x:c r="D1282" s="7"/>
    </x:row>
    <x:row r="1283" spans="1:7" x14ac:dyDescent="0.3">
      <x:c r="D1283" s="7"/>
    </x:row>
    <x:row r="1284" spans="1:7" x14ac:dyDescent="0.3">
      <x:c r="D1284" s="7"/>
    </x:row>
    <x:row r="1285" spans="1:7" x14ac:dyDescent="0.3">
      <x:c r="D1285" s="7"/>
    </x:row>
    <x:row r="1286" spans="1:7" x14ac:dyDescent="0.3">
      <x:c r="D1286" s="7"/>
    </x:row>
    <x:row r="1287" spans="1:7" x14ac:dyDescent="0.3">
      <x:c r="D1287" s="7"/>
    </x:row>
    <x:row r="1288" spans="1:7" x14ac:dyDescent="0.3">
      <x:c r="D1288" s="7"/>
    </x:row>
    <x:row r="1289" spans="1:7" x14ac:dyDescent="0.3">
      <x:c r="D1289" s="7"/>
    </x:row>
    <x:row r="1290" spans="1:7" x14ac:dyDescent="0.3">
      <x:c r="D1290" s="7"/>
    </x:row>
    <x:row r="1291" spans="1:7" x14ac:dyDescent="0.3">
      <x:c r="D1291" s="7"/>
    </x:row>
    <x:row r="1292" spans="1:7" x14ac:dyDescent="0.3">
      <x:c r="D1292" s="7"/>
    </x:row>
    <x:row r="1293" spans="1:7" x14ac:dyDescent="0.3">
      <x:c r="D1293" s="7"/>
    </x:row>
    <x:row r="1294" spans="1:7" x14ac:dyDescent="0.3">
      <x:c r="D1294" s="7"/>
    </x:row>
    <x:row r="1295" spans="1:7" x14ac:dyDescent="0.3">
      <x:c r="D1295" s="7"/>
    </x:row>
    <x:row r="1296" spans="1:7" x14ac:dyDescent="0.3">
      <x:c r="D1296" s="7"/>
    </x:row>
    <x:row r="1297" spans="1:7" x14ac:dyDescent="0.3">
      <x:c r="D1297" s="7"/>
    </x:row>
    <x:row r="1298" spans="1:7" x14ac:dyDescent="0.3">
      <x:c r="D1298" s="7"/>
    </x:row>
    <x:row r="1299" spans="1:7" x14ac:dyDescent="0.3">
      <x:c r="D1299" s="7"/>
    </x:row>
    <x:row r="1300" spans="1:7" x14ac:dyDescent="0.3">
      <x:c r="D1300" s="7"/>
    </x:row>
    <x:row r="1301" spans="1:7" x14ac:dyDescent="0.3">
      <x:c r="D1301" s="7"/>
    </x:row>
    <x:row r="1302" spans="1:7" x14ac:dyDescent="0.3">
      <x:c r="D1302" s="7"/>
    </x:row>
    <x:row r="1303" spans="1:7" x14ac:dyDescent="0.3">
      <x:c r="D1303" s="7"/>
    </x:row>
    <x:row r="1304" spans="1:7" x14ac:dyDescent="0.3">
      <x:c r="D1304" s="7"/>
    </x:row>
    <x:row r="1305" spans="1:7" x14ac:dyDescent="0.3">
      <x:c r="D1305" s="7"/>
    </x:row>
    <x:row r="1306" spans="1:7" x14ac:dyDescent="0.3">
      <x:c r="D1306" s="7"/>
    </x:row>
    <x:row r="1307" spans="1:7" x14ac:dyDescent="0.3">
      <x:c r="D1307" s="7"/>
    </x:row>
    <x:row r="1308" spans="1:7" x14ac:dyDescent="0.3">
      <x:c r="D1308" s="7"/>
    </x:row>
    <x:row r="1309" spans="1:7" x14ac:dyDescent="0.3">
      <x:c r="D1309" s="7"/>
    </x:row>
    <x:row r="1310" spans="1:7" x14ac:dyDescent="0.3">
      <x:c r="D1310" s="7"/>
    </x:row>
    <x:row r="1311" spans="1:7" x14ac:dyDescent="0.3">
      <x:c r="D1311" s="7"/>
    </x:row>
    <x:row r="1312" spans="1:7" x14ac:dyDescent="0.3">
      <x:c r="D1312" s="7"/>
    </x:row>
    <x:row r="1313" spans="1:7" x14ac:dyDescent="0.3">
      <x:c r="D1313" s="7"/>
    </x:row>
    <x:row r="1314" spans="1:7" x14ac:dyDescent="0.3">
      <x:c r="D1314" s="7"/>
    </x:row>
    <x:row r="1315" spans="1:7" x14ac:dyDescent="0.3">
      <x:c r="D1315" s="7"/>
    </x:row>
    <x:row r="1316" spans="1:7" x14ac:dyDescent="0.3">
      <x:c r="D1316" s="7"/>
    </x:row>
    <x:row r="1317" spans="1:7" x14ac:dyDescent="0.3">
      <x:c r="D1317" s="7"/>
    </x:row>
    <x:row r="1318" spans="1:7" x14ac:dyDescent="0.3">
      <x:c r="D1318" s="7"/>
    </x:row>
    <x:row r="1319" spans="1:7" x14ac:dyDescent="0.3">
      <x:c r="D1319" s="7"/>
    </x:row>
    <x:row r="1320" spans="1:7" x14ac:dyDescent="0.3">
      <x:c r="D1320" s="7"/>
    </x:row>
    <x:row r="1321" spans="1:7" x14ac:dyDescent="0.3">
      <x:c r="D1321" s="7"/>
    </x:row>
    <x:row r="1322" spans="1:7" x14ac:dyDescent="0.3">
      <x:c r="D1322" s="7"/>
    </x:row>
    <x:row r="1323" spans="1:7" x14ac:dyDescent="0.3">
      <x:c r="D1323" s="7"/>
    </x:row>
    <x:row r="1324" spans="1:7" x14ac:dyDescent="0.3">
      <x:c r="D1324" s="7"/>
    </x:row>
    <x:row r="1325" spans="1:7" x14ac:dyDescent="0.3">
      <x:c r="D1325" s="7"/>
    </x:row>
    <x:row r="1326" spans="1:7" x14ac:dyDescent="0.3">
      <x:c r="D1326" s="7"/>
    </x:row>
    <x:row r="1327" spans="1:7" x14ac:dyDescent="0.3">
      <x:c r="D1327" s="7"/>
    </x:row>
    <x:row r="1328" spans="1:7" x14ac:dyDescent="0.3">
      <x:c r="D1328" s="7"/>
    </x:row>
    <x:row r="1329" spans="1:7" x14ac:dyDescent="0.3">
      <x:c r="D1329" s="7"/>
    </x:row>
    <x:row r="1330" spans="1:7" x14ac:dyDescent="0.3">
      <x:c r="D1330" s="7"/>
    </x:row>
    <x:row r="1331" spans="1:7" x14ac:dyDescent="0.3">
      <x:c r="D1331" s="7"/>
    </x:row>
    <x:row r="1332" spans="1:7" x14ac:dyDescent="0.3">
      <x:c r="D1332" s="7"/>
    </x:row>
    <x:row r="1333" spans="1:7" x14ac:dyDescent="0.3">
      <x:c r="D1333" s="7"/>
    </x:row>
    <x:row r="1334" spans="1:7" x14ac:dyDescent="0.3">
      <x:c r="D1334" s="7"/>
    </x:row>
    <x:row r="1335" spans="1:7" x14ac:dyDescent="0.3">
      <x:c r="D1335" s="7"/>
    </x:row>
    <x:row r="1336" spans="1:7" x14ac:dyDescent="0.3">
      <x:c r="D1336" s="7"/>
    </x:row>
    <x:row r="1337" spans="1:7" x14ac:dyDescent="0.3">
      <x:c r="D1337" s="7"/>
    </x:row>
    <x:row r="1338" spans="1:7" x14ac:dyDescent="0.3">
      <x:c r="D1338" s="7"/>
    </x:row>
    <x:row r="1339" spans="1:7" x14ac:dyDescent="0.3">
      <x:c r="D1339" s="7"/>
    </x:row>
    <x:row r="1340" spans="1:7" x14ac:dyDescent="0.3">
      <x:c r="D1340" s="7"/>
    </x:row>
    <x:row r="1341" spans="1:7" x14ac:dyDescent="0.3">
      <x:c r="D1341" s="7"/>
    </x:row>
    <x:row r="1342" spans="1:7" x14ac:dyDescent="0.3">
      <x:c r="D1342" s="7"/>
    </x:row>
    <x:row r="1343" spans="1:7" x14ac:dyDescent="0.3">
      <x:c r="D1343" s="7"/>
    </x:row>
    <x:row r="1344" spans="1:7" x14ac:dyDescent="0.3">
      <x:c r="D1344" s="7"/>
    </x:row>
    <x:row r="1345" spans="1:7" x14ac:dyDescent="0.3">
      <x:c r="D1345" s="7"/>
    </x:row>
    <x:row r="1346" spans="1:7" x14ac:dyDescent="0.3">
      <x:c r="D1346" s="7"/>
    </x:row>
    <x:row r="1347" spans="1:7" x14ac:dyDescent="0.3">
      <x:c r="D1347" s="7"/>
    </x:row>
    <x:row r="1348" spans="1:7" x14ac:dyDescent="0.3">
      <x:c r="D1348" s="7"/>
    </x:row>
    <x:row r="1349" spans="1:7" x14ac:dyDescent="0.3">
      <x:c r="D1349" s="7"/>
    </x:row>
    <x:row r="1350" spans="1:7" x14ac:dyDescent="0.3">
      <x:c r="D1350" s="7"/>
    </x:row>
    <x:row r="1351" spans="1:7" x14ac:dyDescent="0.3">
      <x:c r="D1351" s="7"/>
    </x:row>
    <x:row r="1352" spans="1:7" x14ac:dyDescent="0.3">
      <x:c r="D1352" s="7"/>
    </x:row>
    <x:row r="1353" spans="1:7" x14ac:dyDescent="0.3">
      <x:c r="D1353" s="7"/>
    </x:row>
    <x:row r="1354" spans="1:7" x14ac:dyDescent="0.3">
      <x:c r="D1354" s="7"/>
    </x:row>
    <x:row r="1355" spans="1:7" x14ac:dyDescent="0.3">
      <x:c r="D1355" s="7"/>
    </x:row>
    <x:row r="1356" spans="1:7" x14ac:dyDescent="0.3">
      <x:c r="D1356" s="7"/>
    </x:row>
    <x:row r="1357" spans="1:7" x14ac:dyDescent="0.3">
      <x:c r="D1357" s="7"/>
    </x:row>
    <x:row r="1358" spans="1:7" x14ac:dyDescent="0.3">
      <x:c r="D1358" s="7"/>
    </x:row>
    <x:row r="1359" spans="1:7" x14ac:dyDescent="0.3">
      <x:c r="D1359" s="7"/>
    </x:row>
    <x:row r="1360" spans="1:7" x14ac:dyDescent="0.3">
      <x:c r="D1360" s="7"/>
    </x:row>
    <x:row r="1361" spans="1:7" x14ac:dyDescent="0.3">
      <x:c r="D1361" s="7"/>
    </x:row>
    <x:row r="1362" spans="1:7" x14ac:dyDescent="0.3">
      <x:c r="D1362" s="7"/>
    </x:row>
    <x:row r="1363" spans="1:7" x14ac:dyDescent="0.3">
      <x:c r="D1363" s="7"/>
    </x:row>
    <x:row r="1364" spans="1:7" x14ac:dyDescent="0.3">
      <x:c r="D1364" s="7"/>
    </x:row>
    <x:row r="1365" spans="1:7" x14ac:dyDescent="0.3">
      <x:c r="D1365" s="7"/>
    </x:row>
    <x:row r="1366" spans="1:7" x14ac:dyDescent="0.3">
      <x:c r="D1366" s="7"/>
    </x:row>
    <x:row r="1367" spans="1:7" x14ac:dyDescent="0.3">
      <x:c r="D1367" s="7"/>
    </x:row>
    <x:row r="1368" spans="1:7" x14ac:dyDescent="0.3">
      <x:c r="D1368" s="7"/>
    </x:row>
    <x:row r="1369" spans="1:7" x14ac:dyDescent="0.3">
      <x:c r="D1369" s="7"/>
    </x:row>
    <x:row r="1370" spans="1:7" x14ac:dyDescent="0.3">
      <x:c r="D1370" s="7"/>
    </x:row>
    <x:row r="1371" spans="1:7" x14ac:dyDescent="0.3">
      <x:c r="D1371" s="7"/>
    </x:row>
    <x:row r="1372" spans="1:7" x14ac:dyDescent="0.3">
      <x:c r="D1372" s="7"/>
    </x:row>
    <x:row r="1373" spans="1:7" x14ac:dyDescent="0.3">
      <x:c r="D1373" s="7"/>
    </x:row>
    <x:row r="1374" spans="1:7" x14ac:dyDescent="0.3">
      <x:c r="D1374" s="7"/>
    </x:row>
    <x:row r="1375" spans="1:7" x14ac:dyDescent="0.3">
      <x:c r="D1375" s="7"/>
    </x:row>
    <x:row r="1376" spans="1:7" x14ac:dyDescent="0.3">
      <x:c r="D1376" s="7"/>
    </x:row>
    <x:row r="1377" spans="1:7" x14ac:dyDescent="0.3">
      <x:c r="D1377" s="7"/>
    </x:row>
    <x:row r="1378" spans="1:7" x14ac:dyDescent="0.3">
      <x:c r="D1378" s="7"/>
    </x:row>
    <x:row r="1379" spans="1:7" x14ac:dyDescent="0.3">
      <x:c r="D1379" s="7"/>
    </x:row>
    <x:row r="1380" spans="1:7" x14ac:dyDescent="0.3">
      <x:c r="D1380" s="7"/>
    </x:row>
    <x:row r="1381" spans="1:7" x14ac:dyDescent="0.3">
      <x:c r="D1381" s="7"/>
    </x:row>
    <x:row r="1382" spans="1:7" x14ac:dyDescent="0.3">
      <x:c r="D1382" s="7"/>
    </x:row>
    <x:row r="1383" spans="1:7" x14ac:dyDescent="0.3">
      <x:c r="D1383" s="7"/>
    </x:row>
    <x:row r="1384" spans="1:7" x14ac:dyDescent="0.3">
      <x:c r="D1384" s="7"/>
    </x:row>
    <x:row r="1385" spans="1:7" x14ac:dyDescent="0.3">
      <x:c r="D1385" s="7"/>
    </x:row>
    <x:row r="1386" spans="1:7" x14ac:dyDescent="0.3">
      <x:c r="D1386" s="7"/>
    </x:row>
    <x:row r="1387" spans="1:7" x14ac:dyDescent="0.3">
      <x:c r="D1387" s="7"/>
    </x:row>
    <x:row r="1388" spans="1:7" x14ac:dyDescent="0.3">
      <x:c r="D1388" s="7"/>
    </x:row>
    <x:row r="1389" spans="1:7" x14ac:dyDescent="0.3">
      <x:c r="D1389" s="7"/>
    </x:row>
    <x:row r="1390" spans="1:7" x14ac:dyDescent="0.3">
      <x:c r="D1390" s="7"/>
    </x:row>
    <x:row r="1391" spans="1:7" x14ac:dyDescent="0.3">
      <x:c r="D1391" s="7"/>
    </x:row>
    <x:row r="1392" spans="1:7" x14ac:dyDescent="0.3">
      <x:c r="D1392" s="7"/>
    </x:row>
    <x:row r="1393" spans="1:7" x14ac:dyDescent="0.3">
      <x:c r="D1393" s="7"/>
    </x:row>
    <x:row r="1394" spans="1:7" x14ac:dyDescent="0.3">
      <x:c r="D1394" s="7"/>
    </x:row>
    <x:row r="1395" spans="1:7" x14ac:dyDescent="0.3">
      <x:c r="D1395" s="7"/>
    </x:row>
    <x:row r="1396" spans="1:7" x14ac:dyDescent="0.3">
      <x:c r="D1396" s="7"/>
    </x:row>
    <x:row r="1397" spans="1:7" x14ac:dyDescent="0.3">
      <x:c r="D1397" s="7"/>
    </x:row>
    <x:row r="1398" spans="1:7" x14ac:dyDescent="0.3">
      <x:c r="D1398" s="7"/>
    </x:row>
    <x:row r="1399" spans="1:7" x14ac:dyDescent="0.3">
      <x:c r="D1399" s="7"/>
    </x:row>
    <x:row r="1400" spans="1:7" x14ac:dyDescent="0.3">
      <x:c r="D1400" s="7"/>
    </x:row>
    <x:row r="1401" spans="1:7" x14ac:dyDescent="0.3">
      <x:c r="D1401" s="7"/>
    </x:row>
    <x:row r="1402" spans="1:7" x14ac:dyDescent="0.3">
      <x:c r="D1402" s="7"/>
    </x:row>
    <x:row r="1403" spans="1:7" x14ac:dyDescent="0.3">
      <x:c r="D1403" s="7"/>
    </x:row>
    <x:row r="1404" spans="1:7" x14ac:dyDescent="0.3">
      <x:c r="D1404" s="7"/>
    </x:row>
    <x:row r="1405" spans="1:7" x14ac:dyDescent="0.3">
      <x:c r="D1405" s="7"/>
    </x:row>
    <x:row r="1406" spans="1:7" x14ac:dyDescent="0.3">
      <x:c r="D1406" s="7"/>
    </x:row>
    <x:row r="1407" spans="1:7" x14ac:dyDescent="0.3">
      <x:c r="D1407" s="7"/>
    </x:row>
    <x:row r="1408" spans="1:7" x14ac:dyDescent="0.3">
      <x:c r="D1408" s="7"/>
    </x:row>
    <x:row r="1409" spans="1:7" x14ac:dyDescent="0.3">
      <x:c r="D1409" s="7"/>
    </x:row>
    <x:row r="1410" spans="1:7" x14ac:dyDescent="0.3">
      <x:c r="D1410" s="7"/>
    </x:row>
    <x:row r="1411" spans="1:7" x14ac:dyDescent="0.3">
      <x:c r="D1411" s="7"/>
    </x:row>
    <x:row r="1412" spans="1:7" x14ac:dyDescent="0.3">
      <x:c r="D1412" s="7"/>
    </x:row>
    <x:row r="1413" spans="1:7" x14ac:dyDescent="0.3">
      <x:c r="D1413" s="7"/>
    </x:row>
    <x:row r="1414" spans="1:7" x14ac:dyDescent="0.3">
      <x:c r="D1414" s="7"/>
    </x:row>
    <x:row r="1415" spans="1:7" x14ac:dyDescent="0.3">
      <x:c r="D1415" s="7"/>
    </x:row>
    <x:row r="1416" spans="1:7" x14ac:dyDescent="0.3">
      <x:c r="D1416" s="7"/>
    </x:row>
    <x:row r="1417" spans="1:7" x14ac:dyDescent="0.3">
      <x:c r="D1417" s="7"/>
    </x:row>
    <x:row r="1418" spans="1:7" x14ac:dyDescent="0.3">
      <x:c r="D1418" s="7"/>
    </x:row>
    <x:row r="1419" spans="1:7" x14ac:dyDescent="0.3">
      <x:c r="D1419" s="7"/>
    </x:row>
    <x:row r="1420" spans="1:7" x14ac:dyDescent="0.3">
      <x:c r="D1420" s="7"/>
    </x:row>
    <x:row r="1421" spans="1:7" x14ac:dyDescent="0.3">
      <x:c r="D1421" s="7"/>
    </x:row>
    <x:row r="1422" spans="1:7" x14ac:dyDescent="0.3">
      <x:c r="D1422" s="7"/>
    </x:row>
    <x:row r="1423" spans="1:7" x14ac:dyDescent="0.3">
      <x:c r="D1423" s="7"/>
    </x:row>
    <x:row r="1424" spans="1:7" x14ac:dyDescent="0.3">
      <x:c r="D1424" s="7"/>
    </x:row>
    <x:row r="1425" spans="1:7" x14ac:dyDescent="0.3">
      <x:c r="D1425" s="7"/>
    </x:row>
    <x:row r="1426" spans="1:7" x14ac:dyDescent="0.3">
      <x:c r="D1426" s="7"/>
    </x:row>
    <x:row r="1427" spans="1:7" x14ac:dyDescent="0.3">
      <x:c r="D1427" s="7"/>
    </x:row>
    <x:row r="1428" spans="1:7" x14ac:dyDescent="0.3">
      <x:c r="D1428" s="7"/>
    </x:row>
    <x:row r="1429" spans="1:7" x14ac:dyDescent="0.3">
      <x:c r="D1429" s="7"/>
    </x:row>
    <x:row r="1430" spans="1:7" x14ac:dyDescent="0.3">
      <x:c r="D1430" s="7"/>
    </x:row>
    <x:row r="1431" spans="1:7" x14ac:dyDescent="0.3">
      <x:c r="D1431" s="7"/>
    </x:row>
    <x:row r="1432" spans="1:7" x14ac:dyDescent="0.3">
      <x:c r="D1432" s="7"/>
    </x:row>
    <x:row r="1433" spans="1:7" x14ac:dyDescent="0.3">
      <x:c r="D1433" s="7"/>
    </x:row>
    <x:row r="1434" spans="1:7" x14ac:dyDescent="0.3">
      <x:c r="D1434" s="7"/>
    </x:row>
    <x:row r="1435" spans="1:7" x14ac:dyDescent="0.3">
      <x:c r="D1435" s="7"/>
    </x:row>
    <x:row r="1436" spans="1:7" x14ac:dyDescent="0.3">
      <x:c r="D1436" s="7"/>
    </x:row>
    <x:row r="1437" spans="1:7" x14ac:dyDescent="0.3">
      <x:c r="D1437" s="7"/>
    </x:row>
    <x:row r="1438" spans="1:7" x14ac:dyDescent="0.3">
      <x:c r="D1438" s="7"/>
    </x:row>
    <x:row r="1439" spans="1:7" x14ac:dyDescent="0.3">
      <x:c r="D1439" s="7"/>
    </x:row>
    <x:row r="1440" spans="1:7" x14ac:dyDescent="0.3">
      <x:c r="D1440" s="7"/>
    </x:row>
    <x:row r="1441" spans="1:7" x14ac:dyDescent="0.3">
      <x:c r="D1441" s="7"/>
    </x:row>
    <x:row r="1442" spans="1:7" x14ac:dyDescent="0.3">
      <x:c r="D1442" s="7"/>
    </x:row>
    <x:row r="1443" spans="1:7" x14ac:dyDescent="0.3">
      <x:c r="D1443" s="7"/>
    </x:row>
    <x:row r="1444" spans="1:7" x14ac:dyDescent="0.3">
      <x:c r="D1444" s="7"/>
    </x:row>
    <x:row r="1445" spans="1:7" x14ac:dyDescent="0.3">
      <x:c r="D1445" s="7"/>
    </x:row>
    <x:row r="1446" spans="1:7" x14ac:dyDescent="0.3">
      <x:c r="D1446" s="7"/>
    </x:row>
    <x:row r="1447" spans="1:7" x14ac:dyDescent="0.3">
      <x:c r="D1447" s="7"/>
    </x:row>
    <x:row r="1448" spans="1:7" x14ac:dyDescent="0.3">
      <x:c r="D1448" s="7"/>
    </x:row>
    <x:row r="1449" spans="1:7" x14ac:dyDescent="0.3">
      <x:c r="D1449" s="7"/>
    </x:row>
    <x:row r="1450" spans="1:7" x14ac:dyDescent="0.3">
      <x:c r="D1450" s="7"/>
    </x:row>
    <x:row r="1451" spans="1:7" x14ac:dyDescent="0.3">
      <x:c r="D1451" s="7"/>
    </x:row>
    <x:row r="1452" spans="1:7" x14ac:dyDescent="0.3">
      <x:c r="D1452" s="7"/>
    </x:row>
    <x:row r="1453" spans="1:7" x14ac:dyDescent="0.3">
      <x:c r="D1453" s="7"/>
    </x:row>
    <x:row r="1454" spans="1:7" x14ac:dyDescent="0.3">
      <x:c r="D1454" s="7"/>
    </x:row>
    <x:row r="1455" spans="1:7" x14ac:dyDescent="0.3">
      <x:c r="D1455" s="7"/>
    </x:row>
    <x:row r="1456" spans="1:7" x14ac:dyDescent="0.3">
      <x:c r="D1456" s="7"/>
    </x:row>
    <x:row r="1457" spans="1:7" x14ac:dyDescent="0.3">
      <x:c r="D1457" s="7"/>
    </x:row>
    <x:row r="1458" spans="1:7" x14ac:dyDescent="0.3">
      <x:c r="D1458" s="7"/>
    </x:row>
    <x:row r="1459" spans="1:7" x14ac:dyDescent="0.3">
      <x:c r="D1459" s="7"/>
    </x:row>
    <x:row r="1460" spans="1:7" x14ac:dyDescent="0.3">
      <x:c r="D1460" s="7"/>
    </x:row>
    <x:row r="1461" spans="1:7" x14ac:dyDescent="0.3">
      <x:c r="D1461" s="7"/>
    </x:row>
    <x:row r="1462" spans="1:7" x14ac:dyDescent="0.3">
      <x:c r="D1462" s="7"/>
    </x:row>
    <x:row r="1463" spans="1:7" x14ac:dyDescent="0.3">
      <x:c r="D1463" s="7"/>
    </x:row>
    <x:row r="1464" spans="1:7" x14ac:dyDescent="0.3">
      <x:c r="D1464" s="7"/>
    </x:row>
    <x:row r="1465" spans="1:7" x14ac:dyDescent="0.3">
      <x:c r="D1465" s="7"/>
    </x:row>
    <x:row r="1466" spans="1:7" x14ac:dyDescent="0.3">
      <x:c r="D1466" s="7"/>
    </x:row>
    <x:row r="1467" spans="1:7" x14ac:dyDescent="0.3">
      <x:c r="D1467" s="7"/>
    </x:row>
    <x:row r="1468" spans="1:7" x14ac:dyDescent="0.3">
      <x:c r="D1468" s="7"/>
    </x:row>
    <x:row r="1469" spans="1:7" x14ac:dyDescent="0.3">
      <x:c r="D1469" s="7"/>
    </x:row>
    <x:row r="1470" spans="1:7" x14ac:dyDescent="0.3">
      <x:c r="D1470" s="7"/>
    </x:row>
    <x:row r="1471" spans="1:7" x14ac:dyDescent="0.3">
      <x:c r="D1471" s="7"/>
    </x:row>
    <x:row r="1472" spans="1:7" x14ac:dyDescent="0.3">
      <x:c r="D1472" s="7"/>
    </x:row>
    <x:row r="1473" spans="1:7" x14ac:dyDescent="0.3">
      <x:c r="D1473" s="7"/>
    </x:row>
    <x:row r="1474" spans="1:7" x14ac:dyDescent="0.3">
      <x:c r="D1474" s="7"/>
    </x:row>
    <x:row r="1475" spans="1:7" x14ac:dyDescent="0.3">
      <x:c r="D1475" s="7"/>
    </x:row>
    <x:row r="1476" spans="1:7" x14ac:dyDescent="0.3">
      <x:c r="D1476" s="7"/>
    </x:row>
    <x:row r="1477" spans="1:7" x14ac:dyDescent="0.3">
      <x:c r="D1477" s="7"/>
    </x:row>
    <x:row r="1478" spans="1:7" x14ac:dyDescent="0.3">
      <x:c r="D1478" s="7"/>
    </x:row>
    <x:row r="1479" spans="1:7" x14ac:dyDescent="0.3">
      <x:c r="D1479" s="7"/>
    </x:row>
    <x:row r="1480" spans="1:7" x14ac:dyDescent="0.3">
      <x:c r="D1480" s="7"/>
    </x:row>
    <x:row r="1481" spans="1:7" x14ac:dyDescent="0.3">
      <x:c r="D1481" s="7"/>
    </x:row>
    <x:row r="1482" spans="1:7" x14ac:dyDescent="0.3">
      <x:c r="D1482" s="7"/>
    </x:row>
    <x:row r="1483" spans="1:7" x14ac:dyDescent="0.3">
      <x:c r="D1483" s="7"/>
    </x:row>
    <x:row r="1484" spans="1:7" x14ac:dyDescent="0.3">
      <x:c r="D1484" s="7"/>
    </x:row>
    <x:row r="1485" spans="1:7" x14ac:dyDescent="0.3">
      <x:c r="D1485" s="7"/>
    </x:row>
    <x:row r="1486" spans="1:7" x14ac:dyDescent="0.3">
      <x:c r="D1486" s="7"/>
    </x:row>
    <x:row r="1487" spans="1:7" x14ac:dyDescent="0.3">
      <x:c r="D1487" s="7"/>
    </x:row>
    <x:row r="1488" spans="1:7" x14ac:dyDescent="0.3">
      <x:c r="D1488" s="7"/>
    </x:row>
    <x:row r="1489" spans="1:7" x14ac:dyDescent="0.3">
      <x:c r="D1489" s="7"/>
    </x:row>
    <x:row r="1490" spans="1:7" x14ac:dyDescent="0.3">
      <x:c r="D1490" s="7"/>
    </x:row>
    <x:row r="1491" spans="1:7" x14ac:dyDescent="0.3">
      <x:c r="D1491" s="7"/>
    </x:row>
    <x:row r="1492" spans="1:7" x14ac:dyDescent="0.3">
      <x:c r="D1492" s="7"/>
    </x:row>
    <x:row r="1493" spans="1:7" x14ac:dyDescent="0.3">
      <x:c r="D1493" s="7"/>
    </x:row>
    <x:row r="1494" spans="1:7" x14ac:dyDescent="0.3">
      <x:c r="D1494" s="7"/>
    </x:row>
    <x:row r="1495" spans="1:7" x14ac:dyDescent="0.3">
      <x:c r="D1495" s="7"/>
    </x:row>
    <x:row r="1496" spans="1:7" x14ac:dyDescent="0.3">
      <x:c r="D1496" s="7"/>
    </x:row>
    <x:row r="1497" spans="1:7" x14ac:dyDescent="0.3">
      <x:c r="D1497" s="7"/>
    </x:row>
    <x:row r="1498" spans="1:7" x14ac:dyDescent="0.3">
      <x:c r="D1498" s="7"/>
    </x:row>
    <x:row r="1499" spans="1:7" x14ac:dyDescent="0.3">
      <x:c r="D1499" s="7"/>
    </x:row>
    <x:row r="1500" spans="1:7" x14ac:dyDescent="0.3">
      <x:c r="D1500" s="7"/>
    </x:row>
    <x:row r="1501" spans="1:7" x14ac:dyDescent="0.3">
      <x:c r="D1501" s="7"/>
    </x:row>
    <x:row r="1502" spans="1:7" x14ac:dyDescent="0.3">
      <x:c r="D1502" s="7"/>
    </x:row>
    <x:row r="1503" spans="1:7" x14ac:dyDescent="0.3">
      <x:c r="D1503" s="7"/>
    </x:row>
    <x:row r="1504" spans="1:7" x14ac:dyDescent="0.3">
      <x:c r="D1504" s="7"/>
    </x:row>
    <x:row r="1505" spans="1:7" x14ac:dyDescent="0.3">
      <x:c r="D1505" s="7"/>
    </x:row>
    <x:row r="1506" spans="1:7" x14ac:dyDescent="0.3">
      <x:c r="D1506" s="7"/>
    </x:row>
    <x:row r="1507" spans="1:7" x14ac:dyDescent="0.3">
      <x:c r="D1507" s="7"/>
    </x:row>
    <x:row r="1508" spans="1:7" x14ac:dyDescent="0.3">
      <x:c r="D1508" s="7"/>
    </x:row>
    <x:row r="1509" spans="1:7" x14ac:dyDescent="0.3">
      <x:c r="D1509" s="7"/>
    </x:row>
    <x:row r="1510" spans="1:7" x14ac:dyDescent="0.3">
      <x:c r="D1510" s="7"/>
    </x:row>
    <x:row r="1511" spans="1:7" x14ac:dyDescent="0.3">
      <x:c r="D1511" s="7"/>
    </x:row>
    <x:row r="1512" spans="1:7" x14ac:dyDescent="0.3">
      <x:c r="D1512" s="7"/>
    </x:row>
    <x:row r="1513" spans="1:7" x14ac:dyDescent="0.3">
      <x:c r="D1513" s="7"/>
    </x:row>
    <x:row r="1514" spans="1:7" x14ac:dyDescent="0.3">
      <x:c r="D1514" s="7"/>
    </x:row>
    <x:row r="1515" spans="1:7" x14ac:dyDescent="0.3">
      <x:c r="D1515" s="7"/>
    </x:row>
    <x:row r="1516" spans="1:7" x14ac:dyDescent="0.3">
      <x:c r="D1516" s="7"/>
    </x:row>
    <x:row r="1517" spans="1:7" x14ac:dyDescent="0.3">
      <x:c r="B1517" s="20"/>
      <x:c r="C1517" s="20"/>
      <x:c r="D1517" s="7"/>
    </x:row>
    <x:row r="1518" spans="1:7" x14ac:dyDescent="0.3">
      <x:c r="D1518" s="7"/>
    </x:row>
    <x:row r="1519" spans="1:7" x14ac:dyDescent="0.3">
      <x:c r="D1519" s="7"/>
    </x:row>
    <x:row r="1520" spans="1:7" x14ac:dyDescent="0.3">
      <x:c r="D1520" s="7"/>
    </x:row>
    <x:row r="1521" spans="1:7" x14ac:dyDescent="0.3">
      <x:c r="D1521" s="7"/>
    </x:row>
    <x:row r="1522" spans="1:7" x14ac:dyDescent="0.3">
      <x:c r="D1522" s="7"/>
    </x:row>
    <x:row r="1523" spans="1:7" x14ac:dyDescent="0.3">
      <x:c r="D1523" s="7"/>
    </x:row>
    <x:row r="1524" spans="1:7" x14ac:dyDescent="0.3">
      <x:c r="D1524" s="7"/>
    </x:row>
    <x:row r="1525" spans="1:7" x14ac:dyDescent="0.3">
      <x:c r="B1525" s="20"/>
      <x:c r="C1525" s="20"/>
      <x:c r="D1525" s="7"/>
    </x:row>
    <x:row r="1526" spans="1:7" x14ac:dyDescent="0.3">
      <x:c r="D1526" s="7"/>
    </x:row>
    <x:row r="1527" spans="1:7" x14ac:dyDescent="0.3">
      <x:c r="D1527" s="7"/>
    </x:row>
    <x:row r="1528" spans="1:7" x14ac:dyDescent="0.3">
      <x:c r="D1528" s="7"/>
    </x:row>
    <x:row r="1529" spans="1:7" x14ac:dyDescent="0.3">
      <x:c r="D1529" s="7"/>
    </x:row>
    <x:row r="1530" spans="1:7" x14ac:dyDescent="0.3">
      <x:c r="D1530" s="7"/>
    </x:row>
    <x:row r="1531" spans="1:7" x14ac:dyDescent="0.3">
      <x:c r="D1531" s="7"/>
    </x:row>
    <x:row r="1532" spans="1:7" x14ac:dyDescent="0.3">
      <x:c r="D1532" s="7"/>
    </x:row>
    <x:row r="1533" spans="1:7" x14ac:dyDescent="0.3">
      <x:c r="D1533" s="7"/>
    </x:row>
    <x:row r="1534" spans="1:7" x14ac:dyDescent="0.3">
      <x:c r="D1534" s="7"/>
    </x:row>
    <x:row r="1535" spans="1:7" x14ac:dyDescent="0.3">
      <x:c r="D1535" s="7"/>
    </x:row>
    <x:row r="1536" spans="1:7" x14ac:dyDescent="0.3">
      <x:c r="D1536" s="7"/>
    </x:row>
    <x:row r="1537" spans="1:7" x14ac:dyDescent="0.3">
      <x:c r="D1537" s="7"/>
    </x:row>
    <x:row r="1538" spans="1:7" x14ac:dyDescent="0.3">
      <x:c r="D1538" s="7"/>
    </x:row>
    <x:row r="1539" spans="1:7" x14ac:dyDescent="0.3">
      <x:c r="D1539" s="7"/>
    </x:row>
    <x:row r="1540" spans="1:7" x14ac:dyDescent="0.3">
      <x:c r="D1540" s="7"/>
    </x:row>
    <x:row r="1541" spans="1:7" x14ac:dyDescent="0.3">
      <x:c r="D1541" s="7"/>
    </x:row>
    <x:row r="1542" spans="1:7" x14ac:dyDescent="0.3">
      <x:c r="D1542" s="7"/>
    </x:row>
    <x:row r="1543" spans="1:7" x14ac:dyDescent="0.3">
      <x:c r="D1543" s="7"/>
    </x:row>
    <x:row r="1544" spans="1:7" x14ac:dyDescent="0.3">
      <x:c r="D1544" s="7"/>
    </x:row>
    <x:row r="1545" spans="1:7" x14ac:dyDescent="0.3">
      <x:c r="D1545" s="7"/>
    </x:row>
    <x:row r="1546" spans="1:7" x14ac:dyDescent="0.3">
      <x:c r="D1546" s="7"/>
    </x:row>
    <x:row r="1547" spans="1:7" x14ac:dyDescent="0.3">
      <x:c r="D1547" s="7"/>
    </x:row>
    <x:row r="1548" spans="1:7" x14ac:dyDescent="0.3">
      <x:c r="D1548" s="7"/>
    </x:row>
    <x:row r="1549" spans="1:7" x14ac:dyDescent="0.3">
      <x:c r="D1549" s="7"/>
    </x:row>
    <x:row r="1550" spans="1:7" x14ac:dyDescent="0.3">
      <x:c r="D1550" s="7"/>
    </x:row>
    <x:row r="1551" spans="1:7" x14ac:dyDescent="0.3">
      <x:c r="D1551" s="7"/>
    </x:row>
    <x:row r="1552" spans="1:7" x14ac:dyDescent="0.3">
      <x:c r="D1552" s="7"/>
    </x:row>
    <x:row r="1553" spans="1:7" x14ac:dyDescent="0.3">
      <x:c r="D1553" s="7"/>
    </x:row>
    <x:row r="1554" spans="1:7" x14ac:dyDescent="0.3">
      <x:c r="D1554" s="7"/>
    </x:row>
    <x:row r="1555" spans="1:7" x14ac:dyDescent="0.3">
      <x:c r="D1555" s="7"/>
    </x:row>
    <x:row r="1556" spans="1:7" x14ac:dyDescent="0.3">
      <x:c r="D1556" s="7"/>
    </x:row>
    <x:row r="1557" spans="1:7" x14ac:dyDescent="0.3">
      <x:c r="D1557" s="7"/>
    </x:row>
    <x:row r="1558" spans="1:7" x14ac:dyDescent="0.3">
      <x:c r="D1558" s="7"/>
    </x:row>
    <x:row r="1559" spans="1:7" x14ac:dyDescent="0.3">
      <x:c r="D1559" s="7"/>
    </x:row>
    <x:row r="1560" spans="1:7" x14ac:dyDescent="0.3">
      <x:c r="D1560" s="7"/>
    </x:row>
    <x:row r="1561" spans="1:7" x14ac:dyDescent="0.3">
      <x:c r="D1561" s="7"/>
    </x:row>
    <x:row r="1562" spans="1:7" x14ac:dyDescent="0.3">
      <x:c r="D1562" s="7"/>
    </x:row>
    <x:row r="1563" spans="1:7" x14ac:dyDescent="0.3">
      <x:c r="D1563" s="7"/>
    </x:row>
    <x:row r="1564" spans="1:7" x14ac:dyDescent="0.3">
      <x:c r="D1564" s="7"/>
    </x:row>
    <x:row r="1565" spans="1:7" x14ac:dyDescent="0.3">
      <x:c r="D1565" s="7"/>
    </x:row>
    <x:row r="1566" spans="1:7" x14ac:dyDescent="0.3">
      <x:c r="D1566" s="7"/>
    </x:row>
    <x:row r="1567" spans="1:7" x14ac:dyDescent="0.3">
      <x:c r="D1567" s="7"/>
    </x:row>
    <x:row r="1568" spans="1:7" x14ac:dyDescent="0.3">
      <x:c r="D1568" s="7"/>
    </x:row>
    <x:row r="1569" spans="1:7" x14ac:dyDescent="0.3">
      <x:c r="D1569" s="7"/>
    </x:row>
    <x:row r="1570" spans="1:7" x14ac:dyDescent="0.3">
      <x:c r="D1570" s="7"/>
    </x:row>
    <x:row r="1571" spans="1:7" x14ac:dyDescent="0.3">
      <x:c r="D1571" s="7"/>
    </x:row>
    <x:row r="1572" spans="1:7" x14ac:dyDescent="0.3">
      <x:c r="D1572" s="7"/>
    </x:row>
    <x:row r="1573" spans="1:7" x14ac:dyDescent="0.3">
      <x:c r="D1573" s="7"/>
    </x:row>
    <x:row r="1574" spans="1:7" x14ac:dyDescent="0.3">
      <x:c r="D1574" s="7"/>
    </x:row>
    <x:row r="1575" spans="1:7" x14ac:dyDescent="0.3">
      <x:c r="D1575" s="7"/>
    </x:row>
    <x:row r="1576" spans="1:7" x14ac:dyDescent="0.3">
      <x:c r="D1576" s="7"/>
    </x:row>
    <x:row r="1577" spans="1:7" x14ac:dyDescent="0.3">
      <x:c r="D1577" s="7"/>
    </x:row>
    <x:row r="1578" spans="1:7" x14ac:dyDescent="0.3">
      <x:c r="D1578" s="7"/>
    </x:row>
    <x:row r="1579" spans="1:7" x14ac:dyDescent="0.3">
      <x:c r="D1579" s="7"/>
    </x:row>
    <x:row r="1580" spans="1:7" x14ac:dyDescent="0.3">
      <x:c r="D1580" s="7"/>
    </x:row>
    <x:row r="1581" spans="1:7" x14ac:dyDescent="0.3">
      <x:c r="D1581" s="7"/>
    </x:row>
    <x:row r="1582" spans="1:7" x14ac:dyDescent="0.3">
      <x:c r="D1582" s="7"/>
    </x:row>
    <x:row r="1583" spans="1:7" x14ac:dyDescent="0.3">
      <x:c r="D1583" s="7"/>
    </x:row>
    <x:row r="1584" spans="1:7" x14ac:dyDescent="0.3">
      <x:c r="D1584" s="7"/>
    </x:row>
    <x:row r="1585" spans="1:7" x14ac:dyDescent="0.3">
      <x:c r="D1585" s="7"/>
    </x:row>
    <x:row r="1586" spans="1:7" x14ac:dyDescent="0.3">
      <x:c r="D1586" s="7"/>
    </x:row>
    <x:row r="1587" spans="1:7" x14ac:dyDescent="0.3">
      <x:c r="D1587" s="7"/>
    </x:row>
    <x:row r="1588" spans="1:7" x14ac:dyDescent="0.3">
      <x:c r="D1588" s="7"/>
    </x:row>
    <x:row r="1589" spans="1:7" x14ac:dyDescent="0.3">
      <x:c r="D1589" s="7"/>
    </x:row>
    <x:row r="1590" spans="1:7" x14ac:dyDescent="0.3">
      <x:c r="D1590" s="7"/>
    </x:row>
    <x:row r="1591" spans="1:7" x14ac:dyDescent="0.3">
      <x:c r="D1591" s="7"/>
    </x:row>
    <x:row r="1592" spans="1:7" x14ac:dyDescent="0.3">
      <x:c r="D1592" s="7"/>
    </x:row>
    <x:row r="1593" spans="1:7" x14ac:dyDescent="0.3">
      <x:c r="D1593" s="7"/>
    </x:row>
    <x:row r="1594" spans="1:7" x14ac:dyDescent="0.3">
      <x:c r="D1594" s="7"/>
    </x:row>
    <x:row r="1595" spans="1:7" x14ac:dyDescent="0.3">
      <x:c r="D1595" s="7"/>
    </x:row>
    <x:row r="1596" spans="1:7" x14ac:dyDescent="0.3">
      <x:c r="D1596" s="7"/>
    </x:row>
    <x:row r="1597" spans="1:7" x14ac:dyDescent="0.3">
      <x:c r="D1597" s="7"/>
    </x:row>
    <x:row r="1598" spans="1:7" x14ac:dyDescent="0.3">
      <x:c r="D1598" s="7"/>
    </x:row>
    <x:row r="1599" spans="1:7" x14ac:dyDescent="0.3">
      <x:c r="D1599" s="7"/>
    </x:row>
    <x:row r="1600" spans="1:7" x14ac:dyDescent="0.3">
      <x:c r="D1600" s="7"/>
    </x:row>
    <x:row r="1601" spans="1:7" x14ac:dyDescent="0.3">
      <x:c r="D1601" s="7"/>
    </x:row>
    <x:row r="1602" spans="1:7" x14ac:dyDescent="0.3">
      <x:c r="D1602" s="7"/>
    </x:row>
    <x:row r="1603" spans="1:7" x14ac:dyDescent="0.3">
      <x:c r="D1603" s="7"/>
    </x:row>
    <x:row r="1604" spans="1:7" x14ac:dyDescent="0.3">
      <x:c r="D1604" s="7"/>
    </x:row>
    <x:row r="1605" spans="1:7" x14ac:dyDescent="0.3">
      <x:c r="D1605" s="7"/>
    </x:row>
    <x:row r="1606" spans="1:7" x14ac:dyDescent="0.3">
      <x:c r="D1606" s="7"/>
    </x:row>
    <x:row r="1607" spans="1:7" x14ac:dyDescent="0.3">
      <x:c r="D1607" s="7"/>
    </x:row>
    <x:row r="1608" spans="1:7" x14ac:dyDescent="0.3">
      <x:c r="D1608" s="7"/>
    </x:row>
    <x:row r="1609" spans="1:7" x14ac:dyDescent="0.3">
      <x:c r="D1609" s="7"/>
    </x:row>
    <x:row r="1610" spans="1:7" x14ac:dyDescent="0.3">
      <x:c r="D1610" s="7"/>
    </x:row>
    <x:row r="1611" spans="1:7" x14ac:dyDescent="0.3">
      <x:c r="D1611" s="7"/>
    </x:row>
    <x:row r="1612" spans="1:7" x14ac:dyDescent="0.3">
      <x:c r="D1612" s="7"/>
    </x:row>
    <x:row r="1613" spans="1:7" x14ac:dyDescent="0.3">
      <x:c r="D1613" s="7"/>
    </x:row>
    <x:row r="1614" spans="1:7" x14ac:dyDescent="0.3">
      <x:c r="D1614" s="7"/>
    </x:row>
    <x:row r="1615" spans="1:7" x14ac:dyDescent="0.3">
      <x:c r="D1615" s="7"/>
    </x:row>
    <x:row r="1616" spans="1:7" x14ac:dyDescent="0.3">
      <x:c r="D1616" s="7"/>
    </x:row>
    <x:row r="1617" spans="1:7" x14ac:dyDescent="0.3">
      <x:c r="D1617" s="7"/>
    </x:row>
    <x:row r="1618" spans="1:7" x14ac:dyDescent="0.3">
      <x:c r="D1618" s="7"/>
    </x:row>
    <x:row r="1619" spans="1:7" x14ac:dyDescent="0.3">
      <x:c r="D1619" s="7"/>
    </x:row>
    <x:row r="1620" spans="1:7" x14ac:dyDescent="0.3">
      <x:c r="D1620" s="7"/>
    </x:row>
    <x:row r="1621" spans="1:7" x14ac:dyDescent="0.3">
      <x:c r="D1621" s="7"/>
    </x:row>
    <x:row r="1622" spans="1:7" x14ac:dyDescent="0.3">
      <x:c r="D1622" s="7"/>
    </x:row>
    <x:row r="1623" spans="1:7" x14ac:dyDescent="0.3">
      <x:c r="D1623" s="7"/>
    </x:row>
    <x:row r="1624" spans="1:7" x14ac:dyDescent="0.3">
      <x:c r="D1624" s="7"/>
    </x:row>
    <x:row r="1625" spans="1:7" x14ac:dyDescent="0.3">
      <x:c r="D1625" s="7"/>
    </x:row>
    <x:row r="1626" spans="1:7" x14ac:dyDescent="0.3">
      <x:c r="D1626" s="7"/>
    </x:row>
    <x:row r="1627" spans="1:7" x14ac:dyDescent="0.3">
      <x:c r="D1627" s="7"/>
    </x:row>
    <x:row r="1628" spans="1:7" x14ac:dyDescent="0.3">
      <x:c r="D1628" s="7"/>
    </x:row>
    <x:row r="1629" spans="1:7" x14ac:dyDescent="0.3">
      <x:c r="D1629" s="7"/>
    </x:row>
    <x:row r="1630" spans="1:7" x14ac:dyDescent="0.3">
      <x:c r="D1630" s="7"/>
    </x:row>
    <x:row r="1631" spans="1:7" x14ac:dyDescent="0.3">
      <x:c r="D1631" s="7"/>
    </x:row>
    <x:row r="1632" spans="1:7" x14ac:dyDescent="0.3">
      <x:c r="D1632" s="7"/>
    </x:row>
    <x:row r="1633" spans="1:7" x14ac:dyDescent="0.3">
      <x:c r="D1633" s="7"/>
    </x:row>
    <x:row r="1634" spans="1:7" x14ac:dyDescent="0.3">
      <x:c r="D1634" s="7"/>
    </x:row>
    <x:row r="1635" spans="1:7" x14ac:dyDescent="0.3">
      <x:c r="D1635" s="7"/>
    </x:row>
    <x:row r="1636" spans="1:7" x14ac:dyDescent="0.3">
      <x:c r="D1636" s="7"/>
    </x:row>
    <x:row r="1637" spans="1:7" x14ac:dyDescent="0.3">
      <x:c r="D1637" s="7"/>
    </x:row>
    <x:row r="1638" spans="1:7" x14ac:dyDescent="0.3">
      <x:c r="D1638" s="7"/>
    </x:row>
    <x:row r="1639" spans="1:7" x14ac:dyDescent="0.3">
      <x:c r="D1639" s="7"/>
    </x:row>
    <x:row r="1640" spans="1:7" x14ac:dyDescent="0.3">
      <x:c r="D1640" s="7"/>
    </x:row>
    <x:row r="1641" spans="1:7" x14ac:dyDescent="0.3">
      <x:c r="D1641" s="7"/>
    </x:row>
    <x:row r="1642" spans="1:7" x14ac:dyDescent="0.3">
      <x:c r="D1642" s="7"/>
    </x:row>
    <x:row r="1643" spans="1:7" x14ac:dyDescent="0.3">
      <x:c r="D1643" s="7"/>
    </x:row>
    <x:row r="1644" spans="1:7" x14ac:dyDescent="0.3">
      <x:c r="D1644" s="7"/>
    </x:row>
    <x:row r="1645" spans="1:7" x14ac:dyDescent="0.3">
      <x:c r="D1645" s="7"/>
    </x:row>
    <x:row r="1646" spans="1:7" x14ac:dyDescent="0.3">
      <x:c r="D1646" s="7"/>
    </x:row>
    <x:row r="1647" spans="1:7" x14ac:dyDescent="0.3">
      <x:c r="D1647" s="7"/>
    </x:row>
    <x:row r="1648" spans="1:7" x14ac:dyDescent="0.3">
      <x:c r="D1648" s="7"/>
    </x:row>
    <x:row r="1649" spans="1:7" x14ac:dyDescent="0.3">
      <x:c r="D1649" s="7"/>
    </x:row>
    <x:row r="1650" spans="1:7" x14ac:dyDescent="0.3">
      <x:c r="D1650" s="7"/>
    </x:row>
    <x:row r="1651" spans="1:7" x14ac:dyDescent="0.3">
      <x:c r="D1651" s="7"/>
    </x:row>
    <x:row r="1652" spans="1:7" x14ac:dyDescent="0.3">
      <x:c r="D1652" s="7"/>
    </x:row>
    <x:row r="1653" spans="1:7" x14ac:dyDescent="0.3">
      <x:c r="D1653" s="7"/>
    </x:row>
    <x:row r="1654" spans="1:7" x14ac:dyDescent="0.3">
      <x:c r="D1654" s="7"/>
    </x:row>
    <x:row r="1655" spans="1:7" x14ac:dyDescent="0.3">
      <x:c r="D1655" s="7"/>
    </x:row>
    <x:row r="1656" spans="1:7" x14ac:dyDescent="0.3">
      <x:c r="D1656" s="7"/>
    </x:row>
    <x:row r="1657" spans="1:7" x14ac:dyDescent="0.3">
      <x:c r="D1657" s="7"/>
    </x:row>
    <x:row r="1658" spans="1:7" x14ac:dyDescent="0.3">
      <x:c r="D1658" s="7"/>
    </x:row>
    <x:row r="1659" spans="1:7" x14ac:dyDescent="0.3">
      <x:c r="D1659" s="7"/>
    </x:row>
    <x:row r="1660" spans="1:7" x14ac:dyDescent="0.3">
      <x:c r="D1660" s="7"/>
    </x:row>
    <x:row r="1661" spans="1:7" x14ac:dyDescent="0.3">
      <x:c r="D1661" s="7"/>
    </x:row>
    <x:row r="1662" spans="1:7" x14ac:dyDescent="0.3">
      <x:c r="D1662" s="7"/>
    </x:row>
    <x:row r="1663" spans="1:7" x14ac:dyDescent="0.3">
      <x:c r="D1663" s="7"/>
    </x:row>
    <x:row r="1664" spans="1:7" x14ac:dyDescent="0.3">
      <x:c r="D1664" s="7"/>
    </x:row>
    <x:row r="1665" spans="1:7" x14ac:dyDescent="0.3">
      <x:c r="D1665" s="7"/>
    </x:row>
    <x:row r="1666" spans="1:7" x14ac:dyDescent="0.3">
      <x:c r="D1666" s="7"/>
    </x:row>
    <x:row r="1667" spans="1:7" x14ac:dyDescent="0.3">
      <x:c r="D1667" s="7"/>
    </x:row>
    <x:row r="1668" spans="1:7" x14ac:dyDescent="0.3">
      <x:c r="D1668" s="7"/>
    </x:row>
    <x:row r="1669" spans="1:7" x14ac:dyDescent="0.3">
      <x:c r="D1669" s="7"/>
    </x:row>
    <x:row r="1670" spans="1:7" x14ac:dyDescent="0.3">
      <x:c r="D1670" s="7"/>
    </x:row>
    <x:row r="1671" spans="1:7" x14ac:dyDescent="0.3">
      <x:c r="D1671" s="7"/>
    </x:row>
    <x:row r="1672" spans="1:7" x14ac:dyDescent="0.3">
      <x:c r="D1672" s="7"/>
    </x:row>
    <x:row r="1673" spans="1:7" x14ac:dyDescent="0.3">
      <x:c r="D1673" s="7"/>
    </x:row>
    <x:row r="1674" spans="1:7" x14ac:dyDescent="0.3">
      <x:c r="D1674" s="7"/>
    </x:row>
    <x:row r="1675" spans="1:7" x14ac:dyDescent="0.3">
      <x:c r="D1675" s="7"/>
    </x:row>
    <x:row r="1676" spans="1:7" x14ac:dyDescent="0.3">
      <x:c r="D1676" s="7"/>
    </x:row>
    <x:row r="1677" spans="1:7" x14ac:dyDescent="0.3">
      <x:c r="D1677" s="7"/>
    </x:row>
    <x:row r="1678" spans="1:7" x14ac:dyDescent="0.3">
      <x:c r="D1678" s="7"/>
    </x:row>
    <x:row r="1679" spans="1:7" x14ac:dyDescent="0.3">
      <x:c r="D1679" s="7"/>
    </x:row>
    <x:row r="1680" spans="1:7" x14ac:dyDescent="0.3">
      <x:c r="D1680" s="7"/>
    </x:row>
    <x:row r="1681" spans="1:7" x14ac:dyDescent="0.3">
      <x:c r="D1681" s="7"/>
    </x:row>
    <x:row r="1682" spans="1:7" x14ac:dyDescent="0.3">
      <x:c r="D1682" s="7"/>
    </x:row>
    <x:row r="1683" spans="1:7" x14ac:dyDescent="0.3">
      <x:c r="D1683" s="7"/>
    </x:row>
    <x:row r="1684" spans="1:7" x14ac:dyDescent="0.3">
      <x:c r="D1684" s="7"/>
    </x:row>
    <x:row r="1685" spans="1:7" x14ac:dyDescent="0.3">
      <x:c r="D1685" s="7"/>
    </x:row>
    <x:row r="1686" spans="1:7" x14ac:dyDescent="0.3">
      <x:c r="D1686" s="7"/>
    </x:row>
    <x:row r="1687" spans="1:7" x14ac:dyDescent="0.3">
      <x:c r="D1687" s="7"/>
    </x:row>
    <x:row r="1688" spans="1:7" x14ac:dyDescent="0.3">
      <x:c r="D1688" s="7"/>
    </x:row>
    <x:row r="1689" spans="1:7" x14ac:dyDescent="0.3">
      <x:c r="D1689" s="7"/>
    </x:row>
    <x:row r="1690" spans="1:7" x14ac:dyDescent="0.3">
      <x:c r="D1690" s="7"/>
    </x:row>
    <x:row r="1691" spans="1:7" x14ac:dyDescent="0.3">
      <x:c r="D1691" s="7"/>
    </x:row>
    <x:row r="1692" spans="1:7" x14ac:dyDescent="0.3">
      <x:c r="D1692" s="7"/>
    </x:row>
    <x:row r="1693" spans="1:7" x14ac:dyDescent="0.3">
      <x:c r="D1693" s="7"/>
    </x:row>
    <x:row r="1694" spans="1:7" x14ac:dyDescent="0.3">
      <x:c r="D1694" s="7"/>
    </x:row>
    <x:row r="1695" spans="1:7" x14ac:dyDescent="0.3">
      <x:c r="D1695" s="7"/>
    </x:row>
    <x:row r="1696" spans="1:7" x14ac:dyDescent="0.3">
      <x:c r="D1696" s="7"/>
    </x:row>
    <x:row r="1697" spans="1:7" x14ac:dyDescent="0.3">
      <x:c r="D1697" s="7"/>
    </x:row>
    <x:row r="1698" spans="1:7" x14ac:dyDescent="0.3">
      <x:c r="D1698" s="7"/>
    </x:row>
    <x:row r="1699" spans="1:7" x14ac:dyDescent="0.3">
      <x:c r="D1699" s="7"/>
    </x:row>
    <x:row r="1700" spans="1:7" x14ac:dyDescent="0.3">
      <x:c r="D1700" s="7"/>
    </x:row>
    <x:row r="1701" spans="1:7" x14ac:dyDescent="0.3">
      <x:c r="D1701" s="7"/>
    </x:row>
    <x:row r="1702" spans="1:7" x14ac:dyDescent="0.3">
      <x:c r="D1702" s="7"/>
    </x:row>
    <x:row r="1703" spans="1:7" x14ac:dyDescent="0.3">
      <x:c r="D1703" s="7"/>
    </x:row>
    <x:row r="1704" spans="1:7" x14ac:dyDescent="0.3">
      <x:c r="D1704" s="7"/>
    </x:row>
    <x:row r="1705" spans="1:7" x14ac:dyDescent="0.3">
      <x:c r="D1705" s="7"/>
    </x:row>
    <x:row r="1706" spans="1:7" x14ac:dyDescent="0.3">
      <x:c r="D1706" s="7"/>
    </x:row>
    <x:row r="1707" spans="1:7" x14ac:dyDescent="0.3">
      <x:c r="D1707" s="7"/>
    </x:row>
    <x:row r="1708" spans="1:7" x14ac:dyDescent="0.3">
      <x:c r="D1708" s="7"/>
    </x:row>
    <x:row r="1709" spans="1:7" x14ac:dyDescent="0.3">
      <x:c r="D1709" s="7"/>
    </x:row>
    <x:row r="1710" spans="1:7" x14ac:dyDescent="0.3">
      <x:c r="D1710" s="7"/>
    </x:row>
    <x:row r="1711" spans="1:7" x14ac:dyDescent="0.3">
      <x:c r="D1711" s="7"/>
    </x:row>
    <x:row r="1712" spans="1:7" x14ac:dyDescent="0.3">
      <x:c r="D1712" s="7"/>
    </x:row>
    <x:row r="1713" spans="1:7" x14ac:dyDescent="0.3">
      <x:c r="D1713" s="7"/>
    </x:row>
    <x:row r="1714" spans="1:7" x14ac:dyDescent="0.3">
      <x:c r="D1714" s="7"/>
    </x:row>
    <x:row r="1715" spans="1:7" x14ac:dyDescent="0.3">
      <x:c r="D1715" s="7"/>
    </x:row>
    <x:row r="1716" spans="1:7" x14ac:dyDescent="0.3">
      <x:c r="D1716" s="7"/>
    </x:row>
    <x:row r="1717" spans="1:7" x14ac:dyDescent="0.3">
      <x:c r="D1717" s="7"/>
    </x:row>
    <x:row r="1718" spans="1:7" x14ac:dyDescent="0.3">
      <x:c r="D1718" s="7"/>
    </x:row>
    <x:row r="1719" spans="1:7" x14ac:dyDescent="0.3">
      <x:c r="D1719" s="7"/>
    </x:row>
    <x:row r="1720" spans="1:7" x14ac:dyDescent="0.3">
      <x:c r="D1720" s="7"/>
    </x:row>
    <x:row r="1721" spans="1:7" x14ac:dyDescent="0.3">
      <x:c r="D1721" s="7"/>
    </x:row>
    <x:row r="1722" spans="1:7" x14ac:dyDescent="0.3">
      <x:c r="D1722" s="7"/>
    </x:row>
    <x:row r="1723" spans="1:7" x14ac:dyDescent="0.3">
      <x:c r="D1723" s="7"/>
    </x:row>
    <x:row r="1724" spans="1:7" x14ac:dyDescent="0.3">
      <x:c r="D1724" s="7"/>
    </x:row>
    <x:row r="1725" spans="1:7" x14ac:dyDescent="0.3">
      <x:c r="D1725" s="7"/>
    </x:row>
    <x:row r="1726" spans="1:7" x14ac:dyDescent="0.3">
      <x:c r="D1726" s="7"/>
    </x:row>
    <x:row r="1727" spans="1:7" x14ac:dyDescent="0.3">
      <x:c r="D1727" s="7"/>
    </x:row>
    <x:row r="1728" spans="1:7" x14ac:dyDescent="0.3">
      <x:c r="D1728" s="7"/>
    </x:row>
    <x:row r="1729" spans="1:7" x14ac:dyDescent="0.3">
      <x:c r="D1729" s="7"/>
    </x:row>
    <x:row r="1730" spans="1:7" x14ac:dyDescent="0.3">
      <x:c r="D1730" s="7"/>
    </x:row>
    <x:row r="1731" spans="1:7" x14ac:dyDescent="0.3">
      <x:c r="D1731" s="7"/>
    </x:row>
    <x:row r="1732" spans="1:7" x14ac:dyDescent="0.3">
      <x:c r="D1732" s="7"/>
    </x:row>
    <x:row r="1733" spans="1:7" x14ac:dyDescent="0.3">
      <x:c r="D1733" s="7"/>
    </x:row>
    <x:row r="1734" spans="1:7" x14ac:dyDescent="0.3">
      <x:c r="D1734" s="7"/>
    </x:row>
    <x:row r="1735" spans="1:7" x14ac:dyDescent="0.3">
      <x:c r="D1735" s="7"/>
    </x:row>
    <x:row r="1736" spans="1:7" x14ac:dyDescent="0.3">
      <x:c r="D1736" s="7"/>
    </x:row>
    <x:row r="1737" spans="1:7" x14ac:dyDescent="0.3">
      <x:c r="D1737" s="7"/>
    </x:row>
    <x:row r="1738" spans="1:7" x14ac:dyDescent="0.3">
      <x:c r="D1738" s="7"/>
    </x:row>
    <x:row r="1739" spans="1:7" x14ac:dyDescent="0.3">
      <x:c r="D1739" s="7"/>
    </x:row>
    <x:row r="1740" spans="1:7" x14ac:dyDescent="0.3">
      <x:c r="D1740" s="7"/>
    </x:row>
    <x:row r="1741" spans="1:7" x14ac:dyDescent="0.3">
      <x:c r="D1741" s="7"/>
    </x:row>
    <x:row r="1742" spans="1:7" x14ac:dyDescent="0.3">
      <x:c r="D1742" s="7"/>
    </x:row>
    <x:row r="1743" spans="1:7" x14ac:dyDescent="0.3">
      <x:c r="D1743" s="7"/>
    </x:row>
    <x:row r="1744" spans="1:7" x14ac:dyDescent="0.3">
      <x:c r="D1744" s="7"/>
    </x:row>
    <x:row r="1745" spans="1:7" x14ac:dyDescent="0.3">
      <x:c r="D1745" s="7"/>
    </x:row>
    <x:row r="1746" spans="1:7" x14ac:dyDescent="0.3">
      <x:c r="D1746" s="7"/>
    </x:row>
    <x:row r="1747" spans="1:7" x14ac:dyDescent="0.3">
      <x:c r="D1747" s="7"/>
    </x:row>
    <x:row r="1748" spans="1:7" x14ac:dyDescent="0.3">
      <x:c r="D1748" s="7"/>
    </x:row>
    <x:row r="1749" spans="1:7" x14ac:dyDescent="0.3">
      <x:c r="D1749" s="7"/>
    </x:row>
    <x:row r="1750" spans="1:7" x14ac:dyDescent="0.3">
      <x:c r="D1750" s="7"/>
    </x:row>
    <x:row r="1751" spans="1:7" x14ac:dyDescent="0.3">
      <x:c r="D1751" s="7"/>
    </x:row>
    <x:row r="1752" spans="1:7" x14ac:dyDescent="0.3">
      <x:c r="D1752" s="7"/>
    </x:row>
    <x:row r="1753" spans="1:7" x14ac:dyDescent="0.3">
      <x:c r="D1753" s="7"/>
    </x:row>
    <x:row r="1754" spans="1:7" x14ac:dyDescent="0.3">
      <x:c r="D1754" s="7"/>
    </x:row>
    <x:row r="1755" spans="1:7" x14ac:dyDescent="0.3">
      <x:c r="D1755" s="7"/>
    </x:row>
    <x:row r="1756" spans="1:7" x14ac:dyDescent="0.3">
      <x:c r="D1756" s="7"/>
    </x:row>
    <x:row r="1757" spans="1:7" x14ac:dyDescent="0.3">
      <x:c r="D1757" s="7"/>
    </x:row>
    <x:row r="1758" spans="1:7" x14ac:dyDescent="0.3">
      <x:c r="D1758" s="7"/>
    </x:row>
    <x:row r="1759" spans="1:7" x14ac:dyDescent="0.3">
      <x:c r="D1759" s="7"/>
    </x:row>
    <x:row r="1760" spans="1:7" x14ac:dyDescent="0.3">
      <x:c r="D1760" s="7"/>
    </x:row>
    <x:row r="1761" spans="1:7" x14ac:dyDescent="0.3">
      <x:c r="D1761" s="7"/>
    </x:row>
    <x:row r="1762" spans="1:7" x14ac:dyDescent="0.3">
      <x:c r="D1762" s="7"/>
    </x:row>
    <x:row r="1763" spans="1:7" x14ac:dyDescent="0.3">
      <x:c r="D1763" s="7"/>
    </x:row>
    <x:row r="1764" spans="1:7" x14ac:dyDescent="0.3">
      <x:c r="D1764" s="7"/>
    </x:row>
    <x:row r="1765" spans="1:7" x14ac:dyDescent="0.3">
      <x:c r="D1765" s="7"/>
    </x:row>
    <x:row r="1766" spans="1:7" x14ac:dyDescent="0.3">
      <x:c r="D1766" s="7"/>
    </x:row>
    <x:row r="1767" spans="1:7" x14ac:dyDescent="0.3">
      <x:c r="D1767" s="7"/>
    </x:row>
    <x:row r="1768" spans="1:7" x14ac:dyDescent="0.3">
      <x:c r="D1768" s="7"/>
    </x:row>
    <x:row r="1769" spans="1:7" x14ac:dyDescent="0.3">
      <x:c r="D1769" s="7"/>
    </x:row>
    <x:row r="1770" spans="1:7" x14ac:dyDescent="0.3">
      <x:c r="D1770" s="7"/>
    </x:row>
    <x:row r="1771" spans="1:7" x14ac:dyDescent="0.3">
      <x:c r="D1771" s="7"/>
    </x:row>
    <x:row r="1772" spans="1:7" x14ac:dyDescent="0.3">
      <x:c r="D1772" s="7"/>
    </x:row>
    <x:row r="1773" spans="1:7" x14ac:dyDescent="0.3">
      <x:c r="D1773" s="7"/>
    </x:row>
    <x:row r="1774" spans="1:7" x14ac:dyDescent="0.3">
      <x:c r="D1774" s="7"/>
    </x:row>
    <x:row r="1775" spans="1:7" x14ac:dyDescent="0.3">
      <x:c r="D1775" s="7"/>
    </x:row>
    <x:row r="1776" spans="1:7" x14ac:dyDescent="0.3">
      <x:c r="D1776" s="7"/>
    </x:row>
    <x:row r="1777" spans="1:7" x14ac:dyDescent="0.3">
      <x:c r="D1777" s="7"/>
    </x:row>
    <x:row r="1778" spans="1:7" x14ac:dyDescent="0.3">
      <x:c r="D1778" s="7"/>
    </x:row>
    <x:row r="1779" spans="1:7" x14ac:dyDescent="0.3">
      <x:c r="D1779" s="7"/>
    </x:row>
    <x:row r="1780" spans="1:7" x14ac:dyDescent="0.3">
      <x:c r="D1780" s="7"/>
    </x:row>
    <x:row r="1781" spans="1:7" x14ac:dyDescent="0.3">
      <x:c r="D1781" s="7"/>
    </x:row>
    <x:row r="1782" spans="1:7" x14ac:dyDescent="0.3">
      <x:c r="D1782" s="7"/>
    </x:row>
    <x:row r="1783" spans="1:7" x14ac:dyDescent="0.3">
      <x:c r="D1783" s="7"/>
    </x:row>
    <x:row r="1784" spans="1:7" x14ac:dyDescent="0.3">
      <x:c r="D1784" s="7"/>
    </x:row>
    <x:row r="1785" spans="1:7" x14ac:dyDescent="0.3">
      <x:c r="D1785" s="7"/>
    </x:row>
    <x:row r="1786" spans="1:7" x14ac:dyDescent="0.3">
      <x:c r="D1786" s="7"/>
    </x:row>
    <x:row r="1787" spans="1:7" x14ac:dyDescent="0.3">
      <x:c r="D1787" s="7"/>
    </x:row>
    <x:row r="1788" spans="1:7" x14ac:dyDescent="0.3">
      <x:c r="D1788" s="7"/>
    </x:row>
    <x:row r="1789" spans="1:7" x14ac:dyDescent="0.3">
      <x:c r="D1789" s="7"/>
    </x:row>
    <x:row r="1790" spans="1:7" x14ac:dyDescent="0.3">
      <x:c r="D1790" s="7"/>
    </x:row>
    <x:row r="1791" spans="1:7" x14ac:dyDescent="0.3">
      <x:c r="D1791" s="7"/>
    </x:row>
    <x:row r="1792" spans="1:7" x14ac:dyDescent="0.3">
      <x:c r="D1792" s="7"/>
    </x:row>
    <x:row r="1793" spans="1:7" x14ac:dyDescent="0.3">
      <x:c r="D1793" s="7"/>
    </x:row>
    <x:row r="1794" spans="1:7" x14ac:dyDescent="0.3">
      <x:c r="D1794" s="7"/>
    </x:row>
    <x:row r="1795" spans="1:7" x14ac:dyDescent="0.3">
      <x:c r="D1795" s="7"/>
    </x:row>
    <x:row r="1796" spans="1:7" x14ac:dyDescent="0.3">
      <x:c r="D1796" s="7"/>
    </x:row>
    <x:row r="1797" spans="1:7" x14ac:dyDescent="0.3">
      <x:c r="D1797" s="7"/>
    </x:row>
    <x:row r="1798" spans="1:7" x14ac:dyDescent="0.3">
      <x:c r="D1798" s="7"/>
    </x:row>
    <x:row r="1799" spans="1:7" x14ac:dyDescent="0.3">
      <x:c r="D1799" s="7"/>
    </x:row>
    <x:row r="1800" spans="1:7" x14ac:dyDescent="0.3">
      <x:c r="D1800" s="7"/>
    </x:row>
    <x:row r="1801" spans="1:7" x14ac:dyDescent="0.3">
      <x:c r="D1801" s="7"/>
    </x:row>
    <x:row r="1802" spans="1:7" x14ac:dyDescent="0.3">
      <x:c r="D1802" s="7"/>
    </x:row>
    <x:row r="1803" spans="1:7" x14ac:dyDescent="0.3">
      <x:c r="D1803" s="7"/>
    </x:row>
    <x:row r="1804" spans="1:7" x14ac:dyDescent="0.3">
      <x:c r="D1804" s="7"/>
    </x:row>
    <x:row r="1805" spans="1:7" x14ac:dyDescent="0.3">
      <x:c r="D1805" s="7"/>
    </x:row>
    <x:row r="1806" spans="1:7" x14ac:dyDescent="0.3">
      <x:c r="D1806" s="7"/>
    </x:row>
    <x:row r="1807" spans="1:7" x14ac:dyDescent="0.3">
      <x:c r="D1807" s="7"/>
    </x:row>
    <x:row r="1808" spans="1:7" x14ac:dyDescent="0.3">
      <x:c r="D1808" s="7"/>
    </x:row>
    <x:row r="1809" spans="1:7" x14ac:dyDescent="0.3">
      <x:c r="D1809" s="7"/>
    </x:row>
    <x:row r="1810" spans="1:7" x14ac:dyDescent="0.3">
      <x:c r="D1810" s="7"/>
    </x:row>
    <x:row r="1811" spans="1:7" x14ac:dyDescent="0.3">
      <x:c r="D1811" s="7"/>
    </x:row>
    <x:row r="1812" spans="1:7" x14ac:dyDescent="0.3">
      <x:c r="D1812" s="7"/>
    </x:row>
    <x:row r="1813" spans="1:7" x14ac:dyDescent="0.3">
      <x:c r="D1813" s="7"/>
    </x:row>
    <x:row r="1814" spans="1:7" x14ac:dyDescent="0.3">
      <x:c r="D1814" s="7"/>
    </x:row>
    <x:row r="1815" spans="1:7" x14ac:dyDescent="0.3">
      <x:c r="D1815" s="7"/>
    </x:row>
    <x:row r="1816" spans="1:7" x14ac:dyDescent="0.3">
      <x:c r="D1816" s="7"/>
    </x:row>
    <x:row r="1817" spans="1:7" x14ac:dyDescent="0.3">
      <x:c r="D1817" s="7"/>
    </x:row>
    <x:row r="1818" spans="1:7" x14ac:dyDescent="0.3">
      <x:c r="D1818" s="7"/>
    </x:row>
    <x:row r="1819" spans="1:7" x14ac:dyDescent="0.3">
      <x:c r="D1819" s="7"/>
    </x:row>
    <x:row r="1820" spans="1:7" x14ac:dyDescent="0.3">
      <x:c r="D1820" s="7"/>
    </x:row>
    <x:row r="1821" spans="1:7" x14ac:dyDescent="0.3">
      <x:c r="D1821" s="7"/>
    </x:row>
    <x:row r="1822" spans="1:7" x14ac:dyDescent="0.3">
      <x:c r="D1822" s="7"/>
    </x:row>
    <x:row r="1823" spans="1:7" x14ac:dyDescent="0.3">
      <x:c r="D1823" s="7"/>
    </x:row>
    <x:row r="1824" spans="1:7" x14ac:dyDescent="0.3">
      <x:c r="D1824" s="7"/>
    </x:row>
    <x:row r="1825" spans="1:7" x14ac:dyDescent="0.3">
      <x:c r="D1825" s="7"/>
    </x:row>
    <x:row r="1826" spans="1:7" x14ac:dyDescent="0.3">
      <x:c r="D1826" s="7"/>
    </x:row>
    <x:row r="1827" spans="1:7" x14ac:dyDescent="0.3">
      <x:c r="D1827" s="7"/>
    </x:row>
    <x:row r="1828" spans="1:7" x14ac:dyDescent="0.3">
      <x:c r="D1828" s="7"/>
    </x:row>
    <x:row r="1829" spans="1:7" x14ac:dyDescent="0.3">
      <x:c r="D1829" s="7"/>
    </x:row>
    <x:row r="1830" spans="1:7" x14ac:dyDescent="0.3">
      <x:c r="D1830" s="7"/>
    </x:row>
    <x:row r="1831" spans="1:7" x14ac:dyDescent="0.3">
      <x:c r="D1831" s="7"/>
    </x:row>
    <x:row r="1832" spans="1:7" x14ac:dyDescent="0.3">
      <x:c r="D1832" s="7"/>
    </x:row>
    <x:row r="1833" spans="1:7" x14ac:dyDescent="0.3">
      <x:c r="D1833" s="7"/>
    </x:row>
    <x:row r="1834" spans="1:7" x14ac:dyDescent="0.3">
      <x:c r="D1834" s="7"/>
    </x:row>
    <x:row r="1835" spans="1:7" x14ac:dyDescent="0.3">
      <x:c r="D1835" s="7"/>
    </x:row>
    <x:row r="1836" spans="1:7" x14ac:dyDescent="0.3">
      <x:c r="D1836" s="7"/>
    </x:row>
    <x:row r="1837" spans="1:7" x14ac:dyDescent="0.3">
      <x:c r="D1837" s="7"/>
    </x:row>
    <x:row r="1838" spans="1:7" x14ac:dyDescent="0.3">
      <x:c r="D1838" s="7"/>
    </x:row>
    <x:row r="1839" spans="1:7" x14ac:dyDescent="0.3">
      <x:c r="D1839" s="7"/>
    </x:row>
    <x:row r="1840" spans="1:7" x14ac:dyDescent="0.3">
      <x:c r="D1840" s="7"/>
    </x:row>
    <x:row r="1841" spans="1:7" x14ac:dyDescent="0.3">
      <x:c r="D1841" s="7"/>
    </x:row>
    <x:row r="1842" spans="1:7" x14ac:dyDescent="0.3">
      <x:c r="D1842" s="7"/>
    </x:row>
    <x:row r="1843" spans="1:7" x14ac:dyDescent="0.3">
      <x:c r="D1843" s="7"/>
    </x:row>
    <x:row r="1844" spans="1:7" x14ac:dyDescent="0.3">
      <x:c r="D1844" s="7"/>
    </x:row>
    <x:row r="1845" spans="1:7" x14ac:dyDescent="0.3">
      <x:c r="D1845" s="7"/>
    </x:row>
    <x:row r="1846" spans="1:7" x14ac:dyDescent="0.3">
      <x:c r="D1846" s="7"/>
    </x:row>
    <x:row r="1847" spans="1:7" x14ac:dyDescent="0.3">
      <x:c r="D1847" s="7"/>
    </x:row>
    <x:row r="1848" spans="1:7" x14ac:dyDescent="0.3">
      <x:c r="D1848" s="7"/>
    </x:row>
    <x:row r="1849" spans="1:7" x14ac:dyDescent="0.3">
      <x:c r="D1849" s="7"/>
    </x:row>
    <x:row r="1850" spans="1:7" x14ac:dyDescent="0.3">
      <x:c r="D1850" s="7"/>
    </x:row>
    <x:row r="1851" spans="1:7" x14ac:dyDescent="0.3">
      <x:c r="D1851" s="7"/>
    </x:row>
    <x:row r="1852" spans="1:7" x14ac:dyDescent="0.3">
      <x:c r="D1852" s="7"/>
    </x:row>
    <x:row r="1853" spans="1:7" x14ac:dyDescent="0.3">
      <x:c r="D1853" s="7"/>
    </x:row>
    <x:row r="1854" spans="1:7" x14ac:dyDescent="0.3">
      <x:c r="D1854" s="7"/>
    </x:row>
    <x:row r="1855" spans="1:7" x14ac:dyDescent="0.3">
      <x:c r="D1855" s="7"/>
    </x:row>
    <x:row r="1856" spans="1:7" x14ac:dyDescent="0.3">
      <x:c r="D1856" s="7"/>
    </x:row>
    <x:row r="1857" spans="1:7" x14ac:dyDescent="0.3">
      <x:c r="D1857" s="7"/>
    </x:row>
    <x:row r="1858" spans="1:7" x14ac:dyDescent="0.3">
      <x:c r="D1858" s="7"/>
    </x:row>
    <x:row r="1859" spans="1:7" x14ac:dyDescent="0.3">
      <x:c r="D1859" s="7"/>
    </x:row>
    <x:row r="1860" spans="1:7" x14ac:dyDescent="0.3">
      <x:c r="D1860" s="7"/>
    </x:row>
    <x:row r="1861" spans="1:7" x14ac:dyDescent="0.3">
      <x:c r="D1861" s="7"/>
    </x:row>
    <x:row r="1862" spans="1:7" x14ac:dyDescent="0.3">
      <x:c r="D1862" s="7"/>
    </x:row>
    <x:row r="1863" spans="1:7" x14ac:dyDescent="0.3">
      <x:c r="D1863" s="7"/>
    </x:row>
    <x:row r="1864" spans="1:7" x14ac:dyDescent="0.3">
      <x:c r="D1864" s="7"/>
    </x:row>
    <x:row r="1865" spans="1:7" x14ac:dyDescent="0.3">
      <x:c r="D1865" s="7"/>
    </x:row>
    <x:row r="1866" spans="1:7" x14ac:dyDescent="0.3">
      <x:c r="D1866" s="7"/>
    </x:row>
    <x:row r="1867" spans="1:7" x14ac:dyDescent="0.3">
      <x:c r="D1867" s="7"/>
    </x:row>
    <x:row r="1868" spans="1:7" x14ac:dyDescent="0.3">
      <x:c r="D1868" s="7"/>
    </x:row>
    <x:row r="1869" spans="1:7" x14ac:dyDescent="0.3">
      <x:c r="D1869" s="7"/>
    </x:row>
    <x:row r="1870" spans="1:7" x14ac:dyDescent="0.3">
      <x:c r="D1870" s="7"/>
    </x:row>
    <x:row r="1871" spans="1:7" x14ac:dyDescent="0.3">
      <x:c r="D1871" s="7"/>
    </x:row>
    <x:row r="1872" spans="1:7" x14ac:dyDescent="0.3">
      <x:c r="D1872" s="7"/>
    </x:row>
    <x:row r="1873" spans="1:7" x14ac:dyDescent="0.3">
      <x:c r="D1873" s="7"/>
    </x:row>
    <x:row r="1874" spans="1:7" x14ac:dyDescent="0.3">
      <x:c r="D1874" s="7"/>
    </x:row>
    <x:row r="1875" spans="1:7" x14ac:dyDescent="0.3">
      <x:c r="D1875" s="7"/>
    </x:row>
    <x:row r="1876" spans="1:7" x14ac:dyDescent="0.3">
      <x:c r="D1876" s="7"/>
    </x:row>
    <x:row r="1877" spans="1:7" x14ac:dyDescent="0.3">
      <x:c r="D1877" s="7"/>
    </x:row>
    <x:row r="1878" spans="1:7" x14ac:dyDescent="0.3">
      <x:c r="D1878" s="7"/>
    </x:row>
    <x:row r="1879" spans="1:7" x14ac:dyDescent="0.3">
      <x:c r="D1879" s="7"/>
    </x:row>
    <x:row r="1880" spans="1:7" x14ac:dyDescent="0.3">
      <x:c r="D1880" s="7"/>
    </x:row>
    <x:row r="1881" spans="1:7" x14ac:dyDescent="0.3">
      <x:c r="D1881" s="7"/>
    </x:row>
    <x:row r="1882" spans="1:7" x14ac:dyDescent="0.3">
      <x:c r="D1882" s="7"/>
    </x:row>
    <x:row r="1883" spans="1:7" x14ac:dyDescent="0.3">
      <x:c r="D1883" s="7"/>
    </x:row>
    <x:row r="1884" spans="1:7" x14ac:dyDescent="0.3">
      <x:c r="D1884" s="7"/>
    </x:row>
    <x:row r="1885" spans="1:7" x14ac:dyDescent="0.3">
      <x:c r="D1885" s="7"/>
    </x:row>
    <x:row r="1886" spans="1:7" x14ac:dyDescent="0.3">
      <x:c r="D1886" s="7"/>
    </x:row>
    <x:row r="1887" spans="1:7" x14ac:dyDescent="0.3">
      <x:c r="D1887" s="7"/>
    </x:row>
    <x:row r="1888" spans="1:7" x14ac:dyDescent="0.3">
      <x:c r="D1888" s="7"/>
    </x:row>
    <x:row r="1889" spans="1:7" x14ac:dyDescent="0.3">
      <x:c r="D1889" s="7"/>
    </x:row>
    <x:row r="1890" spans="1:7" x14ac:dyDescent="0.3">
      <x:c r="D1890" s="7"/>
    </x:row>
    <x:row r="1891" spans="1:7" x14ac:dyDescent="0.3">
      <x:c r="D1891" s="7"/>
    </x:row>
    <x:row r="1892" spans="1:7" x14ac:dyDescent="0.3">
      <x:c r="D1892" s="7"/>
    </x:row>
    <x:row r="1893" spans="1:7" x14ac:dyDescent="0.3">
      <x:c r="D1893" s="7"/>
    </x:row>
    <x:row r="1894" spans="1:7" x14ac:dyDescent="0.3">
      <x:c r="D1894" s="7"/>
    </x:row>
    <x:row r="1895" spans="1:7" x14ac:dyDescent="0.3">
      <x:c r="D1895" s="7"/>
    </x:row>
    <x:row r="1896" spans="1:7" x14ac:dyDescent="0.3">
      <x:c r="D1896" s="7"/>
    </x:row>
    <x:row r="1897" spans="1:7" x14ac:dyDescent="0.3">
      <x:c r="D1897" s="7"/>
    </x:row>
    <x:row r="1898" spans="1:7" x14ac:dyDescent="0.3">
      <x:c r="D1898" s="7"/>
    </x:row>
    <x:row r="1899" spans="1:7" x14ac:dyDescent="0.3">
      <x:c r="D1899" s="7"/>
    </x:row>
    <x:row r="1900" spans="1:7" x14ac:dyDescent="0.3">
      <x:c r="D1900" s="7"/>
    </x:row>
    <x:row r="1901" spans="1:7" x14ac:dyDescent="0.3">
      <x:c r="D1901" s="7"/>
    </x:row>
    <x:row r="1902" spans="1:7" x14ac:dyDescent="0.3">
      <x:c r="D1902" s="7"/>
    </x:row>
    <x:row r="1903" spans="1:7" x14ac:dyDescent="0.3">
      <x:c r="D1903" s="7"/>
    </x:row>
    <x:row r="1904" spans="1:7" x14ac:dyDescent="0.3">
      <x:c r="D1904" s="7"/>
    </x:row>
    <x:row r="1905" spans="1:7" x14ac:dyDescent="0.3">
      <x:c r="D1905" s="7"/>
    </x:row>
    <x:row r="1906" spans="1:7" x14ac:dyDescent="0.3">
      <x:c r="D1906" s="7"/>
    </x:row>
    <x:row r="1907" spans="1:7" x14ac:dyDescent="0.3">
      <x:c r="D1907" s="7"/>
    </x:row>
    <x:row r="1908" spans="1:7" x14ac:dyDescent="0.3">
      <x:c r="D1908" s="7"/>
    </x:row>
    <x:row r="1909" spans="1:7" x14ac:dyDescent="0.3">
      <x:c r="D1909" s="7"/>
    </x:row>
    <x:row r="1910" spans="1:7" x14ac:dyDescent="0.3">
      <x:c r="D1910" s="7"/>
    </x:row>
    <x:row r="1911" spans="1:7" x14ac:dyDescent="0.3">
      <x:c r="D1911" s="7"/>
    </x:row>
    <x:row r="1912" spans="1:7" x14ac:dyDescent="0.3">
      <x:c r="D1912" s="7"/>
    </x:row>
    <x:row r="1913" spans="1:7" x14ac:dyDescent="0.3">
      <x:c r="D1913" s="7"/>
    </x:row>
    <x:row r="1914" spans="1:7" x14ac:dyDescent="0.3">
      <x:c r="D1914" s="7"/>
    </x:row>
    <x:row r="1915" spans="1:7" x14ac:dyDescent="0.3">
      <x:c r="D1915" s="7"/>
    </x:row>
    <x:row r="1916" spans="1:7" x14ac:dyDescent="0.3">
      <x:c r="D1916" s="7"/>
    </x:row>
    <x:row r="1917" spans="1:7" x14ac:dyDescent="0.3">
      <x:c r="D1917" s="7"/>
    </x:row>
    <x:row r="1918" spans="1:7" x14ac:dyDescent="0.3">
      <x:c r="D1918" s="7"/>
    </x:row>
    <x:row r="1919" spans="1:7" x14ac:dyDescent="0.3">
      <x:c r="D1919" s="7"/>
    </x:row>
    <x:row r="1920" spans="1:7" x14ac:dyDescent="0.3">
      <x:c r="D1920" s="7"/>
    </x:row>
    <x:row r="1921" spans="1:7" x14ac:dyDescent="0.3">
      <x:c r="D1921" s="7"/>
    </x:row>
    <x:row r="1922" spans="1:7" x14ac:dyDescent="0.3">
      <x:c r="D1922" s="7"/>
    </x:row>
    <x:row r="1923" spans="1:7" x14ac:dyDescent="0.3">
      <x:c r="D1923" s="7"/>
    </x:row>
    <x:row r="1924" spans="1:7" x14ac:dyDescent="0.3">
      <x:c r="D1924" s="7"/>
    </x:row>
    <x:row r="1925" spans="1:7" x14ac:dyDescent="0.3">
      <x:c r="D1925" s="7"/>
    </x:row>
    <x:row r="1926" spans="1:7" x14ac:dyDescent="0.3">
      <x:c r="D1926" s="7"/>
    </x:row>
    <x:row r="1927" spans="1:7" x14ac:dyDescent="0.3">
      <x:c r="D1927" s="7"/>
    </x:row>
    <x:row r="1928" spans="1:7" x14ac:dyDescent="0.3">
      <x:c r="D1928" s="7"/>
    </x:row>
    <x:row r="1929" spans="1:7" x14ac:dyDescent="0.3">
      <x:c r="D1929" s="7"/>
    </x:row>
    <x:row r="1930" spans="1:7" x14ac:dyDescent="0.3">
      <x:c r="D1930" s="7"/>
    </x:row>
    <x:row r="1931" spans="1:7" x14ac:dyDescent="0.3">
      <x:c r="D1931" s="7"/>
    </x:row>
    <x:row r="1932" spans="1:7" x14ac:dyDescent="0.3">
      <x:c r="D1932" s="7"/>
    </x:row>
    <x:row r="1933" spans="1:7" x14ac:dyDescent="0.3">
      <x:c r="D1933" s="7"/>
    </x:row>
    <x:row r="1934" spans="1:7" x14ac:dyDescent="0.3">
      <x:c r="D1934" s="7"/>
    </x:row>
    <x:row r="1935" spans="1:7" x14ac:dyDescent="0.3">
      <x:c r="D1935" s="7"/>
    </x:row>
    <x:row r="1936" spans="1:7" x14ac:dyDescent="0.3">
      <x:c r="D1936" s="7"/>
    </x:row>
    <x:row r="1937" spans="1:7" x14ac:dyDescent="0.3">
      <x:c r="D1937" s="7"/>
    </x:row>
    <x:row r="1938" spans="1:7" x14ac:dyDescent="0.3">
      <x:c r="D1938" s="7"/>
    </x:row>
    <x:row r="1939" spans="1:7" x14ac:dyDescent="0.3">
      <x:c r="D1939" s="7"/>
    </x:row>
    <x:row r="1940" spans="1:7" x14ac:dyDescent="0.3">
      <x:c r="D1940" s="7"/>
    </x:row>
    <x:row r="1941" spans="1:7" x14ac:dyDescent="0.3">
      <x:c r="D1941" s="7"/>
    </x:row>
    <x:row r="1942" spans="1:7" x14ac:dyDescent="0.3">
      <x:c r="D1942" s="7"/>
    </x:row>
    <x:row r="1943" spans="1:7" x14ac:dyDescent="0.3">
      <x:c r="D1943" s="7"/>
    </x:row>
    <x:row r="1944" spans="1:7" x14ac:dyDescent="0.3">
      <x:c r="D1944" s="7"/>
    </x:row>
    <x:row r="1945" spans="1:7" x14ac:dyDescent="0.3">
      <x:c r="D1945" s="7"/>
    </x:row>
    <x:row r="1946" spans="1:7" x14ac:dyDescent="0.3">
      <x:c r="D1946" s="7"/>
    </x:row>
    <x:row r="1947" spans="1:7" x14ac:dyDescent="0.3">
      <x:c r="D1947" s="7"/>
    </x:row>
    <x:row r="1948" spans="1:7" x14ac:dyDescent="0.3">
      <x:c r="D1948" s="7"/>
    </x:row>
    <x:row r="1949" spans="1:7" x14ac:dyDescent="0.3">
      <x:c r="D1949" s="7"/>
    </x:row>
    <x:row r="1950" spans="1:7" x14ac:dyDescent="0.3">
      <x:c r="D1950" s="7"/>
    </x:row>
    <x:row r="1951" spans="1:7" x14ac:dyDescent="0.3">
      <x:c r="D1951" s="7"/>
    </x:row>
    <x:row r="1952" spans="1:7" x14ac:dyDescent="0.3">
      <x:c r="D1952" s="7"/>
    </x:row>
    <x:row r="1953" spans="1:7" x14ac:dyDescent="0.3">
      <x:c r="D1953" s="7"/>
    </x:row>
    <x:row r="1954" spans="1:7" x14ac:dyDescent="0.3">
      <x:c r="D1954" s="7"/>
    </x:row>
    <x:row r="1955" spans="1:7" x14ac:dyDescent="0.3">
      <x:c r="D1955" s="7"/>
    </x:row>
    <x:row r="1956" spans="1:7" x14ac:dyDescent="0.3">
      <x:c r="D1956" s="7"/>
    </x:row>
    <x:row r="1957" spans="1:7" x14ac:dyDescent="0.3">
      <x:c r="D1957" s="7"/>
    </x:row>
    <x:row r="1958" spans="1:7" x14ac:dyDescent="0.3">
      <x:c r="D1958" s="7"/>
    </x:row>
    <x:row r="1959" spans="1:7" x14ac:dyDescent="0.3">
      <x:c r="D1959" s="7"/>
    </x:row>
    <x:row r="1960" spans="1:7" x14ac:dyDescent="0.3">
      <x:c r="D1960" s="7"/>
    </x:row>
    <x:row r="1961" spans="1:7" x14ac:dyDescent="0.3">
      <x:c r="D1961" s="7"/>
    </x:row>
    <x:row r="1962" spans="1:7" x14ac:dyDescent="0.3">
      <x:c r="D1962" s="7"/>
    </x:row>
    <x:row r="1963" spans="1:7" x14ac:dyDescent="0.3">
      <x:c r="D1963" s="7"/>
    </x:row>
    <x:row r="1964" spans="1:7" x14ac:dyDescent="0.3">
      <x:c r="D1964" s="7"/>
    </x:row>
    <x:row r="1965" spans="1:7" x14ac:dyDescent="0.3">
      <x:c r="D1965" s="7"/>
    </x:row>
    <x:row r="1966" spans="1:7" x14ac:dyDescent="0.3">
      <x:c r="D1966" s="7"/>
    </x:row>
    <x:row r="1967" spans="1:7" x14ac:dyDescent="0.3">
      <x:c r="D1967" s="7"/>
    </x:row>
    <x:row r="1968" spans="1:7" x14ac:dyDescent="0.3">
      <x:c r="D1968" s="7"/>
    </x:row>
    <x:row r="1969" spans="1:7" x14ac:dyDescent="0.3">
      <x:c r="D1969" s="7"/>
    </x:row>
    <x:row r="1970" spans="1:7" x14ac:dyDescent="0.3">
      <x:c r="D1970" s="7"/>
    </x:row>
    <x:row r="1971" spans="1:7" x14ac:dyDescent="0.3">
      <x:c r="D1971" s="7"/>
    </x:row>
    <x:row r="1972" spans="1:7" x14ac:dyDescent="0.3">
      <x:c r="D1972" s="7"/>
    </x:row>
    <x:row r="1973" spans="1:7" x14ac:dyDescent="0.3">
      <x:c r="D1973" s="7"/>
    </x:row>
    <x:row r="1974" spans="1:7" x14ac:dyDescent="0.3">
      <x:c r="D1974" s="7"/>
    </x:row>
    <x:row r="1975" spans="1:7" x14ac:dyDescent="0.3">
      <x:c r="D1975" s="7"/>
    </x:row>
    <x:row r="1976" spans="1:7" x14ac:dyDescent="0.3">
      <x:c r="D1976" s="7"/>
    </x:row>
    <x:row r="1977" spans="1:7" x14ac:dyDescent="0.3">
      <x:c r="D1977" s="7"/>
    </x:row>
    <x:row r="1978" spans="1:7" x14ac:dyDescent="0.3">
      <x:c r="D1978" s="7"/>
    </x:row>
    <x:row r="1979" spans="1:7" x14ac:dyDescent="0.3">
      <x:c r="D1979" s="7"/>
    </x:row>
    <x:row r="1980" spans="1:7" x14ac:dyDescent="0.3">
      <x:c r="D1980" s="7"/>
    </x:row>
    <x:row r="1981" spans="1:7" x14ac:dyDescent="0.3">
      <x:c r="D1981" s="7"/>
    </x:row>
    <x:row r="1982" spans="1:7" x14ac:dyDescent="0.3">
      <x:c r="D1982" s="7"/>
    </x:row>
    <x:row r="1983" spans="1:7" x14ac:dyDescent="0.3">
      <x:c r="D1983" s="7"/>
    </x:row>
    <x:row r="1984" spans="1:7" x14ac:dyDescent="0.3">
      <x:c r="D1984" s="7"/>
    </x:row>
    <x:row r="1985" spans="1:7" x14ac:dyDescent="0.3">
      <x:c r="D1985" s="7"/>
    </x:row>
    <x:row r="1986" spans="1:7" x14ac:dyDescent="0.3">
      <x:c r="D1986" s="7"/>
    </x:row>
    <x:row r="1987" spans="1:7" x14ac:dyDescent="0.3">
      <x:c r="D1987" s="7"/>
    </x:row>
    <x:row r="1988" spans="1:7" x14ac:dyDescent="0.3">
      <x:c r="D1988" s="7"/>
    </x:row>
    <x:row r="1989" spans="1:7" x14ac:dyDescent="0.3">
      <x:c r="D1989" s="7"/>
    </x:row>
    <x:row r="1990" spans="1:7" x14ac:dyDescent="0.3">
      <x:c r="D1990" s="7"/>
    </x:row>
    <x:row r="1991" spans="1:7" x14ac:dyDescent="0.3">
      <x:c r="D1991" s="7"/>
    </x:row>
    <x:row r="1992" spans="1:7" x14ac:dyDescent="0.3">
      <x:c r="D1992" s="7"/>
    </x:row>
    <x:row r="1993" spans="1:7" x14ac:dyDescent="0.3">
      <x:c r="D1993" s="7"/>
    </x:row>
    <x:row r="1994" spans="1:7" x14ac:dyDescent="0.3">
      <x:c r="D1994" s="7"/>
    </x:row>
    <x:row r="1995" spans="1:7" x14ac:dyDescent="0.3">
      <x:c r="D1995" s="7"/>
    </x:row>
    <x:row r="1996" spans="1:7" x14ac:dyDescent="0.3">
      <x:c r="D1996" s="7"/>
    </x:row>
    <x:row r="1997" spans="1:7" x14ac:dyDescent="0.3">
      <x:c r="D1997" s="7"/>
    </x:row>
    <x:row r="1998" spans="1:7" x14ac:dyDescent="0.3">
      <x:c r="D1998" s="7"/>
    </x:row>
    <x:row r="1999" spans="1:7" x14ac:dyDescent="0.3">
      <x:c r="D1999" s="7"/>
    </x:row>
    <x:row r="2000" spans="1:7" x14ac:dyDescent="0.3">
      <x:c r="D2000" s="7"/>
    </x:row>
    <x:row r="2001" spans="1:7" x14ac:dyDescent="0.3">
      <x:c r="D2001" s="7"/>
    </x:row>
    <x:row r="2002" spans="1:7" x14ac:dyDescent="0.3">
      <x:c r="D2002" s="7"/>
    </x:row>
    <x:row r="2003" spans="1:7" x14ac:dyDescent="0.3">
      <x:c r="D2003" s="7"/>
    </x:row>
    <x:row r="2004" spans="1:7" x14ac:dyDescent="0.3">
      <x:c r="D2004" s="7"/>
    </x:row>
    <x:row r="2005" spans="1:7" x14ac:dyDescent="0.3">
      <x:c r="D2005" s="7"/>
    </x:row>
    <x:row r="2006" spans="1:7" x14ac:dyDescent="0.3">
      <x:c r="D2006" s="7"/>
    </x:row>
    <x:row r="2007" spans="1:7" x14ac:dyDescent="0.3">
      <x:c r="D2007" s="7"/>
    </x:row>
    <x:row r="2008" spans="1:7" x14ac:dyDescent="0.3">
      <x:c r="D2008" s="7"/>
    </x:row>
    <x:row r="2009" spans="1:7" x14ac:dyDescent="0.3">
      <x:c r="D2009" s="7"/>
    </x:row>
    <x:row r="2010" spans="1:7" x14ac:dyDescent="0.3">
      <x:c r="D2010" s="7"/>
    </x:row>
    <x:row r="2011" spans="1:7" x14ac:dyDescent="0.3">
      <x:c r="D2011" s="7"/>
    </x:row>
    <x:row r="2012" spans="1:7" x14ac:dyDescent="0.3">
      <x:c r="D2012" s="7"/>
    </x:row>
    <x:row r="2013" spans="1:7" x14ac:dyDescent="0.3">
      <x:c r="D2013" s="7"/>
    </x:row>
    <x:row r="2014" spans="1:7" x14ac:dyDescent="0.3">
      <x:c r="D2014" s="7"/>
    </x:row>
    <x:row r="2015" spans="1:7" x14ac:dyDescent="0.3">
      <x:c r="D2015" s="7"/>
    </x:row>
    <x:row r="2016" spans="1:7" x14ac:dyDescent="0.3">
      <x:c r="D2016" s="7"/>
    </x:row>
    <x:row r="2017" spans="1:7" x14ac:dyDescent="0.3">
      <x:c r="D2017" s="7"/>
    </x:row>
    <x:row r="2018" spans="1:7" x14ac:dyDescent="0.3">
      <x:c r="D2018" s="7"/>
    </x:row>
    <x:row r="2019" spans="1:7" x14ac:dyDescent="0.3">
      <x:c r="D2019" s="7"/>
    </x:row>
    <x:row r="2020" spans="1:7" x14ac:dyDescent="0.3">
      <x:c r="D2020" s="7"/>
    </x:row>
    <x:row r="2021" spans="1:7" x14ac:dyDescent="0.3">
      <x:c r="D2021" s="7"/>
    </x:row>
    <x:row r="2022" spans="1:7" x14ac:dyDescent="0.3">
      <x:c r="D2022" s="7"/>
    </x:row>
    <x:row r="2023" spans="1:7" x14ac:dyDescent="0.3">
      <x:c r="D2023" s="7"/>
    </x:row>
    <x:row r="2024" spans="1:7" x14ac:dyDescent="0.3">
      <x:c r="D2024" s="7"/>
    </x:row>
    <x:row r="2025" spans="1:7" x14ac:dyDescent="0.3">
      <x:c r="D2025" s="7"/>
    </x:row>
    <x:row r="2026" spans="1:7" x14ac:dyDescent="0.3">
      <x:c r="D2026" s="7"/>
    </x:row>
    <x:row r="2027" spans="1:7" x14ac:dyDescent="0.3">
      <x:c r="D2027" s="7"/>
    </x:row>
    <x:row r="2028" spans="1:7" x14ac:dyDescent="0.3">
      <x:c r="D2028" s="7"/>
    </x:row>
    <x:row r="2029" spans="1:7" x14ac:dyDescent="0.3">
      <x:c r="D2029" s="7"/>
    </x:row>
    <x:row r="2030" spans="1:7" x14ac:dyDescent="0.3">
      <x:c r="D2030" s="7"/>
    </x:row>
    <x:row r="2031" spans="1:7" x14ac:dyDescent="0.3">
      <x:c r="D2031" s="7"/>
    </x:row>
    <x:row r="2032" spans="1:7" x14ac:dyDescent="0.3">
      <x:c r="D2032" s="7"/>
    </x:row>
    <x:row r="2033" spans="1:7" x14ac:dyDescent="0.3">
      <x:c r="D2033" s="7"/>
    </x:row>
    <x:row r="2034" spans="1:7" x14ac:dyDescent="0.3">
      <x:c r="D2034" s="7"/>
    </x:row>
    <x:row r="2035" spans="1:7" x14ac:dyDescent="0.3">
      <x:c r="D2035" s="7"/>
    </x:row>
    <x:row r="2036" spans="1:7" x14ac:dyDescent="0.3">
      <x:c r="D2036" s="7"/>
    </x:row>
    <x:row r="2037" spans="1:7" x14ac:dyDescent="0.3">
      <x:c r="D2037" s="7"/>
    </x:row>
    <x:row r="2038" spans="1:7" x14ac:dyDescent="0.3">
      <x:c r="D2038" s="7"/>
    </x:row>
    <x:row r="2039" spans="1:7" x14ac:dyDescent="0.3">
      <x:c r="D2039" s="7"/>
    </x:row>
    <x:row r="2040" spans="1:7" x14ac:dyDescent="0.3">
      <x:c r="D2040" s="7"/>
    </x:row>
    <x:row r="2041" spans="1:7" x14ac:dyDescent="0.3">
      <x:c r="D2041" s="7"/>
    </x:row>
    <x:row r="2042" spans="1:7" x14ac:dyDescent="0.3">
      <x:c r="D2042" s="7"/>
    </x:row>
    <x:row r="2043" spans="1:7" x14ac:dyDescent="0.3">
      <x:c r="D2043" s="7"/>
    </x:row>
    <x:row r="2044" spans="1:7" x14ac:dyDescent="0.3">
      <x:c r="D2044" s="7"/>
    </x:row>
    <x:row r="2045" spans="1:7" x14ac:dyDescent="0.3">
      <x:c r="D2045" s="7"/>
    </x:row>
    <x:row r="2046" spans="1:7" x14ac:dyDescent="0.3">
      <x:c r="D2046" s="7"/>
    </x:row>
    <x:row r="2047" spans="1:7" x14ac:dyDescent="0.3">
      <x:c r="D2047" s="7"/>
    </x:row>
    <x:row r="2048" spans="1:7" x14ac:dyDescent="0.3">
      <x:c r="D2048" s="7"/>
    </x:row>
    <x:row r="2049" spans="1:7" x14ac:dyDescent="0.3">
      <x:c r="D2049" s="7"/>
    </x:row>
    <x:row r="2050" spans="1:7" x14ac:dyDescent="0.3">
      <x:c r="D2050" s="7"/>
    </x:row>
    <x:row r="2051" spans="1:7" x14ac:dyDescent="0.3">
      <x:c r="D2051" s="7"/>
    </x:row>
    <x:row r="2052" spans="1:7" x14ac:dyDescent="0.3">
      <x:c r="D2052" s="7"/>
    </x:row>
    <x:row r="2053" spans="1:7" x14ac:dyDescent="0.3">
      <x:c r="D2053" s="7"/>
    </x:row>
    <x:row r="2054" spans="1:7" x14ac:dyDescent="0.3">
      <x:c r="D2054" s="7"/>
    </x:row>
    <x:row r="2055" spans="1:7" x14ac:dyDescent="0.3">
      <x:c r="D2055" s="7"/>
    </x:row>
    <x:row r="2056" spans="1:7" x14ac:dyDescent="0.3">
      <x:c r="D2056" s="7"/>
    </x:row>
    <x:row r="2057" spans="1:7" x14ac:dyDescent="0.3">
      <x:c r="D2057" s="7"/>
    </x:row>
    <x:row r="2058" spans="1:7" x14ac:dyDescent="0.3">
      <x:c r="D2058" s="7"/>
    </x:row>
    <x:row r="2059" spans="1:7" x14ac:dyDescent="0.3">
      <x:c r="D2059" s="7"/>
    </x:row>
    <x:row r="2060" spans="1:7" x14ac:dyDescent="0.3">
      <x:c r="D2060" s="7"/>
    </x:row>
    <x:row r="2061" spans="1:7" x14ac:dyDescent="0.3">
      <x:c r="D2061" s="7"/>
    </x:row>
    <x:row r="2062" spans="1:7" x14ac:dyDescent="0.3">
      <x:c r="D2062" s="7"/>
    </x:row>
    <x:row r="2063" spans="1:7" x14ac:dyDescent="0.3">
      <x:c r="D2063" s="7"/>
    </x:row>
    <x:row r="2064" spans="1:7" x14ac:dyDescent="0.3">
      <x:c r="D2064" s="7"/>
    </x:row>
    <x:row r="2065" spans="1:7" x14ac:dyDescent="0.3">
      <x:c r="D2065" s="7"/>
    </x:row>
    <x:row r="2066" spans="1:7" x14ac:dyDescent="0.3">
      <x:c r="D2066" s="7"/>
    </x:row>
    <x:row r="2067" spans="1:7" x14ac:dyDescent="0.3">
      <x:c r="D2067" s="7"/>
    </x:row>
    <x:row r="2068" spans="1:7" x14ac:dyDescent="0.3">
      <x:c r="D2068" s="7"/>
    </x:row>
    <x:row r="2069" spans="1:7" x14ac:dyDescent="0.3">
      <x:c r="D2069" s="7"/>
    </x:row>
    <x:row r="2070" spans="1:7" x14ac:dyDescent="0.3">
      <x:c r="D2070" s="7"/>
    </x:row>
    <x:row r="2071" spans="1:7" x14ac:dyDescent="0.3">
      <x:c r="D2071" s="7"/>
    </x:row>
    <x:row r="2072" spans="1:7" x14ac:dyDescent="0.3">
      <x:c r="D2072" s="7"/>
    </x:row>
    <x:row r="2073" spans="1:7" x14ac:dyDescent="0.3">
      <x:c r="D2073" s="7"/>
    </x:row>
    <x:row r="2074" spans="1:7" x14ac:dyDescent="0.3">
      <x:c r="D2074" s="7"/>
    </x:row>
    <x:row r="2075" spans="1:7" x14ac:dyDescent="0.3">
      <x:c r="D2075" s="7"/>
    </x:row>
    <x:row r="2076" spans="1:7" x14ac:dyDescent="0.3">
      <x:c r="D2076" s="7"/>
    </x:row>
    <x:row r="2077" spans="1:7" x14ac:dyDescent="0.3">
      <x:c r="D2077" s="7"/>
    </x:row>
    <x:row r="2078" spans="1:7" x14ac:dyDescent="0.3">
      <x:c r="D2078" s="7"/>
    </x:row>
    <x:row r="2079" spans="1:7" x14ac:dyDescent="0.3">
      <x:c r="D2079" s="7"/>
    </x:row>
    <x:row r="2080" spans="1:7" x14ac:dyDescent="0.3">
      <x:c r="D2080" s="7"/>
    </x:row>
    <x:row r="2081" spans="1:7" x14ac:dyDescent="0.3">
      <x:c r="D2081" s="7"/>
    </x:row>
    <x:row r="2082" spans="1:7" x14ac:dyDescent="0.3">
      <x:c r="D2082" s="7"/>
    </x:row>
    <x:row r="2083" spans="1:7" x14ac:dyDescent="0.3">
      <x:c r="D2083" s="7"/>
    </x:row>
    <x:row r="2084" spans="1:7" x14ac:dyDescent="0.3">
      <x:c r="D2084" s="7"/>
    </x:row>
    <x:row r="2085" spans="1:7" x14ac:dyDescent="0.3">
      <x:c r="D2085" s="7"/>
    </x:row>
    <x:row r="2086" spans="1:7" x14ac:dyDescent="0.3">
      <x:c r="D2086" s="7"/>
    </x:row>
    <x:row r="2087" spans="1:7" x14ac:dyDescent="0.3">
      <x:c r="D2087" s="7"/>
    </x:row>
    <x:row r="2088" spans="1:7" x14ac:dyDescent="0.3">
      <x:c r="D2088" s="7"/>
    </x:row>
    <x:row r="2089" spans="1:7" x14ac:dyDescent="0.3">
      <x:c r="D2089" s="7"/>
    </x:row>
    <x:row r="2090" spans="1:7" x14ac:dyDescent="0.3">
      <x:c r="D2090" s="7"/>
    </x:row>
    <x:row r="2091" spans="1:7" x14ac:dyDescent="0.3">
      <x:c r="D2091" s="7"/>
    </x:row>
    <x:row r="2092" spans="1:7" x14ac:dyDescent="0.3">
      <x:c r="D2092" s="7"/>
    </x:row>
    <x:row r="2093" spans="1:7" x14ac:dyDescent="0.3">
      <x:c r="D2093" s="7"/>
    </x:row>
    <x:row r="2094" spans="1:7" x14ac:dyDescent="0.3">
      <x:c r="D2094" s="7"/>
    </x:row>
    <x:row r="2095" spans="1:7" x14ac:dyDescent="0.3">
      <x:c r="D2095" s="7"/>
    </x:row>
    <x:row r="2096" spans="1:7" x14ac:dyDescent="0.3">
      <x:c r="D2096" s="7"/>
    </x:row>
    <x:row r="2097" spans="1:7" x14ac:dyDescent="0.3">
      <x:c r="D2097" s="7"/>
    </x:row>
    <x:row r="2098" spans="1:7" x14ac:dyDescent="0.3">
      <x:c r="D2098" s="7"/>
    </x:row>
    <x:row r="2099" spans="1:7" x14ac:dyDescent="0.3">
      <x:c r="D2099" s="7"/>
    </x:row>
    <x:row r="2100" spans="1:7" x14ac:dyDescent="0.3">
      <x:c r="D2100" s="7"/>
    </x:row>
    <x:row r="2101" spans="1:7" x14ac:dyDescent="0.3">
      <x:c r="D2101" s="7"/>
    </x:row>
    <x:row r="2102" spans="1:7" x14ac:dyDescent="0.3">
      <x:c r="D2102" s="7"/>
    </x:row>
    <x:row r="2103" spans="1:7" x14ac:dyDescent="0.3">
      <x:c r="D2103" s="7"/>
    </x:row>
    <x:row r="2104" spans="1:7" x14ac:dyDescent="0.3">
      <x:c r="D2104" s="7"/>
    </x:row>
    <x:row r="2105" spans="1:7" x14ac:dyDescent="0.3">
      <x:c r="D2105" s="7"/>
    </x:row>
    <x:row r="2106" spans="1:7" x14ac:dyDescent="0.3">
      <x:c r="D2106" s="7"/>
    </x:row>
    <x:row r="2107" spans="1:7" x14ac:dyDescent="0.3">
      <x:c r="D2107" s="7"/>
    </x:row>
    <x:row r="2108" spans="1:7" x14ac:dyDescent="0.3">
      <x:c r="D2108" s="7"/>
    </x:row>
    <x:row r="2109" spans="1:7" x14ac:dyDescent="0.3">
      <x:c r="D2109" s="7"/>
    </x:row>
    <x:row r="2110" spans="1:7" x14ac:dyDescent="0.3">
      <x:c r="D2110" s="7"/>
    </x:row>
    <x:row r="2111" spans="1:7" x14ac:dyDescent="0.3">
      <x:c r="D2111" s="7"/>
    </x:row>
    <x:row r="2112" spans="1:7" x14ac:dyDescent="0.3">
      <x:c r="D2112" s="7"/>
    </x:row>
    <x:row r="2113" spans="1:7" x14ac:dyDescent="0.3">
      <x:c r="D2113" s="7"/>
    </x:row>
    <x:row r="2114" spans="1:7" x14ac:dyDescent="0.3">
      <x:c r="D2114" s="7"/>
    </x:row>
    <x:row r="2115" spans="1:7" x14ac:dyDescent="0.3">
      <x:c r="D2115" s="7"/>
    </x:row>
    <x:row r="2116" spans="1:7" x14ac:dyDescent="0.3">
      <x:c r="D2116" s="7"/>
    </x:row>
    <x:row r="2117" spans="1:7" x14ac:dyDescent="0.3">
      <x:c r="D2117" s="7"/>
    </x:row>
    <x:row r="2118" spans="1:7" x14ac:dyDescent="0.3">
      <x:c r="D2118" s="7"/>
    </x:row>
    <x:row r="2119" spans="1:7" x14ac:dyDescent="0.3">
      <x:c r="D2119" s="7"/>
    </x:row>
    <x:row r="2120" spans="1:7" x14ac:dyDescent="0.3">
      <x:c r="D2120" s="7"/>
    </x:row>
    <x:row r="2121" spans="1:7" x14ac:dyDescent="0.3">
      <x:c r="D2121" s="7"/>
    </x:row>
    <x:row r="2122" spans="1:7" x14ac:dyDescent="0.3">
      <x:c r="D2122" s="7"/>
    </x:row>
    <x:row r="2123" spans="1:7" x14ac:dyDescent="0.3">
      <x:c r="D2123" s="7"/>
    </x:row>
    <x:row r="2124" spans="1:7" x14ac:dyDescent="0.3">
      <x:c r="D2124" s="7"/>
    </x:row>
    <x:row r="2125" spans="1:7" x14ac:dyDescent="0.3">
      <x:c r="D2125" s="7"/>
    </x:row>
    <x:row r="2126" spans="1:7" x14ac:dyDescent="0.3">
      <x:c r="D2126" s="7"/>
    </x:row>
    <x:row r="2127" spans="1:7" x14ac:dyDescent="0.3">
      <x:c r="D2127" s="7"/>
    </x:row>
    <x:row r="2128" spans="1:7" x14ac:dyDescent="0.3">
      <x:c r="D2128" s="7"/>
    </x:row>
    <x:row r="2129" spans="1:7" x14ac:dyDescent="0.3">
      <x:c r="D2129" s="7"/>
    </x:row>
    <x:row r="2130" spans="1:7" x14ac:dyDescent="0.3">
      <x:c r="D2130" s="7"/>
    </x:row>
    <x:row r="2131" spans="1:7" x14ac:dyDescent="0.3">
      <x:c r="D2131" s="7"/>
    </x:row>
    <x:row r="2132" spans="1:7" x14ac:dyDescent="0.3">
      <x:c r="D2132" s="7"/>
    </x:row>
    <x:row r="2133" spans="1:7" x14ac:dyDescent="0.3">
      <x:c r="D2133" s="7"/>
    </x:row>
    <x:row r="2134" spans="1:7" x14ac:dyDescent="0.3">
      <x:c r="D2134" s="7"/>
    </x:row>
    <x:row r="2135" spans="1:7" x14ac:dyDescent="0.3">
      <x:c r="D2135" s="7"/>
    </x:row>
    <x:row r="2136" spans="1:7" x14ac:dyDescent="0.3">
      <x:c r="D2136" s="7"/>
    </x:row>
    <x:row r="2137" spans="1:7" x14ac:dyDescent="0.3">
      <x:c r="D2137" s="7"/>
    </x:row>
    <x:row r="2138" spans="1:7" x14ac:dyDescent="0.3">
      <x:c r="D2138" s="7"/>
    </x:row>
    <x:row r="2139" spans="1:7" x14ac:dyDescent="0.3">
      <x:c r="D2139" s="7"/>
    </x:row>
    <x:row r="2140" spans="1:7" x14ac:dyDescent="0.3">
      <x:c r="D2140" s="7"/>
    </x:row>
    <x:row r="2141" spans="1:7" x14ac:dyDescent="0.3">
      <x:c r="D2141" s="7"/>
    </x:row>
    <x:row r="2142" spans="1:7" x14ac:dyDescent="0.3">
      <x:c r="D2142" s="7"/>
    </x:row>
    <x:row r="2143" spans="1:7" x14ac:dyDescent="0.3">
      <x:c r="D2143" s="7"/>
    </x:row>
    <x:row r="2144" spans="1:7" x14ac:dyDescent="0.3">
      <x:c r="D2144" s="7"/>
    </x:row>
    <x:row r="2145" spans="1:7" x14ac:dyDescent="0.3">
      <x:c r="D2145" s="7"/>
    </x:row>
    <x:row r="2146" spans="1:7" x14ac:dyDescent="0.3">
      <x:c r="D2146" s="7"/>
    </x:row>
    <x:row r="2147" spans="1:7" x14ac:dyDescent="0.3">
      <x:c r="D2147" s="7"/>
    </x:row>
    <x:row r="2148" spans="1:7" x14ac:dyDescent="0.3">
      <x:c r="D2148" s="7"/>
    </x:row>
    <x:row r="2149" spans="1:7" x14ac:dyDescent="0.3">
      <x:c r="D2149" s="7"/>
    </x:row>
    <x:row r="2150" spans="1:7" x14ac:dyDescent="0.3">
      <x:c r="D2150" s="7"/>
    </x:row>
    <x:row r="2151" spans="1:7" x14ac:dyDescent="0.3">
      <x:c r="D2151" s="7"/>
    </x:row>
    <x:row r="2152" spans="1:7" x14ac:dyDescent="0.3">
      <x:c r="D2152" s="7"/>
    </x:row>
    <x:row r="2153" spans="1:7" x14ac:dyDescent="0.3">
      <x:c r="D2153" s="7"/>
    </x:row>
    <x:row r="2154" spans="1:7" x14ac:dyDescent="0.3">
      <x:c r="D2154" s="7"/>
    </x:row>
    <x:row r="2155" spans="1:7" x14ac:dyDescent="0.3">
      <x:c r="D2155" s="7"/>
    </x:row>
    <x:row r="2156" spans="1:7" x14ac:dyDescent="0.3">
      <x:c r="D2156" s="7"/>
    </x:row>
    <x:row r="2157" spans="1:7" x14ac:dyDescent="0.3">
      <x:c r="D2157" s="7"/>
    </x:row>
    <x:row r="2158" spans="1:7" x14ac:dyDescent="0.3">
      <x:c r="D2158" s="7"/>
    </x:row>
    <x:row r="2159" spans="1:7" x14ac:dyDescent="0.3">
      <x:c r="D2159" s="7"/>
    </x:row>
    <x:row r="2160" spans="1:7" x14ac:dyDescent="0.3">
      <x:c r="D2160" s="7"/>
    </x:row>
    <x:row r="2161" spans="1:7" x14ac:dyDescent="0.3">
      <x:c r="D2161" s="7"/>
    </x:row>
    <x:row r="2162" spans="1:7" x14ac:dyDescent="0.3">
      <x:c r="D2162" s="7"/>
    </x:row>
    <x:row r="2163" spans="1:7" x14ac:dyDescent="0.3">
      <x:c r="D2163" s="7"/>
    </x:row>
    <x:row r="2164" spans="1:7" x14ac:dyDescent="0.3">
      <x:c r="D2164" s="7"/>
    </x:row>
    <x:row r="2165" spans="1:7" x14ac:dyDescent="0.3">
      <x:c r="D2165" s="7"/>
    </x:row>
    <x:row r="2166" spans="1:7" x14ac:dyDescent="0.3">
      <x:c r="D2166" s="7"/>
    </x:row>
    <x:row r="2167" spans="1:7" x14ac:dyDescent="0.3">
      <x:c r="D2167" s="7"/>
    </x:row>
    <x:row r="2168" spans="1:7" x14ac:dyDescent="0.3">
      <x:c r="D2168" s="7"/>
    </x:row>
    <x:row r="2169" spans="1:7" x14ac:dyDescent="0.3">
      <x:c r="D2169" s="7"/>
    </x:row>
    <x:row r="2170" spans="1:7" x14ac:dyDescent="0.3">
      <x:c r="D2170" s="7"/>
    </x:row>
    <x:row r="2171" spans="1:7" x14ac:dyDescent="0.3">
      <x:c r="D2171" s="7"/>
    </x:row>
    <x:row r="2172" spans="1:7" x14ac:dyDescent="0.3">
      <x:c r="D2172" s="7"/>
    </x:row>
    <x:row r="2173" spans="1:7" x14ac:dyDescent="0.3">
      <x:c r="D2173" s="7"/>
    </x:row>
    <x:row r="2174" spans="1:7" x14ac:dyDescent="0.3">
      <x:c r="D2174" s="7"/>
    </x:row>
    <x:row r="2175" spans="1:7" x14ac:dyDescent="0.3">
      <x:c r="D2175" s="7"/>
    </x:row>
    <x:row r="2176" spans="1:7" x14ac:dyDescent="0.3">
      <x:c r="D2176" s="7"/>
    </x:row>
    <x:row r="2177" spans="1:7" x14ac:dyDescent="0.3">
      <x:c r="D2177" s="7"/>
    </x:row>
    <x:row r="2178" spans="1:7" x14ac:dyDescent="0.3">
      <x:c r="D2178" s="7"/>
    </x:row>
    <x:row r="2179" spans="1:7" x14ac:dyDescent="0.3">
      <x:c r="D2179" s="7"/>
    </x:row>
    <x:row r="2180" spans="1:7" x14ac:dyDescent="0.3">
      <x:c r="D2180" s="7"/>
    </x:row>
    <x:row r="2181" spans="1:7" x14ac:dyDescent="0.3">
      <x:c r="D2181" s="7"/>
    </x:row>
    <x:row r="2182" spans="1:7" x14ac:dyDescent="0.3">
      <x:c r="D2182" s="7"/>
    </x:row>
    <x:row r="2183" spans="1:7" x14ac:dyDescent="0.3">
      <x:c r="D2183" s="7"/>
    </x:row>
    <x:row r="2184" spans="1:7" x14ac:dyDescent="0.3">
      <x:c r="D2184" s="7"/>
    </x:row>
    <x:row r="2185" spans="1:7" x14ac:dyDescent="0.3">
      <x:c r="D2185" s="7"/>
    </x:row>
    <x:row r="2186" spans="1:7" x14ac:dyDescent="0.3">
      <x:c r="D2186" s="7"/>
    </x:row>
    <x:row r="2187" spans="1:7" x14ac:dyDescent="0.3">
      <x:c r="D2187" s="7"/>
    </x:row>
    <x:row r="2188" spans="1:7" x14ac:dyDescent="0.3">
      <x:c r="D2188" s="7"/>
    </x:row>
    <x:row r="2189" spans="1:7" x14ac:dyDescent="0.3">
      <x:c r="D2189" s="7"/>
    </x:row>
    <x:row r="2190" spans="1:7" x14ac:dyDescent="0.3">
      <x:c r="D2190" s="7"/>
    </x:row>
    <x:row r="2191" spans="1:7" x14ac:dyDescent="0.3">
      <x:c r="D2191" s="7"/>
    </x:row>
    <x:row r="2192" spans="1:7" x14ac:dyDescent="0.3">
      <x:c r="D2192" s="7"/>
    </x:row>
    <x:row r="2193" spans="1:7" x14ac:dyDescent="0.3">
      <x:c r="D2193" s="7"/>
    </x:row>
    <x:row r="2194" spans="1:7" x14ac:dyDescent="0.3">
      <x:c r="D2194" s="7"/>
    </x:row>
    <x:row r="2195" spans="1:7" x14ac:dyDescent="0.3">
      <x:c r="D2195" s="7"/>
    </x:row>
    <x:row r="2196" spans="1:7" x14ac:dyDescent="0.3">
      <x:c r="D2196" s="7"/>
    </x:row>
    <x:row r="2197" spans="1:7" x14ac:dyDescent="0.3">
      <x:c r="D2197" s="7"/>
    </x:row>
    <x:row r="2198" spans="1:7" x14ac:dyDescent="0.3">
      <x:c r="D2198" s="7"/>
    </x:row>
    <x:row r="2199" spans="1:7" x14ac:dyDescent="0.3">
      <x:c r="D2199" s="7"/>
    </x:row>
    <x:row r="2200" spans="1:7" x14ac:dyDescent="0.3">
      <x:c r="D2200" s="7"/>
    </x:row>
    <x:row r="2201" spans="1:7" x14ac:dyDescent="0.3">
      <x:c r="D2201" s="7"/>
    </x:row>
    <x:row r="2202" spans="1:7" x14ac:dyDescent="0.3">
      <x:c r="D2202" s="7"/>
    </x:row>
    <x:row r="2203" spans="1:7" x14ac:dyDescent="0.3">
      <x:c r="D2203" s="7"/>
    </x:row>
    <x:row r="2204" spans="1:7" x14ac:dyDescent="0.3">
      <x:c r="D2204" s="7"/>
    </x:row>
    <x:row r="2205" spans="1:7" x14ac:dyDescent="0.3">
      <x:c r="D2205" s="7"/>
    </x:row>
    <x:row r="2206" spans="1:7" x14ac:dyDescent="0.3">
      <x:c r="D2206" s="7"/>
    </x:row>
    <x:row r="2207" spans="1:7" x14ac:dyDescent="0.3">
      <x:c r="D2207" s="7"/>
    </x:row>
    <x:row r="2208" spans="1:7" x14ac:dyDescent="0.3">
      <x:c r="D2208" s="7"/>
    </x:row>
    <x:row r="2209" spans="1:7" x14ac:dyDescent="0.3">
      <x:c r="D2209" s="7"/>
    </x:row>
    <x:row r="2210" spans="1:7" x14ac:dyDescent="0.3">
      <x:c r="D2210" s="7"/>
    </x:row>
    <x:row r="2211" spans="1:7" x14ac:dyDescent="0.3">
      <x:c r="D2211" s="7"/>
    </x:row>
    <x:row r="2212" spans="1:7" x14ac:dyDescent="0.3">
      <x:c r="D2212" s="7"/>
    </x:row>
    <x:row r="2213" spans="1:7" x14ac:dyDescent="0.3">
      <x:c r="D2213" s="7"/>
    </x:row>
    <x:row r="2214" spans="1:7" x14ac:dyDescent="0.3">
      <x:c r="D2214" s="7"/>
    </x:row>
    <x:row r="2215" spans="1:7" x14ac:dyDescent="0.3">
      <x:c r="D2215" s="7"/>
    </x:row>
    <x:row r="2216" spans="1:7" x14ac:dyDescent="0.3">
      <x:c r="D2216" s="7"/>
    </x:row>
    <x:row r="2217" spans="1:7" x14ac:dyDescent="0.3">
      <x:c r="D2217" s="7"/>
    </x:row>
    <x:row r="2218" spans="1:7" x14ac:dyDescent="0.3">
      <x:c r="D2218" s="7"/>
    </x:row>
    <x:row r="2219" spans="1:7" x14ac:dyDescent="0.3">
      <x:c r="D2219" s="7"/>
    </x:row>
    <x:row r="2220" spans="1:7" x14ac:dyDescent="0.3">
      <x:c r="D2220" s="7"/>
    </x:row>
    <x:row r="2221" spans="1:7" x14ac:dyDescent="0.3">
      <x:c r="D2221" s="7"/>
    </x:row>
    <x:row r="2222" spans="1:7" x14ac:dyDescent="0.3">
      <x:c r="D2222" s="7"/>
    </x:row>
    <x:row r="2223" spans="1:7" x14ac:dyDescent="0.3">
      <x:c r="D2223" s="7"/>
    </x:row>
    <x:row r="2224" spans="1:7" x14ac:dyDescent="0.3">
      <x:c r="D2224" s="7"/>
    </x:row>
    <x:row r="2225" spans="1:7" x14ac:dyDescent="0.3">
      <x:c r="D2225" s="7"/>
    </x:row>
    <x:row r="2226" spans="1:7" x14ac:dyDescent="0.3">
      <x:c r="D2226" s="7"/>
    </x:row>
    <x:row r="2227" spans="1:7" x14ac:dyDescent="0.3">
      <x:c r="D2227" s="7"/>
    </x:row>
    <x:row r="2228" spans="1:7" x14ac:dyDescent="0.3">
      <x:c r="D2228" s="7"/>
    </x:row>
    <x:row r="2229" spans="1:7" x14ac:dyDescent="0.3">
      <x:c r="D2229" s="7"/>
    </x:row>
    <x:row r="2230" spans="1:7" x14ac:dyDescent="0.3">
      <x:c r="D2230" s="7"/>
    </x:row>
    <x:row r="2231" spans="1:7" x14ac:dyDescent="0.3">
      <x:c r="D2231" s="7"/>
    </x:row>
    <x:row r="2232" spans="1:7" x14ac:dyDescent="0.3">
      <x:c r="D2232" s="7"/>
    </x:row>
    <x:row r="2233" spans="1:7" x14ac:dyDescent="0.3">
      <x:c r="D2233" s="7"/>
    </x:row>
    <x:row r="2234" spans="1:7" x14ac:dyDescent="0.3">
      <x:c r="D2234" s="7"/>
    </x:row>
    <x:row r="2235" spans="1:7" x14ac:dyDescent="0.3">
      <x:c r="D2235" s="7"/>
    </x:row>
    <x:row r="2236" spans="1:7" x14ac:dyDescent="0.3">
      <x:c r="D2236" s="7"/>
    </x:row>
    <x:row r="2237" spans="1:7" x14ac:dyDescent="0.3">
      <x:c r="D2237" s="7"/>
    </x:row>
    <x:row r="2238" spans="1:7" x14ac:dyDescent="0.3">
      <x:c r="D2238" s="7"/>
    </x:row>
    <x:row r="2239" spans="1:7" x14ac:dyDescent="0.3">
      <x:c r="D2239" s="7"/>
    </x:row>
    <x:row r="2240" spans="1:7" x14ac:dyDescent="0.3">
      <x:c r="D2240" s="7"/>
    </x:row>
    <x:row r="2241" spans="1:7" x14ac:dyDescent="0.3">
      <x:c r="D2241" s="7"/>
    </x:row>
    <x:row r="2242" spans="1:7" x14ac:dyDescent="0.3">
      <x:c r="D2242" s="7"/>
    </x:row>
    <x:row r="2243" spans="1:7" x14ac:dyDescent="0.3">
      <x:c r="D2243" s="7"/>
    </x:row>
    <x:row r="2244" spans="1:7" x14ac:dyDescent="0.3">
      <x:c r="D2244" s="7"/>
    </x:row>
    <x:row r="2245" spans="1:7" x14ac:dyDescent="0.3">
      <x:c r="D2245" s="7"/>
    </x:row>
    <x:row r="2246" spans="1:7" x14ac:dyDescent="0.3">
      <x:c r="D2246" s="7"/>
    </x:row>
    <x:row r="2247" spans="1:7" x14ac:dyDescent="0.3">
      <x:c r="D2247" s="7"/>
    </x:row>
    <x:row r="2248" spans="1:7" x14ac:dyDescent="0.3">
      <x:c r="D2248" s="7"/>
    </x:row>
    <x:row r="2249" spans="1:7" x14ac:dyDescent="0.3">
      <x:c r="D2249" s="7"/>
    </x:row>
    <x:row r="2250" spans="1:7" x14ac:dyDescent="0.3">
      <x:c r="D2250" s="7"/>
    </x:row>
    <x:row r="2251" spans="1:7" x14ac:dyDescent="0.3">
      <x:c r="D2251" s="7"/>
    </x:row>
    <x:row r="2252" spans="1:7" x14ac:dyDescent="0.3">
      <x:c r="D2252" s="7"/>
    </x:row>
    <x:row r="2253" spans="1:7" x14ac:dyDescent="0.3">
      <x:c r="D2253" s="7"/>
    </x:row>
    <x:row r="2254" spans="1:7" x14ac:dyDescent="0.3">
      <x:c r="D2254" s="7"/>
    </x:row>
    <x:row r="2255" spans="1:7" x14ac:dyDescent="0.3">
      <x:c r="D2255" s="7"/>
    </x:row>
    <x:row r="2256" spans="1:7" x14ac:dyDescent="0.3">
      <x:c r="D2256" s="7"/>
    </x:row>
    <x:row r="2257" spans="1:7" x14ac:dyDescent="0.3">
      <x:c r="D2257" s="7"/>
    </x:row>
    <x:row r="2258" spans="1:7" x14ac:dyDescent="0.3">
      <x:c r="D2258" s="7"/>
    </x:row>
    <x:row r="2259" spans="1:7" x14ac:dyDescent="0.3">
      <x:c r="D2259" s="7"/>
    </x:row>
    <x:row r="2260" spans="1:7" x14ac:dyDescent="0.3">
      <x:c r="D2260" s="7"/>
    </x:row>
    <x:row r="2261" spans="1:7" x14ac:dyDescent="0.3">
      <x:c r="D2261" s="7"/>
    </x:row>
    <x:row r="2262" spans="1:7" x14ac:dyDescent="0.3">
      <x:c r="D2262" s="7"/>
    </x:row>
    <x:row r="2263" spans="1:7" x14ac:dyDescent="0.3">
      <x:c r="D2263" s="7"/>
    </x:row>
    <x:row r="2264" spans="1:7" x14ac:dyDescent="0.3">
      <x:c r="D2264" s="7"/>
    </x:row>
    <x:row r="2265" spans="1:7" x14ac:dyDescent="0.3">
      <x:c r="D2265" s="7"/>
    </x:row>
    <x:row r="2266" spans="1:7" x14ac:dyDescent="0.3">
      <x:c r="D2266" s="7"/>
    </x:row>
    <x:row r="2267" spans="1:7" x14ac:dyDescent="0.3">
      <x:c r="D2267" s="7"/>
    </x:row>
    <x:row r="2268" spans="1:7" x14ac:dyDescent="0.3">
      <x:c r="D2268" s="7"/>
    </x:row>
    <x:row r="2269" spans="1:7" x14ac:dyDescent="0.3">
      <x:c r="D2269" s="7"/>
    </x:row>
    <x:row r="2270" spans="1:7" x14ac:dyDescent="0.3">
      <x:c r="D2270" s="7"/>
    </x:row>
    <x:row r="2271" spans="1:7" x14ac:dyDescent="0.3">
      <x:c r="D2271" s="7"/>
    </x:row>
    <x:row r="2272" spans="1:7" x14ac:dyDescent="0.3">
      <x:c r="D2272" s="7"/>
    </x:row>
    <x:row r="2273" spans="1:7" x14ac:dyDescent="0.3">
      <x:c r="D2273" s="7"/>
    </x:row>
    <x:row r="2274" spans="1:7" x14ac:dyDescent="0.3">
      <x:c r="D2274" s="7"/>
    </x:row>
    <x:row r="2275" spans="1:7" x14ac:dyDescent="0.3">
      <x:c r="D2275" s="7"/>
    </x:row>
    <x:row r="2276" spans="1:7" x14ac:dyDescent="0.3">
      <x:c r="D2276" s="7"/>
    </x:row>
    <x:row r="2277" spans="1:7" x14ac:dyDescent="0.3">
      <x:c r="D2277" s="7"/>
    </x:row>
    <x:row r="2278" spans="1:7" x14ac:dyDescent="0.3">
      <x:c r="D2278" s="7"/>
    </x:row>
    <x:row r="2279" spans="1:7" x14ac:dyDescent="0.3">
      <x:c r="D2279" s="7"/>
    </x:row>
    <x:row r="2280" spans="1:7" x14ac:dyDescent="0.3">
      <x:c r="D2280" s="7"/>
    </x:row>
    <x:row r="2281" spans="1:7" x14ac:dyDescent="0.3">
      <x:c r="D2281" s="7"/>
    </x:row>
    <x:row r="2282" spans="1:7" x14ac:dyDescent="0.3">
      <x:c r="D2282" s="7"/>
    </x:row>
    <x:row r="2283" spans="1:7" x14ac:dyDescent="0.3">
      <x:c r="D2283" s="7"/>
    </x:row>
    <x:row r="2284" spans="1:7" x14ac:dyDescent="0.3">
      <x:c r="D2284" s="7"/>
    </x:row>
    <x:row r="2285" spans="1:7" x14ac:dyDescent="0.3">
      <x:c r="D2285" s="7"/>
    </x:row>
    <x:row r="2286" spans="1:7" x14ac:dyDescent="0.3">
      <x:c r="D2286" s="7"/>
    </x:row>
    <x:row r="2287" spans="1:7" x14ac:dyDescent="0.3">
      <x:c r="D2287" s="7"/>
    </x:row>
    <x:row r="2288" spans="1:7" x14ac:dyDescent="0.3">
      <x:c r="D2288" s="7"/>
    </x:row>
    <x:row r="2289" spans="1:7" x14ac:dyDescent="0.3">
      <x:c r="D2289" s="7"/>
    </x:row>
    <x:row r="2290" spans="1:7" x14ac:dyDescent="0.3">
      <x:c r="D2290" s="7"/>
    </x:row>
    <x:row r="2291" spans="1:7" x14ac:dyDescent="0.3">
      <x:c r="D2291" s="7"/>
    </x:row>
    <x:row r="2292" spans="1:7" x14ac:dyDescent="0.3">
      <x:c r="D2292" s="7"/>
    </x:row>
    <x:row r="2293" spans="1:7" x14ac:dyDescent="0.3">
      <x:c r="D2293" s="7"/>
    </x:row>
    <x:row r="2294" spans="1:7" x14ac:dyDescent="0.3">
      <x:c r="D2294" s="7"/>
    </x:row>
    <x:row r="2295" spans="1:7" x14ac:dyDescent="0.3">
      <x:c r="D2295" s="7"/>
    </x:row>
    <x:row r="2296" spans="1:7" x14ac:dyDescent="0.3">
      <x:c r="D2296" s="7"/>
    </x:row>
    <x:row r="2297" spans="1:7" x14ac:dyDescent="0.3">
      <x:c r="D2297" s="7"/>
    </x:row>
    <x:row r="2298" spans="1:7" x14ac:dyDescent="0.3">
      <x:c r="D2298" s="7"/>
    </x:row>
    <x:row r="2299" spans="1:7" x14ac:dyDescent="0.3">
      <x:c r="D2299" s="7"/>
    </x:row>
    <x:row r="2300" spans="1:7" x14ac:dyDescent="0.3">
      <x:c r="D2300" s="7"/>
    </x:row>
    <x:row r="2301" spans="1:7" x14ac:dyDescent="0.3">
      <x:c r="D2301" s="7"/>
    </x:row>
    <x:row r="2302" spans="1:7" x14ac:dyDescent="0.3">
      <x:c r="D2302" s="7"/>
    </x:row>
    <x:row r="2303" spans="1:7" x14ac:dyDescent="0.3">
      <x:c r="D2303" s="7"/>
    </x:row>
    <x:row r="2304" spans="1:7" x14ac:dyDescent="0.3">
      <x:c r="D2304" s="7"/>
    </x:row>
    <x:row r="2305" spans="1:7" x14ac:dyDescent="0.3">
      <x:c r="D2305" s="7"/>
    </x:row>
    <x:row r="2306" spans="1:7" x14ac:dyDescent="0.3">
      <x:c r="D2306" s="7"/>
    </x:row>
    <x:row r="2307" spans="1:7" x14ac:dyDescent="0.3">
      <x:c r="D2307" s="7"/>
    </x:row>
    <x:row r="2308" spans="1:7" x14ac:dyDescent="0.3">
      <x:c r="D2308" s="7"/>
    </x:row>
    <x:row r="2309" spans="1:7" x14ac:dyDescent="0.3">
      <x:c r="D2309" s="7"/>
    </x:row>
    <x:row r="2310" spans="1:7" x14ac:dyDescent="0.3">
      <x:c r="D2310" s="7"/>
    </x:row>
    <x:row r="2311" spans="1:7" x14ac:dyDescent="0.3">
      <x:c r="D2311" s="7"/>
    </x:row>
    <x:row r="2312" spans="1:7" x14ac:dyDescent="0.3">
      <x:c r="D2312" s="7"/>
    </x:row>
    <x:row r="2313" spans="1:7" x14ac:dyDescent="0.3">
      <x:c r="D2313" s="7"/>
    </x:row>
    <x:row r="2314" spans="1:7" x14ac:dyDescent="0.3">
      <x:c r="D2314" s="7"/>
    </x:row>
    <x:row r="2315" spans="1:7" x14ac:dyDescent="0.3">
      <x:c r="D2315" s="7"/>
    </x:row>
    <x:row r="2316" spans="1:7" x14ac:dyDescent="0.3">
      <x:c r="D2316" s="7"/>
    </x:row>
    <x:row r="2317" spans="1:7" x14ac:dyDescent="0.3">
      <x:c r="D2317" s="7"/>
    </x:row>
    <x:row r="2318" spans="1:7" x14ac:dyDescent="0.3">
      <x:c r="D2318" s="7"/>
    </x:row>
    <x:row r="2319" spans="1:7" x14ac:dyDescent="0.3">
      <x:c r="D2319" s="7"/>
    </x:row>
    <x:row r="2320" spans="1:7" x14ac:dyDescent="0.3">
      <x:c r="D2320" s="7"/>
    </x:row>
    <x:row r="2321" spans="1:7" x14ac:dyDescent="0.3">
      <x:c r="D2321" s="7"/>
    </x:row>
    <x:row r="2322" spans="1:7" x14ac:dyDescent="0.3">
      <x:c r="D2322" s="7"/>
    </x:row>
    <x:row r="2323" spans="1:7" x14ac:dyDescent="0.3">
      <x:c r="D2323" s="7"/>
    </x:row>
    <x:row r="2324" spans="1:7" x14ac:dyDescent="0.3">
      <x:c r="D2324" s="7"/>
    </x:row>
    <x:row r="2325" spans="1:7" x14ac:dyDescent="0.3">
      <x:c r="D2325" s="7"/>
    </x:row>
    <x:row r="2326" spans="1:7" x14ac:dyDescent="0.3">
      <x:c r="D2326" s="7"/>
    </x:row>
    <x:row r="2327" spans="1:7" x14ac:dyDescent="0.3">
      <x:c r="D2327" s="7"/>
    </x:row>
    <x:row r="2328" spans="1:7" x14ac:dyDescent="0.3">
      <x:c r="D2328" s="7"/>
    </x:row>
    <x:row r="2329" spans="1:7" x14ac:dyDescent="0.3">
      <x:c r="D2329" s="7"/>
    </x:row>
    <x:row r="2330" spans="1:7" x14ac:dyDescent="0.3">
      <x:c r="D2330" s="7"/>
    </x:row>
    <x:row r="2331" spans="1:7" x14ac:dyDescent="0.3">
      <x:c r="D2331" s="7"/>
    </x:row>
    <x:row r="2332" spans="1:7" x14ac:dyDescent="0.3">
      <x:c r="D2332" s="7"/>
    </x:row>
    <x:row r="2333" spans="1:7" x14ac:dyDescent="0.3">
      <x:c r="D2333" s="7"/>
    </x:row>
    <x:row r="2334" spans="1:7" x14ac:dyDescent="0.3">
      <x:c r="D2334" s="7"/>
    </x:row>
    <x:row r="2335" spans="1:7" x14ac:dyDescent="0.3">
      <x:c r="D2335" s="7"/>
    </x:row>
    <x:row r="2336" spans="1:7" x14ac:dyDescent="0.3">
      <x:c r="D2336" s="7"/>
    </x:row>
    <x:row r="2337" spans="1:7" x14ac:dyDescent="0.3">
      <x:c r="D2337" s="7"/>
    </x:row>
    <x:row r="2338" spans="1:7" x14ac:dyDescent="0.3">
      <x:c r="D2338" s="7"/>
    </x:row>
    <x:row r="2339" spans="1:7" x14ac:dyDescent="0.3">
      <x:c r="D2339" s="7"/>
    </x:row>
    <x:row r="2340" spans="1:7" x14ac:dyDescent="0.3">
      <x:c r="D2340" s="7"/>
    </x:row>
    <x:row r="2341" spans="1:7" x14ac:dyDescent="0.3">
      <x:c r="D2341" s="7"/>
    </x:row>
    <x:row r="2342" spans="1:7" x14ac:dyDescent="0.3">
      <x:c r="D2342" s="7"/>
    </x:row>
    <x:row r="2343" spans="1:7" x14ac:dyDescent="0.3">
      <x:c r="D2343" s="7"/>
    </x:row>
    <x:row r="2344" spans="1:7" x14ac:dyDescent="0.3">
      <x:c r="D2344" s="7"/>
    </x:row>
    <x:row r="2345" spans="1:7" x14ac:dyDescent="0.3">
      <x:c r="D2345" s="7"/>
    </x:row>
    <x:row r="2346" spans="1:7" x14ac:dyDescent="0.3">
      <x:c r="D2346" s="7"/>
    </x:row>
    <x:row r="2347" spans="1:7" x14ac:dyDescent="0.3">
      <x:c r="D2347" s="7"/>
    </x:row>
    <x:row r="2348" spans="1:7" x14ac:dyDescent="0.3">
      <x:c r="D2348" s="7"/>
    </x:row>
    <x:row r="2349" spans="1:7" x14ac:dyDescent="0.3">
      <x:c r="D2349" s="7"/>
    </x:row>
    <x:row r="2350" spans="1:7" x14ac:dyDescent="0.3">
      <x:c r="D2350" s="7"/>
    </x:row>
    <x:row r="2351" spans="1:7" x14ac:dyDescent="0.3">
      <x:c r="D2351" s="7"/>
    </x:row>
    <x:row r="2352" spans="1:7" x14ac:dyDescent="0.3">
      <x:c r="D2352" s="7"/>
    </x:row>
    <x:row r="2353" spans="1:7" x14ac:dyDescent="0.3">
      <x:c r="D2353" s="7"/>
    </x:row>
    <x:row r="2354" spans="1:7" x14ac:dyDescent="0.3">
      <x:c r="D2354" s="7"/>
    </x:row>
    <x:row r="2355" spans="1:7" x14ac:dyDescent="0.3">
      <x:c r="D2355" s="7"/>
    </x:row>
    <x:row r="2356" spans="1:7" x14ac:dyDescent="0.3">
      <x:c r="D2356" s="7"/>
    </x:row>
    <x:row r="2357" spans="1:7" x14ac:dyDescent="0.3">
      <x:c r="D2357" s="7"/>
    </x:row>
    <x:row r="2358" spans="1:7" x14ac:dyDescent="0.3">
      <x:c r="D2358" s="7"/>
    </x:row>
    <x:row r="2359" spans="1:7" x14ac:dyDescent="0.3">
      <x:c r="D2359" s="7"/>
    </x:row>
    <x:row r="2360" spans="1:7" x14ac:dyDescent="0.3">
      <x:c r="D2360" s="7"/>
    </x:row>
    <x:row r="2361" spans="1:7" x14ac:dyDescent="0.3">
      <x:c r="D2361" s="7"/>
    </x:row>
    <x:row r="2362" spans="1:7" x14ac:dyDescent="0.3">
      <x:c r="D2362" s="7"/>
    </x:row>
    <x:row r="2363" spans="1:7" x14ac:dyDescent="0.3">
      <x:c r="D2363" s="7"/>
    </x:row>
    <x:row r="2364" spans="1:7" x14ac:dyDescent="0.3">
      <x:c r="D2364" s="7"/>
    </x:row>
    <x:row r="2365" spans="1:7" x14ac:dyDescent="0.3">
      <x:c r="D2365" s="7"/>
    </x:row>
    <x:row r="2366" spans="1:7" x14ac:dyDescent="0.3">
      <x:c r="D2366" s="7"/>
    </x:row>
    <x:row r="2367" spans="1:7" x14ac:dyDescent="0.3">
      <x:c r="D2367" s="7"/>
    </x:row>
    <x:row r="2368" spans="1:7" x14ac:dyDescent="0.3">
      <x:c r="D2368" s="7"/>
    </x:row>
    <x:row r="2369" spans="1:7" x14ac:dyDescent="0.3">
      <x:c r="D2369" s="7"/>
    </x:row>
    <x:row r="2370" spans="1:7" x14ac:dyDescent="0.3">
      <x:c r="D2370" s="7"/>
    </x:row>
    <x:row r="2371" spans="1:7" x14ac:dyDescent="0.3">
      <x:c r="D2371" s="7"/>
    </x:row>
    <x:row r="2372" spans="1:7" x14ac:dyDescent="0.3">
      <x:c r="D2372" s="7"/>
    </x:row>
    <x:row r="2373" spans="1:7" x14ac:dyDescent="0.3">
      <x:c r="D2373" s="7"/>
    </x:row>
    <x:row r="2374" spans="1:7" x14ac:dyDescent="0.3">
      <x:c r="D2374" s="7"/>
    </x:row>
    <x:row r="2375" spans="1:7" x14ac:dyDescent="0.3">
      <x:c r="D2375" s="7"/>
    </x:row>
    <x:row r="2376" spans="1:7" x14ac:dyDescent="0.3">
      <x:c r="D2376" s="7"/>
    </x:row>
    <x:row r="2377" spans="1:7" x14ac:dyDescent="0.3">
      <x:c r="D2377" s="7"/>
    </x:row>
    <x:row r="2378" spans="1:7" x14ac:dyDescent="0.3">
      <x:c r="D2378" s="7"/>
    </x:row>
    <x:row r="2379" spans="1:7" x14ac:dyDescent="0.3">
      <x:c r="D2379" s="7"/>
    </x:row>
    <x:row r="2380" spans="1:7" x14ac:dyDescent="0.3">
      <x:c r="D2380" s="7"/>
    </x:row>
    <x:row r="2381" spans="1:7" x14ac:dyDescent="0.3">
      <x:c r="D2381" s="7"/>
    </x:row>
    <x:row r="2382" spans="1:7" x14ac:dyDescent="0.3">
      <x:c r="D2382" s="7"/>
    </x:row>
    <x:row r="2383" spans="1:7" x14ac:dyDescent="0.3">
      <x:c r="D2383" s="7"/>
    </x:row>
    <x:row r="2384" spans="1:7" x14ac:dyDescent="0.3">
      <x:c r="D2384" s="7"/>
    </x:row>
    <x:row r="2385" spans="1:7" x14ac:dyDescent="0.3">
      <x:c r="D2385" s="7"/>
    </x:row>
    <x:row r="2386" spans="1:7" x14ac:dyDescent="0.3">
      <x:c r="D2386" s="7"/>
    </x:row>
    <x:row r="2387" spans="1:7" x14ac:dyDescent="0.3">
      <x:c r="D2387" s="7"/>
    </x:row>
    <x:row r="2388" spans="1:7" x14ac:dyDescent="0.3">
      <x:c r="D2388" s="7"/>
    </x:row>
    <x:row r="2389" spans="1:7" x14ac:dyDescent="0.3">
      <x:c r="D2389" s="7"/>
    </x:row>
    <x:row r="2390" spans="1:7" x14ac:dyDescent="0.3">
      <x:c r="D2390" s="7"/>
    </x:row>
    <x:row r="2391" spans="1:7" x14ac:dyDescent="0.3">
      <x:c r="D2391" s="7"/>
    </x:row>
    <x:row r="2392" spans="1:7" x14ac:dyDescent="0.3">
      <x:c r="D2392" s="7"/>
    </x:row>
    <x:row r="2393" spans="1:7" x14ac:dyDescent="0.3">
      <x:c r="D2393" s="7"/>
    </x:row>
    <x:row r="2394" spans="1:7" x14ac:dyDescent="0.3">
      <x:c r="D2394" s="7"/>
    </x:row>
    <x:row r="2395" spans="1:7" x14ac:dyDescent="0.3">
      <x:c r="D2395" s="7"/>
    </x:row>
    <x:row r="2396" spans="1:7" x14ac:dyDescent="0.3">
      <x:c r="D2396" s="7"/>
    </x:row>
    <x:row r="2397" spans="1:7" x14ac:dyDescent="0.3">
      <x:c r="D2397" s="7"/>
    </x:row>
    <x:row r="2398" spans="1:7" x14ac:dyDescent="0.3">
      <x:c r="D2398" s="7"/>
    </x:row>
    <x:row r="2399" spans="1:7" x14ac:dyDescent="0.3">
      <x:c r="D2399" s="7"/>
    </x:row>
    <x:row r="2400" spans="1:7" x14ac:dyDescent="0.3">
      <x:c r="D2400" s="7"/>
    </x:row>
    <x:row r="2401" spans="1:7" x14ac:dyDescent="0.3">
      <x:c r="D2401" s="7"/>
    </x:row>
    <x:row r="2402" spans="1:7" x14ac:dyDescent="0.3">
      <x:c r="D2402" s="7"/>
    </x:row>
    <x:row r="2403" spans="1:7" x14ac:dyDescent="0.3">
      <x:c r="D2403" s="7"/>
    </x:row>
    <x:row r="2404" spans="1:7" x14ac:dyDescent="0.3">
      <x:c r="D2404" s="7"/>
    </x:row>
    <x:row r="2405" spans="1:7" x14ac:dyDescent="0.3">
      <x:c r="D2405" s="7"/>
    </x:row>
    <x:row r="2406" spans="1:7" x14ac:dyDescent="0.3">
      <x:c r="D2406" s="7"/>
    </x:row>
    <x:row r="2407" spans="1:7" x14ac:dyDescent="0.3">
      <x:c r="D2407" s="7"/>
    </x:row>
    <x:row r="2408" spans="1:7" x14ac:dyDescent="0.3">
      <x:c r="D2408" s="7"/>
    </x:row>
    <x:row r="2409" spans="1:7" x14ac:dyDescent="0.3">
      <x:c r="D2409" s="7"/>
    </x:row>
    <x:row r="2410" spans="1:7" x14ac:dyDescent="0.3">
      <x:c r="D2410" s="7"/>
    </x:row>
    <x:row r="2411" spans="1:7" x14ac:dyDescent="0.3">
      <x:c r="D2411" s="7"/>
    </x:row>
    <x:row r="2412" spans="1:7" x14ac:dyDescent="0.3">
      <x:c r="D2412" s="7"/>
    </x:row>
    <x:row r="2413" spans="1:7" x14ac:dyDescent="0.3">
      <x:c r="D2413" s="7"/>
    </x:row>
    <x:row r="2414" spans="1:7" x14ac:dyDescent="0.3">
      <x:c r="D2414" s="7"/>
    </x:row>
    <x:row r="2415" spans="1:7" x14ac:dyDescent="0.3">
      <x:c r="D2415" s="7"/>
    </x:row>
    <x:row r="2416" spans="1:7" x14ac:dyDescent="0.3">
      <x:c r="D2416" s="7"/>
    </x:row>
    <x:row r="2417" spans="1:7" x14ac:dyDescent="0.3">
      <x:c r="D2417" s="7"/>
    </x:row>
    <x:row r="2418" spans="1:7" x14ac:dyDescent="0.3">
      <x:c r="D2418" s="7"/>
    </x:row>
    <x:row r="2419" spans="1:7" x14ac:dyDescent="0.3">
      <x:c r="D2419" s="7"/>
    </x:row>
    <x:row r="2420" spans="1:7" x14ac:dyDescent="0.3">
      <x:c r="D2420" s="7"/>
    </x:row>
    <x:row r="2421" spans="1:7" x14ac:dyDescent="0.3">
      <x:c r="D2421" s="7"/>
    </x:row>
    <x:row r="2422" spans="1:7" x14ac:dyDescent="0.3">
      <x:c r="D2422" s="7"/>
    </x:row>
    <x:row r="2423" spans="1:7" x14ac:dyDescent="0.3">
      <x:c r="D2423" s="7"/>
    </x:row>
    <x:row r="2424" spans="1:7" x14ac:dyDescent="0.3">
      <x:c r="D2424" s="7"/>
    </x:row>
    <x:row r="2425" spans="1:7" x14ac:dyDescent="0.3">
      <x:c r="D2425" s="7"/>
    </x:row>
    <x:row r="2426" spans="1:7" x14ac:dyDescent="0.3">
      <x:c r="D2426" s="7"/>
    </x:row>
    <x:row r="2427" spans="1:7" x14ac:dyDescent="0.3">
      <x:c r="D2427" s="7"/>
    </x:row>
    <x:row r="2428" spans="1:7" x14ac:dyDescent="0.3">
      <x:c r="D2428" s="7"/>
    </x:row>
    <x:row r="2429" spans="1:7" x14ac:dyDescent="0.3">
      <x:c r="D2429" s="7"/>
    </x:row>
    <x:row r="2430" spans="1:7" x14ac:dyDescent="0.3">
      <x:c r="D2430" s="7"/>
    </x:row>
    <x:row r="2431" spans="1:7" x14ac:dyDescent="0.3">
      <x:c r="D2431" s="7"/>
    </x:row>
    <x:row r="2432" spans="1:7" x14ac:dyDescent="0.3">
      <x:c r="D2432" s="7"/>
    </x:row>
    <x:row r="2433" spans="1:7" x14ac:dyDescent="0.3">
      <x:c r="D2433" s="7"/>
    </x:row>
    <x:row r="2434" spans="1:7" x14ac:dyDescent="0.3">
      <x:c r="D2434" s="7"/>
    </x:row>
    <x:row r="2435" spans="1:7" x14ac:dyDescent="0.3">
      <x:c r="D2435" s="7"/>
    </x:row>
    <x:row r="2436" spans="1:7" x14ac:dyDescent="0.3">
      <x:c r="D2436" s="7"/>
    </x:row>
    <x:row r="2437" spans="1:7" x14ac:dyDescent="0.3">
      <x:c r="D2437" s="7"/>
    </x:row>
    <x:row r="2438" spans="1:7" x14ac:dyDescent="0.3">
      <x:c r="D2438" s="7"/>
    </x:row>
    <x:row r="2439" spans="1:7" x14ac:dyDescent="0.3">
      <x:c r="D2439" s="7"/>
    </x:row>
    <x:row r="2440" spans="1:7" x14ac:dyDescent="0.3">
      <x:c r="D2440" s="7"/>
    </x:row>
    <x:row r="2441" spans="1:7" x14ac:dyDescent="0.3">
      <x:c r="D2441" s="7"/>
    </x:row>
    <x:row r="2442" spans="1:7" x14ac:dyDescent="0.3">
      <x:c r="D2442" s="7"/>
    </x:row>
    <x:row r="2443" spans="1:7" x14ac:dyDescent="0.3">
      <x:c r="D2443" s="7"/>
    </x:row>
    <x:row r="2444" spans="1:7" x14ac:dyDescent="0.3">
      <x:c r="D2444" s="7"/>
    </x:row>
    <x:row r="2445" spans="1:7" x14ac:dyDescent="0.3">
      <x:c r="D2445" s="7"/>
    </x:row>
    <x:row r="2446" spans="1:7" x14ac:dyDescent="0.3">
      <x:c r="D2446" s="7"/>
    </x:row>
    <x:row r="2447" spans="1:7" x14ac:dyDescent="0.3">
      <x:c r="D2447" s="7"/>
    </x:row>
    <x:row r="2448" spans="1:7" x14ac:dyDescent="0.3">
      <x:c r="D2448" s="7"/>
    </x:row>
    <x:row r="2449" spans="1:7" x14ac:dyDescent="0.3">
      <x:c r="D2449" s="7"/>
    </x:row>
    <x:row r="2450" spans="1:7" x14ac:dyDescent="0.3">
      <x:c r="D2450" s="7"/>
    </x:row>
    <x:row r="2451" spans="1:7" x14ac:dyDescent="0.3">
      <x:c r="D2451" s="7"/>
    </x:row>
    <x:row r="2452" spans="1:7" x14ac:dyDescent="0.3">
      <x:c r="D2452" s="7"/>
    </x:row>
    <x:row r="2453" spans="1:7" x14ac:dyDescent="0.3">
      <x:c r="D2453" s="7"/>
    </x:row>
    <x:row r="2454" spans="1:7" x14ac:dyDescent="0.3">
      <x:c r="D2454" s="7"/>
    </x:row>
    <x:row r="2455" spans="1:7" x14ac:dyDescent="0.3">
      <x:c r="D2455" s="7"/>
    </x:row>
    <x:row r="2456" spans="1:7" x14ac:dyDescent="0.3">
      <x:c r="D2456" s="7"/>
    </x:row>
    <x:row r="2457" spans="1:7" x14ac:dyDescent="0.3">
      <x:c r="D2457" s="7"/>
    </x:row>
    <x:row r="2458" spans="1:7" x14ac:dyDescent="0.3">
      <x:c r="D2458" s="7"/>
    </x:row>
    <x:row r="2459" spans="1:7" x14ac:dyDescent="0.3">
      <x:c r="D2459" s="7"/>
    </x:row>
    <x:row r="2460" spans="1:7" x14ac:dyDescent="0.3">
      <x:c r="D2460" s="7"/>
    </x:row>
    <x:row r="2461" spans="1:7" x14ac:dyDescent="0.3">
      <x:c r="D2461" s="7"/>
    </x:row>
    <x:row r="2462" spans="1:7" x14ac:dyDescent="0.3">
      <x:c r="D2462" s="7"/>
    </x:row>
    <x:row r="2463" spans="1:7" x14ac:dyDescent="0.3">
      <x:c r="D2463" s="7"/>
    </x:row>
    <x:row r="2464" spans="1:7" x14ac:dyDescent="0.3">
      <x:c r="D2464" s="7"/>
    </x:row>
    <x:row r="2465" spans="1:7" x14ac:dyDescent="0.3">
      <x:c r="D2465" s="7"/>
    </x:row>
    <x:row r="2466" spans="1:7" x14ac:dyDescent="0.3">
      <x:c r="D2466" s="7"/>
    </x:row>
    <x:row r="2467" spans="1:7" x14ac:dyDescent="0.3">
      <x:c r="D2467" s="7"/>
    </x:row>
    <x:row r="2468" spans="1:7" x14ac:dyDescent="0.3">
      <x:c r="D2468" s="7"/>
    </x:row>
    <x:row r="2469" spans="1:7" x14ac:dyDescent="0.3">
      <x:c r="D2469" s="7"/>
    </x:row>
    <x:row r="2470" spans="1:7" x14ac:dyDescent="0.3">
      <x:c r="D2470" s="7"/>
    </x:row>
    <x:row r="2471" spans="1:7" x14ac:dyDescent="0.3">
      <x:c r="D2471" s="7"/>
    </x:row>
    <x:row r="2472" spans="1:7" x14ac:dyDescent="0.3">
      <x:c r="D2472" s="7"/>
    </x:row>
    <x:row r="2473" spans="1:7" x14ac:dyDescent="0.3">
      <x:c r="D2473" s="7"/>
    </x:row>
    <x:row r="2474" spans="1:7" x14ac:dyDescent="0.3">
      <x:c r="D2474" s="7"/>
    </x:row>
    <x:row r="2475" spans="1:7" x14ac:dyDescent="0.3">
      <x:c r="D2475" s="7"/>
    </x:row>
    <x:row r="2476" spans="1:7" x14ac:dyDescent="0.3">
      <x:c r="D2476" s="7"/>
    </x:row>
    <x:row r="2477" spans="1:7" x14ac:dyDescent="0.3">
      <x:c r="D2477" s="7"/>
    </x:row>
    <x:row r="2478" spans="1:7" x14ac:dyDescent="0.3">
      <x:c r="D2478" s="7"/>
    </x:row>
    <x:row r="2479" spans="1:7" x14ac:dyDescent="0.3">
      <x:c r="D2479" s="7"/>
    </x:row>
    <x:row r="2480" spans="1:7" x14ac:dyDescent="0.3">
      <x:c r="D2480" s="7"/>
    </x:row>
    <x:row r="2481" spans="1:7" x14ac:dyDescent="0.3">
      <x:c r="D2481" s="7"/>
    </x:row>
    <x:row r="2482" spans="1:7" x14ac:dyDescent="0.3">
      <x:c r="D2482" s="7"/>
    </x:row>
    <x:row r="2483" spans="1:7" x14ac:dyDescent="0.3">
      <x:c r="D2483" s="7"/>
    </x:row>
    <x:row r="2484" spans="1:7" x14ac:dyDescent="0.3">
      <x:c r="D2484" s="7"/>
    </x:row>
    <x:row r="2485" spans="1:7" x14ac:dyDescent="0.3">
      <x:c r="D2485" s="7"/>
    </x:row>
    <x:row r="2486" spans="1:7" x14ac:dyDescent="0.3">
      <x:c r="D2486" s="7"/>
    </x:row>
    <x:row r="2487" spans="1:7" x14ac:dyDescent="0.3">
      <x:c r="D2487" s="7"/>
    </x:row>
    <x:row r="2488" spans="1:7" x14ac:dyDescent="0.3">
      <x:c r="D2488" s="7"/>
    </x:row>
    <x:row r="2489" spans="1:7" x14ac:dyDescent="0.3">
      <x:c r="D2489" s="7"/>
    </x:row>
    <x:row r="2490" spans="1:7" x14ac:dyDescent="0.3">
      <x:c r="D2490" s="7"/>
    </x:row>
    <x:row r="2491" spans="1:7" x14ac:dyDescent="0.3">
      <x:c r="D2491" s="7"/>
    </x:row>
    <x:row r="2492" spans="1:7" x14ac:dyDescent="0.3">
      <x:c r="D2492" s="7"/>
    </x:row>
    <x:row r="2493" spans="1:7" x14ac:dyDescent="0.3">
      <x:c r="D2493" s="7"/>
    </x:row>
    <x:row r="2494" spans="1:7" x14ac:dyDescent="0.3">
      <x:c r="D2494" s="7"/>
    </x:row>
    <x:row r="2495" spans="1:7" x14ac:dyDescent="0.3">
      <x:c r="D2495" s="7"/>
    </x:row>
    <x:row r="2496" spans="1:7" x14ac:dyDescent="0.3">
      <x:c r="D2496" s="7"/>
    </x:row>
    <x:row r="2497" spans="1:7" x14ac:dyDescent="0.3">
      <x:c r="D2497" s="7"/>
    </x:row>
    <x:row r="2498" spans="1:7" x14ac:dyDescent="0.3">
      <x:c r="D2498" s="7"/>
    </x:row>
    <x:row r="2499" spans="1:7" x14ac:dyDescent="0.3">
      <x:c r="D2499" s="7"/>
    </x:row>
    <x:row r="2500" spans="1:7" x14ac:dyDescent="0.3">
      <x:c r="D2500" s="7"/>
    </x:row>
    <x:row r="2501" spans="1:7" x14ac:dyDescent="0.3">
      <x:c r="D2501" s="7"/>
    </x:row>
    <x:row r="2502" spans="1:7" x14ac:dyDescent="0.3">
      <x:c r="D2502" s="7"/>
    </x:row>
    <x:row r="2503" spans="1:7" x14ac:dyDescent="0.3">
      <x:c r="D2503" s="7"/>
    </x:row>
    <x:row r="2504" spans="1:7" x14ac:dyDescent="0.3">
      <x:c r="D2504" s="7"/>
    </x:row>
    <x:row r="2505" spans="1:7" x14ac:dyDescent="0.3">
      <x:c r="D2505" s="7"/>
    </x:row>
    <x:row r="2506" spans="1:7" x14ac:dyDescent="0.3">
      <x:c r="D2506" s="7"/>
    </x:row>
    <x:row r="2507" spans="1:7" x14ac:dyDescent="0.3">
      <x:c r="D2507" s="7"/>
    </x:row>
    <x:row r="2508" spans="1:7" x14ac:dyDescent="0.3">
      <x:c r="D2508" s="7"/>
    </x:row>
    <x:row r="2509" spans="1:7" x14ac:dyDescent="0.3">
      <x:c r="D2509" s="7"/>
    </x:row>
    <x:row r="2510" spans="1:7" x14ac:dyDescent="0.3">
      <x:c r="D2510" s="7"/>
    </x:row>
    <x:row r="2511" spans="1:7" x14ac:dyDescent="0.3">
      <x:c r="D2511" s="7"/>
    </x:row>
    <x:row r="2512" spans="1:7" x14ac:dyDescent="0.3">
      <x:c r="D2512" s="7"/>
    </x:row>
    <x:row r="2513" spans="1:7" x14ac:dyDescent="0.3">
      <x:c r="D2513" s="7"/>
    </x:row>
    <x:row r="2514" spans="1:7" x14ac:dyDescent="0.3">
      <x:c r="D2514" s="7"/>
    </x:row>
    <x:row r="2515" spans="1:7" x14ac:dyDescent="0.3">
      <x:c r="D2515" s="7"/>
    </x:row>
    <x:row r="2516" spans="1:7" x14ac:dyDescent="0.3">
      <x:c r="D2516" s="7"/>
    </x:row>
    <x:row r="2517" spans="1:7" x14ac:dyDescent="0.3">
      <x:c r="D2517" s="7"/>
    </x:row>
    <x:row r="2518" spans="1:7" x14ac:dyDescent="0.3">
      <x:c r="D2518" s="7"/>
    </x:row>
    <x:row r="2519" spans="1:7" x14ac:dyDescent="0.3">
      <x:c r="D2519" s="7"/>
    </x:row>
    <x:row r="2520" spans="1:7" x14ac:dyDescent="0.3">
      <x:c r="D2520" s="7"/>
    </x:row>
    <x:row r="2521" spans="1:7" x14ac:dyDescent="0.3">
      <x:c r="D2521" s="7"/>
    </x:row>
    <x:row r="2522" spans="1:7" x14ac:dyDescent="0.3">
      <x:c r="D2522" s="7"/>
    </x:row>
    <x:row r="2523" spans="1:7" x14ac:dyDescent="0.3">
      <x:c r="D2523" s="7"/>
    </x:row>
    <x:row r="2524" spans="1:7" x14ac:dyDescent="0.3">
      <x:c r="D2524" s="7"/>
    </x:row>
    <x:row r="2525" spans="1:7" x14ac:dyDescent="0.3">
      <x:c r="D2525" s="7"/>
    </x:row>
    <x:row r="2526" spans="1:7" x14ac:dyDescent="0.3">
      <x:c r="D2526" s="7"/>
    </x:row>
    <x:row r="2527" spans="1:7" x14ac:dyDescent="0.3">
      <x:c r="D2527" s="7"/>
    </x:row>
    <x:row r="2528" spans="1:7" x14ac:dyDescent="0.3">
      <x:c r="D2528" s="7"/>
    </x:row>
    <x:row r="2529" spans="1:7" x14ac:dyDescent="0.3">
      <x:c r="D2529" s="7"/>
    </x:row>
    <x:row r="2530" spans="1:7" x14ac:dyDescent="0.3">
      <x:c r="D2530" s="7"/>
    </x:row>
    <x:row r="2531" spans="1:7" x14ac:dyDescent="0.3">
      <x:c r="D2531" s="7"/>
    </x:row>
    <x:row r="2532" spans="1:7" x14ac:dyDescent="0.3">
      <x:c r="D2532" s="7"/>
    </x:row>
    <x:row r="2533" spans="1:7" x14ac:dyDescent="0.3">
      <x:c r="D2533" s="7"/>
    </x:row>
    <x:row r="2534" spans="1:7" x14ac:dyDescent="0.3">
      <x:c r="D2534" s="7"/>
    </x:row>
    <x:row r="2535" spans="1:7" x14ac:dyDescent="0.3">
      <x:c r="D2535" s="7"/>
    </x:row>
    <x:row r="2536" spans="1:7" x14ac:dyDescent="0.3">
      <x:c r="D2536" s="7"/>
    </x:row>
    <x:row r="2537" spans="1:7" x14ac:dyDescent="0.3">
      <x:c r="D2537" s="7"/>
    </x:row>
    <x:row r="2538" spans="1:7" x14ac:dyDescent="0.3">
      <x:c r="D2538" s="7"/>
    </x:row>
    <x:row r="2539" spans="1:7" x14ac:dyDescent="0.3">
      <x:c r="D2539" s="7"/>
    </x:row>
    <x:row r="2540" spans="1:7" x14ac:dyDescent="0.3">
      <x:c r="B2540" s="20"/>
      <x:c r="C2540" s="20"/>
      <x:c r="D2540" s="7"/>
    </x:row>
    <x:row r="2541" spans="1:7" x14ac:dyDescent="0.3">
      <x:c r="D2541" s="7"/>
    </x:row>
    <x:row r="2542" spans="1:7" x14ac:dyDescent="0.3">
      <x:c r="D2542" s="7"/>
    </x:row>
    <x:row r="2543" spans="1:7" x14ac:dyDescent="0.3">
      <x:c r="D2543" s="7"/>
    </x:row>
    <x:row r="2544" spans="1:7" x14ac:dyDescent="0.3">
      <x:c r="D2544" s="7"/>
    </x:row>
    <x:row r="2545" spans="1:7" x14ac:dyDescent="0.3">
      <x:c r="D2545" s="7"/>
    </x:row>
    <x:row r="2546" spans="1:7" x14ac:dyDescent="0.3">
      <x:c r="D2546" s="7"/>
    </x:row>
    <x:row r="2547" spans="1:7" x14ac:dyDescent="0.3">
      <x:c r="D2547" s="7"/>
    </x:row>
    <x:row r="2548" spans="1:7" x14ac:dyDescent="0.3">
      <x:c r="D2548" s="7"/>
    </x:row>
    <x:row r="2549" spans="1:7" x14ac:dyDescent="0.3">
      <x:c r="D2549" s="7"/>
    </x:row>
    <x:row r="2550" spans="1:7" x14ac:dyDescent="0.3">
      <x:c r="D2550" s="7"/>
    </x:row>
    <x:row r="2551" spans="1:7" x14ac:dyDescent="0.3">
      <x:c r="D2551" s="7"/>
    </x:row>
    <x:row r="2552" spans="1:7" x14ac:dyDescent="0.3">
      <x:c r="D2552" s="7"/>
    </x:row>
    <x:row r="2553" spans="1:7" x14ac:dyDescent="0.3">
      <x:c r="D2553" s="7"/>
    </x:row>
    <x:row r="2554" spans="1:7" x14ac:dyDescent="0.3">
      <x:c r="D2554" s="7"/>
    </x:row>
    <x:row r="2555" spans="1:7" x14ac:dyDescent="0.3">
      <x:c r="D2555" s="7"/>
    </x:row>
    <x:row r="2556" spans="1:7" x14ac:dyDescent="0.3">
      <x:c r="D2556" s="7"/>
    </x:row>
    <x:row r="2557" spans="1:7" x14ac:dyDescent="0.3">
      <x:c r="D2557" s="7"/>
    </x:row>
    <x:row r="2558" spans="1:7" x14ac:dyDescent="0.3">
      <x:c r="D2558" s="7"/>
    </x:row>
    <x:row r="2559" spans="1:7" x14ac:dyDescent="0.3">
      <x:c r="D2559" s="7"/>
    </x:row>
    <x:row r="2560" spans="1:7" x14ac:dyDescent="0.3">
      <x:c r="D2560" s="7"/>
    </x:row>
    <x:row r="2561" spans="1:7" x14ac:dyDescent="0.3">
      <x:c r="D2561" s="7"/>
    </x:row>
    <x:row r="2562" spans="1:7" x14ac:dyDescent="0.3">
      <x:c r="D2562" s="7"/>
    </x:row>
    <x:row r="2563" spans="1:7" x14ac:dyDescent="0.3">
      <x:c r="D2563" s="7"/>
    </x:row>
    <x:row r="2564" spans="1:7" x14ac:dyDescent="0.3">
      <x:c r="D2564" s="7"/>
    </x:row>
    <x:row r="2565" spans="1:7" x14ac:dyDescent="0.3">
      <x:c r="D2565" s="7"/>
    </x:row>
    <x:row r="2566" spans="1:7" x14ac:dyDescent="0.3">
      <x:c r="D2566" s="7"/>
    </x:row>
    <x:row r="2567" spans="1:7" x14ac:dyDescent="0.3">
      <x:c r="D2567" s="7"/>
    </x:row>
    <x:row r="2568" spans="1:7" x14ac:dyDescent="0.3">
      <x:c r="D2568" s="7"/>
    </x:row>
    <x:row r="2569" spans="1:7" x14ac:dyDescent="0.3">
      <x:c r="D2569" s="7"/>
    </x:row>
    <x:row r="2570" spans="1:7" x14ac:dyDescent="0.3">
      <x:c r="D2570" s="7"/>
    </x:row>
    <x:row r="2571" spans="1:7" x14ac:dyDescent="0.3">
      <x:c r="D2571" s="7"/>
    </x:row>
    <x:row r="2572" spans="1:7" x14ac:dyDescent="0.3">
      <x:c r="D2572" s="7"/>
    </x:row>
    <x:row r="2573" spans="1:7" x14ac:dyDescent="0.3">
      <x:c r="D2573" s="7"/>
    </x:row>
    <x:row r="2574" spans="1:7" x14ac:dyDescent="0.3">
      <x:c r="D2574" s="7"/>
    </x:row>
    <x:row r="2575" spans="1:7" x14ac:dyDescent="0.3">
      <x:c r="B2575" s="202"/>
      <x:c r="C2575" s="202"/>
      <x:c r="D2575" s="173"/>
    </x:row>
    <x:row r="2576" spans="1:7" x14ac:dyDescent="0.3">
      <x:c r="B2576" s="202"/>
      <x:c r="C2576" s="202"/>
      <x:c r="D2576" s="173"/>
    </x:row>
    <x:row r="2577" spans="1:7" x14ac:dyDescent="0.3">
      <x:c r="B2577" s="202"/>
      <x:c r="C2577" s="202"/>
      <x:c r="D2577" s="173"/>
    </x:row>
    <x:row r="2578" spans="1:7" x14ac:dyDescent="0.3">
      <x:c r="B2578" s="202"/>
      <x:c r="C2578" s="202"/>
      <x:c r="D2578" s="173"/>
    </x:row>
    <x:row r="2579" spans="1:7" x14ac:dyDescent="0.3">
      <x:c r="B2579" s="202"/>
      <x:c r="C2579" s="202"/>
      <x:c r="D2579" s="173"/>
    </x:row>
    <x:row r="2580" spans="1:7" x14ac:dyDescent="0.3">
      <x:c r="B2580" s="202"/>
      <x:c r="C2580" s="202"/>
      <x:c r="D2580" s="173"/>
    </x:row>
    <x:row r="2581" spans="1:7" x14ac:dyDescent="0.3">
      <x:c r="B2581" s="202"/>
      <x:c r="C2581" s="202"/>
      <x:c r="D2581" s="173"/>
    </x:row>
    <x:row r="2582" spans="1:7" x14ac:dyDescent="0.3">
      <x:c r="B2582" s="202"/>
      <x:c r="C2582" s="202"/>
      <x:c r="D2582" s="173"/>
    </x:row>
    <x:row r="2583" spans="1:7" x14ac:dyDescent="0.3">
      <x:c r="B2583" s="202"/>
      <x:c r="C2583" s="202"/>
      <x:c r="D2583" s="173"/>
    </x:row>
    <x:row r="2584" spans="1:7" x14ac:dyDescent="0.3">
      <x:c r="B2584" s="202"/>
      <x:c r="C2584" s="202"/>
      <x:c r="D2584" s="173"/>
    </x:row>
    <x:row r="2585" spans="1:7" x14ac:dyDescent="0.3">
      <x:c r="B2585" s="202"/>
      <x:c r="C2585" s="202"/>
      <x:c r="D2585" s="173"/>
    </x:row>
    <x:row r="2586" spans="1:7" x14ac:dyDescent="0.3">
      <x:c r="B2586" s="202"/>
      <x:c r="C2586" s="202"/>
      <x:c r="D2586" s="173"/>
    </x:row>
    <x:row r="2587" spans="1:7" x14ac:dyDescent="0.3">
      <x:c r="B2587" s="202"/>
      <x:c r="C2587" s="202"/>
      <x:c r="D2587" s="173"/>
    </x:row>
    <x:row r="2588" spans="1:7" x14ac:dyDescent="0.3">
      <x:c r="B2588" s="202"/>
      <x:c r="C2588" s="202"/>
      <x:c r="D2588" s="173"/>
    </x:row>
    <x:row r="2589" spans="1:7" x14ac:dyDescent="0.3">
      <x:c r="B2589" s="202"/>
      <x:c r="C2589" s="202"/>
      <x:c r="D2589" s="173"/>
    </x:row>
    <x:row r="2590" spans="1:7" x14ac:dyDescent="0.3">
      <x:c r="B2590" s="202"/>
      <x:c r="C2590" s="202"/>
      <x:c r="D2590" s="173"/>
    </x:row>
    <x:row r="2591" spans="1:7" x14ac:dyDescent="0.3">
      <x:c r="B2591" s="202"/>
      <x:c r="C2591" s="202"/>
      <x:c r="D2591" s="173"/>
    </x:row>
    <x:row r="2592" spans="1:7" x14ac:dyDescent="0.3">
      <x:c r="B2592" s="202"/>
      <x:c r="C2592" s="202"/>
      <x:c r="D2592" s="173"/>
    </x:row>
    <x:row r="2593" spans="1:7" x14ac:dyDescent="0.3">
      <x:c r="B2593" s="202"/>
      <x:c r="C2593" s="202"/>
      <x:c r="D2593" s="173"/>
    </x:row>
    <x:row r="2594" spans="1:7" x14ac:dyDescent="0.3">
      <x:c r="B2594" s="202"/>
      <x:c r="C2594" s="202"/>
      <x:c r="D2594" s="173"/>
    </x:row>
    <x:row r="2595" spans="1:7" x14ac:dyDescent="0.3">
      <x:c r="B2595" s="202"/>
      <x:c r="C2595" s="202"/>
      <x:c r="D2595" s="173"/>
    </x:row>
    <x:row r="2596" spans="1:7" x14ac:dyDescent="0.3">
      <x:c r="B2596" s="202"/>
      <x:c r="C2596" s="202"/>
      <x:c r="D2596" s="173"/>
    </x:row>
    <x:row r="2597" spans="1:7" x14ac:dyDescent="0.3">
      <x:c r="B2597" s="202"/>
      <x:c r="C2597" s="202"/>
      <x:c r="D2597" s="173"/>
    </x:row>
    <x:row r="2598" spans="1:7" x14ac:dyDescent="0.3">
      <x:c r="B2598" s="202"/>
      <x:c r="C2598" s="202"/>
      <x:c r="D2598" s="173"/>
    </x:row>
    <x:row r="2599" spans="1:7" x14ac:dyDescent="0.3">
      <x:c r="B2599" s="202"/>
      <x:c r="C2599" s="202"/>
      <x:c r="D2599" s="173"/>
    </x:row>
    <x:row r="2600" spans="1:7" x14ac:dyDescent="0.3">
      <x:c r="B2600" s="202"/>
      <x:c r="C2600" s="202"/>
      <x:c r="D2600" s="173"/>
    </x:row>
    <x:row r="2601" spans="1:7" x14ac:dyDescent="0.3">
      <x:c r="B2601" s="202"/>
      <x:c r="C2601" s="202"/>
      <x:c r="D2601" s="173"/>
    </x:row>
    <x:row r="2602" spans="1:7" x14ac:dyDescent="0.3">
      <x:c r="B2602" s="202"/>
      <x:c r="C2602" s="202"/>
      <x:c r="D2602" s="173"/>
    </x:row>
    <x:row r="2603" spans="1:7" x14ac:dyDescent="0.3">
      <x:c r="B2603" s="202"/>
      <x:c r="C2603" s="202"/>
      <x:c r="D2603" s="173"/>
    </x:row>
    <x:row r="2604" spans="1:7" x14ac:dyDescent="0.3">
      <x:c r="B2604" s="202"/>
      <x:c r="C2604" s="202"/>
      <x:c r="D2604" s="173"/>
    </x:row>
    <x:row r="2605" spans="1:7" x14ac:dyDescent="0.3">
      <x:c r="B2605" s="202"/>
      <x:c r="C2605" s="202"/>
      <x:c r="D2605" s="173"/>
    </x:row>
    <x:row r="2606" spans="1:7" x14ac:dyDescent="0.3">
      <x:c r="B2606" s="202"/>
      <x:c r="C2606" s="202"/>
      <x:c r="D2606" s="173"/>
    </x:row>
    <x:row r="2607" spans="1:7" x14ac:dyDescent="0.3">
      <x:c r="B2607" s="202"/>
      <x:c r="C2607" s="202"/>
      <x:c r="D2607" s="173"/>
    </x:row>
    <x:row r="2608" spans="1:7" x14ac:dyDescent="0.3">
      <x:c r="B2608" s="202"/>
      <x:c r="C2608" s="202"/>
      <x:c r="D2608" s="173"/>
    </x:row>
    <x:row r="2609" spans="1:7" x14ac:dyDescent="0.3">
      <x:c r="B2609" s="202"/>
      <x:c r="C2609" s="202"/>
      <x:c r="D2609" s="173"/>
    </x:row>
    <x:row r="2610" spans="1:7" x14ac:dyDescent="0.3">
      <x:c r="B2610" s="202"/>
      <x:c r="C2610" s="202"/>
      <x:c r="D2610" s="173"/>
    </x:row>
    <x:row r="2611" spans="1:7" x14ac:dyDescent="0.3">
      <x:c r="B2611" s="202"/>
      <x:c r="C2611" s="202"/>
      <x:c r="D2611" s="173"/>
    </x:row>
    <x:row r="2612" spans="1:7" x14ac:dyDescent="0.3">
      <x:c r="B2612" s="202"/>
      <x:c r="C2612" s="202"/>
      <x:c r="D2612" s="173"/>
    </x:row>
    <x:row r="2613" spans="1:7" x14ac:dyDescent="0.3">
      <x:c r="B2613" s="202"/>
      <x:c r="C2613" s="202"/>
      <x:c r="D2613" s="173"/>
    </x:row>
    <x:row r="2614" spans="1:7" x14ac:dyDescent="0.3">
      <x:c r="B2614" s="202"/>
      <x:c r="C2614" s="202"/>
      <x:c r="D2614" s="173"/>
    </x:row>
    <x:row r="2615" spans="1:7" x14ac:dyDescent="0.3">
      <x:c r="B2615" s="202"/>
      <x:c r="C2615" s="202"/>
      <x:c r="D2615" s="173"/>
    </x:row>
    <x:row r="2616" spans="1:7" x14ac:dyDescent="0.3">
      <x:c r="B2616" s="202"/>
      <x:c r="C2616" s="202"/>
      <x:c r="D2616" s="173"/>
    </x:row>
    <x:row r="2617" spans="1:7" x14ac:dyDescent="0.3">
      <x:c r="B2617" s="202"/>
      <x:c r="C2617" s="202"/>
      <x:c r="D2617" s="173"/>
    </x:row>
    <x:row r="2618" spans="1:7" x14ac:dyDescent="0.3">
      <x:c r="B2618" s="202"/>
      <x:c r="C2618" s="202"/>
      <x:c r="D2618" s="173"/>
    </x:row>
    <x:row r="2619" spans="1:7" x14ac:dyDescent="0.3">
      <x:c r="B2619" s="202"/>
      <x:c r="C2619" s="202"/>
      <x:c r="D2619" s="173"/>
    </x:row>
    <x:row r="2620" spans="1:7" x14ac:dyDescent="0.3">
      <x:c r="B2620" s="202"/>
      <x:c r="C2620" s="202"/>
      <x:c r="D2620" s="173"/>
    </x:row>
    <x:row r="2621" spans="1:7" x14ac:dyDescent="0.3">
      <x:c r="B2621" s="202"/>
      <x:c r="C2621" s="202"/>
      <x:c r="D2621" s="173"/>
    </x:row>
    <x:row r="2622" spans="1:7" x14ac:dyDescent="0.3">
      <x:c r="B2622" s="202"/>
      <x:c r="C2622" s="202"/>
      <x:c r="D2622" s="173"/>
    </x:row>
    <x:row r="2623" spans="1:7" x14ac:dyDescent="0.3">
      <x:c r="B2623" s="202"/>
      <x:c r="C2623" s="202"/>
      <x:c r="D2623" s="173"/>
    </x:row>
    <x:row r="2624" spans="1:7" x14ac:dyDescent="0.3">
      <x:c r="B2624" s="202"/>
      <x:c r="C2624" s="202"/>
      <x:c r="D2624" s="173"/>
    </x:row>
    <x:row r="2625" spans="1:7" x14ac:dyDescent="0.3">
      <x:c r="B2625" s="202"/>
      <x:c r="C2625" s="202"/>
      <x:c r="D2625" s="173"/>
    </x:row>
    <x:row r="2626" spans="1:7" x14ac:dyDescent="0.3">
      <x:c r="B2626" s="202"/>
      <x:c r="C2626" s="202"/>
      <x:c r="D2626" s="173"/>
    </x:row>
    <x:row r="2627" spans="1:7" x14ac:dyDescent="0.3">
      <x:c r="B2627" s="202"/>
      <x:c r="C2627" s="202"/>
      <x:c r="D2627" s="173"/>
    </x:row>
    <x:row r="2628" spans="1:7" x14ac:dyDescent="0.3">
      <x:c r="B2628" s="202"/>
      <x:c r="C2628" s="202"/>
      <x:c r="D2628" s="173"/>
    </x:row>
    <x:row r="2629" spans="1:7" x14ac:dyDescent="0.3">
      <x:c r="B2629" s="202"/>
      <x:c r="C2629" s="202"/>
      <x:c r="D2629" s="173"/>
    </x:row>
    <x:row r="2630" spans="1:7" x14ac:dyDescent="0.3">
      <x:c r="B2630" s="202"/>
      <x:c r="C2630" s="202"/>
      <x:c r="D2630" s="173"/>
    </x:row>
    <x:row r="2631" spans="1:7" x14ac:dyDescent="0.3">
      <x:c r="B2631" s="203"/>
      <x:c r="C2631" s="203"/>
      <x:c r="D2631" s="173"/>
    </x:row>
    <x:row r="2632" spans="1:7" x14ac:dyDescent="0.3">
      <x:c r="B2632" s="203"/>
      <x:c r="C2632" s="203"/>
      <x:c r="D2632" s="173"/>
    </x:row>
    <x:row r="2633" spans="1:7" x14ac:dyDescent="0.3">
      <x:c r="B2633" s="203"/>
      <x:c r="C2633" s="203"/>
      <x:c r="D2633" s="173"/>
    </x:row>
    <x:row r="2634" spans="1:7" x14ac:dyDescent="0.3">
      <x:c r="B2634" s="203"/>
      <x:c r="C2634" s="203"/>
      <x:c r="D2634" s="173"/>
    </x:row>
    <x:row r="2635" spans="1:7" x14ac:dyDescent="0.3">
      <x:c r="B2635" s="203"/>
      <x:c r="C2635" s="203"/>
      <x:c r="D2635" s="173"/>
    </x:row>
    <x:row r="2636" spans="1:7" x14ac:dyDescent="0.3">
      <x:c r="B2636" s="202"/>
      <x:c r="C2636" s="202"/>
      <x:c r="D2636" s="173"/>
    </x:row>
    <x:row r="2637" spans="1:7" x14ac:dyDescent="0.3">
      <x:c r="B2637" s="203"/>
      <x:c r="C2637" s="203"/>
      <x:c r="D2637" s="173"/>
    </x:row>
    <x:row r="2638" spans="1:7" x14ac:dyDescent="0.3">
      <x:c r="B2638" s="202"/>
      <x:c r="C2638" s="202"/>
      <x:c r="D2638" s="173"/>
    </x:row>
    <x:row r="2639" spans="1:7" x14ac:dyDescent="0.3">
      <x:c r="B2639" s="202"/>
      <x:c r="C2639" s="202"/>
      <x:c r="D2639" s="173"/>
    </x:row>
    <x:row r="2640" spans="1:7" x14ac:dyDescent="0.3">
      <x:c r="B2640" s="202"/>
      <x:c r="C2640" s="202"/>
      <x:c r="D2640" s="173"/>
    </x:row>
    <x:row r="2641" spans="1:7" x14ac:dyDescent="0.3">
      <x:c r="B2641" s="202"/>
      <x:c r="C2641" s="202"/>
      <x:c r="D2641" s="173"/>
    </x:row>
    <x:row r="2642" spans="1:7" x14ac:dyDescent="0.3">
      <x:c r="B2642" s="202"/>
      <x:c r="C2642" s="202"/>
      <x:c r="D2642" s="173"/>
    </x:row>
    <x:row r="2643" spans="1:7" x14ac:dyDescent="0.3">
      <x:c r="B2643" s="202"/>
      <x:c r="C2643" s="202"/>
      <x:c r="D2643" s="173"/>
    </x:row>
    <x:row r="2644" spans="1:7" x14ac:dyDescent="0.3">
      <x:c r="B2644" s="202"/>
      <x:c r="C2644" s="202"/>
      <x:c r="D2644" s="173"/>
    </x:row>
    <x:row r="2645" spans="1:7" x14ac:dyDescent="0.3">
      <x:c r="B2645" s="202"/>
      <x:c r="C2645" s="202"/>
      <x:c r="D2645" s="173"/>
    </x:row>
    <x:row r="2646" spans="1:7" x14ac:dyDescent="0.3">
      <x:c r="B2646" s="202"/>
      <x:c r="C2646" s="202"/>
      <x:c r="D2646" s="173"/>
    </x:row>
    <x:row r="2647" spans="1:7" x14ac:dyDescent="0.3">
      <x:c r="B2647" s="202"/>
      <x:c r="C2647" s="202"/>
      <x:c r="D2647" s="173"/>
    </x:row>
    <x:row r="2648" spans="1:7" x14ac:dyDescent="0.3">
      <x:c r="B2648" s="202"/>
      <x:c r="C2648" s="202"/>
      <x:c r="D2648" s="173"/>
    </x:row>
    <x:row r="2649" spans="1:7" x14ac:dyDescent="0.3">
      <x:c r="B2649" s="202"/>
      <x:c r="C2649" s="202"/>
      <x:c r="D2649" s="173"/>
    </x:row>
    <x:row r="2650" spans="1:7" x14ac:dyDescent="0.3">
      <x:c r="B2650" s="202"/>
      <x:c r="C2650" s="202"/>
      <x:c r="D2650" s="173"/>
    </x:row>
    <x:row r="2651" spans="1:7" x14ac:dyDescent="0.3">
      <x:c r="B2651" s="202"/>
      <x:c r="C2651" s="202"/>
      <x:c r="D2651" s="173"/>
    </x:row>
    <x:row r="2652" spans="1:7" x14ac:dyDescent="0.3">
      <x:c r="B2652" s="202"/>
      <x:c r="C2652" s="202"/>
      <x:c r="D2652" s="173"/>
    </x:row>
    <x:row r="2653" spans="1:7" x14ac:dyDescent="0.3">
      <x:c r="B2653" s="202"/>
      <x:c r="C2653" s="202"/>
      <x:c r="D2653" s="173"/>
    </x:row>
    <x:row r="2654" spans="1:7" x14ac:dyDescent="0.3">
      <x:c r="B2654" s="202"/>
      <x:c r="C2654" s="202"/>
      <x:c r="D2654" s="173"/>
    </x:row>
    <x:row r="2655" spans="1:7" x14ac:dyDescent="0.3">
      <x:c r="B2655" s="202"/>
      <x:c r="C2655" s="202"/>
      <x:c r="D2655" s="173"/>
    </x:row>
    <x:row r="2656" spans="1:7" x14ac:dyDescent="0.3">
      <x:c r="B2656" s="202"/>
      <x:c r="C2656" s="202"/>
      <x:c r="D2656" s="173"/>
    </x:row>
    <x:row r="2657" spans="1:7" x14ac:dyDescent="0.3">
      <x:c r="B2657" s="202"/>
      <x:c r="C2657" s="202"/>
      <x:c r="D2657" s="173"/>
    </x:row>
    <x:row r="2658" spans="1:7" x14ac:dyDescent="0.3">
      <x:c r="B2658" s="202"/>
      <x:c r="C2658" s="202"/>
      <x:c r="D2658" s="173"/>
    </x:row>
    <x:row r="2659" spans="1:7" x14ac:dyDescent="0.3">
      <x:c r="B2659" s="202"/>
      <x:c r="C2659" s="202"/>
      <x:c r="D2659" s="173"/>
    </x:row>
    <x:row r="2660" spans="1:7" x14ac:dyDescent="0.3">
      <x:c r="B2660" s="202"/>
      <x:c r="C2660" s="202"/>
      <x:c r="D2660" s="173"/>
    </x:row>
    <x:row r="2661" spans="1:7" x14ac:dyDescent="0.3">
      <x:c r="B2661" s="202"/>
      <x:c r="C2661" s="202"/>
      <x:c r="D2661" s="173"/>
    </x:row>
  </x:sheetData>
  <x:sortState xmlns:xlrd2="http://schemas.microsoft.com/office/spreadsheetml/2017/richdata2" ref="B2:D38">
    <x:sortCondition ref="B2"/>
  </x:sortState>
  <x:mergeCells count="1">
    <x:mergeCell ref="B1:C1"/>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500-000000000000}" mc:Ignorable="x14ac xr xr2 xr3">
  <x:sheetPr codeName="Sheet6">
    <x:outlinePr summaryBelow="1" summaryRight="1"/>
  </x:sheetPr>
  <x:dimension ref="A1:C163"/>
  <x:sheetViews>
    <x:sheetView topLeftCell="A2" workbookViewId="0"/>
  </x:sheetViews>
  <x:sheetFormatPr defaultColWidth="9.140625" defaultRowHeight="16.5" x14ac:dyDescent="0.3"/>
  <x:cols>
    <x:col min="1" max="1" width="10.570312" style="8" bestFit="1" customWidth="1"/>
    <x:col min="2" max="16384" width="9.140625" style="8" customWidth="1"/>
  </x:cols>
  <x:sheetData>
    <x:row r="1" spans="1:3" x14ac:dyDescent="0.3">
      <x:c r="A1" s="8" t="s">
        <x:v>75</x:v>
      </x:c>
      <x:c r="B1" s="8" t="s">
        <x:v>141</x:v>
      </x:c>
      <x:c r="C1" s="8" t="s">
        <x:v>142</x:v>
      </x:c>
    </x:row>
    <x:row r="2" spans="1:3" x14ac:dyDescent="0.3">
      <x:c r="A2" s="9">
        <x:f>'[1]Wholesale Prices'!$B4</x:f>
      </x:c>
      <x:c r="B2" s="10">
        <x:f>'[1]Wholesale Prices'!$H4</x:f>
      </x:c>
      <x:c r="C2" s="10">
        <x:f>'[1]Wholesale Prices'!$I4</x:f>
      </x:c>
    </x:row>
    <x:row r="3" spans="1:3" x14ac:dyDescent="0.3">
      <x:c r="A3" s="9">
        <x:f>'[1]Wholesale Prices'!$B5</x:f>
      </x:c>
      <x:c r="B3" s="10">
        <x:f>'[1]Wholesale Prices'!$H5</x:f>
      </x:c>
      <x:c r="C3" s="10">
        <x:f>'[1]Wholesale Prices'!$I5</x:f>
      </x:c>
    </x:row>
    <x:row r="4" spans="1:3" x14ac:dyDescent="0.3">
      <x:c r="A4" s="9">
        <x:f>'[1]Wholesale Prices'!$B6</x:f>
      </x:c>
      <x:c r="B4" s="10">
        <x:f>'[1]Wholesale Prices'!$H6</x:f>
      </x:c>
      <x:c r="C4" s="10">
        <x:f>'[1]Wholesale Prices'!$I6</x:f>
      </x:c>
    </x:row>
    <x:row r="5" spans="1:3" x14ac:dyDescent="0.3">
      <x:c r="A5" s="9">
        <x:f>'[1]Wholesale Prices'!$B7</x:f>
      </x:c>
      <x:c r="B5" s="10">
        <x:f>'[1]Wholesale Prices'!$H7</x:f>
      </x:c>
      <x:c r="C5" s="10">
        <x:f>'[1]Wholesale Prices'!$I7</x:f>
      </x:c>
    </x:row>
    <x:row r="6" spans="1:3" x14ac:dyDescent="0.3">
      <x:c r="A6" s="9">
        <x:f>'[1]Wholesale Prices'!$B8</x:f>
      </x:c>
      <x:c r="B6" s="10">
        <x:f>'[1]Wholesale Prices'!$H8</x:f>
      </x:c>
      <x:c r="C6" s="10">
        <x:f>'[1]Wholesale Prices'!$I8</x:f>
      </x:c>
    </x:row>
    <x:row r="7" spans="1:3" x14ac:dyDescent="0.3">
      <x:c r="A7" s="9">
        <x:f>'[1]Wholesale Prices'!$B9</x:f>
      </x:c>
      <x:c r="B7" s="10">
        <x:f>'[1]Wholesale Prices'!$H9</x:f>
      </x:c>
      <x:c r="C7" s="10">
        <x:f>'[1]Wholesale Prices'!$I9</x:f>
      </x:c>
    </x:row>
    <x:row r="8" spans="1:3" x14ac:dyDescent="0.3">
      <x:c r="A8" s="9">
        <x:f>'[1]Wholesale Prices'!$B10</x:f>
      </x:c>
      <x:c r="B8" s="10">
        <x:f>'[1]Wholesale Prices'!$H10</x:f>
      </x:c>
      <x:c r="C8" s="10">
        <x:f>'[1]Wholesale Prices'!$I10</x:f>
      </x:c>
    </x:row>
    <x:row r="9" spans="1:3" x14ac:dyDescent="0.3">
      <x:c r="A9" s="9">
        <x:f>'[1]Wholesale Prices'!$B11</x:f>
      </x:c>
      <x:c r="B9" s="10">
        <x:f>'[1]Wholesale Prices'!$H11</x:f>
      </x:c>
      <x:c r="C9" s="10">
        <x:f>'[1]Wholesale Prices'!$I11</x:f>
      </x:c>
    </x:row>
    <x:row r="10" spans="1:3" x14ac:dyDescent="0.3">
      <x:c r="A10" s="9">
        <x:f>'[1]Wholesale Prices'!$B12</x:f>
      </x:c>
      <x:c r="B10" s="10">
        <x:f>'[1]Wholesale Prices'!$H12</x:f>
      </x:c>
      <x:c r="C10" s="10">
        <x:f>'[1]Wholesale Prices'!$I12</x:f>
      </x:c>
    </x:row>
    <x:row r="11" spans="1:3" x14ac:dyDescent="0.3">
      <x:c r="A11" s="9">
        <x:f>'[1]Wholesale Prices'!$B13</x:f>
      </x:c>
      <x:c r="B11" s="10">
        <x:f>'[1]Wholesale Prices'!$H13</x:f>
      </x:c>
      <x:c r="C11" s="10">
        <x:f>'[1]Wholesale Prices'!$I13</x:f>
      </x:c>
    </x:row>
    <x:row r="12" spans="1:3" x14ac:dyDescent="0.3">
      <x:c r="A12" s="9">
        <x:f>'[1]Wholesale Prices'!$B14</x:f>
      </x:c>
      <x:c r="B12" s="10">
        <x:f>'[1]Wholesale Prices'!$H14</x:f>
      </x:c>
      <x:c r="C12" s="10">
        <x:f>'[1]Wholesale Prices'!$I14</x:f>
      </x:c>
    </x:row>
    <x:row r="13" spans="1:3" x14ac:dyDescent="0.3">
      <x:c r="A13" s="9">
        <x:f>'[1]Wholesale Prices'!$B15</x:f>
      </x:c>
      <x:c r="B13" s="10">
        <x:f>'[1]Wholesale Prices'!$H15</x:f>
      </x:c>
      <x:c r="C13" s="10">
        <x:f>'[1]Wholesale Prices'!$I15</x:f>
      </x:c>
    </x:row>
    <x:row r="14" spans="1:3" x14ac:dyDescent="0.3">
      <x:c r="A14" s="9">
        <x:f>'[1]Wholesale Prices'!$B16</x:f>
      </x:c>
      <x:c r="B14" s="10">
        <x:f>'[1]Wholesale Prices'!$H16</x:f>
      </x:c>
      <x:c r="C14" s="10">
        <x:f>'[1]Wholesale Prices'!$I16</x:f>
      </x:c>
    </x:row>
    <x:row r="15" spans="1:3" x14ac:dyDescent="0.3">
      <x:c r="A15" s="9">
        <x:f>'[1]Wholesale Prices'!$B17</x:f>
      </x:c>
      <x:c r="B15" s="10">
        <x:f>'[1]Wholesale Prices'!$H17</x:f>
      </x:c>
      <x:c r="C15" s="10">
        <x:f>'[1]Wholesale Prices'!$I17</x:f>
      </x:c>
    </x:row>
    <x:row r="16" spans="1:3" x14ac:dyDescent="0.3">
      <x:c r="A16" s="9">
        <x:f>'[1]Wholesale Prices'!$B18</x:f>
      </x:c>
      <x:c r="B16" s="10">
        <x:f>'[1]Wholesale Prices'!$H18</x:f>
      </x:c>
      <x:c r="C16" s="10">
        <x:f>'[1]Wholesale Prices'!$I18</x:f>
      </x:c>
    </x:row>
    <x:row r="17" spans="1:3" x14ac:dyDescent="0.3">
      <x:c r="A17" s="9">
        <x:f>'[1]Wholesale Prices'!$B19</x:f>
      </x:c>
      <x:c r="B17" s="10">
        <x:f>'[1]Wholesale Prices'!$H19</x:f>
      </x:c>
      <x:c r="C17" s="10">
        <x:f>'[1]Wholesale Prices'!$I19</x:f>
      </x:c>
    </x:row>
    <x:row r="18" spans="1:3" x14ac:dyDescent="0.3">
      <x:c r="A18" s="9">
        <x:f>'[1]Wholesale Prices'!$B20</x:f>
      </x:c>
      <x:c r="B18" s="10">
        <x:f>'[1]Wholesale Prices'!$H20</x:f>
      </x:c>
      <x:c r="C18" s="10">
        <x:f>'[1]Wholesale Prices'!$I20</x:f>
      </x:c>
    </x:row>
    <x:row r="19" spans="1:3" x14ac:dyDescent="0.3">
      <x:c r="A19" s="9">
        <x:f>'[1]Wholesale Prices'!$B21</x:f>
      </x:c>
      <x:c r="B19" s="10">
        <x:f>'[1]Wholesale Prices'!$H21</x:f>
      </x:c>
      <x:c r="C19" s="10">
        <x:f>'[1]Wholesale Prices'!$I21</x:f>
      </x:c>
    </x:row>
    <x:row r="20" spans="1:3" x14ac:dyDescent="0.3">
      <x:c r="A20" s="9">
        <x:f>'[1]Wholesale Prices'!$B22</x:f>
      </x:c>
      <x:c r="B20" s="10">
        <x:f>'[1]Wholesale Prices'!$H22</x:f>
      </x:c>
      <x:c r="C20" s="10">
        <x:f>'[1]Wholesale Prices'!$I22</x:f>
      </x:c>
    </x:row>
    <x:row r="21" spans="1:3" x14ac:dyDescent="0.3">
      <x:c r="A21" s="9">
        <x:f>'[1]Wholesale Prices'!$B23</x:f>
      </x:c>
      <x:c r="B21" s="10">
        <x:f>'[1]Wholesale Prices'!$H23</x:f>
      </x:c>
      <x:c r="C21" s="10">
        <x:f>'[1]Wholesale Prices'!$I23</x:f>
      </x:c>
    </x:row>
    <x:row r="22" spans="1:3" x14ac:dyDescent="0.3">
      <x:c r="A22" s="9">
        <x:f>'[1]Wholesale Prices'!$B24</x:f>
      </x:c>
      <x:c r="B22" s="10">
        <x:f>'[1]Wholesale Prices'!$H24</x:f>
      </x:c>
      <x:c r="C22" s="10">
        <x:f>'[1]Wholesale Prices'!$I24</x:f>
      </x:c>
    </x:row>
    <x:row r="23" spans="1:3" x14ac:dyDescent="0.3">
      <x:c r="A23" s="9">
        <x:f>'[1]Wholesale Prices'!$B25</x:f>
      </x:c>
      <x:c r="B23" s="10">
        <x:f>'[1]Wholesale Prices'!$H25</x:f>
      </x:c>
      <x:c r="C23" s="10">
        <x:f>'[1]Wholesale Prices'!$I25</x:f>
      </x:c>
    </x:row>
    <x:row r="24" spans="1:3" x14ac:dyDescent="0.3">
      <x:c r="A24" s="9">
        <x:f>'[1]Wholesale Prices'!$B26</x:f>
      </x:c>
      <x:c r="B24" s="10">
        <x:f>'[1]Wholesale Prices'!$H26</x:f>
      </x:c>
      <x:c r="C24" s="10">
        <x:f>'[1]Wholesale Prices'!$I26</x:f>
      </x:c>
    </x:row>
    <x:row r="25" spans="1:3" x14ac:dyDescent="0.3">
      <x:c r="A25" s="9">
        <x:f>'[1]Wholesale Prices'!$B27</x:f>
      </x:c>
      <x:c r="B25" s="10">
        <x:f>'[1]Wholesale Prices'!$H27</x:f>
      </x:c>
      <x:c r="C25" s="10">
        <x:f>'[1]Wholesale Prices'!$I27</x:f>
      </x:c>
    </x:row>
    <x:row r="26" spans="1:3" x14ac:dyDescent="0.3">
      <x:c r="A26" s="9">
        <x:f>'[1]Wholesale Prices'!$B28</x:f>
      </x:c>
      <x:c r="B26" s="10">
        <x:f>'[1]Wholesale Prices'!$H28</x:f>
      </x:c>
      <x:c r="C26" s="10">
        <x:f>'[1]Wholesale Prices'!$I28</x:f>
      </x:c>
    </x:row>
    <x:row r="27" spans="1:3" x14ac:dyDescent="0.3">
      <x:c r="A27" s="9">
        <x:f>'[1]Wholesale Prices'!$B29</x:f>
      </x:c>
      <x:c r="B27" s="10">
        <x:f>'[1]Wholesale Prices'!$H29</x:f>
      </x:c>
      <x:c r="C27" s="10">
        <x:f>'[1]Wholesale Prices'!$I29</x:f>
      </x:c>
    </x:row>
    <x:row r="28" spans="1:3" x14ac:dyDescent="0.3">
      <x:c r="A28" s="9">
        <x:f>'[1]Wholesale Prices'!$B30</x:f>
      </x:c>
      <x:c r="B28" s="10">
        <x:f>'[1]Wholesale Prices'!$H30</x:f>
      </x:c>
      <x:c r="C28" s="10">
        <x:f>'[1]Wholesale Prices'!$I30</x:f>
      </x:c>
    </x:row>
    <x:row r="29" spans="1:3" x14ac:dyDescent="0.3">
      <x:c r="A29" s="9">
        <x:f>'[1]Wholesale Prices'!$B31</x:f>
      </x:c>
      <x:c r="B29" s="10">
        <x:f>'[1]Wholesale Prices'!$H31</x:f>
      </x:c>
      <x:c r="C29" s="10">
        <x:f>'[1]Wholesale Prices'!$I31</x:f>
      </x:c>
    </x:row>
    <x:row r="30" spans="1:3" x14ac:dyDescent="0.3">
      <x:c r="A30" s="9">
        <x:f>'[1]Wholesale Prices'!$B32</x:f>
      </x:c>
      <x:c r="B30" s="10">
        <x:f>'[1]Wholesale Prices'!$H32</x:f>
      </x:c>
      <x:c r="C30" s="10">
        <x:f>'[1]Wholesale Prices'!$I32</x:f>
      </x:c>
    </x:row>
    <x:row r="31" spans="1:3" x14ac:dyDescent="0.3">
      <x:c r="A31" s="9">
        <x:f>'[1]Wholesale Prices'!$B33</x:f>
      </x:c>
      <x:c r="B31" s="10">
        <x:f>'[1]Wholesale Prices'!$H33</x:f>
      </x:c>
      <x:c r="C31" s="10">
        <x:f>'[1]Wholesale Prices'!$I33</x:f>
      </x:c>
    </x:row>
    <x:row r="32" spans="1:3" x14ac:dyDescent="0.3">
      <x:c r="A32" s="9">
        <x:f>'[1]Wholesale Prices'!$B34</x:f>
      </x:c>
      <x:c r="B32" s="10">
        <x:f>'[1]Wholesale Prices'!$H34</x:f>
      </x:c>
      <x:c r="C32" s="10">
        <x:f>'[1]Wholesale Prices'!$I34</x:f>
      </x:c>
    </x:row>
    <x:row r="33" spans="1:3" x14ac:dyDescent="0.3">
      <x:c r="A33" s="9">
        <x:f>'[1]Wholesale Prices'!$B35</x:f>
      </x:c>
      <x:c r="B33" s="10">
        <x:f>'[1]Wholesale Prices'!$H35</x:f>
      </x:c>
      <x:c r="C33" s="10">
        <x:f>'[1]Wholesale Prices'!$I35</x:f>
      </x:c>
    </x:row>
    <x:row r="34" spans="1:3" x14ac:dyDescent="0.3">
      <x:c r="A34" s="9">
        <x:f>'[1]Wholesale Prices'!$B36</x:f>
      </x:c>
      <x:c r="B34" s="10">
        <x:f>'[1]Wholesale Prices'!$H36</x:f>
      </x:c>
      <x:c r="C34" s="10">
        <x:f>'[1]Wholesale Prices'!$I36</x:f>
      </x:c>
    </x:row>
    <x:row r="35" spans="1:3" x14ac:dyDescent="0.3">
      <x:c r="A35" s="9">
        <x:f>'[1]Wholesale Prices'!$B37</x:f>
      </x:c>
      <x:c r="B35" s="10">
        <x:f>'[1]Wholesale Prices'!$H37</x:f>
      </x:c>
      <x:c r="C35" s="10">
        <x:f>'[1]Wholesale Prices'!$I37</x:f>
      </x:c>
    </x:row>
    <x:row r="36" spans="1:3" x14ac:dyDescent="0.3">
      <x:c r="A36" s="9">
        <x:f>'[1]Wholesale Prices'!$B38</x:f>
      </x:c>
      <x:c r="B36" s="10">
        <x:f>'[1]Wholesale Prices'!$H38</x:f>
      </x:c>
      <x:c r="C36" s="10">
        <x:f>'[1]Wholesale Prices'!$I38</x:f>
      </x:c>
    </x:row>
    <x:row r="37" spans="1:3" x14ac:dyDescent="0.3">
      <x:c r="A37" s="9">
        <x:f>'[1]Wholesale Prices'!$B39</x:f>
      </x:c>
      <x:c r="B37" s="10">
        <x:f>'[1]Wholesale Prices'!$H39</x:f>
      </x:c>
      <x:c r="C37" s="10">
        <x:f>'[1]Wholesale Prices'!$I39</x:f>
      </x:c>
    </x:row>
    <x:row r="38" spans="1:3" x14ac:dyDescent="0.3">
      <x:c r="A38" s="9">
        <x:f>'[1]Wholesale Prices'!$B40</x:f>
      </x:c>
      <x:c r="B38" s="10">
        <x:f>'[1]Wholesale Prices'!$H40</x:f>
      </x:c>
      <x:c r="C38" s="10">
        <x:f>'[1]Wholesale Prices'!$I40</x:f>
      </x:c>
    </x:row>
    <x:row r="39" spans="1:3" x14ac:dyDescent="0.3">
      <x:c r="A39" s="9">
        <x:f>'[1]Wholesale Prices'!$B41</x:f>
      </x:c>
      <x:c r="B39" s="10">
        <x:f>'[1]Wholesale Prices'!$H41</x:f>
      </x:c>
      <x:c r="C39" s="10">
        <x:f>'[1]Wholesale Prices'!$I41</x:f>
      </x:c>
    </x:row>
    <x:row r="40" spans="1:3" x14ac:dyDescent="0.3">
      <x:c r="A40" s="9">
        <x:f>'[1]Wholesale Prices'!$B42</x:f>
      </x:c>
      <x:c r="B40" s="10">
        <x:f>'[1]Wholesale Prices'!$H42</x:f>
      </x:c>
      <x:c r="C40" s="10">
        <x:f>'[1]Wholesale Prices'!$I42</x:f>
      </x:c>
    </x:row>
    <x:row r="41" spans="1:3" x14ac:dyDescent="0.3">
      <x:c r="A41" s="9">
        <x:f>'[1]Wholesale Prices'!$B43</x:f>
      </x:c>
      <x:c r="B41" s="10">
        <x:f>'[1]Wholesale Prices'!$H43</x:f>
      </x:c>
      <x:c r="C41" s="10">
        <x:f>'[1]Wholesale Prices'!$I43</x:f>
      </x:c>
    </x:row>
    <x:row r="42" spans="1:3" x14ac:dyDescent="0.3">
      <x:c r="A42" s="9">
        <x:f>'[1]Wholesale Prices'!$B44</x:f>
      </x:c>
      <x:c r="B42" s="10">
        <x:f>'[1]Wholesale Prices'!$H44</x:f>
      </x:c>
      <x:c r="C42" s="10">
        <x:f>'[1]Wholesale Prices'!$I44</x:f>
      </x:c>
    </x:row>
    <x:row r="43" spans="1:3" x14ac:dyDescent="0.3">
      <x:c r="A43" s="9">
        <x:f>'[1]Wholesale Prices'!$B45</x:f>
      </x:c>
      <x:c r="B43" s="10">
        <x:f>'[1]Wholesale Prices'!$H45</x:f>
      </x:c>
      <x:c r="C43" s="10">
        <x:f>'[1]Wholesale Prices'!$I45</x:f>
      </x:c>
    </x:row>
    <x:row r="44" spans="1:3" x14ac:dyDescent="0.3">
      <x:c r="A44" s="9">
        <x:f>'[1]Wholesale Prices'!$B46</x:f>
      </x:c>
      <x:c r="B44" s="10">
        <x:f>'[1]Wholesale Prices'!$H46</x:f>
      </x:c>
      <x:c r="C44" s="10">
        <x:f>'[1]Wholesale Prices'!$I46</x:f>
      </x:c>
    </x:row>
    <x:row r="45" spans="1:3" x14ac:dyDescent="0.3">
      <x:c r="A45" s="9">
        <x:f>'[1]Wholesale Prices'!$B47</x:f>
      </x:c>
      <x:c r="B45" s="10">
        <x:f>'[1]Wholesale Prices'!$H47</x:f>
      </x:c>
      <x:c r="C45" s="10">
        <x:f>'[1]Wholesale Prices'!$I47</x:f>
      </x:c>
    </x:row>
    <x:row r="46" spans="1:3" x14ac:dyDescent="0.3">
      <x:c r="A46" s="9">
        <x:f>'[1]Wholesale Prices'!$B48</x:f>
      </x:c>
      <x:c r="B46" s="10">
        <x:f>'[1]Wholesale Prices'!$H48</x:f>
      </x:c>
      <x:c r="C46" s="10">
        <x:f>'[1]Wholesale Prices'!$I48</x:f>
      </x:c>
    </x:row>
    <x:row r="47" spans="1:3" x14ac:dyDescent="0.3">
      <x:c r="A47" s="9">
        <x:f>'[1]Wholesale Prices'!$B49</x:f>
      </x:c>
      <x:c r="B47" s="10">
        <x:f>'[1]Wholesale Prices'!$H49</x:f>
      </x:c>
      <x:c r="C47" s="10">
        <x:f>'[1]Wholesale Prices'!$I49</x:f>
      </x:c>
    </x:row>
    <x:row r="48" spans="1:3" x14ac:dyDescent="0.3">
      <x:c r="A48" s="9">
        <x:f>'[1]Wholesale Prices'!$B50</x:f>
      </x:c>
      <x:c r="B48" s="10">
        <x:f>'[1]Wholesale Prices'!$H50</x:f>
      </x:c>
      <x:c r="C48" s="10">
        <x:f>'[1]Wholesale Prices'!$I50</x:f>
      </x:c>
    </x:row>
    <x:row r="49" spans="1:3" x14ac:dyDescent="0.3">
      <x:c r="A49" s="9">
        <x:f>'[1]Wholesale Prices'!$B51</x:f>
      </x:c>
      <x:c r="B49" s="10">
        <x:f>'[1]Wholesale Prices'!$H51</x:f>
      </x:c>
      <x:c r="C49" s="10">
        <x:f>'[1]Wholesale Prices'!$I51</x:f>
      </x:c>
    </x:row>
    <x:row r="50" spans="1:3" x14ac:dyDescent="0.3">
      <x:c r="A50" s="9">
        <x:f>'[1]Wholesale Prices'!$B52</x:f>
      </x:c>
      <x:c r="B50" s="10">
        <x:f>'[1]Wholesale Prices'!$H52</x:f>
      </x:c>
      <x:c r="C50" s="10">
        <x:f>'[1]Wholesale Prices'!$I52</x:f>
      </x:c>
    </x:row>
    <x:row r="51" spans="1:3" x14ac:dyDescent="0.3">
      <x:c r="A51" s="9">
        <x:f>'[1]Wholesale Prices'!$B53</x:f>
      </x:c>
      <x:c r="B51" s="10">
        <x:f>'[1]Wholesale Prices'!$H53</x:f>
      </x:c>
      <x:c r="C51" s="10">
        <x:f>'[1]Wholesale Prices'!$I53</x:f>
      </x:c>
    </x:row>
    <x:row r="52" spans="1:3" x14ac:dyDescent="0.3">
      <x:c r="A52" s="9">
        <x:f>'[1]Wholesale Prices'!$B54</x:f>
      </x:c>
      <x:c r="B52" s="10">
        <x:f>'[1]Wholesale Prices'!$H54</x:f>
      </x:c>
      <x:c r="C52" s="10">
        <x:f>'[1]Wholesale Prices'!$I54</x:f>
      </x:c>
    </x:row>
    <x:row r="53" spans="1:3" x14ac:dyDescent="0.3">
      <x:c r="A53" s="9">
        <x:f>'[1]Wholesale Prices'!$B55</x:f>
      </x:c>
      <x:c r="B53" s="10">
        <x:f>'[1]Wholesale Prices'!$H55</x:f>
      </x:c>
      <x:c r="C53" s="10">
        <x:f>'[1]Wholesale Prices'!$I55</x:f>
      </x:c>
    </x:row>
    <x:row r="54" spans="1:3" x14ac:dyDescent="0.3">
      <x:c r="A54" s="9">
        <x:f>'[1]Wholesale Prices'!$B56</x:f>
      </x:c>
      <x:c r="B54" s="10">
        <x:f>'[1]Wholesale Prices'!$H56</x:f>
      </x:c>
      <x:c r="C54" s="10">
        <x:f>'[1]Wholesale Prices'!$I56</x:f>
      </x:c>
    </x:row>
    <x:row r="55" spans="1:3" x14ac:dyDescent="0.3">
      <x:c r="A55" s="9">
        <x:f>'[1]Wholesale Prices'!$B57</x:f>
      </x:c>
      <x:c r="B55" s="10">
        <x:f>'[1]Wholesale Prices'!$H57</x:f>
      </x:c>
      <x:c r="C55" s="10">
        <x:f>'[1]Wholesale Prices'!$I57</x:f>
      </x:c>
    </x:row>
    <x:row r="56" spans="1:3" x14ac:dyDescent="0.3">
      <x:c r="A56" s="9">
        <x:f>'[1]Wholesale Prices'!$B58</x:f>
      </x:c>
      <x:c r="B56" s="10">
        <x:f>'[1]Wholesale Prices'!$H58</x:f>
      </x:c>
      <x:c r="C56" s="10">
        <x:f>'[1]Wholesale Prices'!$I58</x:f>
      </x:c>
    </x:row>
    <x:row r="57" spans="1:3" x14ac:dyDescent="0.3">
      <x:c r="A57" s="9">
        <x:f>'[1]Wholesale Prices'!$B59</x:f>
      </x:c>
      <x:c r="B57" s="10">
        <x:f>'[1]Wholesale Prices'!$H59</x:f>
      </x:c>
      <x:c r="C57" s="10">
        <x:f>'[1]Wholesale Prices'!$I59</x:f>
      </x:c>
    </x:row>
    <x:row r="58" spans="1:3" x14ac:dyDescent="0.3">
      <x:c r="A58" s="9">
        <x:f>'[1]Wholesale Prices'!$B60</x:f>
      </x:c>
      <x:c r="B58" s="10">
        <x:f>'[1]Wholesale Prices'!$H60</x:f>
      </x:c>
      <x:c r="C58" s="10">
        <x:f>'[1]Wholesale Prices'!$I60</x:f>
      </x:c>
    </x:row>
    <x:row r="59" spans="1:3" x14ac:dyDescent="0.3">
      <x:c r="A59" s="9">
        <x:f>'[1]Wholesale Prices'!$B61</x:f>
      </x:c>
      <x:c r="B59" s="10">
        <x:f>'[1]Wholesale Prices'!$H61</x:f>
      </x:c>
      <x:c r="C59" s="10">
        <x:f>'[1]Wholesale Prices'!$I61</x:f>
      </x:c>
    </x:row>
    <x:row r="60" spans="1:3" x14ac:dyDescent="0.3">
      <x:c r="A60" s="9">
        <x:f>'[1]Wholesale Prices'!$B62</x:f>
      </x:c>
      <x:c r="B60" s="10">
        <x:f>'[1]Wholesale Prices'!$H62</x:f>
      </x:c>
      <x:c r="C60" s="10">
        <x:f>'[1]Wholesale Prices'!$I62</x:f>
      </x:c>
    </x:row>
    <x:row r="61" spans="1:3" x14ac:dyDescent="0.3">
      <x:c r="A61" s="9">
        <x:f>'[1]Wholesale Prices'!$B63</x:f>
      </x:c>
      <x:c r="B61" s="10">
        <x:f>'[1]Wholesale Prices'!$H63</x:f>
      </x:c>
      <x:c r="C61" s="10">
        <x:f>'[1]Wholesale Prices'!$I63</x:f>
      </x:c>
    </x:row>
    <x:row r="62" spans="1:3" x14ac:dyDescent="0.3">
      <x:c r="A62" s="9">
        <x:f>'[1]Wholesale Prices'!$B64</x:f>
      </x:c>
      <x:c r="B62" s="10">
        <x:f>'[1]Wholesale Prices'!$H64</x:f>
      </x:c>
      <x:c r="C62" s="10">
        <x:f>'[1]Wholesale Prices'!$I64</x:f>
      </x:c>
    </x:row>
    <x:row r="63" spans="1:3" x14ac:dyDescent="0.3">
      <x:c r="A63" s="9">
        <x:f>'[1]Wholesale Prices'!$B65</x:f>
      </x:c>
      <x:c r="B63" s="10">
        <x:f>'[1]Wholesale Prices'!$H65</x:f>
      </x:c>
      <x:c r="C63" s="10">
        <x:f>'[1]Wholesale Prices'!$I65</x:f>
      </x:c>
    </x:row>
    <x:row r="64" spans="1:3" x14ac:dyDescent="0.3">
      <x:c r="A64" s="9">
        <x:f>'[1]Wholesale Prices'!$B66</x:f>
      </x:c>
      <x:c r="B64" s="10">
        <x:f>'[1]Wholesale Prices'!$H66</x:f>
      </x:c>
      <x:c r="C64" s="10">
        <x:f>'[1]Wholesale Prices'!$I66</x:f>
      </x:c>
    </x:row>
    <x:row r="65" spans="1:3" x14ac:dyDescent="0.3">
      <x:c r="A65" s="9">
        <x:f>'[1]Wholesale Prices'!$B67</x:f>
      </x:c>
      <x:c r="B65" s="10">
        <x:f>'[1]Wholesale Prices'!$H67</x:f>
      </x:c>
      <x:c r="C65" s="10">
        <x:f>'[1]Wholesale Prices'!$I67</x:f>
      </x:c>
    </x:row>
    <x:row r="66" spans="1:3" x14ac:dyDescent="0.3">
      <x:c r="A66" s="9">
        <x:f>'[1]Wholesale Prices'!$B68</x:f>
      </x:c>
      <x:c r="B66" s="10">
        <x:f>'[1]Wholesale Prices'!$H68</x:f>
      </x:c>
      <x:c r="C66" s="10">
        <x:f>'[1]Wholesale Prices'!$I68</x:f>
      </x:c>
    </x:row>
    <x:row r="67" spans="1:3" x14ac:dyDescent="0.3">
      <x:c r="A67" s="9">
        <x:f>'[1]Wholesale Prices'!$B69</x:f>
      </x:c>
      <x:c r="B67" s="10">
        <x:f>'[1]Wholesale Prices'!$H69</x:f>
      </x:c>
      <x:c r="C67" s="10">
        <x:f>'[1]Wholesale Prices'!$I69</x:f>
      </x:c>
    </x:row>
    <x:row r="68" spans="1:3" x14ac:dyDescent="0.3">
      <x:c r="A68" s="9">
        <x:f>'[1]Wholesale Prices'!$B70</x:f>
      </x:c>
      <x:c r="B68" s="10">
        <x:f>'[1]Wholesale Prices'!$H70</x:f>
      </x:c>
      <x:c r="C68" s="10">
        <x:f>'[1]Wholesale Prices'!$I70</x:f>
      </x:c>
    </x:row>
    <x:row r="69" spans="1:3" x14ac:dyDescent="0.3">
      <x:c r="A69" s="9">
        <x:f>'[1]Wholesale Prices'!$B71</x:f>
      </x:c>
      <x:c r="B69" s="10">
        <x:f>'[1]Wholesale Prices'!$H71</x:f>
      </x:c>
      <x:c r="C69" s="10">
        <x:f>'[1]Wholesale Prices'!$I71</x:f>
      </x:c>
    </x:row>
    <x:row r="70" spans="1:3" x14ac:dyDescent="0.3">
      <x:c r="A70" s="9">
        <x:f>'[1]Wholesale Prices'!$B72</x:f>
      </x:c>
      <x:c r="B70" s="10">
        <x:f>'[1]Wholesale Prices'!$H72</x:f>
      </x:c>
      <x:c r="C70" s="10">
        <x:f>'[1]Wholesale Prices'!$I72</x:f>
      </x:c>
    </x:row>
    <x:row r="71" spans="1:3" x14ac:dyDescent="0.3">
      <x:c r="A71" s="9">
        <x:f>'[1]Wholesale Prices'!$B73</x:f>
      </x:c>
      <x:c r="B71" s="10">
        <x:f>'[1]Wholesale Prices'!$H73</x:f>
      </x:c>
      <x:c r="C71" s="10">
        <x:f>'[1]Wholesale Prices'!$I73</x:f>
      </x:c>
    </x:row>
    <x:row r="72" spans="1:3" x14ac:dyDescent="0.3">
      <x:c r="A72" s="9">
        <x:f>'[1]Wholesale Prices'!$B74</x:f>
      </x:c>
      <x:c r="B72" s="10">
        <x:f>'[1]Wholesale Prices'!$H74</x:f>
      </x:c>
      <x:c r="C72" s="10">
        <x:f>'[1]Wholesale Prices'!$I74</x:f>
      </x:c>
    </x:row>
    <x:row r="73" spans="1:3" x14ac:dyDescent="0.3">
      <x:c r="A73" s="9">
        <x:f>'[1]Wholesale Prices'!$B75</x:f>
      </x:c>
      <x:c r="B73" s="10">
        <x:f>'[1]Wholesale Prices'!$H75</x:f>
      </x:c>
      <x:c r="C73" s="10">
        <x:f>'[1]Wholesale Prices'!$I75</x:f>
      </x:c>
    </x:row>
    <x:row r="74" spans="1:3" x14ac:dyDescent="0.3">
      <x:c r="A74" s="9">
        <x:f>'[1]Wholesale Prices'!$B76</x:f>
      </x:c>
      <x:c r="B74" s="10">
        <x:f>'[1]Wholesale Prices'!$H76</x:f>
      </x:c>
      <x:c r="C74" s="10">
        <x:f>'[1]Wholesale Prices'!$I76</x:f>
      </x:c>
    </x:row>
    <x:row r="75" spans="1:3" x14ac:dyDescent="0.3">
      <x:c r="A75" s="9">
        <x:f>'[1]Wholesale Prices'!$B77</x:f>
      </x:c>
      <x:c r="B75" s="10">
        <x:f>'[1]Wholesale Prices'!$H77</x:f>
      </x:c>
      <x:c r="C75" s="10">
        <x:f>'[1]Wholesale Prices'!$I77</x:f>
      </x:c>
    </x:row>
    <x:row r="76" spans="1:3" x14ac:dyDescent="0.3">
      <x:c r="A76" s="9">
        <x:f>'[1]Wholesale Prices'!$B78</x:f>
      </x:c>
      <x:c r="B76" s="10">
        <x:f>'[1]Wholesale Prices'!$H78</x:f>
      </x:c>
      <x:c r="C76" s="10">
        <x:f>'[1]Wholesale Prices'!$I78</x:f>
      </x:c>
    </x:row>
    <x:row r="77" spans="1:3" x14ac:dyDescent="0.3">
      <x:c r="A77" s="9">
        <x:f>'[1]Wholesale Prices'!$B79</x:f>
      </x:c>
      <x:c r="B77" s="10">
        <x:f>'[1]Wholesale Prices'!$H79</x:f>
      </x:c>
      <x:c r="C77" s="10">
        <x:f>'[1]Wholesale Prices'!$I79</x:f>
      </x:c>
    </x:row>
    <x:row r="78" spans="1:3" x14ac:dyDescent="0.3">
      <x:c r="A78" s="9">
        <x:f>'[1]Wholesale Prices'!$B80</x:f>
      </x:c>
      <x:c r="B78" s="10">
        <x:f>'[1]Wholesale Prices'!$H80</x:f>
      </x:c>
      <x:c r="C78" s="10">
        <x:f>'[1]Wholesale Prices'!$I80</x:f>
      </x:c>
    </x:row>
    <x:row r="79" spans="1:3" x14ac:dyDescent="0.3">
      <x:c r="A79" s="9">
        <x:f>'[1]Wholesale Prices'!$B81</x:f>
      </x:c>
      <x:c r="B79" s="10">
        <x:f>'[1]Wholesale Prices'!$H81</x:f>
      </x:c>
      <x:c r="C79" s="10">
        <x:f>'[1]Wholesale Prices'!$I81</x:f>
      </x:c>
    </x:row>
    <x:row r="80" spans="1:3" x14ac:dyDescent="0.3">
      <x:c r="A80" s="9">
        <x:f>'[1]Wholesale Prices'!$B82</x:f>
      </x:c>
      <x:c r="B80" s="10">
        <x:f>'[1]Wholesale Prices'!$H82</x:f>
      </x:c>
      <x:c r="C80" s="10">
        <x:f>'[1]Wholesale Prices'!$I82</x:f>
      </x:c>
    </x:row>
    <x:row r="81" spans="1:3" x14ac:dyDescent="0.3">
      <x:c r="A81" s="9">
        <x:f>'[1]Wholesale Prices'!$B83</x:f>
      </x:c>
      <x:c r="B81" s="10">
        <x:f>'[1]Wholesale Prices'!$H83</x:f>
      </x:c>
      <x:c r="C81" s="10">
        <x:f>'[1]Wholesale Prices'!$I83</x:f>
      </x:c>
    </x:row>
    <x:row r="82" spans="1:3" x14ac:dyDescent="0.3">
      <x:c r="A82" s="9">
        <x:f>'[1]Wholesale Prices'!$B84</x:f>
      </x:c>
      <x:c r="B82" s="10">
        <x:f>'[1]Wholesale Prices'!$H84</x:f>
      </x:c>
      <x:c r="C82" s="10">
        <x:f>'[1]Wholesale Prices'!$I84</x:f>
      </x:c>
    </x:row>
    <x:row r="83" spans="1:3" x14ac:dyDescent="0.3">
      <x:c r="A83" s="9">
        <x:f>'[1]Wholesale Prices'!$B85</x:f>
      </x:c>
      <x:c r="B83" s="10">
        <x:f>'[1]Wholesale Prices'!$H85</x:f>
      </x:c>
      <x:c r="C83" s="10">
        <x:f>'[1]Wholesale Prices'!$I85</x:f>
      </x:c>
    </x:row>
    <x:row r="84" spans="1:3" x14ac:dyDescent="0.3">
      <x:c r="A84" s="9">
        <x:f>'[1]Wholesale Prices'!$B86</x:f>
      </x:c>
      <x:c r="B84" s="10">
        <x:f>'[1]Wholesale Prices'!$H86</x:f>
      </x:c>
      <x:c r="C84" s="10">
        <x:f>'[1]Wholesale Prices'!$I86</x:f>
      </x:c>
    </x:row>
    <x:row r="85" spans="1:3" x14ac:dyDescent="0.3">
      <x:c r="A85" s="9">
        <x:f>'[1]Wholesale Prices'!$B87</x:f>
      </x:c>
      <x:c r="B85" s="10">
        <x:f>'[1]Wholesale Prices'!$H87</x:f>
      </x:c>
      <x:c r="C85" s="10">
        <x:f>'[1]Wholesale Prices'!$I87</x:f>
      </x:c>
    </x:row>
    <x:row r="86" spans="1:3" x14ac:dyDescent="0.3">
      <x:c r="A86" s="9">
        <x:f>'[1]Wholesale Prices'!$B88</x:f>
      </x:c>
      <x:c r="B86" s="10">
        <x:f>'[1]Wholesale Prices'!$H88</x:f>
      </x:c>
      <x:c r="C86" s="10">
        <x:f>'[1]Wholesale Prices'!$I88</x:f>
      </x:c>
    </x:row>
    <x:row r="87" spans="1:3" x14ac:dyDescent="0.3">
      <x:c r="A87" s="9">
        <x:f>'[1]Wholesale Prices'!$B89</x:f>
      </x:c>
      <x:c r="B87" s="10">
        <x:f>'[1]Wholesale Prices'!$H89</x:f>
      </x:c>
      <x:c r="C87" s="10">
        <x:f>'[1]Wholesale Prices'!$I89</x:f>
      </x:c>
    </x:row>
    <x:row r="88" spans="1:3" x14ac:dyDescent="0.3">
      <x:c r="A88" s="9">
        <x:f>'[1]Wholesale Prices'!$B90</x:f>
      </x:c>
      <x:c r="B88" s="10">
        <x:f>'[1]Wholesale Prices'!$H90</x:f>
      </x:c>
      <x:c r="C88" s="10">
        <x:f>'[1]Wholesale Prices'!$I90</x:f>
      </x:c>
    </x:row>
    <x:row r="89" spans="1:3" x14ac:dyDescent="0.3">
      <x:c r="A89" s="9">
        <x:f>'[1]Wholesale Prices'!$B91</x:f>
      </x:c>
      <x:c r="B89" s="10">
        <x:f>'[1]Wholesale Prices'!$H91</x:f>
      </x:c>
      <x:c r="C89" s="10">
        <x:f>'[1]Wholesale Prices'!$I91</x:f>
      </x:c>
    </x:row>
    <x:row r="90" spans="1:3" x14ac:dyDescent="0.3">
      <x:c r="A90" s="9">
        <x:f>'[1]Wholesale Prices'!$B92</x:f>
      </x:c>
      <x:c r="B90" s="10">
        <x:f>'[1]Wholesale Prices'!$H92</x:f>
      </x:c>
      <x:c r="C90" s="10">
        <x:f>'[1]Wholesale Prices'!$I92</x:f>
      </x:c>
    </x:row>
    <x:row r="91" spans="1:3" x14ac:dyDescent="0.3">
      <x:c r="A91" s="9">
        <x:f>'[1]Wholesale Prices'!$B93</x:f>
      </x:c>
      <x:c r="B91" s="10">
        <x:f>'[1]Wholesale Prices'!$H93</x:f>
      </x:c>
      <x:c r="C91" s="10">
        <x:f>'[1]Wholesale Prices'!$I93</x:f>
      </x:c>
    </x:row>
    <x:row r="92" spans="1:3" x14ac:dyDescent="0.3">
      <x:c r="A92" s="9">
        <x:f>'[1]Wholesale Prices'!$B94</x:f>
      </x:c>
      <x:c r="B92" s="10">
        <x:f>'[1]Wholesale Prices'!$H94</x:f>
      </x:c>
      <x:c r="C92" s="10">
        <x:f>'[1]Wholesale Prices'!$I94</x:f>
      </x:c>
    </x:row>
    <x:row r="93" spans="1:3" x14ac:dyDescent="0.3">
      <x:c r="A93" s="9">
        <x:f>'[1]Wholesale Prices'!$B95</x:f>
      </x:c>
      <x:c r="B93" s="10">
        <x:f>'[1]Wholesale Prices'!$H95</x:f>
      </x:c>
      <x:c r="C93" s="10">
        <x:f>'[1]Wholesale Prices'!$I95</x:f>
      </x:c>
    </x:row>
    <x:row r="94" spans="1:3" x14ac:dyDescent="0.3">
      <x:c r="A94" s="9">
        <x:f>'[1]Wholesale Prices'!$B96</x:f>
      </x:c>
      <x:c r="B94" s="10">
        <x:f>'[1]Wholesale Prices'!$H96</x:f>
      </x:c>
      <x:c r="C94" s="10">
        <x:f>'[1]Wholesale Prices'!$I96</x:f>
      </x:c>
    </x:row>
    <x:row r="95" spans="1:3" x14ac:dyDescent="0.3">
      <x:c r="A95" s="9">
        <x:f>'[1]Wholesale Prices'!$B97</x:f>
      </x:c>
      <x:c r="B95" s="10">
        <x:f>'[1]Wholesale Prices'!$H97</x:f>
      </x:c>
      <x:c r="C95" s="10">
        <x:f>'[1]Wholesale Prices'!$I97</x:f>
      </x:c>
    </x:row>
    <x:row r="96" spans="1:3" x14ac:dyDescent="0.3">
      <x:c r="A96" s="9">
        <x:f>'[1]Wholesale Prices'!$B98</x:f>
      </x:c>
      <x:c r="B96" s="10">
        <x:f>'[1]Wholesale Prices'!$H98</x:f>
      </x:c>
      <x:c r="C96" s="10">
        <x:f>'[1]Wholesale Prices'!$I98</x:f>
      </x:c>
    </x:row>
    <x:row r="97" spans="1:3" x14ac:dyDescent="0.3">
      <x:c r="A97" s="9">
        <x:f>'[1]Wholesale Prices'!$B99</x:f>
      </x:c>
      <x:c r="B97" s="10">
        <x:f>'[1]Wholesale Prices'!$H99</x:f>
      </x:c>
      <x:c r="C97" s="10">
        <x:f>'[1]Wholesale Prices'!$I99</x:f>
      </x:c>
    </x:row>
    <x:row r="98" spans="1:3" x14ac:dyDescent="0.3">
      <x:c r="A98" s="9">
        <x:f>'[1]Wholesale Prices'!$B100</x:f>
      </x:c>
      <x:c r="B98" s="10">
        <x:f>'[1]Wholesale Prices'!$H100</x:f>
      </x:c>
      <x:c r="C98" s="10">
        <x:f>'[1]Wholesale Prices'!$I100</x:f>
      </x:c>
    </x:row>
    <x:row r="99" spans="1:3" x14ac:dyDescent="0.3">
      <x:c r="A99" s="9">
        <x:f>'[1]Wholesale Prices'!$B101</x:f>
      </x:c>
      <x:c r="B99" s="10">
        <x:f>'[1]Wholesale Prices'!$H101</x:f>
      </x:c>
      <x:c r="C99" s="10">
        <x:f>'[1]Wholesale Prices'!$I101</x:f>
      </x:c>
    </x:row>
    <x:row r="100" spans="1:3" x14ac:dyDescent="0.3">
      <x:c r="A100" s="9">
        <x:f>'[1]Wholesale Prices'!$B102</x:f>
      </x:c>
      <x:c r="B100" s="10">
        <x:f>'[1]Wholesale Prices'!$H102</x:f>
      </x:c>
      <x:c r="C100" s="10">
        <x:f>'[1]Wholesale Prices'!$I102</x:f>
      </x:c>
    </x:row>
    <x:row r="101" spans="1:3" x14ac:dyDescent="0.3">
      <x:c r="A101" s="9">
        <x:f>'[1]Wholesale Prices'!$B103</x:f>
      </x:c>
      <x:c r="B101" s="10">
        <x:f>'[1]Wholesale Prices'!$H103</x:f>
      </x:c>
      <x:c r="C101" s="10">
        <x:f>'[1]Wholesale Prices'!$I103</x:f>
      </x:c>
    </x:row>
    <x:row r="102" spans="1:3" x14ac:dyDescent="0.3">
      <x:c r="A102" s="9">
        <x:f>'[1]Wholesale Prices'!$B104</x:f>
      </x:c>
      <x:c r="B102" s="10">
        <x:f>'[1]Wholesale Prices'!$H104</x:f>
      </x:c>
      <x:c r="C102" s="10">
        <x:f>'[1]Wholesale Prices'!$I104</x:f>
      </x:c>
    </x:row>
    <x:row r="103" spans="1:3" x14ac:dyDescent="0.3">
      <x:c r="A103" s="9">
        <x:f>'[1]Wholesale Prices'!$B105</x:f>
      </x:c>
      <x:c r="B103" s="10">
        <x:f>'[1]Wholesale Prices'!$H105</x:f>
      </x:c>
      <x:c r="C103" s="10">
        <x:f>'[1]Wholesale Prices'!$I105</x:f>
      </x:c>
    </x:row>
    <x:row r="104" spans="1:3" x14ac:dyDescent="0.3">
      <x:c r="A104" s="9">
        <x:f>'[1]Wholesale Prices'!$B106</x:f>
      </x:c>
      <x:c r="B104" s="10">
        <x:f>'[1]Wholesale Prices'!$H106</x:f>
      </x:c>
      <x:c r="C104" s="10">
        <x:f>'[1]Wholesale Prices'!$I106</x:f>
      </x:c>
    </x:row>
    <x:row r="105" spans="1:3" x14ac:dyDescent="0.3">
      <x:c r="A105" s="9">
        <x:f>'[1]Wholesale Prices'!$B107</x:f>
      </x:c>
      <x:c r="B105" s="10">
        <x:f>'[1]Wholesale Prices'!$H107</x:f>
      </x:c>
      <x:c r="C105" s="10">
        <x:f>'[1]Wholesale Prices'!$I107</x:f>
      </x:c>
    </x:row>
    <x:row r="106" spans="1:3" x14ac:dyDescent="0.3">
      <x:c r="A106" s="9">
        <x:f>'[1]Wholesale Prices'!$B108</x:f>
      </x:c>
      <x:c r="B106" s="10">
        <x:f>'[1]Wholesale Prices'!$H108</x:f>
      </x:c>
      <x:c r="C106" s="10">
        <x:f>'[1]Wholesale Prices'!$I108</x:f>
      </x:c>
    </x:row>
    <x:row r="107" spans="1:3" x14ac:dyDescent="0.3">
      <x:c r="A107" s="9">
        <x:f>'[1]Wholesale Prices'!$B109</x:f>
      </x:c>
      <x:c r="B107" s="10">
        <x:f>'[1]Wholesale Prices'!$H109</x:f>
      </x:c>
      <x:c r="C107" s="10">
        <x:f>'[1]Wholesale Prices'!$I109</x:f>
      </x:c>
    </x:row>
    <x:row r="108" spans="1:3" x14ac:dyDescent="0.3">
      <x:c r="A108" s="9">
        <x:f>'[1]Wholesale Prices'!$B110</x:f>
      </x:c>
      <x:c r="B108" s="10">
        <x:f>'[1]Wholesale Prices'!$H110</x:f>
      </x:c>
      <x:c r="C108" s="10">
        <x:f>'[1]Wholesale Prices'!$I110</x:f>
      </x:c>
    </x:row>
    <x:row r="109" spans="1:3" x14ac:dyDescent="0.3">
      <x:c r="A109" s="9">
        <x:f>'[1]Wholesale Prices'!$B111</x:f>
      </x:c>
      <x:c r="B109" s="10">
        <x:f>'[1]Wholesale Prices'!$H111</x:f>
      </x:c>
      <x:c r="C109" s="10">
        <x:f>'[1]Wholesale Prices'!$I111</x:f>
      </x:c>
    </x:row>
    <x:row r="110" spans="1:3" x14ac:dyDescent="0.3">
      <x:c r="A110" s="9">
        <x:f>'[1]Wholesale Prices'!$B112</x:f>
      </x:c>
      <x:c r="B110" s="10">
        <x:f>'[1]Wholesale Prices'!$H112</x:f>
      </x:c>
      <x:c r="C110" s="10">
        <x:f>'[1]Wholesale Prices'!$I112</x:f>
      </x:c>
    </x:row>
    <x:row r="111" spans="1:3" x14ac:dyDescent="0.3">
      <x:c r="A111" s="9">
        <x:f>'[1]Wholesale Prices'!$B113</x:f>
      </x:c>
      <x:c r="B111" s="10">
        <x:f>'[1]Wholesale Prices'!$H113</x:f>
      </x:c>
      <x:c r="C111" s="10">
        <x:f>'[1]Wholesale Prices'!$I113</x:f>
      </x:c>
    </x:row>
    <x:row r="112" spans="1:3" x14ac:dyDescent="0.3">
      <x:c r="A112" s="9">
        <x:f>'[1]Wholesale Prices'!$B114</x:f>
      </x:c>
      <x:c r="B112" s="10">
        <x:f>'[1]Wholesale Prices'!$H114</x:f>
      </x:c>
      <x:c r="C112" s="10">
        <x:f>'[1]Wholesale Prices'!$I114</x:f>
      </x:c>
    </x:row>
    <x:row r="113" spans="1:3" x14ac:dyDescent="0.3">
      <x:c r="A113" s="9">
        <x:f>'[1]Wholesale Prices'!$B115</x:f>
      </x:c>
      <x:c r="B113" s="10">
        <x:f>'[1]Wholesale Prices'!$H115</x:f>
      </x:c>
      <x:c r="C113" s="10">
        <x:f>'[1]Wholesale Prices'!$I115</x:f>
      </x:c>
    </x:row>
    <x:row r="114" spans="1:3" x14ac:dyDescent="0.3">
      <x:c r="A114" s="9">
        <x:f>'[1]Wholesale Prices'!$B116</x:f>
      </x:c>
      <x:c r="B114" s="10">
        <x:f>'[1]Wholesale Prices'!$H116</x:f>
      </x:c>
      <x:c r="C114" s="10">
        <x:f>'[1]Wholesale Prices'!$I116</x:f>
      </x:c>
    </x:row>
    <x:row r="115" spans="1:3" x14ac:dyDescent="0.3">
      <x:c r="A115" s="9">
        <x:f>'[1]Wholesale Prices'!$B117</x:f>
      </x:c>
      <x:c r="B115" s="10">
        <x:f>'[1]Wholesale Prices'!$H117</x:f>
      </x:c>
      <x:c r="C115" s="10">
        <x:f>'[1]Wholesale Prices'!$I117</x:f>
      </x:c>
    </x:row>
    <x:row r="116" spans="1:3" x14ac:dyDescent="0.3">
      <x:c r="A116" s="9">
        <x:f>'[1]Wholesale Prices'!$B118</x:f>
      </x:c>
      <x:c r="B116" s="10">
        <x:f>'[1]Wholesale Prices'!$H118</x:f>
      </x:c>
      <x:c r="C116" s="10">
        <x:f>'[1]Wholesale Prices'!$I118</x:f>
      </x:c>
    </x:row>
    <x:row r="117" spans="1:3" x14ac:dyDescent="0.3">
      <x:c r="A117" s="9">
        <x:f>'[1]Wholesale Prices'!$B119</x:f>
      </x:c>
      <x:c r="B117" s="10">
        <x:f>'[1]Wholesale Prices'!$H119</x:f>
      </x:c>
      <x:c r="C117" s="10">
        <x:f>'[1]Wholesale Prices'!$I119</x:f>
      </x:c>
    </x:row>
    <x:row r="118" spans="1:3" x14ac:dyDescent="0.3">
      <x:c r="A118" s="9">
        <x:f>'[1]Wholesale Prices'!$B120</x:f>
      </x:c>
      <x:c r="B118" s="10">
        <x:f>'[1]Wholesale Prices'!$H120</x:f>
      </x:c>
      <x:c r="C118" s="10">
        <x:f>'[1]Wholesale Prices'!$I120</x:f>
      </x:c>
    </x:row>
    <x:row r="119" spans="1:3" x14ac:dyDescent="0.3">
      <x:c r="A119" s="9">
        <x:f>'[1]Wholesale Prices'!$B121</x:f>
      </x:c>
      <x:c r="B119" s="10">
        <x:f>'[1]Wholesale Prices'!$H121</x:f>
      </x:c>
      <x:c r="C119" s="10">
        <x:f>'[1]Wholesale Prices'!$I121</x:f>
      </x:c>
    </x:row>
    <x:row r="120" spans="1:3" x14ac:dyDescent="0.3">
      <x:c r="A120" s="9">
        <x:f>'[1]Wholesale Prices'!$B122</x:f>
      </x:c>
      <x:c r="B120" s="10">
        <x:f>'[1]Wholesale Prices'!$H122</x:f>
      </x:c>
      <x:c r="C120" s="10">
        <x:f>'[1]Wholesale Prices'!$I122</x:f>
      </x:c>
    </x:row>
    <x:row r="121" spans="1:3" x14ac:dyDescent="0.3">
      <x:c r="A121" s="9">
        <x:f>'[1]Wholesale Prices'!$B123</x:f>
      </x:c>
      <x:c r="B121" s="10">
        <x:f>'[1]Wholesale Prices'!$H123</x:f>
      </x:c>
      <x:c r="C121" s="10">
        <x:f>'[1]Wholesale Prices'!$I123</x:f>
      </x:c>
    </x:row>
    <x:row r="122" spans="1:3" x14ac:dyDescent="0.3">
      <x:c r="A122" s="9">
        <x:f>'[1]Wholesale Prices'!$B124</x:f>
      </x:c>
      <x:c r="B122" s="10">
        <x:f>'[1]Wholesale Prices'!$H124</x:f>
      </x:c>
      <x:c r="C122" s="10">
        <x:f>'[1]Wholesale Prices'!$I124</x:f>
      </x:c>
    </x:row>
    <x:row r="123" spans="1:3" x14ac:dyDescent="0.3">
      <x:c r="A123" s="9">
        <x:f>'[1]Wholesale Prices'!$B125</x:f>
      </x:c>
      <x:c r="B123" s="10">
        <x:f>'[1]Wholesale Prices'!$H125</x:f>
      </x:c>
      <x:c r="C123" s="10">
        <x:f>'[1]Wholesale Prices'!$I125</x:f>
      </x:c>
    </x:row>
    <x:row r="124" spans="1:3" x14ac:dyDescent="0.3">
      <x:c r="A124" s="9">
        <x:f>'[1]Wholesale Prices'!$B126</x:f>
      </x:c>
      <x:c r="B124" s="10">
        <x:f>'[1]Wholesale Prices'!$H126</x:f>
      </x:c>
      <x:c r="C124" s="10">
        <x:f>'[1]Wholesale Prices'!$I126</x:f>
      </x:c>
    </x:row>
    <x:row r="125" spans="1:3" x14ac:dyDescent="0.3">
      <x:c r="A125" s="9">
        <x:f>'[1]Wholesale Prices'!$B127</x:f>
      </x:c>
      <x:c r="B125" s="10">
        <x:f>'[1]Wholesale Prices'!$H127</x:f>
      </x:c>
      <x:c r="C125" s="10">
        <x:f>'[1]Wholesale Prices'!$I127</x:f>
      </x:c>
    </x:row>
    <x:row r="126" spans="1:3" x14ac:dyDescent="0.3">
      <x:c r="A126" s="9">
        <x:f>'[1]Wholesale Prices'!$B128</x:f>
      </x:c>
      <x:c r="B126" s="10">
        <x:f>'[1]Wholesale Prices'!$H128</x:f>
      </x:c>
      <x:c r="C126" s="10">
        <x:f>'[1]Wholesale Prices'!$I128</x:f>
      </x:c>
    </x:row>
    <x:row r="127" spans="1:3" x14ac:dyDescent="0.3">
      <x:c r="A127" s="9">
        <x:f>'[1]Wholesale Prices'!$B129</x:f>
      </x:c>
      <x:c r="B127" s="10">
        <x:f>'[1]Wholesale Prices'!$H129</x:f>
      </x:c>
      <x:c r="C127" s="10">
        <x:f>'[1]Wholesale Prices'!$I129</x:f>
      </x:c>
    </x:row>
    <x:row r="128" spans="1:3" x14ac:dyDescent="0.3">
      <x:c r="A128" s="9">
        <x:f>'[1]Wholesale Prices'!$B130</x:f>
      </x:c>
      <x:c r="B128" s="10">
        <x:f>'[1]Wholesale Prices'!$H130</x:f>
      </x:c>
      <x:c r="C128" s="10">
        <x:f>'[1]Wholesale Prices'!$I130</x:f>
      </x:c>
    </x:row>
    <x:row r="129" spans="1:3" x14ac:dyDescent="0.3">
      <x:c r="A129" s="9">
        <x:f>'[1]Wholesale Prices'!$B131</x:f>
      </x:c>
      <x:c r="B129" s="10">
        <x:f>'[1]Wholesale Prices'!$H131</x:f>
      </x:c>
      <x:c r="C129" s="10">
        <x:f>'[1]Wholesale Prices'!$I131</x:f>
      </x:c>
    </x:row>
    <x:row r="130" spans="1:3" x14ac:dyDescent="0.3">
      <x:c r="A130" s="9">
        <x:f>'[1]Wholesale Prices'!$B132</x:f>
      </x:c>
      <x:c r="B130" s="10">
        <x:f>'[1]Wholesale Prices'!$H132</x:f>
      </x:c>
      <x:c r="C130" s="10">
        <x:f>'[1]Wholesale Prices'!$I132</x:f>
      </x:c>
    </x:row>
    <x:row r="131" spans="1:3" x14ac:dyDescent="0.3">
      <x:c r="A131" s="9"/>
      <x:c r="B131" s="10"/>
      <x:c r="C131" s="10"/>
    </x:row>
    <x:row r="132" spans="1:3" x14ac:dyDescent="0.3">
      <x:c r="A132" s="9"/>
      <x:c r="B132" s="10"/>
      <x:c r="C132" s="10"/>
    </x:row>
    <x:row r="133" spans="1:3" x14ac:dyDescent="0.3">
      <x:c r="A133" s="9"/>
      <x:c r="B133" s="10"/>
      <x:c r="C133" s="10"/>
    </x:row>
    <x:row r="134" spans="1:3" x14ac:dyDescent="0.3">
      <x:c r="A134" s="9"/>
      <x:c r="B134" s="10"/>
      <x:c r="C134" s="10"/>
    </x:row>
    <x:row r="135" spans="1:3" x14ac:dyDescent="0.3">
      <x:c r="A135" s="9"/>
      <x:c r="B135" s="10"/>
      <x:c r="C135" s="10"/>
    </x:row>
    <x:row r="136" spans="1:3" x14ac:dyDescent="0.3">
      <x:c r="A136" s="9"/>
      <x:c r="B136" s="10"/>
      <x:c r="C136" s="10"/>
    </x:row>
    <x:row r="137" spans="1:3" x14ac:dyDescent="0.3">
      <x:c r="A137" s="9"/>
      <x:c r="B137" s="10"/>
      <x:c r="C137" s="10"/>
    </x:row>
    <x:row r="138" spans="1:3" x14ac:dyDescent="0.3">
      <x:c r="A138" s="9"/>
      <x:c r="B138" s="10"/>
      <x:c r="C138" s="10"/>
    </x:row>
    <x:row r="139" spans="1:3" x14ac:dyDescent="0.3">
      <x:c r="A139" s="9"/>
      <x:c r="B139" s="10"/>
      <x:c r="C139" s="10"/>
    </x:row>
    <x:row r="140" spans="1:3" x14ac:dyDescent="0.3">
      <x:c r="A140" s="9"/>
      <x:c r="B140" s="10"/>
      <x:c r="C140" s="10"/>
    </x:row>
    <x:row r="141" spans="1:3" x14ac:dyDescent="0.3">
      <x:c r="A141" s="9"/>
      <x:c r="B141" s="10"/>
      <x:c r="C141" s="10"/>
    </x:row>
    <x:row r="142" spans="1:3" x14ac:dyDescent="0.3">
      <x:c r="A142" s="9"/>
      <x:c r="B142" s="10"/>
      <x:c r="C142" s="10"/>
    </x:row>
    <x:row r="143" spans="1:3" x14ac:dyDescent="0.3">
      <x:c r="A143" s="9"/>
      <x:c r="B143" s="10"/>
      <x:c r="C143" s="10"/>
    </x:row>
    <x:row r="144" spans="1:3" x14ac:dyDescent="0.3">
      <x:c r="A144" s="9"/>
      <x:c r="B144" s="10"/>
      <x:c r="C144" s="10"/>
    </x:row>
    <x:row r="145" spans="1:3" x14ac:dyDescent="0.3">
      <x:c r="A145" s="9"/>
      <x:c r="B145" s="10"/>
      <x:c r="C145" s="10"/>
    </x:row>
    <x:row r="146" spans="1:3" x14ac:dyDescent="0.3">
      <x:c r="A146" s="9"/>
      <x:c r="B146" s="10"/>
      <x:c r="C146" s="10"/>
    </x:row>
    <x:row r="147" spans="1:3" x14ac:dyDescent="0.3">
      <x:c r="A147" s="9"/>
      <x:c r="B147" s="10"/>
      <x:c r="C147" s="10"/>
    </x:row>
    <x:row r="148" spans="1:3" x14ac:dyDescent="0.3">
      <x:c r="A148" s="9"/>
      <x:c r="B148" s="10"/>
      <x:c r="C148" s="10"/>
    </x:row>
    <x:row r="149" spans="1:3" x14ac:dyDescent="0.3">
      <x:c r="A149" s="9"/>
      <x:c r="B149" s="10"/>
      <x:c r="C149" s="10"/>
    </x:row>
    <x:row r="150" spans="1:3" x14ac:dyDescent="0.3">
      <x:c r="A150" s="9"/>
      <x:c r="B150" s="10"/>
      <x:c r="C150" s="10"/>
    </x:row>
    <x:row r="151" spans="1:3" x14ac:dyDescent="0.3">
      <x:c r="A151" s="9"/>
      <x:c r="B151" s="10"/>
      <x:c r="C151" s="10"/>
    </x:row>
    <x:row r="152" spans="1:3" x14ac:dyDescent="0.3">
      <x:c r="A152" s="9"/>
      <x:c r="B152" s="10"/>
      <x:c r="C152" s="10"/>
    </x:row>
    <x:row r="153" spans="1:3" x14ac:dyDescent="0.3">
      <x:c r="A153" s="9"/>
      <x:c r="B153" s="10"/>
      <x:c r="C153" s="10"/>
    </x:row>
    <x:row r="154" spans="1:3" x14ac:dyDescent="0.3">
      <x:c r="A154" s="9"/>
      <x:c r="B154" s="10"/>
      <x:c r="C154" s="10"/>
    </x:row>
    <x:row r="155" spans="1:3" x14ac:dyDescent="0.3">
      <x:c r="A155" s="9"/>
      <x:c r="B155" s="10"/>
      <x:c r="C155" s="10"/>
    </x:row>
    <x:row r="156" spans="1:3" x14ac:dyDescent="0.3">
      <x:c r="A156" s="9"/>
      <x:c r="B156" s="10"/>
      <x:c r="C156" s="10"/>
    </x:row>
    <x:row r="157" spans="1:3" x14ac:dyDescent="0.3">
      <x:c r="A157" s="9"/>
      <x:c r="B157" s="10"/>
      <x:c r="C157" s="10"/>
    </x:row>
    <x:row r="158" spans="1:3" x14ac:dyDescent="0.3">
      <x:c r="A158" s="9"/>
      <x:c r="B158" s="10"/>
      <x:c r="C158" s="10"/>
    </x:row>
    <x:row r="159" spans="1:3" x14ac:dyDescent="0.3">
      <x:c r="A159" s="9"/>
      <x:c r="B159" s="10"/>
      <x:c r="C159" s="10"/>
    </x:row>
    <x:row r="160" spans="1:3" x14ac:dyDescent="0.3">
      <x:c r="A160" s="9"/>
    </x:row>
    <x:row r="161" spans="1:3" x14ac:dyDescent="0.3">
      <x:c r="A161" s="9"/>
    </x:row>
    <x:row r="162" spans="1:3" x14ac:dyDescent="0.3">
      <x:c r="A162" s="9"/>
    </x:row>
    <x:row r="163" spans="1:3" x14ac:dyDescent="0.3">
      <x:c r="A163" s="9"/>
    </x:row>
  </x:sheetData>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600-000000000000}" mc:Ignorable="x14ac xr xr2 xr3">
  <x:sheetPr>
    <x:outlinePr summaryBelow="1" summaryRight="1"/>
  </x:sheetPr>
  <x:dimension ref="B2:C10"/>
  <x:sheetViews>
    <x:sheetView workbookViewId="0">
      <x:selection activeCell="H14" sqref="H14"/>
    </x:sheetView>
  </x:sheetViews>
  <x:sheetFormatPr defaultRowHeight="15" x14ac:dyDescent="0.25"/>
  <x:cols>
    <x:col min="1" max="1" width="9.140625" style="0" customWidth="1"/>
    <x:col min="2" max="2" width="20.855469" style="0" bestFit="1" customWidth="1"/>
    <x:col min="3" max="3" width="20" style="0" bestFit="1" customWidth="1"/>
  </x:cols>
  <x:sheetData>
    <x:row r="2" spans="1:3" x14ac:dyDescent="0.25">
      <x:c r="B2" s="204" t="s">
        <x:v>143</x:v>
      </x:c>
    </x:row>
    <x:row r="3" spans="1:3" x14ac:dyDescent="0.25">
      <x:c r="B3" s="204" t="s">
        <x:v>144</x:v>
      </x:c>
      <x:c r="C3" s="103"/>
    </x:row>
    <x:row r="4" spans="1:3" x14ac:dyDescent="0.25">
      <x:c r="B4" s="204" t="s">
        <x:v>145</x:v>
      </x:c>
    </x:row>
    <x:row r="5" spans="1:3" x14ac:dyDescent="0.25">
      <x:c r="B5" s="204" t="s">
        <x:v>146</x:v>
      </x:c>
    </x:row>
    <x:row r="6" spans="1:3" x14ac:dyDescent="0.25">
      <x:c r="B6" s="204" t="s">
        <x:v>147</x:v>
      </x:c>
    </x:row>
    <x:row r="7" spans="1:3" x14ac:dyDescent="0.25">
      <x:c r="B7" s="204" t="s">
        <x:v>148</x:v>
      </x:c>
    </x:row>
    <x:row r="8" spans="1:3" x14ac:dyDescent="0.25">
      <x:c r="B8" s="204" t="s">
        <x:v>149</x:v>
      </x:c>
    </x:row>
    <x:row r="9" spans="1:3" x14ac:dyDescent="0.25">
      <x:c r="B9" s="204" t="s">
        <x:v>150</x:v>
      </x:c>
    </x:row>
    <x:row r="10" spans="1:3" x14ac:dyDescent="0.25">
      <x:c r="B10" s="204" t="s">
        <x:v>151</x:v>
      </x:c>
    </x:row>
  </x:sheetData>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57BD076ECE4044F892F9946D015087C" ma:contentTypeVersion="6" ma:contentTypeDescription="Create a new document." ma:contentTypeScope="" ma:versionID="8415bb6b98cf94e9006483f3b0658a80">
  <xsd:schema xmlns:xsd="http://www.w3.org/2001/XMLSchema" xmlns:xs="http://www.w3.org/2001/XMLSchema" xmlns:p="http://schemas.microsoft.com/office/2006/metadata/properties" xmlns:ns2="f1d0b0e5-2f9e-4f90-9bed-0f37db4b1a4d" xmlns:ns3="31862062-9dac-422f-af10-7c87954b63e3" targetNamespace="http://schemas.microsoft.com/office/2006/metadata/properties" ma:root="true" ma:fieldsID="ae38b375ab41672c5a20d13dd4321319" ns2:_="" ns3:_="">
    <xsd:import namespace="f1d0b0e5-2f9e-4f90-9bed-0f37db4b1a4d"/>
    <xsd:import namespace="31862062-9dac-422f-af10-7c87954b63e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d0b0e5-2f9e-4f90-9bed-0f37db4b1a4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1862062-9dac-422f-af10-7c87954b63e3"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C3F6A81-C48C-4F5C-94AC-2E4A0088E593}">
  <ds:schemaRefs>
    <ds:schemaRef ds:uri="http://schemas.microsoft.com/sharepoint/v3/contenttype/forms"/>
  </ds:schemaRefs>
</ds:datastoreItem>
</file>

<file path=customXml/itemProps2.xml><?xml version="1.0" encoding="utf-8"?>
<ds:datastoreItem xmlns:ds="http://schemas.openxmlformats.org/officeDocument/2006/customXml" ds:itemID="{8F71CD83-9C8D-4529-8FD1-2EA1D8503CA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1d0b0e5-2f9e-4f90-9bed-0f37db4b1a4d"/>
    <ds:schemaRef ds:uri="31862062-9dac-422f-af10-7c87954b63e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54D52F0-37E6-4BAD-8828-460A05C2A6C4}">
  <ds:schemaRefs>
    <ds:schemaRef ds:uri="http://purl.org/dc/dcmitype/"/>
    <ds:schemaRef ds:uri="http://purl.org/dc/elements/1.1/"/>
    <ds:schemaRef ds:uri="f1d0b0e5-2f9e-4f90-9bed-0f37db4b1a4d"/>
    <ds:schemaRef ds:uri="http://schemas.microsoft.com/office/2006/documentManagement/types"/>
    <ds:schemaRef ds:uri="http://schemas.microsoft.com/office/2006/metadata/properties"/>
    <ds:schemaRef ds:uri="http://schemas.microsoft.com/office/infopath/2007/PartnerControls"/>
    <ds:schemaRef ds:uri="http://schemas.openxmlformats.org/package/2006/metadata/core-properties"/>
    <ds:schemaRef ds:uri="31862062-9dac-422f-af10-7c87954b63e3"/>
    <ds:schemaRef ds:uri="http://www.w3.org/XML/1998/namespace"/>
    <ds:schemaRef ds:uri="http://purl.org/dc/terms/"/>
  </ds:schemaRefs>
</ds:datastoreItem>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7</vt:i4>
      </vt:variant>
      <vt:variant>
        <vt:lpstr>Named Ranges</vt:lpstr>
      </vt:variant>
      <vt:variant>
        <vt:i4>22</vt:i4>
      </vt:variant>
    </vt:vector>
  </ap:HeadingPairs>
  <ap:TitlesOfParts>
    <vt:vector baseType="lpstr" size="29">
      <vt:lpstr>Summary Info</vt:lpstr>
      <vt:lpstr>Summary Calculations</vt:lpstr>
      <vt:lpstr>Analysis</vt:lpstr>
      <vt:lpstr>Keys</vt:lpstr>
      <vt:lpstr>Meter Type Data</vt:lpstr>
      <vt:lpstr>Market Data</vt:lpstr>
      <vt:lpstr>Specification</vt:lpstr>
      <vt:lpstr>Summary Info!Print_Area</vt:lpstr>
      <vt:lpstr>Summary Info!Print_Titles</vt:lpstr>
      <vt:lpstr>Summary Calculations!Print_Area</vt:lpstr>
      <vt:lpstr>Summary Calculations!Print_Titles</vt:lpstr>
      <vt:lpstr>Analysis!_xlnm._FilterDatabase</vt:lpstr>
      <vt:lpstr>Analysis!Print_Area</vt:lpstr>
      <vt:lpstr>Analysis!Print_Titles</vt:lpstr>
      <vt:lpstr>Keys!Print_Area</vt:lpstr>
      <vt:lpstr>Keys!Print_Titles</vt:lpstr>
      <vt:lpstr>Meter Type Data!_xlnm._FilterDatabase</vt:lpstr>
      <vt:lpstr>Meter Type Data!Print_Area</vt:lpstr>
      <vt:lpstr>Meter Type Data!Print_Titles</vt:lpstr>
      <vt:lpstr>Market Data!Print_Area</vt:lpstr>
      <vt:lpstr>Market Data!Print_Titles</vt:lpstr>
      <vt:lpstr>Specification!Print_Area</vt:lpstr>
      <vt:lpstr>Specification!Print_Titles</vt:lpstr>
      <vt:lpstr>EndDate</vt:lpstr>
      <vt:lpstr>EndWeight</vt:lpstr>
      <vt:lpstr>StartDate</vt:lpstr>
      <vt:lpstr>StartWeight</vt:lpstr>
      <vt:lpstr>TEST</vt:lpstr>
      <vt:lpstr>WeightGoal</vt:lpstr>
    </vt:vector>
  </ap:TitlesOfParts>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
  <dc:creator>Suba Sandhu</dc:creator>
  <keywords/>
  <dc:description/>
  <lastModifiedBy>Senthil Raja Dhesign</lastModifiedBy>
  <revision/>
  <dcterms:created xsi:type="dcterms:W3CDTF">2014-07-22T19:58:53.0000000Z</dcterms:created>
  <dcterms:modified xsi:type="dcterms:W3CDTF">2026-10-27T14:19:08.0000000Z</dcterms:modified>
  <category/>
  <contentStatus/>
</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ContentTypeId">
    <vt:lpwstr>0x010100357BD076ECE4044F892F9946D015087C</vt:lpwstr>
  </op:property>
  <op:property fmtid="{D5CDD505-2E9C-101B-9397-08002B2CF9AE}" pid="3" name="Order">
    <vt:r8>238000</vt:r8>
  </op:property>
  <op:property fmtid="{D5CDD505-2E9C-101B-9397-08002B2CF9AE}" pid="4" name="MediaServiceImageTags">
    <vt:lpwstr/>
  </op:property>
</op:Properties>
</file>
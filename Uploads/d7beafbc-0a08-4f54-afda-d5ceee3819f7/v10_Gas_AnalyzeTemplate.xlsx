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<x:sst xmlns:x="http://schemas.openxmlformats.org/spreadsheetml/2006/main">
  <x:si>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</x:si>
  <x:si>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</x:si>
  <x:si>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</x:si>
  <x:si>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</x:si>
  <x:si>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</x:si>
  <x:si>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</x:si>
  <x:si>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</x:si>
  <x:si>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</x:si>
  <x:si>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</x:si>
  <x:si>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</x:si>
  <x:si>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</x:si>
  <x:si>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</x:si>
  <x:si>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</x:si>
  <x:si>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</x:si>
  <x:si>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</x:si>
  <x:si>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</x:si>
  <x:si>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</x:si>
  <x:si>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</x:si>
  <x:si>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</x:si>
  <x:si>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</x:si>
  <x:si>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</x:si>
  <x:si>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</x:si>
  <x:si>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</x:si>
  <x:si>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</x:si>
  <x:si>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</x:si>
  <x:si>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</x:si>
  <x:si>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</x:si>
  <x:si>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</x:si>
  <x:si>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</x:si>
  <x:si>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</x:si>
  <x:si>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</x:si>
  <x:si>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</x:si>
  <x:si>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</x:si>
  <x:si>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</x:si>
  <x:si>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</x:si>
  <x:si>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</x:si>
  <x:si>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</x:si>
  <x:si>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</x:si>
  <x:si>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</x:si>
  <x:si>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</x:si>
  <x:si>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</x:si>
  <x:si>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</x:si>
  <x:si>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</x:si>
  <x:si>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</x:si>
  <x:si>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</x:si>
  <x:si>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</x:si>
  <x:si>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</x:si>
  <x:si>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</x:si>
  <x:si>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</x:si>
  <x:si>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</x:si>
  <x:si>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</x:si>
  <x:si>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</x:si>
  <x:si>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</x:si>
  <x:si>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</x:si>
  <x:si>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</x:si>
  <x:si>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</x:si>
  <x:si>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</x:si>
  <x:si>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</x:si>
  <x:si>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</x:si>
  <x:si>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</x:si>
  <x:si>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</x:si>
  <x:si>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</x:si>
  <x:si>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</x:si>
  <x:si>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</x:si>
  <x:si>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</x:si>
  <x:si>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</x:si>
  <x:si>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</x:si>
  <x:si>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</x:si>
  <x:si>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</x:si>
  <x:si>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</x:si>
  <x:si>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</x:si>
  <x:si>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</x:si>
  <x:si>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</x:si>
  <x:si>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</x:si>
  <x:si>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</x:si>
  <x:si>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</x:si>
  <x:si>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</x:si>
  <x:si>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</x:si>
  <x:si>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</x:si>
  <x:si>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</x:si>
  <x:si>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</x:si>
  <x:si>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</x:si>
  <x:si>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</x:si>
  <x:si>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</x:si>
  <x:si>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</x:si>
  <x:si>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</x:si>
  <x:si>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</x:si>
  <x:si>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</x:si>
  <x:si>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</x:si>
  <x:si>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</x:si>
  <x:si>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</x:si>
  <x:si>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</x:si>
  <x:si>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</x:si>
  <x:si>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</x:si>
  <x:si>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</x:si>
  <x:si>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</x:si>
  <x:si>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</x:si>
  <x:si>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</x:si>
  <x:si>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</x:si>
  <x:si>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</x:si>
  <x:si>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</x:si>
  <x:si>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</x:si>
  <x:si>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</x:si>
  <x:si>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</x:si>
  <x:si>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</x:si>
  <x:si>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</x:si>
  <x:si>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</x:si>
  <x:si>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</x:si>
  <x:si>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</x:si>
  <x:si>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</x:si>
  <x:si>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</x:si>
  <x:si>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</x:si>
  <x:si>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</x:si>
  <x:si>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</x:si>
  <x:si>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</x:si>
  <x:si>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</x:si>
  <x:si>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</x:si>
  <x:si>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</x:si>
  <x:si>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</x:si>
  <x:si>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</x:si>
  <x:si>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</x:si>
  <x:si>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</x:si>
  <x:si>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</x:si>
  <x:si>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</x:si>
  <x:si>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</x:si>
  <x:si>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</x:si>
  <x:si>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</x:si>
  <x:si>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</x:si>
  <x:si>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</x:si>
  <x:si>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</x:si>
  <x:si>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</x:si>
  <x:si>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</x:si>
  <x:si>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</x:si>
  <x:si>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</x:si>
  <x:si>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</x:si>
  <x:si>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</x:si>
  <x:si>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</x:si>
  <x:si>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</x:si>
  <x:si>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</x:si>
  <x:si>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</x:si>
  <x:si>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</x:si>
  <x:si>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</x:si>
  <x:si>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</x:si>
  <x:si>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</x:si>
  <x:si>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</x:si>
  <x:si>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</x:si>
  <x:si>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</x:si>
  <x:si>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</x:si>
  <x:si>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</x:si>
  <x:si>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</x:si>
  <x:si>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</x:si>
  <x:si>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</x:si>
  <x:si>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</x:si>
  <x:si>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</x:si>
  <x:si>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12, F (T&amp;C), Br, B, 28</x:t>
  </x:si>
  <x:si>
    <x:t>56</x:t>
  </x:si>
  <x:si>
    <x:t>21/111</x:t>
  </x:si>
  <x:si>
    <x:t>Ryelands Road,Communal Centre</x:t>
  </x:si>
  <x:si>
    <x:t/>
  </x:si>
  <x:si>
    <x:t>Lydney</x:t>
  </x:si>
  <x:si>
    <x:t>UK</x:t>
  </x:si>
  <x:si>
    <x:t>01-Jan-2027</x:t>
  </x:si>
  <x:si>
    <x:t>E6F11035992100</x:t>
  </x:si>
  <x:si>
    <x:t>4161164101</x:t>
  </x:si>
  <x:si>
    <x:t>4.289</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</x:si>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</x:sst>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303</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154</x:v>
      </x:c>
      <x:c r="T8" s="137"/>
      <x:c r="U8" s="138"/>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20</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t="s">
        <x:v>158</x:v>
      </x:c>
      <x:c r="O10" s="193" t="s">
        <x:v>164</x:v>
      </x:c>
      <x:c r="P10" s="56" t="s">
        <x:v>158</x:v>
      </x:c>
      <x:c r="Q10" s="57"/>
      <x:c r="R10" s="58">
        <x:f>(($O10*P10)/100)+(Q10*12)</x:f>
      </x:c>
      <x:c r="S10" s="59" t="s">
        <x:v>264</x:v>
      </x:c>
      <x:c r="T10" s="59" t="s">
        <x:v>265</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158</x:v>
      </x:c>
      <x:c r="F11" s="65" t="s">
        <x:v>168</x:v>
      </x:c>
      <x:c r="G11" s="65" t="s">
        <x:v>160</x:v>
      </x:c>
      <x:c r="H11" s="65" t="s">
        <x:v>158</x:v>
      </x:c>
      <x:c r="I11" s="65" t="s">
        <x:v>161</x:v>
      </x:c>
      <x:c r="J11" s="65" t="s">
        <x:v>20</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t="s">
        <x:v>158</x:v>
      </x:c>
      <x:c r="O11" s="194" t="s">
        <x:v>164</x:v>
      </x:c>
      <x:c r="P11" s="56" t="s">
        <x:v>158</x:v>
      </x:c>
      <x:c r="Q11" s="57"/>
      <x:c r="R11" s="58">
        <x:f>(($O11*P11)/100)+(Q11*12)</x:f>
      </x:c>
      <x:c r="S11" s="59" t="s">
        <x:v>266</x:v>
      </x:c>
      <x:c r="T11" s="59" t="s">
        <x:v>267</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158</x:v>
      </x:c>
      <x:c r="F12" s="65" t="s">
        <x:v>174</x:v>
      </x:c>
      <x:c r="G12" s="65" t="s">
        <x:v>160</x:v>
      </x:c>
      <x:c r="H12" s="65" t="s">
        <x:v>158</x:v>
      </x:c>
      <x:c r="I12" s="65" t="s">
        <x:v>161</x:v>
      </x:c>
      <x:c r="J12" s="65" t="s">
        <x:v>20</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t="s">
        <x:v>158</x:v>
      </x:c>
      <x:c r="O12" s="194" t="s">
        <x:v>164</x:v>
      </x:c>
      <x:c r="P12" s="56" t="s">
        <x:v>158</x:v>
      </x:c>
      <x:c r="Q12" s="57"/>
      <x:c r="R12" s="58">
        <x:f>(($O12*P12)/100)+(Q12*12)</x:f>
      </x:c>
      <x:c r="S12" s="59" t="s">
        <x:v>268</x:v>
      </x:c>
      <x:c r="T12" s="59" t="s">
        <x:v>269</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158</x:v>
      </x:c>
      <x:c r="F13" s="65" t="s">
        <x:v>174</x:v>
      </x:c>
      <x:c r="G13" s="65" t="s">
        <x:v>160</x:v>
      </x:c>
      <x:c r="H13" s="65" t="s">
        <x:v>158</x:v>
      </x:c>
      <x:c r="I13" s="65" t="s">
        <x:v>161</x:v>
      </x:c>
      <x:c r="J13" s="65" t="s">
        <x:v>20</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t="s">
        <x:v>158</x:v>
      </x:c>
      <x:c r="O13" s="194" t="s">
        <x:v>164</x:v>
      </x:c>
      <x:c r="P13" s="56" t="s">
        <x:v>158</x:v>
      </x:c>
      <x:c r="Q13" s="57"/>
      <x:c r="R13" s="58">
        <x:f>(($O13*P13)/100)+(Q13*12)</x:f>
      </x:c>
      <x:c r="S13" s="59" t="s">
        <x:v>270</x:v>
      </x:c>
      <x:c r="T13" s="59" t="s">
        <x:v>271</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158</x:v>
      </x:c>
      <x:c r="F14" s="65" t="s">
        <x:v>185</x:v>
      </x:c>
      <x:c r="G14" s="65" t="s">
        <x:v>160</x:v>
      </x:c>
      <x:c r="H14" s="65" t="s">
        <x:v>158</x:v>
      </x:c>
      <x:c r="I14" s="65" t="s">
        <x:v>161</x:v>
      </x:c>
      <x:c r="J14" s="65" t="s">
        <x:v>20</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t="s">
        <x:v>158</x:v>
      </x:c>
      <x:c r="O14" s="193" t="s">
        <x:v>164</x:v>
      </x:c>
      <x:c r="P14" s="56" t="s">
        <x:v>158</x:v>
      </x:c>
      <x:c r="Q14" s="57"/>
      <x:c r="R14" s="58">
        <x:f>(($O14*P14)/100)+(Q14*12)</x:f>
      </x:c>
      <x:c r="S14" s="59" t="s">
        <x:v>272</x:v>
      </x:c>
      <x:c r="T14" s="59" t="s">
        <x:v>273</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158</x:v>
      </x:c>
      <x:c r="F15" s="63" t="s">
        <x:v>174</x:v>
      </x:c>
      <x:c r="G15" s="48" t="s">
        <x:v>160</x:v>
      </x:c>
      <x:c r="H15" s="48" t="s">
        <x:v>158</x:v>
      </x:c>
      <x:c r="I15" s="48" t="s">
        <x:v>161</x:v>
      </x:c>
      <x:c r="J15" s="48" t="s">
        <x:v>20</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t="s">
        <x:v>158</x:v>
      </x:c>
      <x:c r="O15" s="194" t="s">
        <x:v>164</x:v>
      </x:c>
      <x:c r="P15" s="56" t="s">
        <x:v>158</x:v>
      </x:c>
      <x:c r="Q15" s="57"/>
      <x:c r="R15" s="58">
        <x:f>(($O15*P15)/100)+(Q15*12)</x:f>
      </x:c>
      <x:c r="S15" s="59" t="s">
        <x:v>274</x:v>
      </x:c>
      <x:c r="T15" s="59" t="s">
        <x:v>275</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158</x:v>
      </x:c>
      <x:c r="F16" s="63" t="s">
        <x:v>168</x:v>
      </x:c>
      <x:c r="G16" s="48" t="s">
        <x:v>160</x:v>
      </x:c>
      <x:c r="H16" s="48" t="s">
        <x:v>158</x:v>
      </x:c>
      <x:c r="I16" s="48" t="s">
        <x:v>161</x:v>
      </x:c>
      <x:c r="J16" s="48" t="s">
        <x:v>20</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t="s">
        <x:v>158</x:v>
      </x:c>
      <x:c r="O16" s="194" t="s">
        <x:v>164</x:v>
      </x:c>
      <x:c r="P16" s="56" t="s">
        <x:v>158</x:v>
      </x:c>
      <x:c r="Q16" s="57"/>
      <x:c r="R16" s="58">
        <x:f>(($O16*P16)/100)+(Q16*12)</x:f>
      </x:c>
      <x:c r="S16" s="59" t="s">
        <x:v>276</x:v>
      </x:c>
      <x:c r="T16" s="59" t="s">
        <x:v>277</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158</x:v>
      </x:c>
      <x:c r="F17" s="63" t="s">
        <x:v>168</x:v>
      </x:c>
      <x:c r="G17" s="63" t="s">
        <x:v>160</x:v>
      </x:c>
      <x:c r="H17" s="48" t="s">
        <x:v>158</x:v>
      </x:c>
      <x:c r="I17" s="48" t="s">
        <x:v>161</x:v>
      </x:c>
      <x:c r="J17" s="48" t="s">
        <x:v>20</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t="s">
        <x:v>158</x:v>
      </x:c>
      <x:c r="O17" s="69" t="s">
        <x:v>164</x:v>
      </x:c>
      <x:c r="P17" s="59" t="s">
        <x:v>158</x:v>
      </x:c>
      <x:c r="Q17" s="59"/>
      <x:c r="R17" s="58">
        <x:f>(($O17*P17)/100)+(Q17*12)</x:f>
      </x:c>
      <x:c r="S17" s="59" t="s">
        <x:v>278</x:v>
      </x:c>
      <x:c r="T17" s="59" t="s">
        <x:v>279</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158</x:v>
      </x:c>
      <x:c r="F18" s="63" t="s">
        <x:v>174</x:v>
      </x:c>
      <x:c r="G18" s="63" t="s">
        <x:v>160</x:v>
      </x:c>
      <x:c r="H18" s="63" t="s">
        <x:v>158</x:v>
      </x:c>
      <x:c r="I18" s="63" t="s">
        <x:v>161</x:v>
      </x:c>
      <x:c r="J18" s="63" t="s">
        <x:v>20</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t="s">
        <x:v>158</x:v>
      </x:c>
      <x:c r="O18" s="69" t="s">
        <x:v>164</x:v>
      </x:c>
      <x:c r="P18" s="59" t="s">
        <x:v>158</x:v>
      </x:c>
      <x:c r="Q18" s="59"/>
      <x:c r="R18" s="58">
        <x:f>(($O18*P18)/100)+(Q18*12)</x:f>
      </x:c>
      <x:c r="S18" s="59" t="s">
        <x:v>280</x:v>
      </x:c>
      <x:c r="T18" s="59" t="s">
        <x:v>281</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158</x:v>
      </x:c>
      <x:c r="F19" s="63" t="s">
        <x:v>168</x:v>
      </x:c>
      <x:c r="G19" s="63" t="s">
        <x:v>160</x:v>
      </x:c>
      <x:c r="H19" s="63" t="s">
        <x:v>158</x:v>
      </x:c>
      <x:c r="I19" s="63" t="s">
        <x:v>161</x:v>
      </x:c>
      <x:c r="J19" s="63" t="s">
        <x:v>20</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t="s">
        <x:v>158</x:v>
      </x:c>
      <x:c r="O19" s="69" t="s">
        <x:v>164</x:v>
      </x:c>
      <x:c r="P19" s="59" t="s">
        <x:v>158</x:v>
      </x:c>
      <x:c r="Q19" s="60"/>
      <x:c r="R19" s="58">
        <x:f>(($O19*P19)/100)+(Q19*12)</x:f>
      </x:c>
      <x:c r="S19" s="59" t="s">
        <x:v>282</x:v>
      </x:c>
      <x:c r="T19" s="59" t="s">
        <x:v>283</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158</x:v>
      </x:c>
      <x:c r="F20" s="70" t="s">
        <x:v>216</x:v>
      </x:c>
      <x:c r="G20" s="70" t="s">
        <x:v>160</x:v>
      </x:c>
      <x:c r="H20" s="70" t="s">
        <x:v>158</x:v>
      </x:c>
      <x:c r="I20" s="70" t="s">
        <x:v>161</x:v>
      </x:c>
      <x:c r="J20" s="70" t="s">
        <x:v>20</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t="s">
        <x:v>158</x:v>
      </x:c>
      <x:c r="O20" s="69" t="s">
        <x:v>164</x:v>
      </x:c>
      <x:c r="P20" s="47" t="s">
        <x:v>158</x:v>
      </x:c>
      <x:c r="Q20" s="60"/>
      <x:c r="R20" s="58">
        <x:f>(($O20*P20)/100)+(Q20*12)</x:f>
      </x:c>
      <x:c r="S20" s="59" t="s">
        <x:v>284</x:v>
      </x:c>
      <x:c r="T20" s="59" t="s">
        <x:v>285</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158</x:v>
      </x:c>
      <x:c r="F21" s="70" t="s">
        <x:v>216</x:v>
      </x:c>
      <x:c r="G21" s="70" t="s">
        <x:v>160</x:v>
      </x:c>
      <x:c r="H21" s="70" t="s">
        <x:v>158</x:v>
      </x:c>
      <x:c r="I21" s="70" t="s">
        <x:v>161</x:v>
      </x:c>
      <x:c r="J21" s="70" t="s">
        <x:v>20</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t="s">
        <x:v>158</x:v>
      </x:c>
      <x:c r="O21" s="69" t="s">
        <x:v>164</x:v>
      </x:c>
      <x:c r="P21" s="47" t="s">
        <x:v>158</x:v>
      </x:c>
      <x:c r="Q21" s="60"/>
      <x:c r="R21" s="58">
        <x:f>(($O21*P21)/100)+(Q21*12)</x:f>
      </x:c>
      <x:c r="S21" s="59" t="s">
        <x:v>274</x:v>
      </x:c>
      <x:c r="T21" s="59" t="s">
        <x:v>286</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158</x:v>
      </x:c>
      <x:c r="F22" s="70" t="s">
        <x:v>174</x:v>
      </x:c>
      <x:c r="G22" s="70" t="s">
        <x:v>160</x:v>
      </x:c>
      <x:c r="H22" s="70" t="s">
        <x:v>158</x:v>
      </x:c>
      <x:c r="I22" s="70" t="s">
        <x:v>161</x:v>
      </x:c>
      <x:c r="J22" s="70" t="s">
        <x:v>20</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t="s">
        <x:v>158</x:v>
      </x:c>
      <x:c r="O22" s="69" t="s">
        <x:v>164</x:v>
      </x:c>
      <x:c r="P22" s="47" t="s">
        <x:v>158</x:v>
      </x:c>
      <x:c r="Q22" s="60"/>
      <x:c r="R22" s="58">
        <x:f>(($O22*P22)/100)+(Q22*12)</x:f>
      </x:c>
      <x:c r="S22" s="59" t="s">
        <x:v>287</x:v>
      </x:c>
      <x:c r="T22" s="59" t="s">
        <x:v>288</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158</x:v>
      </x:c>
      <x:c r="F23" s="70" t="s">
        <x:v>174</x:v>
      </x:c>
      <x:c r="G23" s="70" t="s">
        <x:v>160</x:v>
      </x:c>
      <x:c r="H23" s="70" t="s">
        <x:v>158</x:v>
      </x:c>
      <x:c r="I23" s="70" t="s">
        <x:v>161</x:v>
      </x:c>
      <x:c r="J23" s="70" t="s">
        <x:v>20</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t="s">
        <x:v>158</x:v>
      </x:c>
      <x:c r="O23" s="69" t="s">
        <x:v>164</x:v>
      </x:c>
      <x:c r="P23" s="47" t="s">
        <x:v>158</x:v>
      </x:c>
      <x:c r="Q23" s="60"/>
      <x:c r="R23" s="58">
        <x:f>(($O23*P23)/100)+(Q23*12)</x:f>
      </x:c>
      <x:c r="S23" s="59" t="s">
        <x:v>289</x:v>
      </x:c>
      <x:c r="T23" s="59" t="s">
        <x:v>290</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158</x:v>
      </x:c>
      <x:c r="F24" s="70" t="s">
        <x:v>236</x:v>
      </x:c>
      <x:c r="G24" s="70" t="s">
        <x:v>160</x:v>
      </x:c>
      <x:c r="H24" s="70" t="s">
        <x:v>158</x:v>
      </x:c>
      <x:c r="I24" s="70" t="s">
        <x:v>161</x:v>
      </x:c>
      <x:c r="J24" s="70" t="s">
        <x:v>20</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t="s">
        <x:v>158</x:v>
      </x:c>
      <x:c r="O24" s="69" t="s">
        <x:v>164</x:v>
      </x:c>
      <x:c r="P24" s="47" t="s">
        <x:v>158</x:v>
      </x:c>
      <x:c r="Q24" s="60"/>
      <x:c r="R24" s="58">
        <x:f>(($O24*P24)/100)+(Q24*12)</x:f>
      </x:c>
      <x:c r="S24" s="59" t="s">
        <x:v>291</x:v>
      </x:c>
      <x:c r="T24" s="59" t="s">
        <x:v>292</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158</x:v>
      </x:c>
      <x:c r="F25" s="70" t="s">
        <x:v>174</x:v>
      </x:c>
      <x:c r="G25" s="70" t="s">
        <x:v>160</x:v>
      </x:c>
      <x:c r="H25" s="70" t="s">
        <x:v>158</x:v>
      </x:c>
      <x:c r="I25" s="70" t="s">
        <x:v>161</x:v>
      </x:c>
      <x:c r="J25" s="70" t="s">
        <x:v>20</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t="s">
        <x:v>158</x:v>
      </x:c>
      <x:c r="O25" s="69" t="s">
        <x:v>164</x:v>
      </x:c>
      <x:c r="P25" s="47" t="s">
        <x:v>158</x:v>
      </x:c>
      <x:c r="Q25" s="60"/>
      <x:c r="R25" s="58">
        <x:f>(($O25*P25)/100)+(Q25*12)</x:f>
      </x:c>
      <x:c r="S25" s="59" t="s">
        <x:v>293</x:v>
      </x:c>
      <x:c r="T25" s="59" t="s">
        <x:v>294</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158</x:v>
      </x:c>
      <x:c r="F26" s="70" t="s">
        <x:v>168</x:v>
      </x:c>
      <x:c r="G26" s="70" t="s">
        <x:v>160</x:v>
      </x:c>
      <x:c r="H26" s="70" t="s">
        <x:v>158</x:v>
      </x:c>
      <x:c r="I26" s="70" t="s">
        <x:v>161</x:v>
      </x:c>
      <x:c r="J26" s="70" t="s">
        <x:v>20</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t="s">
        <x:v>158</x:v>
      </x:c>
      <x:c r="O26" s="69" t="s">
        <x:v>164</x:v>
      </x:c>
      <x:c r="P26" s="47" t="s">
        <x:v>158</x:v>
      </x:c>
      <x:c r="Q26" s="60"/>
      <x:c r="R26" s="58">
        <x:f>(($O26*P26)/100)+(Q26*12)</x:f>
      </x:c>
      <x:c r="S26" s="59" t="s">
        <x:v>295</x:v>
      </x:c>
      <x:c r="T26" s="59" t="s">
        <x:v>296</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158</x:v>
      </x:c>
      <x:c r="F27" s="70" t="s">
        <x:v>252</x:v>
      </x:c>
      <x:c r="G27" s="70" t="s">
        <x:v>160</x:v>
      </x:c>
      <x:c r="H27" s="70" t="s">
        <x:v>158</x:v>
      </x:c>
      <x:c r="I27" s="70" t="s">
        <x:v>161</x:v>
      </x:c>
      <x:c r="J27" s="70" t="s">
        <x:v>20</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t="s">
        <x:v>158</x:v>
      </x:c>
      <x:c r="O27" s="69" t="s">
        <x:v>164</x:v>
      </x:c>
      <x:c r="P27" s="47" t="s">
        <x:v>158</x:v>
      </x:c>
      <x:c r="Q27" s="60"/>
      <x:c r="R27" s="58">
        <x:f>(($O27*P27)/100)+(Q27*12)</x:f>
      </x:c>
      <x:c r="S27" s="59" t="s">
        <x:v>297</x:v>
      </x:c>
      <x:c r="T27" s="59" t="s">
        <x:v>298</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158</x:v>
      </x:c>
      <x:c r="D28" s="70" t="s">
        <x:v>256</x:v>
      </x:c>
      <x:c r="E28" s="70" t="s">
        <x:v>158</x:v>
      </x:c>
      <x:c r="F28" s="70" t="s">
        <x:v>216</x:v>
      </x:c>
      <x:c r="G28" s="70" t="s">
        <x:v>257</x:v>
      </x:c>
      <x:c r="H28" s="70" t="s">
        <x:v>158</x:v>
      </x:c>
      <x:c r="I28" s="70" t="s">
        <x:v>161</x:v>
      </x:c>
      <x:c r="J28" s="70" t="s">
        <x:v>20</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t="s">
        <x:v>158</x:v>
      </x:c>
      <x:c r="O28" s="69" t="s">
        <x:v>164</x:v>
      </x:c>
      <x:c r="P28" s="47" t="s">
        <x:v>158</x:v>
      </x:c>
      <x:c r="Q28" s="60"/>
      <x:c r="R28" s="58">
        <x:f>(($O28*P28)/100)+(Q28*12)</x:f>
      </x:c>
      <x:c r="S28" s="59" t="s">
        <x:v>299</x:v>
      </x:c>
      <x:c r="T28" s="59" t="s">
        <x:v>300</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158</x:v>
      </x:c>
      <x:c r="D29" s="70" t="s">
        <x:v>261</x:v>
      </x:c>
      <x:c r="E29" s="70" t="s">
        <x:v>158</x:v>
      </x:c>
      <x:c r="F29" s="70" t="s">
        <x:v>252</x:v>
      </x:c>
      <x:c r="G29" s="70" t="s">
        <x:v>160</x:v>
      </x:c>
      <x:c r="H29" s="70" t="s">
        <x:v>158</x:v>
      </x:c>
      <x:c r="I29" s="70" t="s">
        <x:v>161</x:v>
      </x:c>
      <x:c r="J29" s="70" t="s">
        <x:v>20</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t="s">
        <x:v>158</x:v>
      </x:c>
      <x:c r="O29" s="69" t="s">
        <x:v>164</x:v>
      </x:c>
      <x:c r="P29" s="47" t="s">
        <x:v>158</x:v>
      </x:c>
      <x:c r="Q29" s="60"/>
      <x:c r="R29" s="58">
        <x:f>(($O29*P29)/100)+(Q29*12)</x:f>
      </x:c>
      <x:c r="S29" s="59" t="s">
        <x:v>301</x:v>
      </x:c>
      <x:c r="T29" s="59" t="s">
        <x:v>302</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
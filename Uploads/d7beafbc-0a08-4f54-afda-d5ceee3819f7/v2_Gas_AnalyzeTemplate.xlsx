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52256C8A-57E2-43B2-B24F-B93AB740BC99}" xr6:coauthVersionLast="47" xr6:coauthVersionMax="47" xr10:uidLastSave="{00000000-0000-0000-0000-000000000000}"/>
  <x:bookViews>
    <x:workbookView xWindow="28680" yWindow="-120" windowWidth="29040" windowHeight="15720" tabRatio="693" firstSheet="0" activeTab="1"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J11" i="5"/>
  <x:c r="AK11" i="5"/>
  <x:c r="AL11" i="5"/>
  <x:c r="AJ12" i="5"/>
  <x:c r="AK12" i="5"/>
  <x:c r="AL12" i="5"/>
  <x:c r="J13" i="5"/>
  <x:c r="AJ13" i="5"/>
  <x:c r="AK13" i="5"/>
  <x:c r="AL13" i="5"/>
  <x:c r="AJ14" i="5"/>
  <x:c r="AK14" i="5"/>
  <x:c r="AL14" i="5"/>
  <x:c r="AJ15" i="5"/>
  <x:c r="AK15" i="5"/>
  <x:c r="AL15" i="5"/>
  <x:c r="AJ16" i="5"/>
  <x:c r="AK16" i="5"/>
  <x:c r="AL16" i="5"/>
  <x:c r="AJ17" i="5"/>
  <x:c r="AK17" i="5"/>
  <x:c r="AL17" i="5"/>
  <x:c r="AJ18" i="5"/>
  <x:c r="AK18" i="5"/>
  <x:c r="AL18" i="5"/>
  <x:c r="J19" i="5"/>
  <x:c r="AJ19" i="5"/>
  <x:c r="AK19" i="5"/>
  <x:c r="AL19" i="5"/>
  <x:c r="AJ20" i="5"/>
  <x:c r="AK20" i="5"/>
  <x:c r="AL20" i="5"/>
  <x:c r="AJ21" i="5"/>
  <x:c r="AK21" i="5"/>
  <x:c r="AL21" i="5"/>
  <x:c r="AJ22" i="5"/>
  <x:c r="AK22" i="5"/>
  <x:c r="AL22" i="5"/>
  <x:c r="AJ23" i="5"/>
  <x:c r="AK23" i="5"/>
  <x:c r="AL23" i="5"/>
  <x:c r="AJ24" i="5"/>
  <x:c r="AK24" i="5"/>
  <x:c r="AL24" i="5"/>
  <x:c r="J25" i="5"/>
  <x:c r="AJ25" i="5"/>
  <x:c r="AK25" i="5"/>
  <x:c r="AL25" i="5"/>
  <x:c r="AJ26" i="5"/>
  <x:c r="AK26" i="5"/>
  <x:c r="AL26" i="5"/>
  <x:c r="AJ27" i="5"/>
  <x:c r="AK27" i="5"/>
  <x:c r="AL27" i="5"/>
  <x:c r="AJ28" i="5"/>
  <x:c r="AK28" i="5"/>
  <x:c r="AL28" i="5"/>
  <x:c r="AJ29" i="5"/>
  <x:c r="AK29" i="5"/>
  <x:c r="AL29" i="5"/>
  <x:c r="AJ30" i="5"/>
  <x:c r="AK30" i="5"/>
  <x:c r="AL30" i="5"/>
  <x:c r="J31" i="5"/>
  <x:c r="AJ31" i="5"/>
  <x:c r="AK31" i="5"/>
  <x:c r="AL31" i="5"/>
  <x:c r="AJ32" i="5"/>
  <x:c r="AK32" i="5"/>
  <x:c r="AL32" i="5"/>
  <x:c r="AJ33" i="5"/>
  <x:c r="AK33" i="5"/>
  <x:c r="AL33" i="5"/>
  <x:c r="AJ34" i="5"/>
  <x:c r="AK34" i="5"/>
  <x:c r="AL34" i="5"/>
  <x:c r="AJ35" i="5"/>
  <x:c r="AK35" i="5"/>
  <x:c r="AL35" i="5"/>
  <x:c r="AJ36" i="5"/>
  <x:c r="AK36" i="5"/>
  <x:c r="AL36" i="5"/>
  <x:c r="J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N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N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N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N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N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N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N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N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N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N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N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N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N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N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N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N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N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N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N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N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<x:sst xmlns:x="http://schemas.openxmlformats.org/spreadsheetml/2006/main">
  <x:si>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</x:si>
  <x:si>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</x:si>
  <x:si>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</x:si>
  <x:si>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</x:si>
  <x:si>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</x:si>
  <x:si>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</x:si>
  <x:si>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</x:si>
  <x:si>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</x:si>
  <x:si>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</x:si>
  <x:si>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</x:si>
  <x:si>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</x:si>
  <x:si>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</x:si>
  <x:si>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</x:si>
  <x:si>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</x:si>
  <x:si>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</x:si>
  <x:si>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</x:si>
  <x:si>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</x:si>
  <x:si>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</x:si>
  <x:si>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</x:si>
  <x:si>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</x:si>
  <x:si>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</x:si>
  <x:si>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</x:si>
  <x:si>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</x:si>
  <x:si>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</x:si>
  <x:si>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</x:si>
  <x:si>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</x:si>
  <x:si>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</x:si>
  <x:si>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</x:si>
  <x:si>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</x:si>
  <x:si>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</x:si>
  <x:si>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</x:si>
  <x:si>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</x:si>
  <x:si>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</x:si>
  <x:si>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</x:si>
  <x:si>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</x:si>
  <x:si>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</x:si>
  <x:si>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</x:si>
  <x:si>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</x:si>
  <x:si>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</x:si>
  <x:si>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</x:si>
  <x:si>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</x:si>
  <x:si>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</x:si>
  <x:si>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</x:si>
  <x:si>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</x:si>
  <x:si>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</x:si>
  <x:si>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</x:si>
  <x:si>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</x:si>
  <x:si>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</x:si>
  <x:si>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</x:si>
  <x:si>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</x:si>
  <x:si>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</x:si>
  <x:si>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</x:si>
  <x:si>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</x:si>
  <x:si>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</x:si>
  <x:si>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</x:si>
  <x:si>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</x:si>
  <x:si>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</x:si>
  <x:si>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</x:si>
  <x:si>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</x:si>
  <x:si>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</x:si>
  <x:si>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</x:si>
  <x:si>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</x:si>
  <x:si>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</x:si>
  <x:si>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</x:si>
  <x:si>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</x:si>
  <x:si>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</x:si>
  <x:si>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</x:si>
  <x:si>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</x:si>
  <x:si>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</x:si>
  <x:si>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</x:si>
  <x:si>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</x:si>
  <x:si>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</x:si>
  <x:si>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</x:si>
  <x:si>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</x:si>
  <x:si>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</x:si>
  <x:si>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</x:si>
  <x:si>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</x:si>
  <x:si>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</x:si>
  <x:si>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</x:si>
  <x:si>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</x:si>
  <x:si>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</x:si>
  <x:si>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</x:si>
  <x:si>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</x:si>
  <x:si>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</x:si>
  <x:si>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</x:si>
  <x:si>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</x:si>
  <x:si>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</x:si>
  <x:si>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</x:si>
  <x:si>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</x:si>
  <x:si>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</x:si>
  <x:si>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</x:si>
  <x:si>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</x:si>
  <x:si>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</x:si>
  <x:si>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</x:si>
  <x:si>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</x:si>
  <x:si>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</x:si>
  <x:si>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</x:si>
  <x:si>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</x:si>
  <x:si>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</x:si>
  <x:si>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</x:si>
  <x:si>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</x:si>
  <x:si>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</x:si>
  <x:si>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</x:si>
  <x:si>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</x:si>
  <x:si>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</x:si>
  <x:si>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</x:si>
  <x:si>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</x:si>
  <x:si>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</x:si>
  <x:si>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</x:si>
  <x:si>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</x:si>
  <x:si>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</x:si>
  <x:si>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</x:si>
  <x:si>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</x:si>
  <x:si>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</x:si>
  <x:si>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</x:si>
  <x:si>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</x:si>
  <x:si>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</x:si>
  <x:si>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</x:si>
  <x:si>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</x:si>
  <x:si>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</x:si>
  <x:si>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</x:si>
  <x:si>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</x:si>
  <x:si>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</x:si>
  <x:si>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</x:si>
  <x:si>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</x:si>
  <x:si>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</x:si>
  <x:si>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</x:si>
  <x:si>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</x:si>
  <x:si>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</x:si>
  <x:si>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</x:si>
  <x:si>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</x:si>
  <x:si>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</x:si>
  <x:si>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</x:si>
  <x:si>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</x:si>
  <x:si>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</x:si>
  <x:si>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</x:si>
  <x:si>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</x:si>
  <x:si>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</x:si>
  <x:si>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</x:si>
  <x:si>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</x:si>
  <x:si>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</x:si>
  <x:si>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</x:si>
  <x:si>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</x:si>
  <x:si>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</x:si>
  <x:si>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</x:si>
  <x:si>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</x:si>
  <x:si>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</x:si>
  <x:si>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</x:si>
  <x:si>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</x:si>
  <x:si>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</x:si>
  <x:si>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</x:si>
  <x:si>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</x:si>
  <x:si>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</x:si>
  <x:si>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</x:si>
  <x:si>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56</x:t>
  </x:si>
  <x:si>
    <x:t>21/111</x:t>
  </x:si>
  <x:si>
    <x:t>Ryelands Road,Communal Centre</x:t>
  </x:si>
  <x:si>
    <x:t/>
  </x:si>
  <x:si>
    <x:t>Lydney</x:t>
  </x:si>
  <x:si>
    <x:t>UK</x:t>
  </x:si>
  <x:si>
    <x:t>01-Jan-2027</x:t>
  </x:si>
  <x:si>
    <x:t>8</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</x:si>
  <x:si>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</x:si>
  <x:si>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</x:si>
  <x:si>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</x:si>
  <x:si>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</x:si>
  <x:si>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</x:si>
  <x:si>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</x:si>
  <x:si>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</x:si>
  <x:si>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</x:si>
  <x:si>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</x:si>
  <x:si>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</x:si>
  <x:si>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</x:si>
  <x:si>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</x:si>
  <x:si>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</x:si>
  <x:si>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</x:si>
  <x:si>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</x:si>
  <x:si>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</x:si>
  <x:si>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</x:si>
  <x:si>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</x:si>
  <x:si>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</x:si>
  <x:si>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</x:si>
  <x:si>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</x:si>
  <x:si>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</x:si>
  <x:si>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</x:si>
  <x:si>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</x:si>
  <x:si>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</x:si>
  <x:si>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</x:si>
  <x:si>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</x:si>
  <x:si>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</x:si>
  <x:si>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</x:si>
  <x:si>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</x:si>
  <x:si>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</x:si>
  <x:si>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</x:si>
  <x:si>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</x:si>
  <x:si>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</x:si>
  <x:si>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</x:si>
  <x:si>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</x:si>
  <x:si>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</x:si>
  <x:si>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</x:si>
  <x:si>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</x:si>
  <x:si>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</x:si>
  <x:si>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</x:si>
  <x:si>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</x:si>
  <x:si>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</x:si>
  <x:si>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</x:si>
  <x:si>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</x:si>
  <x:si>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</x:si>
  <x:si>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</x:si>
  <x:si>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</x:si>
  <x:si>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</x:si>
  <x:si>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</x:si>
  <x:si>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</x:si>
  <x:si>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</x:si>
  <x:si>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</x:si>
  <x:si>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</x:si>
  <x:si>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</x:si>
  <x:si>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</x:si>
  <x:si>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</x:si>
  <x:si>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</x:si>
  <x:si>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</x:si>
  <x:si>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</x:si>
  <x:si>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</x:si>
  <x:si>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</x:si>
  <x:si>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</x:si>
  <x:si>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</x:si>
  <x:si>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</x:si>
  <x:si>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</x:si>
  <x:si>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</x:si>
  <x:si>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</x:si>
  <x:si>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</x:si>
  <x:si>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</x:si>
  <x:si>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</x:si>
  <x:si>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</x:si>
  <x:si>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</x:si>
  <x:si>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</x:si>
  <x:si>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</x:si>
  <x:si>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</x:si>
  <x:si>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</x:si>
  <x:si>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</x:si>
  <x:si>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</x:si>
  <x:si>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</x:si>
  <x:si>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</x:si>
  <x:si>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</x:si>
  <x:si>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</x:si>
  <x:si>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</x:si>
  <x:si>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</x:si>
  <x:si>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</x:si>
  <x:si>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</x:si>
  <x:si>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</x:si>
  <x:si>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</x:si>
  <x:si>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</x:si>
  <x:si>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</x:si>
  <x:si>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</x:si>
  <x:si>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</x:si>
  <x:si>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</x:si>
  <x:si>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</x:si>
  <x:si>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</x:si>
  <x:si>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</x:si>
  <x:si>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</x:si>
  <x:si>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</x:si>
  <x:si>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</x:si>
  <x:si>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</x:si>
  <x:si>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8.4392</x:t>
  </x:si>
  <x:si>
    <x:t>177.7957</x:t>
  </x:si>
  <x:si>
    <x:t>8.4119</x:t>
  </x:si>
  <x:si>
    <x:t>86.0756</x:t>
  </x:si>
  <x:si>
    <x:t>8.4078</x:t>
  </x:si>
  <x:si>
    <x:t>182.4286</x:t>
  </x:si>
  <x:si>
    <x:t>8.4088</x:t>
  </x:si>
  <x:si>
    <x:t>143.5391</x:t>
  </x:si>
  <x:si>
    <x:t>8.407</x:t>
  </x:si>
  <x:si>
    <x:t>188.233</x:t>
  </x:si>
  <x:si>
    <x:t>8.4091</x:t>
  </x:si>
  <x:si>
    <x:t>149.924</x:t>
  </x:si>
  <x:si>
    <x:t>8.4136</x:t>
  </x:si>
  <x:si>
    <x:t>93.6213</x:t>
  </x:si>
  <x:si>
    <x:t>8.4069</x:t>
  </x:si>
  <x:si>
    <x:t>271.0118</x:t>
  </x:si>
  <x:si>
    <x:t>8.41</x:t>
  </x:si>
  <x:si>
    <x:t>105.8106</x:t>
  </x:si>
  <x:si>
    <x:t>8.4076</x:t>
  </x:si>
  <x:si>
    <x:t>173.1415</x:t>
  </x:si>
  <x:si>
    <x:t>8.469</x:t>
  </x:si>
  <x:si>
    <x:t>463.3612</x:t>
  </x:si>
  <x:si>
    <x:t>88.3974</x:t>
  </x:si>
  <x:si>
    <x:t>8.4074</x:t>
  </x:si>
  <x:si>
    <x:t>140.0565</x:t>
  </x:si>
  <x:si>
    <x:t>8.4128</x:t>
  </x:si>
  <x:si>
    <x:t>118.5802</x:t>
  </x:si>
  <x:si>
    <x:t>8.4103</x:t>
  </x:si>
  <x:si>
    <x:t>201.5831</x:t>
  </x:si>
  <x:si>
    <x:t>8.4113</x:t>
  </x:si>
  <x:si>
    <x:t>95.3627</x:t>
  </x:si>
  <x:si>
    <x:t>8.4083</x:t>
  </x:si>
  <x:si>
    <x:t>141.7978</x:t>
  </x:si>
  <x:si>
    <x:t>8.4645</x:t>
  </x:si>
  <x:si>
    <x:t>53.355</x:t>
  </x:si>
  <x:si>
    <x:t>8.4222</x:t>
  </x:si>
  <x:si>
    <x:t>75.6277</x:t>
  </x:si>
  <x:si>
    <x:t>7.5618</x:t>
  </x:si>
  <x:si>
    <x:t>633.8842</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</x:si>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</x:sst>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xlpdsc="http://schemas.microsoft.com/office/spreadsheetml/2026/pivotDataSourceClea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 xmlns:xlpdsc="http://schemas.microsoft.com/office/spreadsheetml/2026/pivotDataSourceClean" uri="{F4336242-56EE-4DD3-A5F7-E900642BF6E9}">
      <xlpdsc:dataSourceClean>1</xlpdsc:dataSourceClea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opLeftCell="J1" zoomScale="59" zoomScaleSheetLayoutView="90" zoomScalePageLayoutView="59" workbookViewId="0">
      <x:selection activeCell="AC11" sqref="AC11 AC11: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0" t="s">
        <x:v>2</x:v>
      </x:c>
      <x:c r="AN1" s="121"/>
      <x:c r="AO1" s="121"/>
      <x:c r="AP1" s="121"/>
      <x:c r="AQ1" s="121"/>
      <x:c r="AR1" s="121"/>
      <x:c r="AS1" s="121"/>
      <x:c r="AT1" s="121"/>
      <x:c r="AU1" s="121"/>
      <x:c r="AV1" s="121"/>
      <x:c r="AW1" s="121"/>
      <x:c r="AX1" s="121"/>
      <x:c r="AY1" s="121"/>
      <x:c r="AZ1" s="121"/>
      <x:c r="BA1" s="121"/>
      <x:c r="BB1" s="121"/>
      <x:c r="BC1" s="121"/>
      <x:c r="BD1" s="121"/>
      <x:c r="BE1" s="121"/>
      <x:c r="BF1" s="121"/>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21"/>
      <x:c r="AN2" s="121"/>
      <x:c r="AO2" s="121"/>
      <x:c r="AP2" s="121"/>
      <x:c r="AQ2" s="121"/>
      <x:c r="AR2" s="121"/>
      <x:c r="AS2" s="121"/>
      <x:c r="AT2" s="121"/>
      <x:c r="AU2" s="121"/>
      <x:c r="AV2" s="121"/>
      <x:c r="AW2" s="121"/>
      <x:c r="AX2" s="121"/>
      <x:c r="AY2" s="121"/>
      <x:c r="AZ2" s="121"/>
      <x:c r="BA2" s="121"/>
      <x:c r="BB2" s="121"/>
      <x:c r="BC2" s="121"/>
      <x:c r="BD2" s="121"/>
      <x:c r="BE2" s="121"/>
      <x:c r="BF2" s="121"/>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302</x:v>
      </x:c>
      <x:c r="AE3" s="9"/>
      <x:c r="AF3" s="6"/>
      <x:c r="AG3" s="6"/>
      <x:c r="AH3" s="6"/>
      <x:c r="AI3" s="6"/>
      <x:c r="AJ3" s="6"/>
      <x:c r="AK3" s="6"/>
      <x:c r="AL3" s="6"/>
      <x:c r="AM3" s="121"/>
      <x:c r="AN3" s="121"/>
      <x:c r="AO3" s="121"/>
      <x:c r="AP3" s="121"/>
      <x:c r="AQ3" s="121"/>
      <x:c r="AR3" s="121"/>
      <x:c r="AS3" s="121"/>
      <x:c r="AT3" s="121"/>
      <x:c r="AU3" s="121"/>
      <x:c r="AV3" s="121"/>
      <x:c r="AW3" s="121"/>
      <x:c r="AX3" s="121"/>
      <x:c r="AY3" s="121"/>
      <x:c r="AZ3" s="121"/>
      <x:c r="BA3" s="121"/>
      <x:c r="BB3" s="121"/>
      <x:c r="BC3" s="121"/>
      <x:c r="BD3" s="121"/>
      <x:c r="BE3" s="121"/>
      <x:c r="BF3" s="121"/>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21"/>
      <x:c r="AN4" s="121"/>
      <x:c r="AO4" s="121"/>
      <x:c r="AP4" s="121"/>
      <x:c r="AQ4" s="121"/>
      <x:c r="AR4" s="121"/>
      <x:c r="AS4" s="121"/>
      <x:c r="AT4" s="121"/>
      <x:c r="AU4" s="121"/>
      <x:c r="AV4" s="121"/>
      <x:c r="AW4" s="121"/>
      <x:c r="AX4" s="121"/>
      <x:c r="AY4" s="121"/>
      <x:c r="AZ4" s="121"/>
      <x:c r="BA4" s="121"/>
      <x:c r="BB4" s="121"/>
      <x:c r="BC4" s="121"/>
      <x:c r="BD4" s="121"/>
      <x:c r="BE4" s="121"/>
      <x:c r="BF4" s="121"/>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21"/>
      <x:c r="AN5" s="121"/>
      <x:c r="AO5" s="121"/>
      <x:c r="AP5" s="121"/>
      <x:c r="AQ5" s="121"/>
      <x:c r="AR5" s="121"/>
      <x:c r="AS5" s="121"/>
      <x:c r="AT5" s="121"/>
      <x:c r="AU5" s="121"/>
      <x:c r="AV5" s="121"/>
      <x:c r="AW5" s="121"/>
      <x:c r="AX5" s="121"/>
      <x:c r="AY5" s="121"/>
      <x:c r="AZ5" s="121"/>
      <x:c r="BA5" s="121"/>
      <x:c r="BB5" s="121"/>
      <x:c r="BC5" s="121"/>
      <x:c r="BD5" s="121"/>
      <x:c r="BE5" s="121"/>
      <x:c r="BF5" s="121"/>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21"/>
      <x:c r="AN6" s="121"/>
      <x:c r="AO6" s="121"/>
      <x:c r="AP6" s="121"/>
      <x:c r="AQ6" s="121"/>
      <x:c r="AR6" s="121"/>
      <x:c r="AS6" s="121"/>
      <x:c r="AT6" s="121"/>
      <x:c r="AU6" s="121"/>
      <x:c r="AV6" s="121"/>
      <x:c r="AW6" s="121"/>
      <x:c r="AX6" s="121"/>
      <x:c r="AY6" s="121"/>
      <x:c r="AZ6" s="121"/>
      <x:c r="BA6" s="121"/>
      <x:c r="BB6" s="121"/>
      <x:c r="BC6" s="121"/>
      <x:c r="BD6" s="121"/>
      <x:c r="BE6" s="121"/>
      <x:c r="BF6" s="121"/>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21"/>
      <x:c r="AN7" s="121"/>
      <x:c r="AO7" s="121"/>
      <x:c r="AP7" s="121"/>
      <x:c r="AQ7" s="121"/>
      <x:c r="AR7" s="121"/>
      <x:c r="AS7" s="121"/>
      <x:c r="AT7" s="121"/>
      <x:c r="AU7" s="121"/>
      <x:c r="AV7" s="121"/>
      <x:c r="AW7" s="121"/>
      <x:c r="AX7" s="121"/>
      <x:c r="AY7" s="121"/>
      <x:c r="AZ7" s="121"/>
      <x:c r="BA7" s="121"/>
      <x:c r="BB7" s="121"/>
      <x:c r="BC7" s="121"/>
      <x:c r="BD7" s="121"/>
      <x:c r="BE7" s="121"/>
      <x:c r="BF7" s="121"/>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21"/>
      <x:c r="AN8" s="121"/>
      <x:c r="AO8" s="121"/>
      <x:c r="AP8" s="121"/>
      <x:c r="AQ8" s="121"/>
      <x:c r="AR8" s="121"/>
      <x:c r="AS8" s="121"/>
      <x:c r="AT8" s="121"/>
      <x:c r="AU8" s="121"/>
      <x:c r="AV8" s="121"/>
      <x:c r="AW8" s="121"/>
      <x:c r="AX8" s="121"/>
      <x:c r="AY8" s="121"/>
      <x:c r="AZ8" s="121"/>
      <x:c r="BA8" s="121"/>
      <x:c r="BB8" s="121"/>
      <x:c r="BC8" s="121"/>
      <x:c r="BD8" s="121"/>
      <x:c r="BE8" s="121"/>
      <x:c r="BF8" s="121"/>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21"/>
      <x:c r="AN9" s="121"/>
      <x:c r="AO9" s="121"/>
      <x:c r="AP9" s="121"/>
      <x:c r="AQ9" s="121"/>
      <x:c r="AR9" s="121"/>
      <x:c r="AS9" s="121"/>
      <x:c r="AT9" s="121"/>
      <x:c r="AU9" s="121"/>
      <x:c r="AV9" s="121"/>
      <x:c r="AW9" s="121"/>
      <x:c r="AX9" s="121"/>
      <x:c r="AY9" s="121"/>
      <x:c r="AZ9" s="121"/>
      <x:c r="BA9" s="121"/>
      <x:c r="BB9" s="121"/>
      <x:c r="BC9" s="121"/>
      <x:c r="BD9" s="121"/>
      <x:c r="BE9" s="121"/>
      <x:c r="BF9" s="121"/>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21"/>
      <x:c r="AN10" s="121"/>
      <x:c r="AO10" s="121"/>
      <x:c r="AP10" s="121"/>
      <x:c r="AQ10" s="121"/>
      <x:c r="AR10" s="121"/>
      <x:c r="AS10" s="121"/>
      <x:c r="AT10" s="121"/>
      <x:c r="AU10" s="121"/>
      <x:c r="AV10" s="121"/>
      <x:c r="AW10" s="121"/>
      <x:c r="AX10" s="121"/>
      <x:c r="AY10" s="121"/>
      <x:c r="AZ10" s="121"/>
      <x:c r="BA10" s="121"/>
      <x:c r="BB10" s="121"/>
      <x:c r="BC10" s="121"/>
      <x:c r="BD10" s="121"/>
      <x:c r="BE10" s="121"/>
      <x:c r="BF10" s="121"/>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c r="AD11" s="8" t="s">
        <x:v>20</x:v>
      </x:c>
      <x:c r="AE11" s="6">
        <x:v>12</x:v>
      </x:c>
      <x:c r="AF11" s="8" t="s">
        <x:v>42</x:v>
      </x:c>
      <x:c r="AG11" s="8" t="s">
        <x:v>43</x:v>
      </x:c>
      <x:c r="AH11" s="8" t="s">
        <x:v>44</x:v>
      </x:c>
      <x:c r="AI11" s="8" t="s">
        <x:v>112</x:v>
      </x:c>
      <x:c r="AJ11" s="75">
        <x:f>INDEX(Analysis!$A$7:$DV$8,1,MATCH(AC11,Analysis!$A$8:$DV$8,0))</x:f>
      </x:c>
      <x:c r="AK11" s="77">
        <x:f>(AJ11-$AJ$10)/$AJ$10*100</x:f>
      </x:c>
      <x:c r="AL11" s="75">
        <x:f>(AJ11-$AJ$10)/12*AE11</x:f>
      </x:c>
      <x:c r="AM11" s="121"/>
      <x:c r="AN11" s="121"/>
      <x:c r="AO11" s="121"/>
      <x:c r="AP11" s="121"/>
      <x:c r="AQ11" s="121"/>
      <x:c r="AR11" s="121"/>
      <x:c r="AS11" s="121"/>
      <x:c r="AT11" s="121"/>
      <x:c r="AU11" s="121"/>
      <x:c r="AV11" s="121"/>
      <x:c r="AW11" s="121"/>
      <x:c r="AX11" s="121"/>
      <x:c r="AY11" s="121"/>
      <x:c r="AZ11" s="121"/>
      <x:c r="BA11" s="121"/>
      <x:c r="BB11" s="121"/>
      <x:c r="BC11" s="121"/>
      <x:c r="BD11" s="121"/>
      <x:c r="BE11" s="121"/>
      <x:c r="BF11" s="121"/>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c r="AD12" s="8"/>
      <x:c r="AE12" s="6"/>
      <x:c r="AF12" s="8" t="s">
        <x:v>42</x:v>
      </x:c>
      <x:c r="AG12" s="8" t="s">
        <x:v>43</x:v>
      </x:c>
      <x:c r="AH12" s="8" t="s">
        <x:v>44</x:v>
      </x:c>
      <x:c r="AI12" s="8" t="s">
        <x:v>45</x:v>
      </x:c>
      <x:c r="AJ12" s="75">
        <x:f>INDEX(Analysis!$A$7:$DV$8,1,MATCH(AC12,Analysis!$A$8:$DV$8,0))</x:f>
      </x:c>
      <x:c r="AK12" s="77">
        <x:f>(AJ12-$AJ$10)/$AJ$10*100</x:f>
      </x:c>
      <x:c r="AL12" s="75">
        <x:f>(AJ12-$AJ$10)/12*AE12</x:f>
      </x:c>
      <x:c r="AM12" s="121"/>
      <x:c r="AN12" s="121"/>
      <x:c r="AO12" s="121"/>
      <x:c r="AP12" s="121"/>
      <x:c r="AQ12" s="121"/>
      <x:c r="AR12" s="121"/>
      <x:c r="AS12" s="121"/>
      <x:c r="AT12" s="121"/>
      <x:c r="AU12" s="121"/>
      <x:c r="AV12" s="121"/>
      <x:c r="AW12" s="121"/>
      <x:c r="AX12" s="121"/>
      <x:c r="AY12" s="121"/>
      <x:c r="AZ12" s="121"/>
      <x:c r="BA12" s="121"/>
      <x:c r="BB12" s="121"/>
      <x:c r="BC12" s="121"/>
      <x:c r="BD12" s="121"/>
      <x:c r="BE12" s="121"/>
      <x:c r="BF12" s="121"/>
      <x:c r="BH12" s="157" t="s">
        <x:v>47</x:v>
      </x:c>
      <x:c r="BI12" s="158"/>
      <x:c r="BJ12" s="158"/>
      <x:c r="BK12" s="158"/>
      <x:c r="BL12" s="158"/>
      <x:c r="BM12" s="158"/>
      <x:c r="BN12" s="158"/>
      <x:c r="BO12" s="158"/>
      <x:c r="BP12" s="158"/>
      <x:c r="BQ12" s="159"/>
    </x:row>
    <x:row r="13" spans="1:69" ht="15" customHeight="1" x14ac:dyDescent="0.3">
      <x:c r="J13" s="160">
        <x:f>AD3</x:f>
      </x:c>
      <x:c r="AC13" s="156"/>
      <x:c r="AD13" s="8"/>
      <x:c r="AE13" s="6"/>
      <x:c r="AF13" s="8" t="s">
        <x:v>42</x:v>
      </x:c>
      <x:c r="AG13" s="8" t="s">
        <x:v>43</x:v>
      </x:c>
      <x:c r="AH13" s="8" t="s">
        <x:v>44</x:v>
      </x:c>
      <x:c r="AI13" s="8" t="s">
        <x:v>45</x:v>
      </x:c>
      <x:c r="AJ13" s="75">
        <x:f>INDEX(Analysis!$A$7:$DV$8,1,MATCH(AC13,Analysis!$A$8:$DV$8,0))</x:f>
      </x:c>
      <x:c r="AK13" s="77">
        <x:f>(AJ13-$AJ$10)/$AJ$10*100</x:f>
      </x:c>
      <x:c r="AL13" s="75">
        <x:f>(AJ13-$AJ$10)/12*AE13</x:f>
      </x:c>
      <x:c r="AM13" s="121"/>
      <x:c r="AN13" s="121"/>
      <x:c r="AO13" s="121"/>
      <x:c r="AP13" s="121"/>
      <x:c r="AQ13" s="121"/>
      <x:c r="AR13" s="121"/>
      <x:c r="AS13" s="121"/>
      <x:c r="AT13" s="121"/>
      <x:c r="AU13" s="121"/>
      <x:c r="AV13" s="121"/>
      <x:c r="AW13" s="121"/>
      <x:c r="AX13" s="121"/>
      <x:c r="AY13" s="121"/>
      <x:c r="AZ13" s="121"/>
      <x:c r="BA13" s="121"/>
      <x:c r="BB13" s="121"/>
      <x:c r="BC13" s="121"/>
      <x:c r="BD13" s="121"/>
      <x:c r="BE13" s="121"/>
      <x:c r="BF13" s="121"/>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c r="AD14" s="8"/>
      <x:c r="AE14" s="6"/>
      <x:c r="AF14" s="8" t="s">
        <x:v>42</x:v>
      </x:c>
      <x:c r="AG14" s="8" t="s">
        <x:v>43</x:v>
      </x:c>
      <x:c r="AH14" s="8" t="s">
        <x:v>44</x:v>
      </x:c>
      <x:c r="AI14" s="8" t="s">
        <x:v>45</x:v>
      </x:c>
      <x:c r="AJ14" s="75">
        <x:f>INDEX(Analysis!$A$7:$DV$8,1,MATCH(AC14,Analysis!$A$8:$DV$8,0))</x:f>
      </x:c>
      <x:c r="AK14" s="77">
        <x:f>(AJ14-$AJ$10)/$AJ$10*100</x:f>
      </x:c>
      <x:c r="AL14" s="75">
        <x:f>(AJ14-$AJ$10)/12*AE14</x:f>
      </x:c>
      <x:c r="AM14" s="121"/>
      <x:c r="AN14" s="121"/>
      <x:c r="AO14" s="121"/>
      <x:c r="AP14" s="121"/>
      <x:c r="AQ14" s="121"/>
      <x:c r="AR14" s="121"/>
      <x:c r="AS14" s="121"/>
      <x:c r="AT14" s="121"/>
      <x:c r="AU14" s="121"/>
      <x:c r="AV14" s="121"/>
      <x:c r="AW14" s="121"/>
      <x:c r="AX14" s="121"/>
      <x:c r="AY14" s="121"/>
      <x:c r="AZ14" s="121"/>
      <x:c r="BA14" s="121"/>
      <x:c r="BB14" s="121"/>
      <x:c r="BC14" s="121"/>
      <x:c r="BD14" s="121"/>
      <x:c r="BE14" s="121"/>
      <x:c r="BF14" s="121"/>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c r="AD15" s="8"/>
      <x:c r="AE15" s="6"/>
      <x:c r="AF15" s="8" t="s">
        <x:v>42</x:v>
      </x:c>
      <x:c r="AG15" s="8" t="s">
        <x:v>43</x:v>
      </x:c>
      <x:c r="AH15" s="8" t="s">
        <x:v>44</x:v>
      </x:c>
      <x:c r="AI15" s="8" t="s">
        <x:v>45</x:v>
      </x:c>
      <x:c r="AJ15" s="75">
        <x:f>INDEX(Analysis!$A$7:$DV$8,1,MATCH(AC15,Analysis!$A$8:$DV$8,0))</x:f>
      </x:c>
      <x:c r="AK15" s="77">
        <x:f>(AJ15-$AJ$10)/$AJ$10*100</x:f>
      </x:c>
      <x:c r="AL15" s="75">
        <x:f>(AJ15-$AJ$10)/12*AE15</x:f>
      </x:c>
      <x:c r="AM15" s="121"/>
      <x:c r="AN15" s="121"/>
      <x:c r="AO15" s="121"/>
      <x:c r="AP15" s="121"/>
      <x:c r="AQ15" s="121"/>
      <x:c r="AR15" s="121"/>
      <x:c r="AS15" s="121"/>
      <x:c r="AT15" s="121"/>
      <x:c r="AU15" s="121"/>
      <x:c r="AV15" s="121"/>
      <x:c r="AW15" s="121"/>
      <x:c r="AX15" s="121"/>
      <x:c r="AY15" s="121"/>
      <x:c r="AZ15" s="121"/>
      <x:c r="BA15" s="121"/>
      <x:c r="BB15" s="121"/>
      <x:c r="BC15" s="121"/>
      <x:c r="BD15" s="121"/>
      <x:c r="BE15" s="121"/>
      <x:c r="BF15" s="121"/>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c r="AD16" s="8"/>
      <x:c r="AE16" s="6"/>
      <x:c r="AF16" s="8" t="s">
        <x:v>42</x:v>
      </x:c>
      <x:c r="AG16" s="8" t="s">
        <x:v>43</x:v>
      </x:c>
      <x:c r="AH16" s="8" t="s">
        <x:v>44</x:v>
      </x:c>
      <x:c r="AI16" s="8" t="s">
        <x:v>45</x:v>
      </x:c>
      <x:c r="AJ16" s="75">
        <x:f>INDEX(Analysis!$A$7:$DV$8,1,MATCH(AC16,Analysis!$A$8:$DV$8,0))</x:f>
      </x:c>
      <x:c r="AK16" s="77">
        <x:f>(AJ16-$AJ$10)/$AJ$10*100</x:f>
      </x:c>
      <x:c r="AL16" s="75">
        <x:f>(AJ16-$AJ$10)/12*AE16</x:f>
      </x:c>
      <x:c r="AM16" s="121"/>
      <x:c r="AN16" s="121"/>
      <x:c r="AO16" s="121"/>
      <x:c r="AP16" s="121"/>
      <x:c r="AQ16" s="121"/>
      <x:c r="AR16" s="121"/>
      <x:c r="AS16" s="121"/>
      <x:c r="AT16" s="121"/>
      <x:c r="AU16" s="121"/>
      <x:c r="AV16" s="121"/>
      <x:c r="AW16" s="121"/>
      <x:c r="AX16" s="121"/>
      <x:c r="AY16" s="121"/>
      <x:c r="AZ16" s="121"/>
      <x:c r="BA16" s="121"/>
      <x:c r="BB16" s="121"/>
      <x:c r="BC16" s="121"/>
      <x:c r="BD16" s="121"/>
      <x:c r="BE16" s="121"/>
      <x:c r="BF16" s="121"/>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c r="AD17" s="8"/>
      <x:c r="AE17" s="6"/>
      <x:c r="AF17" s="8" t="s">
        <x:v>42</x:v>
      </x:c>
      <x:c r="AG17" s="8" t="s">
        <x:v>43</x:v>
      </x:c>
      <x:c r="AH17" s="8" t="s">
        <x:v>44</x:v>
      </x:c>
      <x:c r="AI17" s="8" t="s">
        <x:v>45</x:v>
      </x:c>
      <x:c r="AJ17" s="75">
        <x:f>INDEX(Analysis!$A$7:$DV$8,1,MATCH(AC17,Analysis!$A$8:$DV$8,0))</x:f>
      </x:c>
      <x:c r="AK17" s="77">
        <x:f>(AJ17-$AJ$10)/$AJ$10*100</x:f>
      </x:c>
      <x:c r="AL17" s="75">
        <x:f>(AJ17-$AJ$10)/12*AE17</x:f>
      </x:c>
      <x:c r="AM17" s="121"/>
      <x:c r="AN17" s="121"/>
      <x:c r="AO17" s="121"/>
      <x:c r="AP17" s="121"/>
      <x:c r="AQ17" s="121"/>
      <x:c r="AR17" s="121"/>
      <x:c r="AS17" s="121"/>
      <x:c r="AT17" s="121"/>
      <x:c r="AU17" s="121"/>
      <x:c r="AV17" s="121"/>
      <x:c r="AW17" s="121"/>
      <x:c r="AX17" s="121"/>
      <x:c r="AY17" s="121"/>
      <x:c r="AZ17" s="121"/>
      <x:c r="BA17" s="121"/>
      <x:c r="BB17" s="121"/>
      <x:c r="BC17" s="121"/>
      <x:c r="BD17" s="121"/>
      <x:c r="BE17" s="121"/>
      <x:c r="BF17" s="121"/>
      <x:c r="BH17" s="91" t="s">
        <x:v>58</x:v>
      </x:c>
      <x:c r="BI17" s="93"/>
      <x:c r="BJ17" s="93"/>
      <x:c r="BK17" s="93"/>
      <x:c r="BL17" s="93"/>
      <x:c r="BM17" s="93"/>
      <x:c r="BN17" s="93"/>
      <x:c r="BO17" s="93"/>
      <x:c r="BP17" s="93"/>
      <x:c r="BQ17" s="95"/>
    </x:row>
    <x:row r="18" spans="1:69" ht="16.5" customHeight="1" x14ac:dyDescent="0.3">
      <x:c r="J18" s="163"/>
      <x:c r="AC18" s="156"/>
      <x:c r="AD18" s="8"/>
      <x:c r="AE18" s="6"/>
      <x:c r="AF18" s="8" t="s">
        <x:v>42</x:v>
      </x:c>
      <x:c r="AG18" s="8" t="s">
        <x:v>43</x:v>
      </x:c>
      <x:c r="AH18" s="8" t="s">
        <x:v>44</x:v>
      </x:c>
      <x:c r="AI18" s="8" t="s">
        <x:v>45</x:v>
      </x:c>
      <x:c r="AJ18" s="75">
        <x:f>INDEX(Analysis!$A$7:$DV$8,1,MATCH(AC18,Analysis!$A$8:$DV$8,0))</x:f>
      </x:c>
      <x:c r="AK18" s="77">
        <x:f>(AJ18-$AJ$10)/$AJ$10*100</x:f>
      </x:c>
      <x:c r="AL18" s="75">
        <x:f>(AJ18-$AJ$10)/12*AE18</x:f>
      </x:c>
      <x:c r="AM18" s="121"/>
      <x:c r="AN18" s="121"/>
      <x:c r="AO18" s="121"/>
      <x:c r="AP18" s="121"/>
      <x:c r="AQ18" s="121"/>
      <x:c r="AR18" s="121"/>
      <x:c r="AS18" s="121"/>
      <x:c r="AT18" s="121"/>
      <x:c r="AU18" s="121"/>
      <x:c r="AV18" s="121"/>
      <x:c r="AW18" s="121"/>
      <x:c r="AX18" s="121"/>
      <x:c r="AY18" s="121"/>
      <x:c r="AZ18" s="121"/>
      <x:c r="BA18" s="121"/>
      <x:c r="BB18" s="121"/>
      <x:c r="BC18" s="121"/>
      <x:c r="BD18" s="121"/>
      <x:c r="BE18" s="121"/>
      <x:c r="BF18" s="121"/>
      <x:c r="BH18" s="101"/>
      <x:c r="BI18" s="101"/>
      <x:c r="BJ18" s="101"/>
      <x:c r="BK18" s="101"/>
      <x:c r="BL18" s="101"/>
      <x:c r="BM18" s="101"/>
      <x:c r="BN18" s="101"/>
      <x:c r="BO18" s="101"/>
      <x:c r="BP18" s="101"/>
      <x:c r="BQ18" s="101"/>
    </x:row>
    <x:row r="19" spans="1:69" ht="15" customHeight="1" x14ac:dyDescent="0.3">
      <x:c r="J19" s="164">
        <x:f>Analysis!P7</x:f>
      </x:c>
      <x:c r="AC19" s="156"/>
      <x:c r="AD19" s="8"/>
      <x:c r="AE19" s="6"/>
      <x:c r="AF19" s="8" t="s">
        <x:v>42</x:v>
      </x:c>
      <x:c r="AG19" s="8" t="s">
        <x:v>43</x:v>
      </x:c>
      <x:c r="AH19" s="8" t="s">
        <x:v>44</x:v>
      </x:c>
      <x:c r="AI19" s="8" t="s">
        <x:v>45</x:v>
      </x:c>
      <x:c r="AJ19" s="75">
        <x:f>INDEX(Analysis!$A$7:$DV$8,1,MATCH(AC19,Analysis!$A$8:$DV$8,0))</x:f>
      </x:c>
      <x:c r="AK19" s="77">
        <x:f>(AJ19-$AJ$10)/$AJ$10*100</x:f>
      </x:c>
      <x:c r="AL19" s="75">
        <x:f>(AJ19-$AJ$10)/12*AE19</x:f>
      </x:c>
      <x:c r="AM19" s="121"/>
      <x:c r="AN19" s="121"/>
      <x:c r="AO19" s="121"/>
      <x:c r="AP19" s="121"/>
      <x:c r="AQ19" s="121"/>
      <x:c r="AR19" s="121"/>
      <x:c r="AS19" s="121"/>
      <x:c r="AT19" s="121"/>
      <x:c r="AU19" s="121"/>
      <x:c r="AV19" s="121"/>
      <x:c r="AW19" s="121"/>
      <x:c r="AX19" s="121"/>
      <x:c r="AY19" s="121"/>
      <x:c r="AZ19" s="121"/>
      <x:c r="BA19" s="121"/>
      <x:c r="BB19" s="121"/>
      <x:c r="BC19" s="121"/>
      <x:c r="BD19" s="121"/>
      <x:c r="BE19" s="121"/>
      <x:c r="BF19" s="121"/>
      <x:c r="BH19" s="102" t="s">
        <x:v>59</x:v>
      </x:c>
      <x:c r="BI19" s="101"/>
      <x:c r="BJ19" s="101"/>
      <x:c r="BK19" s="101"/>
      <x:c r="BL19" s="101"/>
      <x:c r="BM19" s="101"/>
      <x:c r="BN19" s="101"/>
      <x:c r="BO19" s="101"/>
      <x:c r="BP19" s="101"/>
      <x:c r="BQ19" s="101"/>
    </x:row>
    <x:row r="20" spans="1:69" ht="15" customHeight="1" x14ac:dyDescent="0.3">
      <x:c r="J20" s="165"/>
      <x:c r="AC20" s="156"/>
      <x:c r="AD20" s="8"/>
      <x:c r="AE20" s="6"/>
      <x:c r="AF20" s="8" t="s">
        <x:v>42</x:v>
      </x:c>
      <x:c r="AG20" s="8" t="s">
        <x:v>43</x:v>
      </x:c>
      <x:c r="AH20" s="8" t="s">
        <x:v>44</x:v>
      </x:c>
      <x:c r="AI20" s="8" t="s">
        <x:v>45</x:v>
      </x:c>
      <x:c r="AJ20" s="75">
        <x:f>INDEX(Analysis!$A$7:$DV$8,1,MATCH(AC20,Analysis!$A$8:$DV$8,0))</x:f>
      </x:c>
      <x:c r="AK20" s="77">
        <x:f>(AJ20-$AJ$10)/$AJ$10*100</x:f>
      </x:c>
      <x:c r="AL20" s="75">
        <x:f>(AJ20-$AJ$10)/12*AE20</x:f>
      </x:c>
      <x:c r="AM20" s="121"/>
      <x:c r="AN20" s="121"/>
      <x:c r="AO20" s="121"/>
      <x:c r="AP20" s="121"/>
      <x:c r="AQ20" s="121"/>
      <x:c r="AR20" s="121"/>
      <x:c r="AS20" s="121"/>
      <x:c r="AT20" s="121"/>
      <x:c r="AU20" s="121"/>
      <x:c r="AV20" s="121"/>
      <x:c r="AW20" s="121"/>
      <x:c r="AX20" s="121"/>
      <x:c r="AY20" s="121"/>
      <x:c r="AZ20" s="121"/>
      <x:c r="BA20" s="121"/>
      <x:c r="BB20" s="121"/>
      <x:c r="BC20" s="121"/>
      <x:c r="BD20" s="121"/>
      <x:c r="BE20" s="121"/>
      <x:c r="BF20" s="121"/>
      <x:c r="BH20" s="101" t="s">
        <x:v>60</x:v>
      </x:c>
      <x:c r="BI20" s="101"/>
      <x:c r="BJ20" s="101"/>
      <x:c r="BK20" s="101"/>
      <x:c r="BL20" s="101"/>
      <x:c r="BM20" s="101"/>
      <x:c r="BN20" s="101"/>
      <x:c r="BO20" s="101"/>
      <x:c r="BP20" s="101"/>
      <x:c r="BQ20" s="101"/>
    </x:row>
    <x:row r="21" spans="1:69" ht="15" customHeight="1" x14ac:dyDescent="0.3">
      <x:c r="J21" s="165"/>
      <x:c r="AC21" s="156"/>
      <x:c r="AD21" s="8"/>
      <x:c r="AE21" s="6"/>
      <x:c r="AF21" s="8" t="s">
        <x:v>42</x:v>
      </x:c>
      <x:c r="AG21" s="8" t="s">
        <x:v>43</x:v>
      </x:c>
      <x:c r="AH21" s="8" t="s">
        <x:v>44</x:v>
      </x:c>
      <x:c r="AI21" s="8" t="s">
        <x:v>45</x:v>
      </x:c>
      <x:c r="AJ21" s="75">
        <x:f>INDEX(Analysis!$A$7:$DV$8,1,MATCH(AC21,Analysis!$A$8:$DV$8,0))</x:f>
      </x:c>
      <x:c r="AK21" s="77">
        <x:f>(AJ21-$AJ$10)/$AJ$10*100</x:f>
      </x:c>
      <x:c r="AL21" s="75">
        <x:f>(AJ21-$AJ$10)/12*AE21</x:f>
      </x:c>
      <x:c r="AM21" s="121"/>
      <x:c r="AN21" s="121"/>
      <x:c r="AO21" s="121"/>
      <x:c r="AP21" s="121"/>
      <x:c r="AQ21" s="121"/>
      <x:c r="AR21" s="121"/>
      <x:c r="AS21" s="121"/>
      <x:c r="AT21" s="121"/>
      <x:c r="AU21" s="121"/>
      <x:c r="AV21" s="121"/>
      <x:c r="AW21" s="121"/>
      <x:c r="AX21" s="121"/>
      <x:c r="AY21" s="121"/>
      <x:c r="AZ21" s="121"/>
      <x:c r="BA21" s="121"/>
      <x:c r="BB21" s="121"/>
      <x:c r="BC21" s="121"/>
      <x:c r="BD21" s="121"/>
      <x:c r="BE21" s="121"/>
      <x:c r="BF21" s="121"/>
      <x:c r="BH21" s="101" t="s">
        <x:v>61</x:v>
      </x:c>
      <x:c r="BI21" s="101"/>
      <x:c r="BJ21" s="101"/>
      <x:c r="BK21" s="101"/>
      <x:c r="BL21" s="101"/>
      <x:c r="BM21" s="101"/>
      <x:c r="BN21" s="101"/>
      <x:c r="BO21" s="101"/>
      <x:c r="BP21" s="101"/>
      <x:c r="BQ21" s="101"/>
    </x:row>
    <x:row r="22" spans="1:69" ht="15" customHeight="1" x14ac:dyDescent="0.3">
      <x:c r="J22" s="165"/>
      <x:c r="AC22" s="156"/>
      <x:c r="AD22" s="8"/>
      <x:c r="AE22" s="6"/>
      <x:c r="AF22" s="8" t="s">
        <x:v>42</x:v>
      </x:c>
      <x:c r="AG22" s="8" t="s">
        <x:v>43</x:v>
      </x:c>
      <x:c r="AH22" s="8" t="s">
        <x:v>44</x:v>
      </x:c>
      <x:c r="AI22" s="8" t="s">
        <x:v>45</x:v>
      </x:c>
      <x:c r="AJ22" s="75">
        <x:f>INDEX(Analysis!$A$7:$DV$8,1,MATCH(AC22,Analysis!$A$8:$DV$8,0))</x:f>
      </x:c>
      <x:c r="AK22" s="77">
        <x:f>(AJ22-$AJ$10)/$AJ$10*100</x:f>
      </x:c>
      <x:c r="AL22" s="75">
        <x:f>(AJ22-$AJ$10)/12*AE22</x:f>
      </x:c>
      <x:c r="AM22" s="121"/>
      <x:c r="AN22" s="121"/>
      <x:c r="AO22" s="121"/>
      <x:c r="AP22" s="121"/>
      <x:c r="AQ22" s="121"/>
      <x:c r="AR22" s="121"/>
      <x:c r="AS22" s="121"/>
      <x:c r="AT22" s="121"/>
      <x:c r="AU22" s="121"/>
      <x:c r="AV22" s="121"/>
      <x:c r="AW22" s="121"/>
      <x:c r="AX22" s="121"/>
      <x:c r="AY22" s="121"/>
      <x:c r="AZ22" s="121"/>
      <x:c r="BA22" s="121"/>
      <x:c r="BB22" s="121"/>
      <x:c r="BC22" s="121"/>
      <x:c r="BD22" s="121"/>
      <x:c r="BE22" s="121"/>
      <x:c r="BF22" s="121"/>
      <x:c r="BH22" s="101" t="s">
        <x:v>62</x:v>
      </x:c>
      <x:c r="BI22" s="101"/>
      <x:c r="BJ22" s="101"/>
      <x:c r="BK22" s="101"/>
      <x:c r="BL22" s="101"/>
      <x:c r="BM22" s="101"/>
      <x:c r="BN22" s="101"/>
      <x:c r="BO22" s="101"/>
      <x:c r="BP22" s="101"/>
      <x:c r="BQ22" s="101"/>
    </x:row>
    <x:row r="23" spans="1:69" ht="16.5" customHeight="1" x14ac:dyDescent="0.3">
      <x:c r="J23" s="162" t="s">
        <x:v>63</x:v>
      </x:c>
      <x:c r="AC23" s="156"/>
      <x:c r="AD23" s="8"/>
      <x:c r="AE23" s="6"/>
      <x:c r="AF23" s="8" t="s">
        <x:v>42</x:v>
      </x:c>
      <x:c r="AG23" s="8" t="s">
        <x:v>43</x:v>
      </x:c>
      <x:c r="AH23" s="8" t="s">
        <x:v>44</x:v>
      </x:c>
      <x:c r="AI23" s="8" t="s">
        <x:v>45</x:v>
      </x:c>
      <x:c r="AJ23" s="75">
        <x:f>INDEX(Analysis!$A$7:$DV$8,1,MATCH(AC23,Analysis!$A$8:$DV$8,0))</x:f>
      </x:c>
      <x:c r="AK23" s="77">
        <x:f>(AJ23-$AJ$10)/$AJ$10*100</x:f>
      </x:c>
      <x:c r="AL23" s="75">
        <x:f>(AJ23-$AJ$10)/12*AE23</x:f>
      </x:c>
      <x:c r="AM23" s="121"/>
      <x:c r="AN23" s="121"/>
      <x:c r="AO23" s="121"/>
      <x:c r="AP23" s="121"/>
      <x:c r="AQ23" s="121"/>
      <x:c r="AR23" s="121"/>
      <x:c r="AS23" s="121"/>
      <x:c r="AT23" s="121"/>
      <x:c r="AU23" s="121"/>
      <x:c r="AV23" s="121"/>
      <x:c r="AW23" s="121"/>
      <x:c r="AX23" s="121"/>
      <x:c r="AY23" s="121"/>
      <x:c r="AZ23" s="121"/>
      <x:c r="BA23" s="121"/>
      <x:c r="BB23" s="121"/>
      <x:c r="BC23" s="121"/>
      <x:c r="BD23" s="121"/>
      <x:c r="BE23" s="121"/>
      <x:c r="BF23" s="121"/>
      <x:c r="BH23" s="101"/>
      <x:c r="BI23" s="101"/>
      <x:c r="BJ23" s="101"/>
      <x:c r="BK23" s="101"/>
      <x:c r="BL23" s="101"/>
      <x:c r="BM23" s="101"/>
      <x:c r="BN23" s="101"/>
      <x:c r="BO23" s="101"/>
      <x:c r="BP23" s="101"/>
      <x:c r="BQ23" s="101"/>
    </x:row>
    <x:row r="24" spans="1:69" ht="16.5" customHeight="1" x14ac:dyDescent="0.3">
      <x:c r="J24" s="163"/>
      <x:c r="AC24" s="156"/>
      <x:c r="AD24" s="8"/>
      <x:c r="AE24" s="6"/>
      <x:c r="AF24" s="8" t="s">
        <x:v>42</x:v>
      </x:c>
      <x:c r="AG24" s="8" t="s">
        <x:v>43</x:v>
      </x:c>
      <x:c r="AH24" s="8" t="s">
        <x:v>44</x:v>
      </x:c>
      <x:c r="AI24" s="8" t="s">
        <x:v>45</x:v>
      </x:c>
      <x:c r="AJ24" s="75">
        <x:f>INDEX(Analysis!$A$7:$DV$8,1,MATCH(AC24,Analysis!$A$8:$DV$8,0))</x:f>
      </x:c>
      <x:c r="AK24" s="77">
        <x:f>(AJ24-$AJ$10)/$AJ$10*100</x:f>
      </x:c>
      <x:c r="AL24" s="75">
        <x:f>(AJ24-$AJ$10)/12*AE24</x:f>
      </x:c>
      <x:c r="AM24" s="121"/>
      <x:c r="AN24" s="121"/>
      <x:c r="AO24" s="121"/>
      <x:c r="AP24" s="121"/>
      <x:c r="AQ24" s="121"/>
      <x:c r="AR24" s="121"/>
      <x:c r="AS24" s="121"/>
      <x:c r="AT24" s="121"/>
      <x:c r="AU24" s="121"/>
      <x:c r="AV24" s="121"/>
      <x:c r="AW24" s="121"/>
      <x:c r="AX24" s="121"/>
      <x:c r="AY24" s="121"/>
      <x:c r="AZ24" s="121"/>
      <x:c r="BA24" s="121"/>
      <x:c r="BB24" s="121"/>
      <x:c r="BC24" s="121"/>
      <x:c r="BD24" s="121"/>
      <x:c r="BE24" s="121"/>
      <x:c r="BF24" s="121"/>
      <x:c r="BH24" s="101"/>
      <x:c r="BI24" s="101"/>
      <x:c r="BJ24" s="101"/>
      <x:c r="BK24" s="101"/>
      <x:c r="BL24" s="101"/>
      <x:c r="BM24" s="101"/>
      <x:c r="BN24" s="101"/>
      <x:c r="BO24" s="101"/>
      <x:c r="BP24" s="101"/>
      <x:c r="BQ24" s="101"/>
    </x:row>
    <x:row r="25" spans="1:69" ht="15" customHeight="1" x14ac:dyDescent="0.3">
      <x:c r="J25" s="166">
        <x:f>AD4</x:f>
      </x:c>
      <x:c r="AC25" s="156"/>
      <x:c r="AD25" s="8"/>
      <x:c r="AE25" s="6"/>
      <x:c r="AF25" s="8" t="s">
        <x:v>42</x:v>
      </x:c>
      <x:c r="AG25" s="8" t="s">
        <x:v>43</x:v>
      </x:c>
      <x:c r="AH25" s="8" t="s">
        <x:v>44</x:v>
      </x:c>
      <x:c r="AI25" s="8" t="s">
        <x:v>45</x:v>
      </x:c>
      <x:c r="AJ25" s="75">
        <x:f>INDEX(Analysis!$A$7:$DV$8,1,MATCH(AC25,Analysis!$A$8:$DV$8,0))</x:f>
      </x:c>
      <x:c r="AK25" s="77">
        <x:f>(AJ25-$AJ$10)/$AJ$10*100</x:f>
      </x:c>
      <x:c r="AL25" s="75">
        <x:f>(AJ25-$AJ$10)/12*AE25</x:f>
      </x:c>
      <x:c r="AM25" s="121"/>
      <x:c r="AN25" s="121"/>
      <x:c r="AO25" s="121"/>
      <x:c r="AP25" s="121"/>
      <x:c r="AQ25" s="121"/>
      <x:c r="AR25" s="121"/>
      <x:c r="AS25" s="121"/>
      <x:c r="AT25" s="121"/>
      <x:c r="AU25" s="121"/>
      <x:c r="AV25" s="121"/>
      <x:c r="AW25" s="121"/>
      <x:c r="AX25" s="121"/>
      <x:c r="AY25" s="121"/>
      <x:c r="AZ25" s="121"/>
      <x:c r="BA25" s="121"/>
      <x:c r="BB25" s="121"/>
      <x:c r="BC25" s="121"/>
      <x:c r="BD25" s="121"/>
      <x:c r="BE25" s="121"/>
      <x:c r="BF25" s="121"/>
      <x:c r="BH25" s="101"/>
      <x:c r="BI25" s="101"/>
      <x:c r="BJ25" s="101"/>
      <x:c r="BK25" s="101"/>
      <x:c r="BL25" s="101"/>
      <x:c r="BM25" s="101"/>
      <x:c r="BN25" s="101"/>
      <x:c r="BO25" s="101"/>
      <x:c r="BP25" s="101"/>
      <x:c r="BQ25" s="101"/>
    </x:row>
    <x:row r="26" spans="1:69" ht="15" customHeight="1" x14ac:dyDescent="0.3">
      <x:c r="J26" s="167"/>
      <x:c r="AC26" s="156"/>
      <x:c r="AD26" s="8"/>
      <x:c r="AE26" s="6"/>
      <x:c r="AF26" s="8" t="s">
        <x:v>42</x:v>
      </x:c>
      <x:c r="AG26" s="8" t="s">
        <x:v>43</x:v>
      </x:c>
      <x:c r="AH26" s="8" t="s">
        <x:v>44</x:v>
      </x:c>
      <x:c r="AI26" s="8" t="s">
        <x:v>45</x:v>
      </x:c>
      <x:c r="AJ26" s="75">
        <x:f>INDEX(Analysis!$A$7:$DV$8,1,MATCH(AC26,Analysis!$A$8:$DV$8,0))</x:f>
      </x:c>
      <x:c r="AK26" s="77">
        <x:f>(AJ26-$AJ$10)/$AJ$10*100</x:f>
      </x:c>
      <x:c r="AL26" s="75">
        <x:f>(AJ26-$AJ$10)/12*AE26</x:f>
      </x:c>
      <x:c r="AM26" s="121"/>
      <x:c r="AN26" s="121"/>
      <x:c r="AO26" s="121"/>
      <x:c r="AP26" s="121"/>
      <x:c r="AQ26" s="121"/>
      <x:c r="AR26" s="121"/>
      <x:c r="AS26" s="121"/>
      <x:c r="AT26" s="121"/>
      <x:c r="AU26" s="121"/>
      <x:c r="AV26" s="121"/>
      <x:c r="AW26" s="121"/>
      <x:c r="AX26" s="121"/>
      <x:c r="AY26" s="121"/>
      <x:c r="AZ26" s="121"/>
      <x:c r="BA26" s="121"/>
      <x:c r="BB26" s="121"/>
      <x:c r="BC26" s="121"/>
      <x:c r="BD26" s="121"/>
      <x:c r="BE26" s="121"/>
      <x:c r="BF26" s="121"/>
      <x:c r="BI26" s="101"/>
      <x:c r="BJ26" s="101"/>
      <x:c r="BK26" s="101"/>
      <x:c r="BL26" s="101"/>
      <x:c r="BM26" s="101"/>
      <x:c r="BN26" s="101"/>
      <x:c r="BO26" s="101"/>
      <x:c r="BP26" s="101"/>
      <x:c r="BQ26" s="101"/>
    </x:row>
    <x:row r="27" spans="1:69" ht="15" customHeight="1" x14ac:dyDescent="0.3">
      <x:c r="J27" s="167"/>
      <x:c r="AC27" s="156"/>
      <x:c r="AD27" s="8"/>
      <x:c r="AE27" s="6"/>
      <x:c r="AF27" s="8" t="s">
        <x:v>42</x:v>
      </x:c>
      <x:c r="AG27" s="8" t="s">
        <x:v>43</x:v>
      </x:c>
      <x:c r="AH27" s="8" t="s">
        <x:v>44</x:v>
      </x:c>
      <x:c r="AI27" s="8" t="s">
        <x:v>45</x:v>
      </x:c>
      <x:c r="AJ27" s="75">
        <x:f>INDEX(Analysis!$A$7:$DV$8,1,MATCH(AC27,Analysis!$A$8:$DV$8,0))</x:f>
      </x:c>
      <x:c r="AK27" s="77">
        <x:f>(AJ27-$AJ$10)/$AJ$10*100</x:f>
      </x:c>
      <x:c r="AL27" s="75">
        <x:f>(AJ27-$AJ$10)/12*AE27</x:f>
      </x:c>
      <x:c r="AM27" s="121"/>
      <x:c r="AN27" s="121"/>
      <x:c r="AO27" s="121"/>
      <x:c r="AP27" s="121"/>
      <x:c r="AQ27" s="121"/>
      <x:c r="AR27" s="121"/>
      <x:c r="AS27" s="121"/>
      <x:c r="AT27" s="121"/>
      <x:c r="AU27" s="121"/>
      <x:c r="AV27" s="121"/>
      <x:c r="AW27" s="121"/>
      <x:c r="AX27" s="121"/>
      <x:c r="AY27" s="121"/>
      <x:c r="AZ27" s="121"/>
      <x:c r="BA27" s="121"/>
      <x:c r="BB27" s="121"/>
      <x:c r="BC27" s="121"/>
      <x:c r="BD27" s="121"/>
      <x:c r="BE27" s="121"/>
      <x:c r="BF27" s="121"/>
    </x:row>
    <x:row r="28" spans="1:69" ht="15" customHeight="1" x14ac:dyDescent="0.3">
      <x:c r="J28" s="167"/>
      <x:c r="AC28" s="156"/>
      <x:c r="AD28" s="8"/>
      <x:c r="AE28" s="6"/>
      <x:c r="AF28" s="8" t="s">
        <x:v>42</x:v>
      </x:c>
      <x:c r="AG28" s="8" t="s">
        <x:v>43</x:v>
      </x:c>
      <x:c r="AH28" s="8" t="s">
        <x:v>44</x:v>
      </x:c>
      <x:c r="AI28" s="8" t="s">
        <x:v>45</x:v>
      </x:c>
      <x:c r="AJ28" s="75">
        <x:f>INDEX(Analysis!$A$7:$DV$8,1,MATCH(AC28,Analysis!$A$8:$DV$8,0))</x:f>
      </x:c>
      <x:c r="AK28" s="77">
        <x:f>(AJ28-$AJ$10)/$AJ$10*100</x:f>
      </x:c>
      <x:c r="AL28" s="75">
        <x:f>(AJ28-$AJ$10)/12*AE28</x:f>
      </x:c>
      <x:c r="AM28" s="121"/>
      <x:c r="AN28" s="121"/>
      <x:c r="AO28" s="121"/>
      <x:c r="AP28" s="121"/>
      <x:c r="AQ28" s="121"/>
      <x:c r="AR28" s="121"/>
      <x:c r="AS28" s="121"/>
      <x:c r="AT28" s="121"/>
      <x:c r="AU28" s="121"/>
      <x:c r="AV28" s="121"/>
      <x:c r="AW28" s="121"/>
      <x:c r="AX28" s="121"/>
      <x:c r="AY28" s="121"/>
      <x:c r="AZ28" s="121"/>
      <x:c r="BA28" s="121"/>
      <x:c r="BB28" s="121"/>
      <x:c r="BC28" s="121"/>
      <x:c r="BD28" s="121"/>
      <x:c r="BE28" s="121"/>
      <x:c r="BF28" s="121"/>
    </x:row>
    <x:row r="29" spans="1:69" ht="16.5" customHeight="1" x14ac:dyDescent="0.3">
      <x:c r="J29" s="168" t="s">
        <x:v>64</x:v>
      </x:c>
      <x:c r="AC29" s="156"/>
      <x:c r="AD29" s="8"/>
      <x:c r="AE29" s="6"/>
      <x:c r="AF29" s="8" t="s">
        <x:v>42</x:v>
      </x:c>
      <x:c r="AG29" s="8" t="s">
        <x:v>43</x:v>
      </x:c>
      <x:c r="AH29" s="8" t="s">
        <x:v>44</x:v>
      </x:c>
      <x:c r="AI29" s="8" t="s">
        <x:v>45</x:v>
      </x:c>
      <x:c r="AJ29" s="75">
        <x:f>INDEX(Analysis!$A$7:$DV$8,1,MATCH(AC29,Analysis!$A$8:$DV$8,0))</x:f>
      </x:c>
      <x:c r="AK29" s="77">
        <x:f>(AJ29-$AJ$10)/$AJ$10*100</x:f>
      </x:c>
      <x:c r="AL29" s="75">
        <x:f>(AJ29-$AJ$10)/12*AE29</x:f>
      </x:c>
      <x:c r="AM29" s="121"/>
      <x:c r="AN29" s="121"/>
      <x:c r="AO29" s="121"/>
      <x:c r="AP29" s="121"/>
      <x:c r="AQ29" s="121"/>
      <x:c r="AR29" s="121"/>
      <x:c r="AS29" s="121"/>
      <x:c r="AT29" s="121"/>
      <x:c r="AU29" s="121"/>
      <x:c r="AV29" s="121"/>
      <x:c r="AW29" s="121"/>
      <x:c r="AX29" s="121"/>
      <x:c r="AY29" s="121"/>
      <x:c r="AZ29" s="121"/>
      <x:c r="BA29" s="121"/>
      <x:c r="BB29" s="121"/>
      <x:c r="BC29" s="121"/>
      <x:c r="BD29" s="121"/>
      <x:c r="BE29" s="121"/>
      <x:c r="BF29" s="121"/>
    </x:row>
    <x:row r="30" spans="1:69" ht="16.5" customHeight="1" x14ac:dyDescent="0.3">
      <x:c r="J30" s="169"/>
      <x:c r="AC30" s="156"/>
      <x:c r="AD30" s="8"/>
      <x:c r="AE30" s="6"/>
      <x:c r="AF30" s="8" t="s">
        <x:v>42</x:v>
      </x:c>
      <x:c r="AG30" s="8" t="s">
        <x:v>43</x:v>
      </x:c>
      <x:c r="AH30" s="8" t="s">
        <x:v>44</x:v>
      </x:c>
      <x:c r="AI30" s="8" t="s">
        <x:v>45</x:v>
      </x:c>
      <x:c r="AJ30" s="75">
        <x:f>INDEX(Analysis!$A$7:$DV$8,1,MATCH(AC30,Analysis!$A$8:$DV$8,0))</x:f>
      </x:c>
      <x:c r="AK30" s="77">
        <x:f>(AJ30-$AJ$10)/$AJ$10*100</x:f>
      </x:c>
      <x:c r="AL30" s="75">
        <x:f>(AJ30-$AJ$10)/12*AE30</x:f>
      </x:c>
      <x:c r="AM30" s="121"/>
      <x:c r="AN30" s="121"/>
      <x:c r="AO30" s="121"/>
      <x:c r="AP30" s="121"/>
      <x:c r="AQ30" s="121"/>
      <x:c r="AR30" s="121"/>
      <x:c r="AS30" s="121"/>
      <x:c r="AT30" s="121"/>
      <x:c r="AU30" s="121"/>
      <x:c r="AV30" s="121"/>
      <x:c r="AW30" s="121"/>
      <x:c r="AX30" s="121"/>
      <x:c r="AY30" s="121"/>
      <x:c r="AZ30" s="121"/>
      <x:c r="BA30" s="121"/>
      <x:c r="BB30" s="121"/>
      <x:c r="BC30" s="121"/>
      <x:c r="BD30" s="121"/>
      <x:c r="BE30" s="121"/>
      <x:c r="BF30" s="121"/>
    </x:row>
    <x:row r="31" spans="1:69" ht="15" customHeight="1" x14ac:dyDescent="0.3">
      <x:c r="J31" s="170">
        <x:f>AD5</x:f>
      </x:c>
      <x:c r="AC31" s="156"/>
      <x:c r="AD31" s="8"/>
      <x:c r="AE31" s="6"/>
      <x:c r="AF31" s="8" t="s">
        <x:v>42</x:v>
      </x:c>
      <x:c r="AG31" s="8" t="s">
        <x:v>43</x:v>
      </x:c>
      <x:c r="AH31" s="8" t="s">
        <x:v>44</x:v>
      </x:c>
      <x:c r="AI31" s="8" t="s">
        <x:v>45</x:v>
      </x:c>
      <x:c r="AJ31" s="75">
        <x:f>INDEX(Analysis!$A$7:$DV$8,1,MATCH(AC31,Analysis!$A$8:$DV$8,0))</x:f>
      </x:c>
      <x:c r="AK31" s="77">
        <x:f>(AJ31-$AJ$10)/$AJ$10*100</x:f>
      </x:c>
      <x:c r="AL31" s="75">
        <x:f>(AJ31-$AJ$10)/12*AE31</x:f>
      </x:c>
      <x:c r="AM31" s="121"/>
      <x:c r="AN31" s="121"/>
      <x:c r="AO31" s="121"/>
      <x:c r="AP31" s="121"/>
      <x:c r="AQ31" s="121"/>
      <x:c r="AR31" s="121"/>
      <x:c r="AS31" s="121"/>
      <x:c r="AT31" s="121"/>
      <x:c r="AU31" s="121"/>
      <x:c r="AV31" s="121"/>
      <x:c r="AW31" s="121"/>
      <x:c r="AX31" s="121"/>
      <x:c r="AY31" s="121"/>
      <x:c r="AZ31" s="121"/>
      <x:c r="BA31" s="121"/>
      <x:c r="BB31" s="121"/>
      <x:c r="BC31" s="121"/>
      <x:c r="BD31" s="121"/>
      <x:c r="BE31" s="121"/>
      <x:c r="BF31" s="121"/>
    </x:row>
    <x:row r="32" spans="1:69" ht="15" customHeight="1" x14ac:dyDescent="0.3">
      <x:c r="J32" s="167"/>
      <x:c r="AC32" s="156"/>
      <x:c r="AD32" s="8"/>
      <x:c r="AE32" s="6"/>
      <x:c r="AF32" s="8" t="s">
        <x:v>42</x:v>
      </x:c>
      <x:c r="AG32" s="8" t="s">
        <x:v>43</x:v>
      </x:c>
      <x:c r="AH32" s="8" t="s">
        <x:v>44</x:v>
      </x:c>
      <x:c r="AI32" s="8" t="s">
        <x:v>45</x:v>
      </x:c>
      <x:c r="AJ32" s="75">
        <x:f>INDEX(Analysis!$A$7:$DV$8,1,MATCH(AC32,Analysis!$A$8:$DV$8,0))</x:f>
      </x:c>
      <x:c r="AK32" s="77">
        <x:f>(AJ32-$AJ$10)/$AJ$10*100</x:f>
      </x:c>
      <x:c r="AL32" s="75">
        <x:f>(AJ32-$AJ$10)/12*AE32</x:f>
      </x:c>
      <x:c r="AM32" s="121"/>
      <x:c r="AN32" s="121"/>
      <x:c r="AO32" s="121"/>
      <x:c r="AP32" s="121"/>
      <x:c r="AQ32" s="121"/>
      <x:c r="AR32" s="121"/>
      <x:c r="AS32" s="121"/>
      <x:c r="AT32" s="121"/>
      <x:c r="AU32" s="121"/>
      <x:c r="AV32" s="121"/>
      <x:c r="AW32" s="121"/>
      <x:c r="AX32" s="121"/>
      <x:c r="AY32" s="121"/>
      <x:c r="AZ32" s="121"/>
      <x:c r="BA32" s="121"/>
      <x:c r="BB32" s="121"/>
      <x:c r="BC32" s="121"/>
      <x:c r="BD32" s="121"/>
      <x:c r="BE32" s="121"/>
      <x:c r="BF32" s="121"/>
    </x:row>
    <x:row r="33" spans="1:69" ht="15" customHeight="1" x14ac:dyDescent="0.3">
      <x:c r="J33" s="167"/>
      <x:c r="AC33" s="156"/>
      <x:c r="AD33" s="8"/>
      <x:c r="AE33" s="6"/>
      <x:c r="AF33" s="8" t="s">
        <x:v>42</x:v>
      </x:c>
      <x:c r="AG33" s="8" t="s">
        <x:v>43</x:v>
      </x:c>
      <x:c r="AH33" s="8" t="s">
        <x:v>44</x:v>
      </x:c>
      <x:c r="AI33" s="8" t="s">
        <x:v>45</x:v>
      </x:c>
      <x:c r="AJ33" s="75">
        <x:f>INDEX(Analysis!$A$7:$DV$8,1,MATCH(AC33,Analysis!$A$8:$DV$8,0))</x:f>
      </x:c>
      <x:c r="AK33" s="77">
        <x:f>(AJ33-$AJ$10)/$AJ$10*100</x:f>
      </x:c>
      <x:c r="AL33" s="75">
        <x:f>(AJ33-$AJ$10)/12*AE33</x:f>
      </x:c>
      <x:c r="AM33" s="121"/>
      <x:c r="AN33" s="121"/>
      <x:c r="AO33" s="121"/>
      <x:c r="AP33" s="121"/>
      <x:c r="AQ33" s="121"/>
      <x:c r="AR33" s="121"/>
      <x:c r="AS33" s="121"/>
      <x:c r="AT33" s="121"/>
      <x:c r="AU33" s="121"/>
      <x:c r="AV33" s="121"/>
      <x:c r="AW33" s="121"/>
      <x:c r="AX33" s="121"/>
      <x:c r="AY33" s="121"/>
      <x:c r="AZ33" s="121"/>
      <x:c r="BA33" s="121"/>
      <x:c r="BB33" s="121"/>
      <x:c r="BC33" s="121"/>
      <x:c r="BD33" s="121"/>
      <x:c r="BE33" s="121"/>
      <x:c r="BF33" s="121"/>
    </x:row>
    <x:row r="34" spans="1:69" ht="15" customHeight="1" x14ac:dyDescent="0.3">
      <x:c r="J34" s="167"/>
      <x:c r="AC34" s="156"/>
      <x:c r="AD34" s="8"/>
      <x:c r="AE34" s="6"/>
      <x:c r="AF34" s="8" t="s">
        <x:v>42</x:v>
      </x:c>
      <x:c r="AG34" s="8" t="s">
        <x:v>43</x:v>
      </x:c>
      <x:c r="AH34" s="8" t="s">
        <x:v>44</x:v>
      </x:c>
      <x:c r="AI34" s="8" t="s">
        <x:v>45</x:v>
      </x:c>
      <x:c r="AJ34" s="75">
        <x:f>INDEX(Analysis!$A$7:$DV$8,1,MATCH(AC34,Analysis!$A$8:$DV$8,0))</x:f>
      </x:c>
      <x:c r="AK34" s="77">
        <x:f>(AJ34-$AJ$10)/$AJ$10*100</x:f>
      </x:c>
      <x:c r="AL34" s="75">
        <x:f>(AJ34-$AJ$10)/12*AE34</x:f>
      </x:c>
      <x:c r="AM34" s="121"/>
      <x:c r="AN34" s="121"/>
      <x:c r="AO34" s="121"/>
      <x:c r="AP34" s="121"/>
      <x:c r="AQ34" s="121"/>
      <x:c r="AR34" s="121"/>
      <x:c r="AS34" s="121"/>
      <x:c r="AT34" s="121"/>
      <x:c r="AU34" s="121"/>
      <x:c r="AV34" s="121"/>
      <x:c r="AW34" s="121"/>
      <x:c r="AX34" s="121"/>
      <x:c r="AY34" s="121"/>
      <x:c r="AZ34" s="121"/>
      <x:c r="BA34" s="121"/>
      <x:c r="BB34" s="121"/>
      <x:c r="BC34" s="121"/>
      <x:c r="BD34" s="121"/>
      <x:c r="BE34" s="121"/>
      <x:c r="BF34" s="121"/>
    </x:row>
    <x:row r="35" spans="1:69" ht="16.5" customHeight="1" x14ac:dyDescent="0.3">
      <x:c r="J35" s="168" t="s">
        <x:v>65</x:v>
      </x:c>
      <x:c r="AC35" s="156"/>
      <x:c r="AD35" s="8"/>
      <x:c r="AE35" s="6"/>
      <x:c r="AF35" s="8" t="s">
        <x:v>42</x:v>
      </x:c>
      <x:c r="AG35" s="8" t="s">
        <x:v>43</x:v>
      </x:c>
      <x:c r="AH35" s="8" t="s">
        <x:v>44</x:v>
      </x:c>
      <x:c r="AI35" s="8" t="s">
        <x:v>45</x:v>
      </x:c>
      <x:c r="AJ35" s="75">
        <x:f>INDEX(Analysis!$A$7:$DV$8,1,MATCH(AC35,Analysis!$A$8:$DV$8,0))</x:f>
      </x:c>
      <x:c r="AK35" s="77">
        <x:f>(AJ35-$AJ$10)/$AJ$10*100</x:f>
      </x:c>
      <x:c r="AL35" s="75">
        <x:f>(AJ35-$AJ$10)/12*AE35</x:f>
      </x:c>
      <x:c r="AM35" s="121"/>
      <x:c r="AN35" s="121"/>
      <x:c r="AO35" s="121"/>
      <x:c r="AP35" s="121"/>
      <x:c r="AQ35" s="121"/>
      <x:c r="AR35" s="121"/>
      <x:c r="AS35" s="121"/>
      <x:c r="AT35" s="121"/>
      <x:c r="AU35" s="121"/>
      <x:c r="AV35" s="121"/>
      <x:c r="AW35" s="121"/>
      <x:c r="AX35" s="121"/>
      <x:c r="AY35" s="121"/>
      <x:c r="AZ35" s="121"/>
      <x:c r="BA35" s="121"/>
      <x:c r="BB35" s="121"/>
      <x:c r="BC35" s="121"/>
      <x:c r="BD35" s="121"/>
      <x:c r="BE35" s="121"/>
      <x:c r="BF35" s="121"/>
    </x:row>
    <x:row r="36" spans="1:69" ht="16.5" customHeight="1" x14ac:dyDescent="0.3">
      <x:c r="J36" s="169"/>
      <x:c r="AC36" s="156"/>
      <x:c r="AD36" s="8"/>
      <x:c r="AE36" s="6"/>
      <x:c r="AF36" s="8" t="s">
        <x:v>42</x:v>
      </x:c>
      <x:c r="AG36" s="8" t="s">
        <x:v>43</x:v>
      </x:c>
      <x:c r="AH36" s="8" t="s">
        <x:v>44</x:v>
      </x:c>
      <x:c r="AI36" s="8" t="s">
        <x:v>45</x:v>
      </x:c>
      <x:c r="AJ36" s="75">
        <x:f>INDEX(Analysis!$A$7:$DV$8,1,MATCH(AC36,Analysis!$A$8:$DV$8,0))</x:f>
      </x:c>
      <x:c r="AK36" s="77">
        <x:f>(AJ36-$AJ$10)/$AJ$10*100</x:f>
      </x:c>
      <x:c r="AL36" s="75">
        <x:f>(AJ36-$AJ$10)/12*AE36</x:f>
      </x:c>
      <x:c r="AM36" s="121"/>
      <x:c r="AN36" s="121"/>
      <x:c r="AO36" s="121"/>
      <x:c r="AP36" s="121"/>
      <x:c r="AQ36" s="121"/>
      <x:c r="AR36" s="121"/>
      <x:c r="AS36" s="121"/>
      <x:c r="AT36" s="121"/>
      <x:c r="AU36" s="121"/>
      <x:c r="AV36" s="121"/>
      <x:c r="AW36" s="121"/>
      <x:c r="AX36" s="121"/>
      <x:c r="AY36" s="121"/>
      <x:c r="AZ36" s="121"/>
      <x:c r="BA36" s="121"/>
      <x:c r="BB36" s="121"/>
      <x:c r="BC36" s="121"/>
      <x:c r="BD36" s="121"/>
      <x:c r="BE36" s="121"/>
      <x:c r="BF36" s="121"/>
    </x:row>
    <x:row r="37" spans="1:69" ht="15" customHeight="1" x14ac:dyDescent="0.3">
      <x:c r="J37" s="171">
        <x:f>AD2</x:f>
      </x:c>
      <x:c r="AC37" s="156"/>
      <x:c r="AD37" s="8"/>
      <x:c r="AE37" s="6"/>
      <x:c r="AF37" s="8" t="s">
        <x:v>42</x:v>
      </x:c>
      <x:c r="AG37" s="8" t="s">
        <x:v>43</x:v>
      </x:c>
      <x:c r="AH37" s="8" t="s">
        <x:v>44</x:v>
      </x:c>
      <x:c r="AI37" s="8" t="s">
        <x:v>45</x:v>
      </x:c>
      <x:c r="AJ37" s="75">
        <x:f>INDEX(Analysis!$A$7:$DV$8,1,MATCH(AC37,Analysis!$A$8:$DV$8,0))</x:f>
      </x:c>
      <x:c r="AK37" s="77">
        <x:f>(AJ37-$AJ$10)/$AJ$10*100</x:f>
      </x:c>
      <x:c r="AL37" s="75">
        <x:f>(AJ37-$AJ$10)/12*AE37</x:f>
      </x:c>
      <x:c r="AM37" s="121"/>
      <x:c r="AN37" s="121"/>
      <x:c r="AO37" s="121"/>
      <x:c r="AP37" s="121"/>
      <x:c r="AQ37" s="121"/>
      <x:c r="AR37" s="121"/>
      <x:c r="AS37" s="121"/>
      <x:c r="AT37" s="121"/>
      <x:c r="AU37" s="121"/>
      <x:c r="AV37" s="121"/>
      <x:c r="AW37" s="121"/>
      <x:c r="AX37" s="121"/>
      <x:c r="AY37" s="121"/>
      <x:c r="AZ37" s="121"/>
      <x:c r="BA37" s="121"/>
      <x:c r="BB37" s="121"/>
      <x:c r="BC37" s="121"/>
      <x:c r="BD37" s="121"/>
      <x:c r="BE37" s="121"/>
      <x:c r="BF37" s="121"/>
    </x:row>
    <x:row r="38" spans="1:69" ht="15" customHeight="1" x14ac:dyDescent="0.3">
      <x:c r="J38" s="172"/>
      <x:c r="AC38" s="6"/>
      <x:c r="AD38" s="6"/>
      <x:c r="AE38" s="6"/>
      <x:c r="AF38" s="6"/>
      <x:c r="AG38" s="6"/>
      <x:c r="AH38" s="8"/>
      <x:c r="AI38" s="6"/>
      <x:c r="AJ38" s="6"/>
      <x:c r="AK38" s="6"/>
      <x:c r="AL38" s="6"/>
      <x:c r="AM38" s="121"/>
      <x:c r="AN38" s="121"/>
      <x:c r="AO38" s="121"/>
      <x:c r="AP38" s="121"/>
      <x:c r="AQ38" s="121"/>
      <x:c r="AR38" s="121"/>
      <x:c r="AS38" s="121"/>
      <x:c r="AT38" s="121"/>
      <x:c r="AU38" s="121"/>
      <x:c r="AV38" s="121"/>
      <x:c r="AW38" s="121"/>
      <x:c r="AX38" s="121"/>
      <x:c r="AY38" s="121"/>
      <x:c r="AZ38" s="121"/>
      <x:c r="BA38" s="121"/>
      <x:c r="BB38" s="121"/>
      <x:c r="BC38" s="121"/>
      <x:c r="BD38" s="121"/>
      <x:c r="BE38" s="121"/>
      <x:c r="BF38" s="121"/>
    </x:row>
    <x:row r="39" spans="1:69" ht="15" customHeight="1" x14ac:dyDescent="0.25">
      <x:c r="J39" s="172"/>
      <x:c r="AH39" s="103"/>
      <x:c r="AM39" s="121"/>
      <x:c r="AN39" s="121"/>
      <x:c r="AO39" s="121"/>
      <x:c r="AP39" s="121"/>
      <x:c r="AQ39" s="121"/>
      <x:c r="AR39" s="121"/>
      <x:c r="AS39" s="121"/>
      <x:c r="AT39" s="121"/>
      <x:c r="AU39" s="121"/>
      <x:c r="AV39" s="121"/>
      <x:c r="AW39" s="121"/>
      <x:c r="AX39" s="121"/>
      <x:c r="AY39" s="121"/>
      <x:c r="AZ39" s="121"/>
      <x:c r="BA39" s="121"/>
      <x:c r="BB39" s="121"/>
      <x:c r="BC39" s="121"/>
      <x:c r="BD39" s="121"/>
      <x:c r="BE39" s="121"/>
      <x:c r="BF39" s="121"/>
    </x:row>
    <x:row r="40" spans="1:69" ht="15" customHeight="1" x14ac:dyDescent="0.25">
      <x:c r="J40" s="172"/>
      <x:c r="AM40" s="121"/>
      <x:c r="AN40" s="121"/>
      <x:c r="AO40" s="121"/>
      <x:c r="AP40" s="121"/>
      <x:c r="AQ40" s="121"/>
      <x:c r="AR40" s="121"/>
      <x:c r="AS40" s="121"/>
      <x:c r="AT40" s="121"/>
      <x:c r="AU40" s="121"/>
      <x:c r="AV40" s="121"/>
      <x:c r="AW40" s="121"/>
      <x:c r="AX40" s="121"/>
      <x:c r="AY40" s="121"/>
      <x:c r="AZ40" s="121"/>
      <x:c r="BA40" s="121"/>
      <x:c r="BB40" s="121"/>
      <x:c r="BC40" s="121"/>
      <x:c r="BD40" s="121"/>
      <x:c r="BE40" s="121"/>
      <x:c r="BF40" s="121"/>
    </x:row>
    <x:row r="41" spans="1:69" x14ac:dyDescent="0.25">
      <x:c r="A41" s="0" t="s">
        <x:v>152</x:v>
      </x:c>
      <x:c r="J41" s="168" t="s">
        <x:v>66</x:v>
      </x:c>
      <x:c r="AM41" s="121"/>
      <x:c r="AN41" s="121"/>
      <x:c r="AO41" s="121"/>
      <x:c r="AP41" s="121"/>
      <x:c r="AQ41" s="121"/>
      <x:c r="AR41" s="121"/>
      <x:c r="AS41" s="121"/>
      <x:c r="AT41" s="121"/>
      <x:c r="AU41" s="121"/>
      <x:c r="AV41" s="121"/>
      <x:c r="AW41" s="121"/>
      <x:c r="AX41" s="121"/>
      <x:c r="AY41" s="121"/>
      <x:c r="AZ41" s="121"/>
      <x:c r="BA41" s="121"/>
      <x:c r="BB41" s="121"/>
      <x:c r="BC41" s="121"/>
      <x:c r="BD41" s="121"/>
      <x:c r="BE41" s="121"/>
      <x:c r="BF41" s="121"/>
    </x:row>
    <x:row r="42" spans="1:69" x14ac:dyDescent="0.25">
      <x:c r="J42" s="169"/>
      <x:c r="AM42" s="121"/>
      <x:c r="AN42" s="121"/>
      <x:c r="AO42" s="121"/>
      <x:c r="AP42" s="121"/>
      <x:c r="AQ42" s="121"/>
      <x:c r="AR42" s="121"/>
      <x:c r="AS42" s="121"/>
      <x:c r="AT42" s="121"/>
      <x:c r="AU42" s="121"/>
      <x:c r="AV42" s="121"/>
      <x:c r="AW42" s="121"/>
      <x:c r="AX42" s="121"/>
      <x:c r="AY42" s="121"/>
      <x:c r="AZ42" s="121"/>
      <x:c r="BA42" s="121"/>
      <x:c r="BB42" s="121"/>
      <x:c r="BC42" s="121"/>
      <x:c r="BD42" s="121"/>
      <x:c r="BE42" s="121"/>
      <x:c r="BF42" s="121"/>
    </x:row>
    <x:row r="43" spans="1:69" x14ac:dyDescent="0.25">
      <x:c r="L43" s="0" t="s">
        <x:v>67</x:v>
      </x:c>
      <x:c r="AM43" s="121"/>
      <x:c r="AN43" s="121"/>
      <x:c r="AO43" s="121"/>
      <x:c r="AP43" s="121"/>
      <x:c r="AQ43" s="121"/>
      <x:c r="AR43" s="121"/>
      <x:c r="AS43" s="121"/>
      <x:c r="AT43" s="121"/>
      <x:c r="AU43" s="121"/>
      <x:c r="AV43" s="121"/>
      <x:c r="AW43" s="121"/>
      <x:c r="AX43" s="121"/>
      <x:c r="AY43" s="121"/>
      <x:c r="AZ43" s="121"/>
      <x:c r="BA43" s="121"/>
      <x:c r="BB43" s="121"/>
      <x:c r="BC43" s="121"/>
      <x:c r="BD43" s="121"/>
      <x:c r="BE43" s="121"/>
      <x:c r="BF43" s="121"/>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tabSelected="1"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10">
        <x:f>SUM(R10:R1000)</x:f>
      </x:c>
      <x:c r="Q7" s="110"/>
      <x:c r="R7" s="110"/>
      <x:c r="S7" s="110">
        <x:f>SUM(U10:U1000)</x:f>
      </x:c>
      <x:c r="T7" s="110"/>
      <x:c r="U7" s="110"/>
      <x:c r="V7" s="110">
        <x:f>SUM(X10:X1000)</x:f>
      </x:c>
      <x:c r="W7" s="110"/>
      <x:c r="X7" s="110"/>
      <x:c r="Y7" s="110">
        <x:f>SUM(AA10:AA1000)</x:f>
      </x:c>
      <x:c r="Z7" s="110"/>
      <x:c r="AA7" s="110"/>
      <x:c r="AB7" s="110">
        <x:f>SUM(AD10:AD1000)</x:f>
      </x:c>
      <x:c r="AC7" s="110"/>
      <x:c r="AD7" s="110"/>
      <x:c r="AE7" s="110">
        <x:f>SUM(AG10:AG1000)</x:f>
      </x:c>
      <x:c r="AF7" s="110"/>
      <x:c r="AG7" s="110"/>
      <x:c r="AH7" s="110">
        <x:f>SUM(AJ10:AJ1000)</x:f>
      </x:c>
      <x:c r="AI7" s="110"/>
      <x:c r="AJ7" s="110"/>
      <x:c r="AK7" s="110">
        <x:f>SUM(AM10:AM1000)</x:f>
      </x:c>
      <x:c r="AL7" s="110"/>
      <x:c r="AM7" s="110"/>
      <x:c r="AN7" s="110">
        <x:f>SUM(AP10:AP1000)</x:f>
      </x:c>
      <x:c r="AO7" s="110"/>
      <x:c r="AP7" s="110"/>
      <x:c r="AQ7" s="110">
        <x:f>SUM(AS10:AS1000)</x:f>
      </x:c>
      <x:c r="AR7" s="110"/>
      <x:c r="AS7" s="110"/>
      <x:c r="AT7" s="110">
        <x:f>SUM(AV10:AV1000)</x:f>
      </x:c>
      <x:c r="AU7" s="110"/>
      <x:c r="AV7" s="110"/>
      <x:c r="AW7" s="110">
        <x:f>SUM(AY10:AY1000)</x:f>
      </x:c>
      <x:c r="AX7" s="110"/>
      <x:c r="AY7" s="110"/>
      <x:c r="AZ7" s="110">
        <x:f>SUM(BB10:BB1000)</x:f>
      </x:c>
      <x:c r="BA7" s="110"/>
      <x:c r="BB7" s="110"/>
      <x:c r="BC7" s="110">
        <x:f>SUM(BE10:BE1000)</x:f>
      </x:c>
      <x:c r="BD7" s="110"/>
      <x:c r="BE7" s="110"/>
      <x:c r="BF7" s="110">
        <x:f>SUM(BH10:BH1000)</x:f>
      </x:c>
      <x:c r="BG7" s="110"/>
      <x:c r="BH7" s="110"/>
      <x:c r="BI7" s="110">
        <x:f>SUM(BK10:BK1000)</x:f>
      </x:c>
      <x:c r="BJ7" s="110"/>
      <x:c r="BK7" s="110"/>
      <x:c r="BL7" s="110">
        <x:f>SUM(BN10:BN1000)</x:f>
      </x:c>
      <x:c r="BM7" s="110"/>
      <x:c r="BN7" s="110"/>
      <x:c r="BO7" s="110">
        <x:f>SUM(BQ10:BQ1000)</x:f>
      </x:c>
      <x:c r="BP7" s="110"/>
      <x:c r="BQ7" s="110"/>
      <x:c r="BR7" s="110">
        <x:f>SUM(BT10:BT1000)</x:f>
      </x:c>
      <x:c r="BS7" s="110"/>
      <x:c r="BT7" s="110"/>
      <x:c r="BU7" s="110">
        <x:f>SUM(BW10:BW1000)</x:f>
      </x:c>
      <x:c r="BV7" s="110"/>
      <x:c r="BW7" s="110"/>
      <x:c r="BX7" s="110">
        <x:f>SUM(BZ10:BZ1000)</x:f>
      </x:c>
      <x:c r="BY7" s="110"/>
      <x:c r="BZ7" s="110"/>
      <x:c r="CA7" s="110">
        <x:f>SUM(CC10:CC1000)</x:f>
      </x:c>
      <x:c r="CB7" s="110"/>
      <x:c r="CC7" s="110"/>
      <x:c r="CD7" s="110">
        <x:f>SUM(CF10:CF1000)</x:f>
      </x:c>
      <x:c r="CE7" s="110"/>
      <x:c r="CF7" s="110"/>
      <x:c r="CG7" s="110">
        <x:f>SUM(CI10:CI1000)</x:f>
      </x:c>
      <x:c r="CH7" s="110"/>
      <x:c r="CI7" s="110"/>
      <x:c r="CJ7" s="110">
        <x:f>SUM(CL10:CL1000)</x:f>
      </x:c>
      <x:c r="CK7" s="110"/>
      <x:c r="CL7" s="110"/>
      <x:c r="CM7" s="110">
        <x:f>SUM(CO10:CO1000)</x:f>
      </x:c>
      <x:c r="CN7" s="110"/>
      <x:c r="CO7" s="110"/>
      <x:c r="CP7" s="110">
        <x:f>SUM(CR10:CR1000)</x:f>
      </x:c>
      <x:c r="CQ7" s="110"/>
      <x:c r="CR7" s="110"/>
      <x:c r="CS7" s="110">
        <x:f>SUM(CU10:CU1000)</x:f>
      </x:c>
      <x:c r="CT7" s="110"/>
      <x:c r="CU7" s="110"/>
      <x:c r="CV7" s="110">
        <x:f>SUM(CX10:CX1000)</x:f>
      </x:c>
      <x:c r="CW7" s="110"/>
      <x:c r="CX7" s="110"/>
      <x:c r="CY7" s="110">
        <x:f>SUM(DA10:DA1000)</x:f>
      </x:c>
      <x:c r="CZ7" s="110"/>
      <x:c r="DA7" s="110"/>
      <x:c r="DB7" s="110">
        <x:f>SUM(DD10:DD1000)</x:f>
      </x:c>
      <x:c r="DC7" s="110"/>
      <x:c r="DD7" s="110"/>
      <x:c r="DE7" s="110">
        <x:f>SUM(DG10:DG1000)</x:f>
      </x:c>
      <x:c r="DF7" s="110"/>
      <x:c r="DG7" s="110"/>
      <x:c r="DH7" s="110">
        <x:f>SUM(DJ10:DJ1000)</x:f>
      </x:c>
      <x:c r="DI7" s="110"/>
      <x:c r="DJ7" s="110"/>
      <x:c r="DK7" s="110">
        <x:f>SUM(DM10:DM1000)</x:f>
      </x:c>
      <x:c r="DL7" s="110"/>
      <x:c r="DM7" s="110"/>
      <x:c r="DN7" s="110">
        <x:f>SUM(DP10:DP1000)</x:f>
      </x:c>
      <x:c r="DO7" s="110"/>
      <x:c r="DP7" s="110"/>
      <x:c r="DQ7" s="110">
        <x:f>SUM(DS10:DS1000)</x:f>
      </x:c>
      <x:c r="DR7" s="110"/>
      <x:c r="DS7" s="110"/>
      <x:c r="DT7" s="110">
        <x:f>SUM(DV10:DV1000)</x:f>
      </x:c>
      <x:c r="DU7" s="110"/>
      <x:c r="DV7" s="110"/>
    </x:row>
    <x:row r="8" spans="1:126" ht="30" customHeight="1" s="38" customFormat="1" x14ac:dyDescent="0.25">
      <x:c r="A8" s="36"/>
      <x:c r="B8" s="111" t="s">
        <x:v>77</x:v>
      </x:c>
      <x:c r="C8" s="111"/>
      <x:c r="D8" s="111"/>
      <x:c r="E8" s="111"/>
      <x:c r="F8" s="111"/>
      <x:c r="G8" s="111"/>
      <x:c r="H8" s="111"/>
      <x:c r="I8" s="86"/>
      <x:c r="J8" s="86"/>
      <x:c r="K8" s="176" t="s">
        <x:v>78</x:v>
      </x:c>
      <x:c r="L8" s="177"/>
      <x:c r="M8" s="177"/>
      <x:c r="N8" s="177"/>
      <x:c r="O8" s="178" t="s">
        <x:v>79</x:v>
      </x:c>
      <x:c r="P8" s="178" t="s">
        <x:v>39</x:v>
      </x:c>
      <x:c r="Q8" s="179"/>
      <x:c r="R8" s="180"/>
      <x:c r="S8" s="86"/>
      <x:c r="T8" s="113"/>
      <x:c r="U8" s="114"/>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11" t="s">
        <x:v>83</x:v>
      </x:c>
      <x:c r="E9" s="111"/>
      <x:c r="F9" s="111"/>
      <x:c r="G9" s="111"/>
      <x:c r="H9" s="111"/>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154</x:v>
      </x:c>
      <x:c r="C10" s="49" t="s">
        <x:v>155</x:v>
      </x:c>
      <x:c r="D10" s="48" t="s">
        <x:v>156</x:v>
      </x:c>
      <x:c r="E10" s="49" t="s">
        <x:v>157</x:v>
      </x:c>
      <x:c r="F10" s="48" t="s">
        <x:v>157</x:v>
      </x:c>
      <x:c r="G10" s="11" t="s">
        <x:v>158</x:v>
      </x:c>
      <x:c r="H10" s="48" t="s">
        <x:v>159</x:v>
      </x:c>
      <x:c r="I10" s="48" t="s">
        <x:v>157</x:v>
      </x:c>
      <x:c r="J10" s="48" t="s">
        <x:v>160</x:v>
      </x:c>
      <x:c r="K10" s="190" t="s">
        <x:v>161</x:v>
      </x:c>
      <x:c r="L10" s="191" t="s">
        <x:v>162</x:v>
      </x:c>
      <x:c r="M10" s="192" t="s">
        <x:v>163</x:v>
      </x:c>
      <x:c r="N10" s="192">
        <x:f>IF(ISERROR(INDEX('Meter Type Data'!$B$2:$D$1165,SUMPRODUCT(--('Meter Type Data'!$B$2:$B$1165&lt;=Analysis!L10)*('Meter Type Data'!$C$2:$C$1165&gt;=Analysis!L10),ROW('Meter Type Data'!$B$2:$B$1165))-1,3))," ",INDEX('Meter Type Data'!$B$2:$D$1165,SUMPRODUCT(--('Meter Type Data'!$B$2:$B$1165&lt;=Analysis!L10)*('Meter Type Data'!$C$2:$C$1165&gt;=Analysis!L10),ROW('Meter Type Data'!$B$2:$B$1165))-1,3))</x:f>
      </x:c>
      <x:c r="O10" s="193"/>
      <x:c r="P10" s="56" t="s">
        <x:v>263</x:v>
      </x:c>
      <x:c r="Q10" s="57" t="s">
        <x:v>263</x:v>
      </x:c>
      <x:c r="R10" s="58" t="s">
        <x:v>264</x:v>
      </x:c>
      <x:c r="S10" s="59"/>
      <x:c r="T10" s="59"/>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164</x:v>
      </x:c>
      <x:c r="C11" s="65" t="s">
        <x:v>165</x:v>
      </x:c>
      <x:c r="D11" s="64" t="s">
        <x:v>166</x:v>
      </x:c>
      <x:c r="E11" s="65" t="s">
        <x:v>157</x:v>
      </x:c>
      <x:c r="F11" s="65" t="s">
        <x:v>157</x:v>
      </x:c>
      <x:c r="G11" s="65" t="s">
        <x:v>167</x:v>
      </x:c>
      <x:c r="H11" s="65" t="s">
        <x:v>159</x:v>
      </x:c>
      <x:c r="I11" s="65" t="s">
        <x:v>157</x:v>
      </x:c>
      <x:c r="J11" s="65" t="s">
        <x:v>160</x:v>
      </x:c>
      <x:c r="K11" s="190" t="s">
        <x:v>161</x:v>
      </x:c>
      <x:c r="L11" s="191" t="s">
        <x:v>168</x:v>
      </x:c>
      <x:c r="M11" s="192" t="s">
        <x:v>169</x:v>
      </x:c>
      <x:c r="N11" s="192">
        <x:f>IF(ISERROR(INDEX('Meter Type Data'!$B$2:$D$1165,SUMPRODUCT(--('Meter Type Data'!$B$2:$B$1165&lt;=Analysis!L11)*('Meter Type Data'!$C$2:$C$1165&gt;=Analysis!L11),ROW('Meter Type Data'!$B$2:$B$1165))-1,3))," ",INDEX('Meter Type Data'!$B$2:$D$1165,SUMPRODUCT(--('Meter Type Data'!$B$2:$B$1165&lt;=Analysis!L11)*('Meter Type Data'!$C$2:$C$1165&gt;=Analysis!L11),ROW('Meter Type Data'!$B$2:$B$1165))-1,3))</x:f>
      </x:c>
      <x:c r="O11" s="194"/>
      <x:c r="P11" s="56" t="s">
        <x:v>265</x:v>
      </x:c>
      <x:c r="Q11" s="57" t="s">
        <x:v>265</x:v>
      </x:c>
      <x:c r="R11" s="58" t="s">
        <x:v>266</x:v>
      </x:c>
      <x:c r="S11" s="59"/>
      <x:c r="T11" s="59"/>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170</x:v>
      </x:c>
      <x:c r="C12" s="65" t="s">
        <x:v>171</x:v>
      </x:c>
      <x:c r="D12" s="64" t="s">
        <x:v>172</x:v>
      </x:c>
      <x:c r="E12" s="65" t="s">
        <x:v>157</x:v>
      </x:c>
      <x:c r="F12" s="65" t="s">
        <x:v>157</x:v>
      </x:c>
      <x:c r="G12" s="65" t="s">
        <x:v>173</x:v>
      </x:c>
      <x:c r="H12" s="65" t="s">
        <x:v>159</x:v>
      </x:c>
      <x:c r="I12" s="65" t="s">
        <x:v>157</x:v>
      </x:c>
      <x:c r="J12" s="65" t="s">
        <x:v>160</x:v>
      </x:c>
      <x:c r="K12" s="190" t="s">
        <x:v>161</x:v>
      </x:c>
      <x:c r="L12" s="191" t="s">
        <x:v>174</x:v>
      </x:c>
      <x:c r="M12" s="192" t="s">
        <x:v>175</x:v>
      </x:c>
      <x:c r="N12" s="192">
        <x:f>IF(ISERROR(INDEX('Meter Type Data'!$B$2:$D$1165,SUMPRODUCT(--('Meter Type Data'!$B$2:$B$1165&lt;=Analysis!L12)*('Meter Type Data'!$C$2:$C$1165&gt;=Analysis!L12),ROW('Meter Type Data'!$B$2:$B$1165))-1,3))," ",INDEX('Meter Type Data'!$B$2:$D$1165,SUMPRODUCT(--('Meter Type Data'!$B$2:$B$1165&lt;=Analysis!L12)*('Meter Type Data'!$C$2:$C$1165&gt;=Analysis!L12),ROW('Meter Type Data'!$B$2:$B$1165))-1,3))</x:f>
      </x:c>
      <x:c r="O12" s="194"/>
      <x:c r="P12" s="56" t="s">
        <x:v>267</x:v>
      </x:c>
      <x:c r="Q12" s="57" t="s">
        <x:v>267</x:v>
      </x:c>
      <x:c r="R12" s="58" t="s">
        <x:v>268</x:v>
      </x:c>
      <x:c r="S12" s="59"/>
      <x:c r="T12" s="59"/>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176</x:v>
      </x:c>
      <x:c r="C13" s="65" t="s">
        <x:v>177</x:v>
      </x:c>
      <x:c r="D13" s="64" t="s">
        <x:v>178</x:v>
      </x:c>
      <x:c r="E13" s="65" t="s">
        <x:v>157</x:v>
      </x:c>
      <x:c r="F13" s="65" t="s">
        <x:v>157</x:v>
      </x:c>
      <x:c r="G13" s="65" t="s">
        <x:v>173</x:v>
      </x:c>
      <x:c r="H13" s="65" t="s">
        <x:v>159</x:v>
      </x:c>
      <x:c r="I13" s="65" t="s">
        <x:v>157</x:v>
      </x:c>
      <x:c r="J13" s="65" t="s">
        <x:v>160</x:v>
      </x:c>
      <x:c r="K13" s="190" t="s">
        <x:v>161</x:v>
      </x:c>
      <x:c r="L13" s="191" t="s">
        <x:v>179</x:v>
      </x:c>
      <x:c r="M13" s="192" t="s">
        <x:v>180</x:v>
      </x:c>
      <x:c r="N13" s="192">
        <x:f>IF(ISERROR(INDEX('Meter Type Data'!$B$2:$D$1165,SUMPRODUCT(--('Meter Type Data'!$B$2:$B$1165&lt;=Analysis!L13)*('Meter Type Data'!$C$2:$C$1165&gt;=Analysis!L13),ROW('Meter Type Data'!$B$2:$B$1165))-1,3))," ",INDEX('Meter Type Data'!$B$2:$D$1165,SUMPRODUCT(--('Meter Type Data'!$B$2:$B$1165&lt;=Analysis!L13)*('Meter Type Data'!$C$2:$C$1165&gt;=Analysis!L13),ROW('Meter Type Data'!$B$2:$B$1165))-1,3))</x:f>
      </x:c>
      <x:c r="O13" s="194"/>
      <x:c r="P13" s="56" t="s">
        <x:v>269</x:v>
      </x:c>
      <x:c r="Q13" s="57" t="s">
        <x:v>269</x:v>
      </x:c>
      <x:c r="R13" s="58" t="s">
        <x:v>270</x:v>
      </x:c>
      <x:c r="S13" s="59"/>
      <x:c r="T13" s="59"/>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181</x:v>
      </x:c>
      <x:c r="C14" s="64" t="s">
        <x:v>182</x:v>
      </x:c>
      <x:c r="D14" s="65" t="s">
        <x:v>183</x:v>
      </x:c>
      <x:c r="E14" s="65" t="s">
        <x:v>157</x:v>
      </x:c>
      <x:c r="F14" s="65" t="s">
        <x:v>157</x:v>
      </x:c>
      <x:c r="G14" s="65" t="s">
        <x:v>184</x:v>
      </x:c>
      <x:c r="H14" s="65" t="s">
        <x:v>159</x:v>
      </x:c>
      <x:c r="I14" s="65" t="s">
        <x:v>157</x:v>
      </x:c>
      <x:c r="J14" s="65" t="s">
        <x:v>160</x:v>
      </x:c>
      <x:c r="K14" s="190" t="s">
        <x:v>161</x:v>
      </x:c>
      <x:c r="L14" s="191" t="s">
        <x:v>185</x:v>
      </x:c>
      <x:c r="M14" s="192" t="s">
        <x:v>186</x:v>
      </x:c>
      <x:c r="N14" s="192">
        <x:f>IF(ISERROR(INDEX('Meter Type Data'!$B$2:$D$1165,SUMPRODUCT(--('Meter Type Data'!$B$2:$B$1165&lt;=Analysis!L14)*('Meter Type Data'!$C$2:$C$1165&gt;=Analysis!L14),ROW('Meter Type Data'!$B$2:$B$1165))-1,3))," ",INDEX('Meter Type Data'!$B$2:$D$1165,SUMPRODUCT(--('Meter Type Data'!$B$2:$B$1165&lt;=Analysis!L14)*('Meter Type Data'!$C$2:$C$1165&gt;=Analysis!L14),ROW('Meter Type Data'!$B$2:$B$1165))-1,3))</x:f>
      </x:c>
      <x:c r="O14" s="193"/>
      <x:c r="P14" s="56" t="s">
        <x:v>271</x:v>
      </x:c>
      <x:c r="Q14" s="57" t="s">
        <x:v>271</x:v>
      </x:c>
      <x:c r="R14" s="58" t="s">
        <x:v>272</x:v>
      </x:c>
      <x:c r="S14" s="59"/>
      <x:c r="T14" s="59"/>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187</x:v>
      </x:c>
      <x:c r="C15" s="63" t="s">
        <x:v>188</x:v>
      </x:c>
      <x:c r="D15" s="63" t="s">
        <x:v>189</x:v>
      </x:c>
      <x:c r="E15" s="63" t="s">
        <x:v>157</x:v>
      </x:c>
      <x:c r="F15" s="63" t="s">
        <x:v>157</x:v>
      </x:c>
      <x:c r="G15" s="48" t="s">
        <x:v>173</x:v>
      </x:c>
      <x:c r="H15" s="48" t="s">
        <x:v>159</x:v>
      </x:c>
      <x:c r="I15" s="48" t="s">
        <x:v>157</x:v>
      </x:c>
      <x:c r="J15" s="48" t="s">
        <x:v>160</x:v>
      </x:c>
      <x:c r="K15" s="190" t="s">
        <x:v>161</x:v>
      </x:c>
      <x:c r="L15" s="191" t="s">
        <x:v>190</x:v>
      </x:c>
      <x:c r="M15" s="192" t="s">
        <x:v>191</x:v>
      </x:c>
      <x:c r="N15" s="192">
        <x:f>IF(ISERROR(INDEX('Meter Type Data'!$B$2:$D$1165,SUMPRODUCT(--('Meter Type Data'!$B$2:$B$1165&lt;=Analysis!L15)*('Meter Type Data'!$C$2:$C$1165&gt;=Analysis!L15),ROW('Meter Type Data'!$B$2:$B$1165))-1,3))," ",INDEX('Meter Type Data'!$B$2:$D$1165,SUMPRODUCT(--('Meter Type Data'!$B$2:$B$1165&lt;=Analysis!L15)*('Meter Type Data'!$C$2:$C$1165&gt;=Analysis!L15),ROW('Meter Type Data'!$B$2:$B$1165))-1,3))</x:f>
      </x:c>
      <x:c r="O15" s="194"/>
      <x:c r="P15" s="56" t="s">
        <x:v>273</x:v>
      </x:c>
      <x:c r="Q15" s="57" t="s">
        <x:v>273</x:v>
      </x:c>
      <x:c r="R15" s="58" t="s">
        <x:v>274</x:v>
      </x:c>
      <x:c r="S15" s="59"/>
      <x:c r="T15" s="59"/>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192</x:v>
      </x:c>
      <x:c r="C16" s="63" t="s">
        <x:v>193</x:v>
      </x:c>
      <x:c r="D16" s="63" t="s">
        <x:v>194</x:v>
      </x:c>
      <x:c r="E16" s="63" t="s">
        <x:v>157</x:v>
      </x:c>
      <x:c r="F16" s="63" t="s">
        <x:v>157</x:v>
      </x:c>
      <x:c r="G16" s="48" t="s">
        <x:v>167</x:v>
      </x:c>
      <x:c r="H16" s="48" t="s">
        <x:v>159</x:v>
      </x:c>
      <x:c r="I16" s="48" t="s">
        <x:v>157</x:v>
      </x:c>
      <x:c r="J16" s="48" t="s">
        <x:v>160</x:v>
      </x:c>
      <x:c r="K16" s="190" t="s">
        <x:v>161</x:v>
      </x:c>
      <x:c r="L16" s="191" t="s">
        <x:v>195</x:v>
      </x:c>
      <x:c r="M16" s="192" t="s">
        <x:v>196</x:v>
      </x:c>
      <x:c r="N16" s="192">
        <x:f>IF(ISERROR(INDEX('Meter Type Data'!$B$2:$D$1165,SUMPRODUCT(--('Meter Type Data'!$B$2:$B$1165&lt;=Analysis!L16)*('Meter Type Data'!$C$2:$C$1165&gt;=Analysis!L16),ROW('Meter Type Data'!$B$2:$B$1165))-1,3))," ",INDEX('Meter Type Data'!$B$2:$D$1165,SUMPRODUCT(--('Meter Type Data'!$B$2:$B$1165&lt;=Analysis!L16)*('Meter Type Data'!$C$2:$C$1165&gt;=Analysis!L16),ROW('Meter Type Data'!$B$2:$B$1165))-1,3))</x:f>
      </x:c>
      <x:c r="O16" s="194"/>
      <x:c r="P16" s="56" t="s">
        <x:v>275</x:v>
      </x:c>
      <x:c r="Q16" s="57" t="s">
        <x:v>275</x:v>
      </x:c>
      <x:c r="R16" s="58" t="s">
        <x:v>276</x:v>
      </x:c>
      <x:c r="S16" s="59"/>
      <x:c r="T16" s="59"/>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197</x:v>
      </x:c>
      <x:c r="C17" s="63" t="s">
        <x:v>198</x:v>
      </x:c>
      <x:c r="D17" s="63" t="s">
        <x:v>199</x:v>
      </x:c>
      <x:c r="E17" s="63" t="s">
        <x:v>157</x:v>
      </x:c>
      <x:c r="F17" s="63" t="s">
        <x:v>157</x:v>
      </x:c>
      <x:c r="G17" s="63" t="s">
        <x:v>167</x:v>
      </x:c>
      <x:c r="H17" s="48" t="s">
        <x:v>159</x:v>
      </x:c>
      <x:c r="I17" s="48" t="s">
        <x:v>157</x:v>
      </x:c>
      <x:c r="J17" s="48" t="s">
        <x:v>160</x:v>
      </x:c>
      <x:c r="K17" s="190" t="s">
        <x:v>161</x:v>
      </x:c>
      <x:c r="L17" s="191" t="s">
        <x:v>200</x:v>
      </x:c>
      <x:c r="M17" s="192" t="s">
        <x:v>201</x:v>
      </x:c>
      <x:c r="N17" s="192">
        <x:f>IF(ISERROR(INDEX('Meter Type Data'!$B$2:$D$1165,SUMPRODUCT(--('Meter Type Data'!$B$2:$B$1165&lt;=Analysis!L17)*('Meter Type Data'!$C$2:$C$1165&gt;=Analysis!L17),ROW('Meter Type Data'!$B$2:$B$1165))-1,3))," ",INDEX('Meter Type Data'!$B$2:$D$1165,SUMPRODUCT(--('Meter Type Data'!$B$2:$B$1165&lt;=Analysis!L17)*('Meter Type Data'!$C$2:$C$1165&gt;=Analysis!L17),ROW('Meter Type Data'!$B$2:$B$1165))-1,3))</x:f>
      </x:c>
      <x:c r="O17" s="69"/>
      <x:c r="P17" s="59" t="s">
        <x:v>277</x:v>
      </x:c>
      <x:c r="Q17" s="59" t="s">
        <x:v>277</x:v>
      </x:c>
      <x:c r="R17" s="58" t="s">
        <x:v>278</x:v>
      </x:c>
      <x:c r="S17" s="59"/>
      <x:c r="T17" s="59"/>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202</x:v>
      </x:c>
      <x:c r="C18" s="63" t="s">
        <x:v>203</x:v>
      </x:c>
      <x:c r="D18" s="63" t="s">
        <x:v>204</x:v>
      </x:c>
      <x:c r="E18" s="63" t="s">
        <x:v>157</x:v>
      </x:c>
      <x:c r="F18" s="63" t="s">
        <x:v>157</x:v>
      </x:c>
      <x:c r="G18" s="63" t="s">
        <x:v>173</x:v>
      </x:c>
      <x:c r="H18" s="63" t="s">
        <x:v>159</x:v>
      </x:c>
      <x:c r="I18" s="63" t="s">
        <x:v>157</x:v>
      </x:c>
      <x:c r="J18" s="63" t="s">
        <x:v>160</x:v>
      </x:c>
      <x:c r="K18" s="190" t="s">
        <x:v>161</x:v>
      </x:c>
      <x:c r="L18" s="191" t="s">
        <x:v>205</x:v>
      </x:c>
      <x:c r="M18" s="192" t="s">
        <x:v>206</x:v>
      </x:c>
      <x:c r="N18" s="192">
        <x:f>IF(ISERROR(INDEX('Meter Type Data'!$B$2:$D$1165,SUMPRODUCT(--('Meter Type Data'!$B$2:$B$1165&lt;=Analysis!L18)*('Meter Type Data'!$C$2:$C$1165&gt;=Analysis!L18),ROW('Meter Type Data'!$B$2:$B$1165))-1,3))," ",INDEX('Meter Type Data'!$B$2:$D$1165,SUMPRODUCT(--('Meter Type Data'!$B$2:$B$1165&lt;=Analysis!L18)*('Meter Type Data'!$C$2:$C$1165&gt;=Analysis!L18),ROW('Meter Type Data'!$B$2:$B$1165))-1,3))</x:f>
      </x:c>
      <x:c r="O18" s="69"/>
      <x:c r="P18" s="59" t="s">
        <x:v>279</x:v>
      </x:c>
      <x:c r="Q18" s="59" t="s">
        <x:v>279</x:v>
      </x:c>
      <x:c r="R18" s="58" t="s">
        <x:v>280</x:v>
      </x:c>
      <x:c r="S18" s="59"/>
      <x:c r="T18" s="59"/>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207</x:v>
      </x:c>
      <x:c r="C19" s="63" t="s">
        <x:v>208</x:v>
      </x:c>
      <x:c r="D19" s="63" t="s">
        <x:v>209</x:v>
      </x:c>
      <x:c r="E19" s="63" t="s">
        <x:v>157</x:v>
      </x:c>
      <x:c r="F19" s="63" t="s">
        <x:v>157</x:v>
      </x:c>
      <x:c r="G19" s="63" t="s">
        <x:v>167</x:v>
      </x:c>
      <x:c r="H19" s="63" t="s">
        <x:v>159</x:v>
      </x:c>
      <x:c r="I19" s="63" t="s">
        <x:v>157</x:v>
      </x:c>
      <x:c r="J19" s="63" t="s">
        <x:v>160</x:v>
      </x:c>
      <x:c r="K19" s="190" t="s">
        <x:v>161</x:v>
      </x:c>
      <x:c r="L19" s="191" t="s">
        <x:v>210</x:v>
      </x:c>
      <x:c r="M19" s="192" t="s">
        <x:v>211</x:v>
      </x:c>
      <x:c r="N19" s="192">
        <x:f>IF(ISERROR(INDEX('Meter Type Data'!$B$2:$D$1165,SUMPRODUCT(--('Meter Type Data'!$B$2:$B$1165&lt;=Analysis!L19)*('Meter Type Data'!$C$2:$C$1165&gt;=Analysis!L19),ROW('Meter Type Data'!$B$2:$B$1165))-1,3))," ",INDEX('Meter Type Data'!$B$2:$D$1165,SUMPRODUCT(--('Meter Type Data'!$B$2:$B$1165&lt;=Analysis!L19)*('Meter Type Data'!$C$2:$C$1165&gt;=Analysis!L19),ROW('Meter Type Data'!$B$2:$B$1165))-1,3))</x:f>
      </x:c>
      <x:c r="O19" s="69"/>
      <x:c r="P19" s="59" t="s">
        <x:v>281</x:v>
      </x:c>
      <x:c r="Q19" s="60" t="s">
        <x:v>281</x:v>
      </x:c>
      <x:c r="R19" s="58" t="s">
        <x:v>282</x:v>
      </x:c>
      <x:c r="S19" s="59"/>
      <x:c r="T19" s="59"/>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212</x:v>
      </x:c>
      <x:c r="C20" s="70" t="s">
        <x:v>213</x:v>
      </x:c>
      <x:c r="D20" s="70" t="s">
        <x:v>214</x:v>
      </x:c>
      <x:c r="E20" s="70" t="s">
        <x:v>157</x:v>
      </x:c>
      <x:c r="F20" s="70" t="s">
        <x:v>157</x:v>
      </x:c>
      <x:c r="G20" s="70" t="s">
        <x:v>215</x:v>
      </x:c>
      <x:c r="H20" s="70" t="s">
        <x:v>159</x:v>
      </x:c>
      <x:c r="I20" s="70" t="s">
        <x:v>157</x:v>
      </x:c>
      <x:c r="J20" s="70" t="s">
        <x:v>160</x:v>
      </x:c>
      <x:c r="K20" s="190" t="s">
        <x:v>161</x:v>
      </x:c>
      <x:c r="L20" s="191" t="s">
        <x:v>216</x:v>
      </x:c>
      <x:c r="M20" s="192" t="s">
        <x:v>217</x:v>
      </x:c>
      <x:c r="N20" s="192">
        <x:f>IF(ISERROR(INDEX('Meter Type Data'!$B$2:$D$1165,SUMPRODUCT(--('Meter Type Data'!$B$2:$B$1165&lt;=Analysis!L20)*('Meter Type Data'!$C$2:$C$1165&gt;=Analysis!L20),ROW('Meter Type Data'!$B$2:$B$1165))-1,3))," ",INDEX('Meter Type Data'!$B$2:$D$1165,SUMPRODUCT(--('Meter Type Data'!$B$2:$B$1165&lt;=Analysis!L20)*('Meter Type Data'!$C$2:$C$1165&gt;=Analysis!L20),ROW('Meter Type Data'!$B$2:$B$1165))-1,3))</x:f>
      </x:c>
      <x:c r="O20" s="69"/>
      <x:c r="P20" s="47" t="s">
        <x:v>283</x:v>
      </x:c>
      <x:c r="Q20" s="60" t="s">
        <x:v>283</x:v>
      </x:c>
      <x:c r="R20" s="58" t="s">
        <x:v>284</x:v>
      </x:c>
      <x:c r="S20" s="59"/>
      <x:c r="T20" s="59"/>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218</x:v>
      </x:c>
      <x:c r="C21" s="70" t="s">
        <x:v>213</x:v>
      </x:c>
      <x:c r="D21" s="70" t="s">
        <x:v>219</x:v>
      </x:c>
      <x:c r="E21" s="70" t="s">
        <x:v>157</x:v>
      </x:c>
      <x:c r="F21" s="70" t="s">
        <x:v>157</x:v>
      </x:c>
      <x:c r="G21" s="70" t="s">
        <x:v>215</x:v>
      </x:c>
      <x:c r="H21" s="70" t="s">
        <x:v>159</x:v>
      </x:c>
      <x:c r="I21" s="70" t="s">
        <x:v>157</x:v>
      </x:c>
      <x:c r="J21" s="70" t="s">
        <x:v>160</x:v>
      </x:c>
      <x:c r="K21" s="190" t="s">
        <x:v>161</x:v>
      </x:c>
      <x:c r="L21" s="191" t="s">
        <x:v>220</x:v>
      </x:c>
      <x:c r="M21" s="192" t="s">
        <x:v>221</x:v>
      </x:c>
      <x:c r="N21" s="192">
        <x:f>IF(ISERROR(INDEX('Meter Type Data'!$B$2:$D$1165,SUMPRODUCT(--('Meter Type Data'!$B$2:$B$1165&lt;=Analysis!L21)*('Meter Type Data'!$C$2:$C$1165&gt;=Analysis!L21),ROW('Meter Type Data'!$B$2:$B$1165))-1,3))," ",INDEX('Meter Type Data'!$B$2:$D$1165,SUMPRODUCT(--('Meter Type Data'!$B$2:$B$1165&lt;=Analysis!L21)*('Meter Type Data'!$C$2:$C$1165&gt;=Analysis!L21),ROW('Meter Type Data'!$B$2:$B$1165))-1,3))</x:f>
      </x:c>
      <x:c r="O21" s="69"/>
      <x:c r="P21" s="47" t="s">
        <x:v>273</x:v>
      </x:c>
      <x:c r="Q21" s="60" t="s">
        <x:v>273</x:v>
      </x:c>
      <x:c r="R21" s="58" t="s">
        <x:v>285</x:v>
      </x:c>
      <x:c r="S21" s="59"/>
      <x:c r="T21" s="59"/>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222</x:v>
      </x:c>
      <x:c r="C22" s="70" t="s">
        <x:v>223</x:v>
      </x:c>
      <x:c r="D22" s="70" t="s">
        <x:v>224</x:v>
      </x:c>
      <x:c r="E22" s="70" t="s">
        <x:v>157</x:v>
      </x:c>
      <x:c r="F22" s="70" t="s">
        <x:v>157</x:v>
      </x:c>
      <x:c r="G22" s="70" t="s">
        <x:v>173</x:v>
      </x:c>
      <x:c r="H22" s="70" t="s">
        <x:v>159</x:v>
      </x:c>
      <x:c r="I22" s="70" t="s">
        <x:v>157</x:v>
      </x:c>
      <x:c r="J22" s="70" t="s">
        <x:v>160</x:v>
      </x:c>
      <x:c r="K22" s="190" t="s">
        <x:v>161</x:v>
      </x:c>
      <x:c r="L22" s="191" t="s">
        <x:v>225</x:v>
      </x:c>
      <x:c r="M22" s="192" t="s">
        <x:v>226</x:v>
      </x:c>
      <x:c r="N22" s="192">
        <x:f>IF(ISERROR(INDEX('Meter Type Data'!$B$2:$D$1165,SUMPRODUCT(--('Meter Type Data'!$B$2:$B$1165&lt;=Analysis!L22)*('Meter Type Data'!$C$2:$C$1165&gt;=Analysis!L22),ROW('Meter Type Data'!$B$2:$B$1165))-1,3))," ",INDEX('Meter Type Data'!$B$2:$D$1165,SUMPRODUCT(--('Meter Type Data'!$B$2:$B$1165&lt;=Analysis!L22)*('Meter Type Data'!$C$2:$C$1165&gt;=Analysis!L22),ROW('Meter Type Data'!$B$2:$B$1165))-1,3))</x:f>
      </x:c>
      <x:c r="O22" s="69"/>
      <x:c r="P22" s="47" t="s">
        <x:v>286</x:v>
      </x:c>
      <x:c r="Q22" s="60" t="s">
        <x:v>286</x:v>
      </x:c>
      <x:c r="R22" s="58" t="s">
        <x:v>287</x:v>
      </x:c>
      <x:c r="S22" s="59"/>
      <x:c r="T22" s="59"/>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227</x:v>
      </x:c>
      <x:c r="C23" s="70" t="s">
        <x:v>228</x:v>
      </x:c>
      <x:c r="D23" s="70" t="s">
        <x:v>229</x:v>
      </x:c>
      <x:c r="E23" s="70" t="s">
        <x:v>157</x:v>
      </x:c>
      <x:c r="F23" s="70" t="s">
        <x:v>157</x:v>
      </x:c>
      <x:c r="G23" s="70" t="s">
        <x:v>173</x:v>
      </x:c>
      <x:c r="H23" s="70" t="s">
        <x:v>159</x:v>
      </x:c>
      <x:c r="I23" s="70" t="s">
        <x:v>157</x:v>
      </x:c>
      <x:c r="J23" s="70" t="s">
        <x:v>160</x:v>
      </x:c>
      <x:c r="K23" s="190" t="s">
        <x:v>161</x:v>
      </x:c>
      <x:c r="L23" s="191" t="s">
        <x:v>230</x:v>
      </x:c>
      <x:c r="M23" s="192" t="s">
        <x:v>231</x:v>
      </x:c>
      <x:c r="N23" s="192">
        <x:f>IF(ISERROR(INDEX('Meter Type Data'!$B$2:$D$1165,SUMPRODUCT(--('Meter Type Data'!$B$2:$B$1165&lt;=Analysis!L23)*('Meter Type Data'!$C$2:$C$1165&gt;=Analysis!L23),ROW('Meter Type Data'!$B$2:$B$1165))-1,3))," ",INDEX('Meter Type Data'!$B$2:$D$1165,SUMPRODUCT(--('Meter Type Data'!$B$2:$B$1165&lt;=Analysis!L23)*('Meter Type Data'!$C$2:$C$1165&gt;=Analysis!L23),ROW('Meter Type Data'!$B$2:$B$1165))-1,3))</x:f>
      </x:c>
      <x:c r="O23" s="69"/>
      <x:c r="P23" s="47" t="s">
        <x:v>288</x:v>
      </x:c>
      <x:c r="Q23" s="60" t="s">
        <x:v>288</x:v>
      </x:c>
      <x:c r="R23" s="58" t="s">
        <x:v>289</x:v>
      </x:c>
      <x:c r="S23" s="59"/>
      <x:c r="T23" s="59"/>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232</x:v>
      </x:c>
      <x:c r="C24" s="70" t="s">
        <x:v>233</x:v>
      </x:c>
      <x:c r="D24" s="70" t="s">
        <x:v>234</x:v>
      </x:c>
      <x:c r="E24" s="70" t="s">
        <x:v>157</x:v>
      </x:c>
      <x:c r="F24" s="70" t="s">
        <x:v>157</x:v>
      </x:c>
      <x:c r="G24" s="70" t="s">
        <x:v>235</x:v>
      </x:c>
      <x:c r="H24" s="70" t="s">
        <x:v>159</x:v>
      </x:c>
      <x:c r="I24" s="70" t="s">
        <x:v>157</x:v>
      </x:c>
      <x:c r="J24" s="70" t="s">
        <x:v>160</x:v>
      </x:c>
      <x:c r="K24" s="190" t="s">
        <x:v>161</x:v>
      </x:c>
      <x:c r="L24" s="191" t="s">
        <x:v>236</x:v>
      </x:c>
      <x:c r="M24" s="192" t="s">
        <x:v>237</x:v>
      </x:c>
      <x:c r="N24" s="192">
        <x:f>IF(ISERROR(INDEX('Meter Type Data'!$B$2:$D$1165,SUMPRODUCT(--('Meter Type Data'!$B$2:$B$1165&lt;=Analysis!L24)*('Meter Type Data'!$C$2:$C$1165&gt;=Analysis!L24),ROW('Meter Type Data'!$B$2:$B$1165))-1,3))," ",INDEX('Meter Type Data'!$B$2:$D$1165,SUMPRODUCT(--('Meter Type Data'!$B$2:$B$1165&lt;=Analysis!L24)*('Meter Type Data'!$C$2:$C$1165&gt;=Analysis!L24),ROW('Meter Type Data'!$B$2:$B$1165))-1,3))</x:f>
      </x:c>
      <x:c r="O24" s="69"/>
      <x:c r="P24" s="47" t="s">
        <x:v>290</x:v>
      </x:c>
      <x:c r="Q24" s="60" t="s">
        <x:v>290</x:v>
      </x:c>
      <x:c r="R24" s="58" t="s">
        <x:v>291</x:v>
      </x:c>
      <x:c r="S24" s="59"/>
      <x:c r="T24" s="59"/>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238</x:v>
      </x:c>
      <x:c r="C25" s="70" t="s">
        <x:v>239</x:v>
      </x:c>
      <x:c r="D25" s="70" t="s">
        <x:v>240</x:v>
      </x:c>
      <x:c r="E25" s="70" t="s">
        <x:v>157</x:v>
      </x:c>
      <x:c r="F25" s="70" t="s">
        <x:v>157</x:v>
      </x:c>
      <x:c r="G25" s="70" t="s">
        <x:v>173</x:v>
      </x:c>
      <x:c r="H25" s="70" t="s">
        <x:v>159</x:v>
      </x:c>
      <x:c r="I25" s="70" t="s">
        <x:v>157</x:v>
      </x:c>
      <x:c r="J25" s="70" t="s">
        <x:v>160</x:v>
      </x:c>
      <x:c r="K25" s="190" t="s">
        <x:v>161</x:v>
      </x:c>
      <x:c r="L25" s="191" t="s">
        <x:v>241</x:v>
      </x:c>
      <x:c r="M25" s="192" t="s">
        <x:v>242</x:v>
      </x:c>
      <x:c r="N25" s="192">
        <x:f>IF(ISERROR(INDEX('Meter Type Data'!$B$2:$D$1165,SUMPRODUCT(--('Meter Type Data'!$B$2:$B$1165&lt;=Analysis!L25)*('Meter Type Data'!$C$2:$C$1165&gt;=Analysis!L25),ROW('Meter Type Data'!$B$2:$B$1165))-1,3))," ",INDEX('Meter Type Data'!$B$2:$D$1165,SUMPRODUCT(--('Meter Type Data'!$B$2:$B$1165&lt;=Analysis!L25)*('Meter Type Data'!$C$2:$C$1165&gt;=Analysis!L25),ROW('Meter Type Data'!$B$2:$B$1165))-1,3))</x:f>
      </x:c>
      <x:c r="O25" s="69"/>
      <x:c r="P25" s="47" t="s">
        <x:v>292</x:v>
      </x:c>
      <x:c r="Q25" s="60" t="s">
        <x:v>292</x:v>
      </x:c>
      <x:c r="R25" s="58" t="s">
        <x:v>293</x:v>
      </x:c>
      <x:c r="S25" s="59"/>
      <x:c r="T25" s="59"/>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243</x:v>
      </x:c>
      <x:c r="C26" s="70" t="s">
        <x:v>244</x:v>
      </x:c>
      <x:c r="D26" s="70" t="s">
        <x:v>245</x:v>
      </x:c>
      <x:c r="E26" s="70" t="s">
        <x:v>157</x:v>
      </x:c>
      <x:c r="F26" s="70" t="s">
        <x:v>157</x:v>
      </x:c>
      <x:c r="G26" s="70" t="s">
        <x:v>167</x:v>
      </x:c>
      <x:c r="H26" s="70" t="s">
        <x:v>159</x:v>
      </x:c>
      <x:c r="I26" s="70" t="s">
        <x:v>157</x:v>
      </x:c>
      <x:c r="J26" s="70" t="s">
        <x:v>160</x:v>
      </x:c>
      <x:c r="K26" s="190" t="s">
        <x:v>161</x:v>
      </x:c>
      <x:c r="L26" s="191" t="s">
        <x:v>246</x:v>
      </x:c>
      <x:c r="M26" s="192" t="s">
        <x:v>247</x:v>
      </x:c>
      <x:c r="N26" s="192">
        <x:f>IF(ISERROR(INDEX('Meter Type Data'!$B$2:$D$1165,SUMPRODUCT(--('Meter Type Data'!$B$2:$B$1165&lt;=Analysis!L26)*('Meter Type Data'!$C$2:$C$1165&gt;=Analysis!L26),ROW('Meter Type Data'!$B$2:$B$1165))-1,3))," ",INDEX('Meter Type Data'!$B$2:$D$1165,SUMPRODUCT(--('Meter Type Data'!$B$2:$B$1165&lt;=Analysis!L26)*('Meter Type Data'!$C$2:$C$1165&gt;=Analysis!L26),ROW('Meter Type Data'!$B$2:$B$1165))-1,3))</x:f>
      </x:c>
      <x:c r="O26" s="69"/>
      <x:c r="P26" s="47" t="s">
        <x:v>294</x:v>
      </x:c>
      <x:c r="Q26" s="60" t="s">
        <x:v>294</x:v>
      </x:c>
      <x:c r="R26" s="58" t="s">
        <x:v>295</x:v>
      </x:c>
      <x:c r="S26" s="59"/>
      <x:c r="T26" s="59"/>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248</x:v>
      </x:c>
      <x:c r="C27" s="70" t="s">
        <x:v>249</x:v>
      </x:c>
      <x:c r="D27" s="70" t="s">
        <x:v>250</x:v>
      </x:c>
      <x:c r="E27" s="70" t="s">
        <x:v>157</x:v>
      </x:c>
      <x:c r="F27" s="70" t="s">
        <x:v>157</x:v>
      </x:c>
      <x:c r="G27" s="70" t="s">
        <x:v>251</x:v>
      </x:c>
      <x:c r="H27" s="70" t="s">
        <x:v>159</x:v>
      </x:c>
      <x:c r="I27" s="70" t="s">
        <x:v>157</x:v>
      </x:c>
      <x:c r="J27" s="70" t="s">
        <x:v>160</x:v>
      </x:c>
      <x:c r="K27" s="190" t="s">
        <x:v>161</x:v>
      </x:c>
      <x:c r="L27" s="191" t="s">
        <x:v>252</x:v>
      </x:c>
      <x:c r="M27" s="192" t="s">
        <x:v>253</x:v>
      </x:c>
      <x:c r="N27" s="192">
        <x:f>IF(ISERROR(INDEX('Meter Type Data'!$B$2:$D$1165,SUMPRODUCT(--('Meter Type Data'!$B$2:$B$1165&lt;=Analysis!L27)*('Meter Type Data'!$C$2:$C$1165&gt;=Analysis!L27),ROW('Meter Type Data'!$B$2:$B$1165))-1,3))," ",INDEX('Meter Type Data'!$B$2:$D$1165,SUMPRODUCT(--('Meter Type Data'!$B$2:$B$1165&lt;=Analysis!L27)*('Meter Type Data'!$C$2:$C$1165&gt;=Analysis!L27),ROW('Meter Type Data'!$B$2:$B$1165))-1,3))</x:f>
      </x:c>
      <x:c r="O27" s="69"/>
      <x:c r="P27" s="47" t="s">
        <x:v>296</x:v>
      </x:c>
      <x:c r="Q27" s="60" t="s">
        <x:v>296</x:v>
      </x:c>
      <x:c r="R27" s="58" t="s">
        <x:v>297</x:v>
      </x:c>
      <x:c r="S27" s="59"/>
      <x:c r="T27" s="59"/>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254</x:v>
      </x:c>
      <x:c r="C28" s="70" t="s">
        <x:v>157</x:v>
      </x:c>
      <x:c r="D28" s="70" t="s">
        <x:v>255</x:v>
      </x:c>
      <x:c r="E28" s="70" t="s">
        <x:v>157</x:v>
      </x:c>
      <x:c r="F28" s="70" t="s">
        <x:v>157</x:v>
      </x:c>
      <x:c r="G28" s="70" t="s">
        <x:v>215</x:v>
      </x:c>
      <x:c r="H28" s="70" t="s">
        <x:v>256</x:v>
      </x:c>
      <x:c r="I28" s="70" t="s">
        <x:v>157</x:v>
      </x:c>
      <x:c r="J28" s="70" t="s">
        <x:v>160</x:v>
      </x:c>
      <x:c r="K28" s="190" t="s">
        <x:v>161</x:v>
      </x:c>
      <x:c r="L28" s="191" t="s">
        <x:v>257</x:v>
      </x:c>
      <x:c r="M28" s="192" t="s">
        <x:v>258</x:v>
      </x:c>
      <x:c r="N28" s="192">
        <x:f>IF(ISERROR(INDEX('Meter Type Data'!$B$2:$D$1165,SUMPRODUCT(--('Meter Type Data'!$B$2:$B$1165&lt;=Analysis!L28)*('Meter Type Data'!$C$2:$C$1165&gt;=Analysis!L28),ROW('Meter Type Data'!$B$2:$B$1165))-1,3))," ",INDEX('Meter Type Data'!$B$2:$D$1165,SUMPRODUCT(--('Meter Type Data'!$B$2:$B$1165&lt;=Analysis!L28)*('Meter Type Data'!$C$2:$C$1165&gt;=Analysis!L28),ROW('Meter Type Data'!$B$2:$B$1165))-1,3))</x:f>
      </x:c>
      <x:c r="O28" s="69"/>
      <x:c r="P28" s="47" t="s">
        <x:v>298</x:v>
      </x:c>
      <x:c r="Q28" s="60" t="s">
        <x:v>298</x:v>
      </x:c>
      <x:c r="R28" s="58" t="s">
        <x:v>299</x:v>
      </x:c>
      <x:c r="S28" s="59"/>
      <x:c r="T28" s="59"/>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259</x:v>
      </x:c>
      <x:c r="C29" s="70" t="s">
        <x:v>157</x:v>
      </x:c>
      <x:c r="D29" s="70" t="s">
        <x:v>260</x:v>
      </x:c>
      <x:c r="E29" s="70" t="s">
        <x:v>157</x:v>
      </x:c>
      <x:c r="F29" s="70" t="s">
        <x:v>157</x:v>
      </x:c>
      <x:c r="G29" s="70" t="s">
        <x:v>251</x:v>
      </x:c>
      <x:c r="H29" s="70" t="s">
        <x:v>159</x:v>
      </x:c>
      <x:c r="I29" s="70" t="s">
        <x:v>157</x:v>
      </x:c>
      <x:c r="J29" s="70" t="s">
        <x:v>160</x:v>
      </x:c>
      <x:c r="K29" s="190" t="s">
        <x:v>161</x:v>
      </x:c>
      <x:c r="L29" s="191" t="s">
        <x:v>261</x:v>
      </x:c>
      <x:c r="M29" s="192" t="s">
        <x:v>262</x:v>
      </x:c>
      <x:c r="N29" s="192">
        <x:f>IF(ISERROR(INDEX('Meter Type Data'!$B$2:$D$1165,SUMPRODUCT(--('Meter Type Data'!$B$2:$B$1165&lt;=Analysis!L29)*('Meter Type Data'!$C$2:$C$1165&gt;=Analysis!L29),ROW('Meter Type Data'!$B$2:$B$1165))-1,3))," ",INDEX('Meter Type Data'!$B$2:$D$1165,SUMPRODUCT(--('Meter Type Data'!$B$2:$B$1165&lt;=Analysis!L29)*('Meter Type Data'!$C$2:$C$1165&gt;=Analysis!L29),ROW('Meter Type Data'!$B$2:$B$1165))-1,3))</x:f>
      </x:c>
      <x:c r="O29" s="69"/>
      <x:c r="P29" s="47" t="s">
        <x:v>300</x:v>
      </x:c>
      <x:c r="Q29" s="60" t="s">
        <x:v>300</x:v>
      </x:c>
      <x:c r="R29" s="58" t="s">
        <x:v>301</x:v>
      </x:c>
      <x:c r="S29" s="59"/>
      <x:c r="T29" s="59"/>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2.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3F6A81-C48C-4F5C-94AC-2E4A0088E593}">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2026-10-27T11:15:09.0000000Z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
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6417BD35-FD28-4C8B-9675-516E0BD0110A}" xr6:coauthVersionLast="47" xr6:coauthVersionMax="47" xr10:uidLastSave="{00000000-0000-0000-0000-000000000000}"/>
  <x:bookViews>
    <x:workbookView xWindow="-120" yWindow="-120" windowWidth="29040" windowHeight="15720" tabRatio="693" firstSheet="0" activeTab="3"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<x:sst xmlns:x="http://schemas.openxmlformats.org/spreadsheetml/2006/main">
  <x:si>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</x:si>
  <x:si>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</x:si>
  <x:si>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</x:si>
  <x:si>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</x:si>
  <x:si>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</x:si>
  <x:si>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</x:si>
  <x:si>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</x:si>
  <x:si>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</x:si>
  <x:si>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</x:si>
  <x:si>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</x:si>
  <x:si>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</x:si>
  <x:si>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</x:si>
  <x:si>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</x:si>
  <x:si>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</x:si>
  <x:si>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</x:si>
  <x:si>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</x:si>
  <x:si>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</x:si>
  <x:si>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</x:si>
  <x:si>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</x:si>
  <x:si>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</x:si>
  <x:si>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SSE 12, F (T&amp;C), Br, B, 21</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</x:si>
  <x:si>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</x:si>
  <x:si>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</x:si>
  <x:si>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</x:si>
  <x:si>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</x:si>
  <x:si>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</x:si>
  <x:si>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</x:si>
  <x:si>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</x:si>
  <x:si>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</x:si>
  <x:si>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</x:si>
  <x:si>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</x:si>
  <x:si>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</x:si>
  <x:si>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</x:si>
  <x:si>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</x:si>
  <x:si>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</x:si>
  <x:si>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</x:si>
  <x:si>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</x:si>
  <x:si>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</x:si>
  <x:si>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</x:si>
  <x:si>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</x:si>
  <x:si>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</x:si>
  <x:si>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</x:si>
  <x:si>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</x:si>
  <x:si>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</x:si>
  <x:si>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</x:si>
  <x:si>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</x:si>
  <x:si>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</x:si>
  <x:si>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</x:si>
  <x:si>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</x:si>
  <x:si>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</x:si>
  <x:si>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</x:si>
  <x:si>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</x:si>
  <x:si>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</x:si>
  <x:si>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</x:si>
  <x:si>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</x:si>
  <x:si>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</x:si>
  <x:si>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</x:si>
  <x:si>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</x:si>
  <x:si>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</x:si>
  <x:si>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</x:si>
  <x:si>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</x:si>
  <x:si>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</x:si>
  <x:si>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</x:si>
  <x:si>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</x:si>
  <x:si>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</x:si>
  <x:si>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</x:si>
  <x:si>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</x:si>
  <x:si>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</x:si>
  <x:si>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</x:si>
  <x:si>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</x:si>
  <x:si>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</x:si>
  <x:si>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</x:si>
  <x:si>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  </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</x:si>
  <x:si>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</x:si>
  <x:si>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</x:si>
  <x:si>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</x:si>
  <x:si>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</x:si>
  <x:si>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</x:si>
  <x:si>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</x:si>
  <x:si>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</x:si>
  <x:si>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</x:si>
  <x:si>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</x:si>
  <x:si>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</x:si>
  <x:si>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</x:si>
  <x:si>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</x:si>
  <x:si>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</x:si>
  <x:si>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</x:si>
  <x:si>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</x:si>
  <x:si>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</x:si>
  <x:si>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</x:si>
  <x:si>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</x:si>
  <x:si>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</x:si>
  <x:si>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</x:si>
  <x:si>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</x:si>
  <x:si>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</x:si>
  <x:si>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</x:si>
  <x:si>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</x:si>
  <x:si>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</x:si>
  <x:si>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</x:si>
  <x:si>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</x:si>
  <x:si>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</x:si>
  <x:si>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</x:si>
  <x:si>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</x:si>
  <x:si>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</x:si>
  <x:si>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</x:si>
  <x:si>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</x:si>
  <x:si>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</x:si>
  <x:si>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</x:si>
  <x:si>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</x:si>
  <x:si>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</x:si>
  <x:si>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</x:si>
  <x:si>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</x:si>
  <x:si>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</x:si>
  <x:si>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</x:si>
  <x:si>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</x:si>
  <x:si>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</x:si>
  <x:si>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</x:si>
  <x:si>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EDF Energy</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</x:si>
  <x:si>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</x:si>
  <x:si>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</x:si>
  <x:si>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</x:si>
  <x:si>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</x:si>
  <x:si>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</x:si>
  <x:si>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</x:si>
  <x:si>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</x:si>
  <x:si>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</x:si>
  <x:si>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</x:si>
  <x:si>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</x:si>
  <x:si>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</x:si>
  <x:si>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</x:si>
  <x:si>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</x:si>
  <x:si>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</x:si>
  <x:si>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</x:si>
  <x:si>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</x:si>
  <x:si>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</x:si>
  <x:si>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</x:si>
  <x:si>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</x:si>
  <x:si>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</x:si>
  <x:si>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</x:si>
  <x:si>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</x:si>
  <x:si>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</x:si>
  <x:si>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</x:si>
  <x:si>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</x:si>
  <x:si>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</x:si>
  <x:si>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</x:si>
  <x:si>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</x:si>
  <x:si>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</x:si>
  <x:si>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</x:si>
  <x:si>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</x:si>
  <x:si>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</x:si>
  <x:si>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</x:si>
  <x:si>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</x:si>
  <x:si>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</x:si>
  <x:si>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v5</x:t>
  </x:si>
  <x:si>
    <x:t>SSE 24, F (T&amp;C), Br, B, 21</x:t>
  </x:si>
  <x:si>
    <x:t>SSE 36, F (T&amp;C), Br, B, 21</x:t>
  </x:si>
  <x:si>
    <x:t>56</x:t>
  </x:si>
  <x:si>
    <x:t>21/111</x:t>
  </x:si>
  <x:si>
    <x:t>Ryelands Road,Communal Centre</x:t>
  </x:si>
  <x:si>
    <x:t/>
  </x:si>
  <x:si>
    <x:t>Lydney</x:t>
  </x:si>
  <x:si>
    <x:t>UK</x:t>
  </x:si>
  <x:si>
    <x:t>01-Jan-2027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</x:si>
  <x:si>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</x:si>
  <x:si>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</x:si>
  <x:si>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</x:si>
  <x:si>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</x:si>
  <x:si>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</x:si>
  <x:si>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</x:si>
  <x:si>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</x:si>
  <x:si>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</x:si>
  <x:si>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</x:si>
  <x:si>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</x:si>
  <x:si>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</x:si>
  <x:si>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</x:si>
  <x:si>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</x:si>
  <x:si>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</x:si>
  <x:si>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</x:si>
  <x:si>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</x:si>
  <x:si>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</x:si>
  <x:si>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</x:si>
  <x:si>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</x:si>
  <x:si>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</x:si>
  <x:si>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</x:si>
  <x:si>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</x:si>
  <x:si>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</x:si>
  <x:si>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</x:si>
  <x:si>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</x:si>
  <x:si>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</x:si>
  <x:si>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</x:si>
  <x:si>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</x:si>
  <x:si>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</x:si>
  <x:si>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</x:si>
  <x:si>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</x:si>
  <x:si>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</x:si>
  <x:si>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</x:si>
  <x:si>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</x:si>
  <x:si>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</x:si>
  <x:si>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</x:si>
  <x:si>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</x:si>
  <x:si>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</x:si>
  <x:si>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</x:si>
  <x:si>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</x:si>
  <x:si>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</x:si>
  <x:si>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</x:si>
  <x:si>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</x:si>
  <x:si>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</x:si>
  <x:si>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</x:si>
  <x:si>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</x:si>
  <x:si>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</x:si>
  <x:si>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</x:si>
  <x:si>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</x:si>
  <x:si>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</x:si>
  <x:si>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</x:si>
  <x:si>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</x:si>
  <x:si>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</x:si>
  <x:si>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</x:si>
  <x:si>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</x:si>
  <x:si>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</x:si>
  <x:si>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</x:si>
  <x:si>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</x:si>
  <x:si>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</x:si>
  <x:si>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</x:si>
  <x:si>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</x:si>
  <x:si>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</x:si>
  <x:si>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</x:si>
  <x:si>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</x:si>
  <x:si>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</x:si>
  <x:si>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</x:si>
  <x:si>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</x:si>
  <x:si>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</x:si>
  <x:si>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</x:si>
  <x:si>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</x:si>
  <x:si>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</x:si>
  <x:si>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</x:si>
  <x:si>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</x:si>
  <x:si>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</x:si>
  <x:si>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</x:si>
  <x:si>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</x:si>
  <x:si>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</x:si>
  <x:si>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</x:si>
  <x:si>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</x:si>
  <x:si>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</x:si>
  <x:si>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</x:si>
  <x:si>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</x:si>
  <x:si>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</x:si>
  <x:si>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</x:si>
  <x:si>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</x:si>
  <x:si>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</x:si>
  <x:si>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</x:si>
  <x:si>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</x:si>
  <x:si>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</x:si>
  <x:si>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</x:si>
  <x:si>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</x:si>
  <x:si>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</x:si>
  <x:si>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</x:si>
  <x:si>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</x:si>
  <x:si>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</x:si>
  <x:si>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</x:si>
  <x:si>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</x:si>
  <x:si>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</x:si>
  <x:si>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</x:si>
  <x:si>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</x:si>
  <x:si>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</x:si>
  <x:si>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28/10/2026</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</x:si>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</x:sst>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265</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114</x:v>
      </x:c>
      <x:c r="AE11" s="6">
        <x:v>12</x:v>
      </x:c>
      <x:c r="AF11" s="8" t="s">
        <x:v>42</x:v>
      </x:c>
      <x:c r="AG11" s="8" t="s">
        <x:v>43</x:v>
      </x:c>
      <x:c r="AH11" s="8" t="s">
        <x:v>44</x:v>
      </x:c>
      <x:c r="AI11" s="8" t="s">
        <x:v>45</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t="s">
        <x:v>114</x:v>
      </x:c>
      <x:c r="AE12" s="6">
        <x:v>24</x:v>
      </x:c>
      <x:c r="AF12" s="8" t="s">
        <x:v>42</x:v>
      </x:c>
      <x:c r="AG12" s="8" t="s">
        <x:v>43</x:v>
      </x:c>
      <x:c r="AH12" s="8" t="s">
        <x:v>44</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t="s">
        <x:v>114</x:v>
      </x:c>
      <x:c r="AE13" s="6">
        <x:v>36</x:v>
      </x:c>
      <x:c r="AF13" s="8" t="s">
        <x:v>42</x:v>
      </x:c>
      <x:c r="AG13" s="8" t="s">
        <x:v>43</x:v>
      </x:c>
      <x:c r="AH13" s="8" t="s">
        <x:v>44</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t="s">
        <x:v>264</x:v>
      </x:c>
      <x:c r="V1" s="28"/>
      <x:c r="W1" s="174" t="s">
        <x:v>75</x:v>
      </x:c>
      <x:c r="X1" s="28" t="s">
        <x:v>264</x:v>
      </x:c>
      <x:c r="Y1" s="28"/>
      <x:c r="Z1" s="174" t="s">
        <x:v>75</x:v>
      </x:c>
      <x:c r="AA1" s="28" t="s">
        <x:v>264</x:v>
      </x:c>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t="s">
        <x:v>20</x:v>
      </x:c>
      <x:c r="T8" s="140"/>
      <x:c r="U8" s="141"/>
      <x:c r="V8" s="178" t="s">
        <x:v>154</x:v>
      </x:c>
      <x:c r="W8" s="179"/>
      <x:c r="X8" s="180"/>
      <x:c r="Y8" s="178" t="s">
        <x:v>155</x:v>
      </x:c>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156</x:v>
      </x:c>
      <x:c r="C10" s="49" t="s">
        <x:v>157</x:v>
      </x:c>
      <x:c r="D10" s="48" t="s">
        <x:v>158</x:v>
      </x:c>
      <x:c r="E10" s="49" t="s">
        <x:v>159</x:v>
      </x:c>
      <x:c r="F10" s="48" t="s">
        <x:v>160</x:v>
      </x:c>
      <x:c r="G10" s="11" t="s">
        <x:v>161</x:v>
      </x:c>
      <x:c r="H10" s="48" t="s">
        <x:v>159</x:v>
      </x:c>
      <x:c r="I10" s="48" t="s">
        <x:v>162</x:v>
      </x:c>
      <x:c r="J10" s="48" t="s">
        <x:v>114</x:v>
      </x:c>
      <x:c r="K10" s="190" t="s">
        <x:v>163</x:v>
      </x:c>
      <x:c r="L10" s="191" t="s">
        <x:v>164</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t="s">
        <x:v>159</x:v>
      </x:c>
      <x:c r="O10" s="193">
        <x:v>4.289</x:v>
      </x:c>
      <x:c r="P10" s="56" t="s">
        <x:v>159</x:v>
      </x:c>
      <x:c r="Q10" s="57"/>
      <x:c r="R10" s="58">
        <x:f>(($O10*P10)/100)+(Q10*12)</x:f>
      </x:c>
      <x:c r="S10" s="59">
        <x:v>7.394889</x:v>
      </x:c>
      <x:c r="T10" s="59">
        <x:v>185.121748</x:v>
      </x:c>
      <x:c r="U10" s="58">
        <x:f>(($O10*S10)/100)+(T10*12)</x:f>
      </x:c>
      <x:c r="V10" s="59">
        <x:v>6.50382</x:v>
      </x:c>
      <x:c r="W10" s="59">
        <x:v>204.946191</x:v>
      </x:c>
      <x:c r="X10" s="58">
        <x:f>(($O10*V10)/100)+(W10*12)</x:f>
      </x:c>
      <x:c r="Y10" s="59">
        <x:v>5.690995</x:v>
      </x:c>
      <x:c r="Z10" s="59">
        <x:v>1219.842873</x:v>
      </x:c>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166</x:v>
      </x:c>
      <x:c r="D11" s="64" t="s">
        <x:v>167</x:v>
      </x:c>
      <x:c r="E11" s="65" t="s">
        <x:v>159</x:v>
      </x:c>
      <x:c r="F11" s="65" t="s">
        <x:v>168</x:v>
      </x:c>
      <x:c r="G11" s="65" t="s">
        <x:v>161</x:v>
      </x:c>
      <x:c r="H11" s="65" t="s">
        <x:v>159</x:v>
      </x:c>
      <x:c r="I11" s="65" t="s">
        <x:v>162</x:v>
      </x:c>
      <x:c r="J11" s="65" t="s">
        <x:v>114</x:v>
      </x:c>
      <x:c r="K11" s="190" t="s">
        <x:v>169</x:v>
      </x:c>
      <x:c r="L11" s="191" t="s">
        <x:v>170</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t="s">
        <x:v>159</x:v>
      </x:c>
      <x:c r="O11" s="194">
        <x:v>4.289</x:v>
      </x:c>
      <x:c r="P11" s="56" t="s">
        <x:v>159</x:v>
      </x:c>
      <x:c r="Q11" s="57"/>
      <x:c r="R11" s="58">
        <x:f>(($O11*P11)/100)+(Q11*12)</x:f>
      </x:c>
      <x:c r="S11" s="59">
        <x:v>7.381872</x:v>
      </x:c>
      <x:c r="T11" s="59">
        <x:v>96.175321</x:v>
      </x:c>
      <x:c r="U11" s="58">
        <x:f>(($O11*S11)/100)+(T11*12)</x:f>
      </x:c>
      <x:c r="V11" s="59">
        <x:v>6.50382</x:v>
      </x:c>
      <x:c r="W11" s="59">
        <x:v>320.723339</x:v>
      </x:c>
      <x:c r="X11" s="58">
        <x:f>(($O11*V11)/100)+(W11*12)</x:f>
      </x:c>
      <x:c r="Y11" s="59">
        <x:v>6.032096</x:v>
      </x:c>
      <x:c r="Z11" s="59">
        <x:v>320.374331</x:v>
      </x:c>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171</x:v>
      </x:c>
      <x:c r="C12" s="65" t="s">
        <x:v>172</x:v>
      </x:c>
      <x:c r="D12" s="64" t="s">
        <x:v>173</x:v>
      </x:c>
      <x:c r="E12" s="65" t="s">
        <x:v>159</x:v>
      </x:c>
      <x:c r="F12" s="65" t="s">
        <x:v>174</x:v>
      </x:c>
      <x:c r="G12" s="65" t="s">
        <x:v>161</x:v>
      </x:c>
      <x:c r="H12" s="65" t="s">
        <x:v>159</x:v>
      </x:c>
      <x:c r="I12" s="65" t="s">
        <x:v>162</x:v>
      </x:c>
      <x:c r="J12" s="65" t="s">
        <x:v>114</x:v>
      </x:c>
      <x:c r="K12" s="190" t="s">
        <x:v>175</x:v>
      </x:c>
      <x:c r="L12" s="191" t="s">
        <x:v>176</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t="s">
        <x:v>159</x:v>
      </x:c>
      <x:c r="O12" s="194">
        <x:v>4.289</x:v>
      </x:c>
      <x:c r="P12" s="56" t="s">
        <x:v>159</x:v>
      </x:c>
      <x:c r="Q12" s="57"/>
      <x:c r="R12" s="58">
        <x:f>(($O12*P12)/100)+(Q12*12)</x:f>
      </x:c>
      <x:c r="S12" s="59">
        <x:v>7.003463</x:v>
      </x:c>
      <x:c r="T12" s="59">
        <x:v>1154.756092</x:v>
      </x:c>
      <x:c r="U12" s="58">
        <x:f>(($O12*S12)/100)+(T12*12)</x:f>
      </x:c>
      <x:c r="V12" s="59">
        <x:v>6.143418</x:v>
      </x:c>
      <x:c r="W12" s="59">
        <x:v>1191.641813</x:v>
      </x:c>
      <x:c r="X12" s="58">
        <x:f>(($O12*V12)/100)+(W12*12)</x:f>
      </x:c>
      <x:c r="Y12" s="59">
        <x:v>6.032096</x:v>
      </x:c>
      <x:c r="Z12" s="59">
        <x:v>209.001544</x:v>
      </x:c>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177</x:v>
      </x:c>
      <x:c r="C13" s="65" t="s">
        <x:v>178</x:v>
      </x:c>
      <x:c r="D13" s="64" t="s">
        <x:v>179</x:v>
      </x:c>
      <x:c r="E13" s="65" t="s">
        <x:v>159</x:v>
      </x:c>
      <x:c r="F13" s="65" t="s">
        <x:v>174</x:v>
      </x:c>
      <x:c r="G13" s="65" t="s">
        <x:v>161</x:v>
      </x:c>
      <x:c r="H13" s="65" t="s">
        <x:v>159</x:v>
      </x:c>
      <x:c r="I13" s="65" t="s">
        <x:v>162</x:v>
      </x:c>
      <x:c r="J13" s="65" t="s">
        <x:v>114</x:v>
      </x:c>
      <x:c r="K13" s="190" t="s">
        <x:v>180</x:v>
      </x:c>
      <x:c r="L13" s="191" t="s">
        <x:v>181</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t="s">
        <x:v>159</x:v>
      </x:c>
      <x:c r="O13" s="194">
        <x:v>4.289</x:v>
      </x:c>
      <x:c r="P13" s="56" t="s">
        <x:v>159</x:v>
      </x:c>
      <x:c r="Q13" s="57"/>
      <x:c r="R13" s="58">
        <x:f>(($O13*P13)/100)+(Q13*12)</x:f>
      </x:c>
      <x:c r="S13" s="59">
        <x:v>7.394889</x:v>
      </x:c>
      <x:c r="T13" s="59">
        <x:v>304.241355</x:v>
      </x:c>
      <x:c r="U13" s="58">
        <x:f>(($O13*S13)/100)+(T13*12)</x:f>
      </x:c>
      <x:c r="V13" s="59">
        <x:v>6.50382</x:v>
      </x:c>
      <x:c r="W13" s="59">
        <x:v>190.440778</x:v>
      </x:c>
      <x:c r="X13" s="58">
        <x:f>(($O13*V13)/100)+(W13*12)</x:f>
      </x:c>
      <x:c r="Y13" s="59">
        <x:v>5.833041</x:v>
      </x:c>
      <x:c r="Z13" s="59">
        <x:v>740.562929</x:v>
      </x:c>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182</x:v>
      </x:c>
      <x:c r="C14" s="64" t="s">
        <x:v>183</x:v>
      </x:c>
      <x:c r="D14" s="65" t="s">
        <x:v>184</x:v>
      </x:c>
      <x:c r="E14" s="65" t="s">
        <x:v>159</x:v>
      </x:c>
      <x:c r="F14" s="65" t="s">
        <x:v>185</x:v>
      </x:c>
      <x:c r="G14" s="65" t="s">
        <x:v>161</x:v>
      </x:c>
      <x:c r="H14" s="65" t="s">
        <x:v>159</x:v>
      </x:c>
      <x:c r="I14" s="65" t="s">
        <x:v>162</x:v>
      </x:c>
      <x:c r="J14" s="65" t="s">
        <x:v>114</x:v>
      </x:c>
      <x:c r="K14" s="190" t="s">
        <x:v>186</x:v>
      </x:c>
      <x:c r="L14" s="191" t="s">
        <x:v>187</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t="s">
        <x:v>159</x:v>
      </x:c>
      <x:c r="O14" s="193">
        <x:v>4.289</x:v>
      </x:c>
      <x:c r="P14" s="56" t="s">
        <x:v>159</x:v>
      </x:c>
      <x:c r="Q14" s="57"/>
      <x:c r="R14" s="58">
        <x:f>(($O14*P14)/100)+(Q14*12)</x:f>
      </x:c>
      <x:c r="S14" s="59">
        <x:v>7.381872</x:v>
      </x:c>
      <x:c r="T14" s="59">
        <x:v>150.796875</x:v>
      </x:c>
      <x:c r="U14" s="58">
        <x:f>(($O14*S14)/100)+(T14*12)</x:f>
      </x:c>
      <x:c r="V14" s="59">
        <x:v>5.916703</x:v>
      </x:c>
      <x:c r="W14" s="59">
        <x:v>1092.558911</x:v>
      </x:c>
      <x:c r="X14" s="58">
        <x:f>(($O14*V14)/100)+(W14*12)</x:f>
      </x:c>
      <x:c r="Y14" s="59">
        <x:v>5.465662</x:v>
      </x:c>
      <x:c r="Z14" s="59">
        <x:v>1118.292937</x:v>
      </x:c>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188</x:v>
      </x:c>
      <x:c r="C15" s="63" t="s">
        <x:v>189</x:v>
      </x:c>
      <x:c r="D15" s="63" t="s">
        <x:v>190</x:v>
      </x:c>
      <x:c r="E15" s="63" t="s">
        <x:v>159</x:v>
      </x:c>
      <x:c r="F15" s="63" t="s">
        <x:v>174</x:v>
      </x:c>
      <x:c r="G15" s="48" t="s">
        <x:v>161</x:v>
      </x:c>
      <x:c r="H15" s="48" t="s">
        <x:v>159</x:v>
      </x:c>
      <x:c r="I15" s="48" t="s">
        <x:v>162</x:v>
      </x:c>
      <x:c r="J15" s="48" t="s">
        <x:v>114</x:v>
      </x:c>
      <x:c r="K15" s="190" t="s">
        <x:v>191</x:v>
      </x:c>
      <x:c r="L15" s="191" t="s">
        <x:v>192</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t="s">
        <x:v>159</x:v>
      </x:c>
      <x:c r="O15" s="194">
        <x:v>4.289</x:v>
      </x:c>
      <x:c r="P15" s="56" t="s">
        <x:v>159</x:v>
      </x:c>
      <x:c r="Q15" s="57"/>
      <x:c r="R15" s="58">
        <x:f>(($O15*P15)/100)+(Q15*12)</x:f>
      </x:c>
      <x:c r="S15" s="59">
        <x:v>7.034278</x:v>
      </x:c>
      <x:c r="T15" s="59">
        <x:v>2023.517847</x:v>
      </x:c>
      <x:c r="U15" s="58">
        <x:f>(($O15*S15)/100)+(T15*12)</x:f>
      </x:c>
      <x:c r="V15" s="59">
        <x:v>6.50382</x:v>
      </x:c>
      <x:c r="W15" s="59">
        <x:v>313.736788</x:v>
      </x:c>
      <x:c r="X15" s="58">
        <x:f>(($O15*V15)/100)+(W15*12)</x:f>
      </x:c>
      <x:c r="Y15" s="59">
        <x:v>6.018323</x:v>
      </x:c>
      <x:c r="Z15" s="59">
        <x:v>99.96833</x:v>
      </x:c>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193</x:v>
      </x:c>
      <x:c r="C16" s="63" t="s">
        <x:v>194</x:v>
      </x:c>
      <x:c r="D16" s="63" t="s">
        <x:v>195</x:v>
      </x:c>
      <x:c r="E16" s="63" t="s">
        <x:v>159</x:v>
      </x:c>
      <x:c r="F16" s="63" t="s">
        <x:v>168</x:v>
      </x:c>
      <x:c r="G16" s="48" t="s">
        <x:v>161</x:v>
      </x:c>
      <x:c r="H16" s="48" t="s">
        <x:v>159</x:v>
      </x:c>
      <x:c r="I16" s="48" t="s">
        <x:v>162</x:v>
      </x:c>
      <x:c r="J16" s="48" t="s">
        <x:v>114</x:v>
      </x:c>
      <x:c r="K16" s="190" t="s">
        <x:v>196</x:v>
      </x:c>
      <x:c r="L16" s="191" t="s">
        <x:v>197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t="s">
        <x:v>159</x:v>
      </x:c>
      <x:c r="O16" s="194">
        <x:v>4.289</x:v>
      </x:c>
      <x:c r="P16" s="56" t="s">
        <x:v>159</x:v>
      </x:c>
      <x:c r="Q16" s="57"/>
      <x:c r="R16" s="58">
        <x:f>(($O16*P16)/100)+(Q16*12)</x:f>
      </x:c>
      <x:c r="S16" s="59">
        <x:v>6.773712</x:v>
      </x:c>
      <x:c r="T16" s="59">
        <x:v>1056.841631</x:v>
      </x:c>
      <x:c r="U16" s="58">
        <x:f>(($O16*S16)/100)+(T16*12)</x:f>
      </x:c>
      <x:c r="V16" s="59">
        <x:v>5.931862</x:v>
      </x:c>
      <x:c r="W16" s="59">
        <x:v>1061.167044</x:v>
      </x:c>
      <x:c r="X16" s="58">
        <x:f>(($O16*V16)/100)+(W16*12)</x:f>
      </x:c>
      <x:c r="Y16" s="59">
        <x:v>5.483435</x:v>
      </x:c>
      <x:c r="Z16" s="59">
        <x:v>1086.025098</x:v>
      </x:c>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198</x:v>
      </x:c>
      <x:c r="C17" s="63" t="s">
        <x:v>199</x:v>
      </x:c>
      <x:c r="D17" s="63" t="s">
        <x:v>200</x:v>
      </x:c>
      <x:c r="E17" s="63" t="s">
        <x:v>159</x:v>
      </x:c>
      <x:c r="F17" s="63" t="s">
        <x:v>168</x:v>
      </x:c>
      <x:c r="G17" s="63" t="s">
        <x:v>161</x:v>
      </x:c>
      <x:c r="H17" s="48" t="s">
        <x:v>159</x:v>
      </x:c>
      <x:c r="I17" s="48" t="s">
        <x:v>162</x:v>
      </x:c>
      <x:c r="J17" s="48" t="s">
        <x:v>114</x:v>
      </x:c>
      <x:c r="K17" s="190" t="s">
        <x:v>201</x:v>
      </x:c>
      <x:c r="L17" s="191" t="s">
        <x:v>202</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t="s">
        <x:v>159</x:v>
      </x:c>
      <x:c r="O17" s="69">
        <x:v>4.289</x:v>
      </x:c>
      <x:c r="P17" s="59" t="s">
        <x:v>159</x:v>
      </x:c>
      <x:c r="Q17" s="59"/>
      <x:c r="R17" s="58">
        <x:f>(($O17*P17)/100)+(Q17*12)</x:f>
      </x:c>
      <x:c r="S17" s="59">
        <x:v>7.394889</x:v>
      </x:c>
      <x:c r="T17" s="59">
        <x:v>311.159453</x:v>
      </x:c>
      <x:c r="U17" s="58">
        <x:f>(($O17*S17)/100)+(T17*12)</x:f>
      </x:c>
      <x:c r="V17" s="59">
        <x:v>6.162604</x:v>
      </x:c>
      <x:c r="W17" s="59">
        <x:v>2090.603244</x:v>
      </x:c>
      <x:c r="X17" s="58">
        <x:f>(($O17*V17)/100)+(W17*12)</x:f>
      </x:c>
      <x:c r="Y17" s="59">
        <x:v>6.032096</x:v>
      </x:c>
      <x:c r="Z17" s="59">
        <x:v>327.450432</x:v>
      </x:c>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203</x:v>
      </x:c>
      <x:c r="C18" s="63" t="s">
        <x:v>204</x:v>
      </x:c>
      <x:c r="D18" s="63" t="s">
        <x:v>205</x:v>
      </x:c>
      <x:c r="E18" s="63" t="s">
        <x:v>159</x:v>
      </x:c>
      <x:c r="F18" s="63" t="s">
        <x:v>174</x:v>
      </x:c>
      <x:c r="G18" s="63" t="s">
        <x:v>161</x:v>
      </x:c>
      <x:c r="H18" s="63" t="s">
        <x:v>159</x:v>
      </x:c>
      <x:c r="I18" s="63" t="s">
        <x:v>162</x:v>
      </x:c>
      <x:c r="J18" s="63" t="s">
        <x:v>114</x:v>
      </x:c>
      <x:c r="K18" s="190" t="s">
        <x:v>206</x:v>
      </x:c>
      <x:c r="L18" s="191" t="s">
        <x:v>207</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t="s">
        <x:v>159</x:v>
      </x:c>
      <x:c r="O18" s="69">
        <x:v>4.289</x:v>
      </x:c>
      <x:c r="P18" s="59" t="s">
        <x:v>159</x:v>
      </x:c>
      <x:c r="Q18" s="59"/>
      <x:c r="R18" s="58">
        <x:f>(($O18*P18)/100)+(Q18*12)</x:f>
      </x:c>
      <x:c r="S18" s="59">
        <x:v>6.782745</x:v>
      </x:c>
      <x:c r="T18" s="59">
        <x:v>1026.728831</x:v>
      </x:c>
      <x:c r="U18" s="58">
        <x:f>(($O18*S18)/100)+(T18*12)</x:f>
      </x:c>
      <x:c r="V18" s="59">
        <x:v>6.490348</x:v>
      </x:c>
      <x:c r="W18" s="59">
        <x:v>154.942352</x:v>
      </x:c>
      <x:c r="X18" s="58">
        <x:f>(($O18*V18)/100)+(W18*12)</x:f>
      </x:c>
      <x:c r="Y18" s="59">
        <x:v>5.705109</x:v>
      </x:c>
      <x:c r="Z18" s="59">
        <x:v>2139.231744</x:v>
      </x:c>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208</x:v>
      </x:c>
      <x:c r="C19" s="63" t="s">
        <x:v>209</x:v>
      </x:c>
      <x:c r="D19" s="63" t="s">
        <x:v>210</x:v>
      </x:c>
      <x:c r="E19" s="63" t="s">
        <x:v>159</x:v>
      </x:c>
      <x:c r="F19" s="63" t="s">
        <x:v>168</x:v>
      </x:c>
      <x:c r="G19" s="63" t="s">
        <x:v>161</x:v>
      </x:c>
      <x:c r="H19" s="63" t="s">
        <x:v>159</x:v>
      </x:c>
      <x:c r="I19" s="63" t="s">
        <x:v>162</x:v>
      </x:c>
      <x:c r="J19" s="63" t="s">
        <x:v>114</x:v>
      </x:c>
      <x:c r="K19" s="190" t="s">
        <x:v>211</x:v>
      </x:c>
      <x:c r="L19" s="191" t="s">
        <x:v>212</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t="s">
        <x:v>159</x:v>
      </x:c>
      <x:c r="O19" s="69">
        <x:v>4.289</x:v>
      </x:c>
      <x:c r="P19" s="59" t="s">
        <x:v>159</x:v>
      </x:c>
      <x:c r="Q19" s="60"/>
      <x:c r="R19" s="58">
        <x:f>(($O19*P19)/100)+(Q19*12)</x:f>
      </x:c>
      <x:c r="S19" s="59">
        <x:v>7.394889</x:v>
      </x:c>
      <x:c r="T19" s="59">
        <x:v>199.135819</x:v>
      </x:c>
      <x:c r="U19" s="58">
        <x:f>(($O19*S19)/100)+(T19*12)</x:f>
      </x:c>
      <x:c r="V19" s="47">
        <x:v>6.490348</x:v>
      </x:c>
      <x:c r="W19" s="60">
        <x:v>98.390552</x:v>
      </x:c>
      <x:c r="X19" s="58">
        <x:f>(($O19*V19)/100)+(W19*12)</x:f>
      </x:c>
      <x:c r="Y19" s="59">
        <x:v>6.032096</x:v>
      </x:c>
      <x:c r="Z19" s="59">
        <x:v>194.151839</x:v>
      </x:c>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213</x:v>
      </x:c>
      <x:c r="C20" s="70" t="s">
        <x:v>214</x:v>
      </x:c>
      <x:c r="D20" s="70" t="s">
        <x:v>215</x:v>
      </x:c>
      <x:c r="E20" s="70" t="s">
        <x:v>159</x:v>
      </x:c>
      <x:c r="F20" s="70" t="s">
        <x:v>216</x:v>
      </x:c>
      <x:c r="G20" s="70" t="s">
        <x:v>161</x:v>
      </x:c>
      <x:c r="H20" s="70" t="s">
        <x:v>159</x:v>
      </x:c>
      <x:c r="I20" s="70" t="s">
        <x:v>162</x:v>
      </x:c>
      <x:c r="J20" s="70" t="s">
        <x:v>114</x:v>
      </x:c>
      <x:c r="K20" s="190" t="s">
        <x:v>217</x:v>
      </x:c>
      <x:c r="L20" s="191" t="s">
        <x:v>218</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t="s">
        <x:v>159</x:v>
      </x:c>
      <x:c r="O20" s="69">
        <x:v>4.289</x:v>
      </x:c>
      <x:c r="P20" s="47" t="s">
        <x:v>159</x:v>
      </x:c>
      <x:c r="Q20" s="60"/>
      <x:c r="R20" s="58">
        <x:f>(($O20*P20)/100)+(Q20*12)</x:f>
      </x:c>
      <x:c r="S20" s="59">
        <x:v>7.154437</x:v>
      </x:c>
      <x:c r="T20" s="59">
        <x:v>916.531159</x:v>
      </x:c>
      <x:c r="U20" s="58">
        <x:f>(($O20*S20)/100)+(T20*12)</x:f>
      </x:c>
      <x:c r="V20" s="47">
        <x:v>6.28961</x:v>
      </x:c>
      <x:c r="W20" s="60">
        <x:v>947.294379</x:v>
      </x:c>
      <x:c r="X20" s="58">
        <x:f>(($O20*V20)/100)+(W20*12)</x:f>
      </x:c>
      <x:c r="Y20" s="47">
        <x:v>6.018323</x:v>
      </x:c>
      <x:c r="Z20" s="60">
        <x:v>157.915609</x:v>
      </x:c>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219</x:v>
      </x:c>
      <x:c r="C21" s="70" t="s">
        <x:v>214</x:v>
      </x:c>
      <x:c r="D21" s="70" t="s">
        <x:v>220</x:v>
      </x:c>
      <x:c r="E21" s="70" t="s">
        <x:v>159</x:v>
      </x:c>
      <x:c r="F21" s="70" t="s">
        <x:v>216</x:v>
      </x:c>
      <x:c r="G21" s="70" t="s">
        <x:v>161</x:v>
      </x:c>
      <x:c r="H21" s="70" t="s">
        <x:v>159</x:v>
      </x:c>
      <x:c r="I21" s="70" t="s">
        <x:v>162</x:v>
      </x:c>
      <x:c r="J21" s="70" t="s">
        <x:v>114</x:v>
      </x:c>
      <x:c r="K21" s="190" t="s">
        <x:v>221</x:v>
      </x:c>
      <x:c r="L21" s="191" t="s">
        <x:v>222</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t="s">
        <x:v>159</x:v>
      </x:c>
      <x:c r="O21" s="69">
        <x:v>4.289</x:v>
      </x:c>
      <x:c r="P21" s="47" t="s">
        <x:v>159</x:v>
      </x:c>
      <x:c r="Q21" s="60"/>
      <x:c r="R21" s="58">
        <x:f>(($O21*P21)/100)+(Q21*12)</x:f>
      </x:c>
      <x:c r="S21" s="59">
        <x:v>7.154437</x:v>
      </x:c>
      <x:c r="T21" s="59">
        <x:v>701.064749</x:v>
      </x:c>
      <x:c r="U21" s="58">
        <x:f>(($O21*S21)/100)+(T21*12)</x:f>
      </x:c>
      <x:c r="V21" s="47">
        <x:v>6.28961</x:v>
      </x:c>
      <x:c r="W21" s="60">
        <x:v>724.001209</x:v>
      </x:c>
      <x:c r="X21" s="58">
        <x:f>(($O21*V21)/100)+(W21*12)</x:f>
      </x:c>
      <x:c r="Y21" s="47">
        <x:v>5.833041</x:v>
      </x:c>
      <x:c r="Z21" s="60">
        <x:v>969.458934</x:v>
      </x:c>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223</x:v>
      </x:c>
      <x:c r="C22" s="70" t="s">
        <x:v>224</x:v>
      </x:c>
      <x:c r="D22" s="70" t="s">
        <x:v>225</x:v>
      </x:c>
      <x:c r="E22" s="70" t="s">
        <x:v>159</x:v>
      </x:c>
      <x:c r="F22" s="70" t="s">
        <x:v>174</x:v>
      </x:c>
      <x:c r="G22" s="70" t="s">
        <x:v>161</x:v>
      </x:c>
      <x:c r="H22" s="70" t="s">
        <x:v>159</x:v>
      </x:c>
      <x:c r="I22" s="70" t="s">
        <x:v>162</x:v>
      </x:c>
      <x:c r="J22" s="70" t="s">
        <x:v>114</x:v>
      </x:c>
      <x:c r="K22" s="190" t="s">
        <x:v>226</x:v>
      </x:c>
      <x:c r="L22" s="191" t="s">
        <x:v>227</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t="s">
        <x:v>159</x:v>
      </x:c>
      <x:c r="O22" s="69">
        <x:v>4.289</x:v>
      </x:c>
      <x:c r="P22" s="47" t="s">
        <x:v>159</x:v>
      </x:c>
      <x:c r="Q22" s="60"/>
      <x:c r="R22" s="58">
        <x:f>(($O22*P22)/100)+(Q22*12)</x:f>
      </x:c>
      <x:c r="S22" s="59"/>
      <x:c r="T22" s="59"/>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228</x:v>
      </x:c>
      <x:c r="C23" s="70" t="s">
        <x:v>229</x:v>
      </x:c>
      <x:c r="D23" s="70" t="s">
        <x:v>230</x:v>
      </x:c>
      <x:c r="E23" s="70" t="s">
        <x:v>159</x:v>
      </x:c>
      <x:c r="F23" s="70" t="s">
        <x:v>174</x:v>
      </x:c>
      <x:c r="G23" s="70" t="s">
        <x:v>161</x:v>
      </x:c>
      <x:c r="H23" s="70" t="s">
        <x:v>159</x:v>
      </x:c>
      <x:c r="I23" s="70" t="s">
        <x:v>162</x:v>
      </x:c>
      <x:c r="J23" s="70" t="s">
        <x:v>114</x:v>
      </x:c>
      <x:c r="K23" s="190" t="s">
        <x:v>231</x:v>
      </x:c>
      <x:c r="L23" s="191" t="s">
        <x:v>232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t="s">
        <x:v>159</x:v>
      </x:c>
      <x:c r="O23" s="69">
        <x:v>4.289</x:v>
      </x:c>
      <x:c r="P23" s="47" t="s">
        <x:v>159</x:v>
      </x:c>
      <x:c r="Q23" s="60"/>
      <x:c r="R23" s="58">
        <x:f>(($O23*P23)/100)+(Q23*12)</x:f>
      </x:c>
      <x:c r="S23" s="59"/>
      <x:c r="T23" s="59"/>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233</x:v>
      </x:c>
      <x:c r="C24" s="70" t="s">
        <x:v>234</x:v>
      </x:c>
      <x:c r="D24" s="70" t="s">
        <x:v>235</x:v>
      </x:c>
      <x:c r="E24" s="70" t="s">
        <x:v>159</x:v>
      </x:c>
      <x:c r="F24" s="70" t="s">
        <x:v>236</x:v>
      </x:c>
      <x:c r="G24" s="70" t="s">
        <x:v>161</x:v>
      </x:c>
      <x:c r="H24" s="70" t="s">
        <x:v>159</x:v>
      </x:c>
      <x:c r="I24" s="70" t="s">
        <x:v>162</x:v>
      </x:c>
      <x:c r="J24" s="70" t="s">
        <x:v>114</x:v>
      </x:c>
      <x:c r="K24" s="190" t="s">
        <x:v>237</x:v>
      </x:c>
      <x:c r="L24" s="191" t="s">
        <x:v>238</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t="s">
        <x:v>159</x:v>
      </x:c>
      <x:c r="O24" s="69">
        <x:v>4.289</x:v>
      </x:c>
      <x:c r="P24" s="47" t="s">
        <x:v>159</x:v>
      </x:c>
      <x:c r="Q24" s="60"/>
      <x:c r="R24" s="58">
        <x:f>(($O24*P24)/100)+(Q24*12)</x:f>
      </x:c>
      <x:c r="S24" s="59"/>
      <x:c r="T24" s="59"/>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239</x:v>
      </x:c>
      <x:c r="C25" s="70" t="s">
        <x:v>240</x:v>
      </x:c>
      <x:c r="D25" s="70" t="s">
        <x:v>241</x:v>
      </x:c>
      <x:c r="E25" s="70" t="s">
        <x:v>159</x:v>
      </x:c>
      <x:c r="F25" s="70" t="s">
        <x:v>174</x:v>
      </x:c>
      <x:c r="G25" s="70" t="s">
        <x:v>161</x:v>
      </x:c>
      <x:c r="H25" s="70" t="s">
        <x:v>159</x:v>
      </x:c>
      <x:c r="I25" s="70" t="s">
        <x:v>162</x:v>
      </x:c>
      <x:c r="J25" s="70" t="s">
        <x:v>114</x:v>
      </x:c>
      <x:c r="K25" s="190" t="s">
        <x:v>242</x:v>
      </x:c>
      <x:c r="L25" s="191" t="s">
        <x:v>243</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t="s">
        <x:v>159</x:v>
      </x:c>
      <x:c r="O25" s="69">
        <x:v>4.289</x:v>
      </x:c>
      <x:c r="P25" s="47" t="s">
        <x:v>159</x:v>
      </x:c>
      <x:c r="Q25" s="60"/>
      <x:c r="R25" s="58">
        <x:f>(($O25*P25)/100)+(Q25*12)</x:f>
      </x:c>
      <x:c r="S25" s="59"/>
      <x:c r="T25" s="59"/>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244</x:v>
      </x:c>
      <x:c r="C26" s="70" t="s">
        <x:v>245</x:v>
      </x:c>
      <x:c r="D26" s="70" t="s">
        <x:v>246</x:v>
      </x:c>
      <x:c r="E26" s="70" t="s">
        <x:v>159</x:v>
      </x:c>
      <x:c r="F26" s="70" t="s">
        <x:v>168</x:v>
      </x:c>
      <x:c r="G26" s="70" t="s">
        <x:v>161</x:v>
      </x:c>
      <x:c r="H26" s="70" t="s">
        <x:v>159</x:v>
      </x:c>
      <x:c r="I26" s="70" t="s">
        <x:v>162</x:v>
      </x:c>
      <x:c r="J26" s="70" t="s">
        <x:v>114</x:v>
      </x:c>
      <x:c r="K26" s="190" t="s">
        <x:v>247</x:v>
      </x:c>
      <x:c r="L26" s="191" t="s">
        <x:v>248</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t="s">
        <x:v>159</x:v>
      </x:c>
      <x:c r="O26" s="69">
        <x:v>4.289</x:v>
      </x:c>
      <x:c r="P26" s="47" t="s">
        <x:v>159</x:v>
      </x:c>
      <x:c r="Q26" s="60"/>
      <x:c r="R26" s="58">
        <x:f>(($O26*P26)/100)+(Q26*12)</x:f>
      </x:c>
      <x:c r="S26" s="59"/>
      <x:c r="T26" s="59"/>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249</x:v>
      </x:c>
      <x:c r="C27" s="70" t="s">
        <x:v>250</x:v>
      </x:c>
      <x:c r="D27" s="70" t="s">
        <x:v>251</x:v>
      </x:c>
      <x:c r="E27" s="70" t="s">
        <x:v>159</x:v>
      </x:c>
      <x:c r="F27" s="70" t="s">
        <x:v>252</x:v>
      </x:c>
      <x:c r="G27" s="70" t="s">
        <x:v>161</x:v>
      </x:c>
      <x:c r="H27" s="70" t="s">
        <x:v>159</x:v>
      </x:c>
      <x:c r="I27" s="70" t="s">
        <x:v>162</x:v>
      </x:c>
      <x:c r="J27" s="70" t="s">
        <x:v>114</x:v>
      </x:c>
      <x:c r="K27" s="190" t="s">
        <x:v>253</x:v>
      </x:c>
      <x:c r="L27" s="191" t="s">
        <x:v>254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t="s">
        <x:v>159</x:v>
      </x:c>
      <x:c r="O27" s="69">
        <x:v>4.289</x:v>
      </x:c>
      <x:c r="P27" s="47" t="s">
        <x:v>159</x:v>
      </x:c>
      <x:c r="Q27" s="60"/>
      <x:c r="R27" s="58">
        <x:f>(($O27*P27)/100)+(Q27*12)</x:f>
      </x:c>
      <x:c r="S27" s="59"/>
      <x:c r="T27" s="59"/>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255</x:v>
      </x:c>
      <x:c r="C28" s="70" t="s">
        <x:v>159</x:v>
      </x:c>
      <x:c r="D28" s="70" t="s">
        <x:v>256</x:v>
      </x:c>
      <x:c r="E28" s="70" t="s">
        <x:v>159</x:v>
      </x:c>
      <x:c r="F28" s="70" t="s">
        <x:v>216</x:v>
      </x:c>
      <x:c r="G28" s="70" t="s">
        <x:v>257</x:v>
      </x:c>
      <x:c r="H28" s="70" t="s">
        <x:v>159</x:v>
      </x:c>
      <x:c r="I28" s="70" t="s">
        <x:v>162</x:v>
      </x:c>
      <x:c r="J28" s="70" t="s">
        <x:v>114</x:v>
      </x:c>
      <x:c r="K28" s="190" t="s">
        <x:v>258</x:v>
      </x:c>
      <x:c r="L28" s="191" t="s">
        <x:v>259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t="s">
        <x:v>159</x:v>
      </x:c>
      <x:c r="O28" s="69">
        <x:v>4.289</x:v>
      </x:c>
      <x:c r="P28" s="47" t="s">
        <x:v>159</x:v>
      </x:c>
      <x:c r="Q28" s="60"/>
      <x:c r="R28" s="58">
        <x:f>(($O28*P28)/100)+(Q28*12)</x:f>
      </x:c>
      <x:c r="S28" s="59"/>
      <x:c r="T28" s="59"/>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260</x:v>
      </x:c>
      <x:c r="C29" s="70" t="s">
        <x:v>159</x:v>
      </x:c>
      <x:c r="D29" s="70" t="s">
        <x:v>261</x:v>
      </x:c>
      <x:c r="E29" s="70" t="s">
        <x:v>159</x:v>
      </x:c>
      <x:c r="F29" s="70" t="s">
        <x:v>252</x:v>
      </x:c>
      <x:c r="G29" s="70" t="s">
        <x:v>161</x:v>
      </x:c>
      <x:c r="H29" s="70" t="s">
        <x:v>159</x:v>
      </x:c>
      <x:c r="I29" s="70" t="s">
        <x:v>162</x:v>
      </x:c>
      <x:c r="J29" s="70" t="s">
        <x:v>114</x:v>
      </x:c>
      <x:c r="K29" s="190" t="s">
        <x:v>262</x:v>
      </x:c>
      <x:c r="L29" s="191" t="s">
        <x:v>263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t="s">
        <x:v>159</x:v>
      </x:c>
      <x:c r="O29" s="69">
        <x:v>4.289</x:v>
      </x:c>
      <x:c r="P29" s="47" t="s">
        <x:v>159</x:v>
      </x:c>
      <x:c r="Q29" s="60"/>
      <x:c r="R29" s="58">
        <x:f>(($O29*P29)/100)+(Q29*12)</x:f>
      </x:c>
      <x:c r="S29" s="59"/>
      <x:c r="T29" s="59"/>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tabSelected="1" topLeftCell="A15" zoomScale="80" zoomScaleNormal="70" zoomScaleSheetLayoutView="90" zoomScalePageLayoutView="80" workbookViewId="0">
      <x:selection activeCell="B25" sqref="B25"/>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2026-10-27T14:19:08.0000000Z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
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ublic\TenderingPortal\SourceFiles\"/>
    </mc:Choice>
  </mc:AlternateContent>
  <xr:revisionPtr revIDLastSave="0" documentId="13_ncr:1_{A5DE0C78-0DDE-4FF2-9DBF-064344627A8C}" xr6:coauthVersionLast="47" xr6:coauthVersionMax="47" xr10:uidLastSave="{00000000-0000-0000-0000-000000000000}"/>
  <bookViews>
    <workbookView xWindow="-120" yWindow="-120" windowWidth="29040" windowHeight="15720" xr2:uid="{8948DB7B-2AFB-4FF2-8C26-568F5C3427E4}"/>
  </bookViews>
  <sheets>
    <sheet name="Electricity" sheetId="1" r:id="rId1"/>
  </sheets>
  <definedNames>
    <definedName name="_xlnm._FilterDatabase" localSheetId="0" hidden="1">Electricity!$A$10:$AW$11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J11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J12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J13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J14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J15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J16" i="1"/>
</calcChain>
</file>

<file path=xl/sharedStrings.xml><?xml version="1.0" encoding="utf-8"?>
<sst xmlns="http://schemas.openxmlformats.org/spreadsheetml/2006/main" count="109" uniqueCount="84">
  <si>
    <t>THE MONARCH PARTNERSHIP</t>
  </si>
  <si>
    <t xml:space="preserve">Consultant: </t>
  </si>
  <si>
    <t>Start Date</t>
  </si>
  <si>
    <t>Profile</t>
  </si>
  <si>
    <t>MTC</t>
  </si>
  <si>
    <t>LLF</t>
  </si>
  <si>
    <t>Mpan Core</t>
  </si>
  <si>
    <t>MPAN</t>
  </si>
  <si>
    <t>Consumption Details</t>
  </si>
  <si>
    <t>Day (kWh)</t>
  </si>
  <si>
    <t>Night (kWh)</t>
  </si>
  <si>
    <t>Total (kWh)</t>
  </si>
  <si>
    <t>Payment Method</t>
  </si>
  <si>
    <t>Payment Duration</t>
  </si>
  <si>
    <t>Contract Details</t>
  </si>
  <si>
    <t xml:space="preserve">MPAN Full </t>
  </si>
  <si>
    <t>Distributor ID</t>
  </si>
  <si>
    <t>10mod11</t>
  </si>
  <si>
    <t>digit 13</t>
  </si>
  <si>
    <t>MPAN STATUS</t>
  </si>
  <si>
    <t>Client:</t>
  </si>
  <si>
    <t xml:space="preserve">Head Office: </t>
  </si>
  <si>
    <t>Evening (kWh)</t>
  </si>
  <si>
    <t>CHEQUE</t>
  </si>
  <si>
    <t>BACS</t>
  </si>
  <si>
    <t>DD</t>
  </si>
  <si>
    <t>Low</t>
  </si>
  <si>
    <t>High</t>
  </si>
  <si>
    <t>Standing Charge</t>
  </si>
  <si>
    <t>Standing Charge Period</t>
  </si>
  <si>
    <t>Current Rates</t>
  </si>
  <si>
    <t>Day Rate</t>
  </si>
  <si>
    <t>Location Ref</t>
  </si>
  <si>
    <t>MSN</t>
  </si>
  <si>
    <t>Client Ref</t>
  </si>
  <si>
    <t>Monthly</t>
  </si>
  <si>
    <t>21 Days</t>
  </si>
  <si>
    <t>Address</t>
  </si>
  <si>
    <t>Night Rate</t>
  </si>
  <si>
    <t>Voltage type</t>
  </si>
  <si>
    <t>kVa</t>
  </si>
  <si>
    <t>Avail Rate</t>
  </si>
  <si>
    <t>Monarch Partnership, Lianne Jones, (Lianne.Jones@eic.co.uk)</t>
  </si>
  <si>
    <t>Please send quotes F.A.O Energy Analyst (energytenders@eic.co.uk)</t>
  </si>
  <si>
    <t>Atlantic Pavillion, Salthouse Quay, Royal Albert Dock, Liverpool, Merseyside, L3 4AE</t>
  </si>
  <si>
    <t>Landlords Supply Flats 155-229</t>
  </si>
  <si>
    <t>Wellington Road</t>
  </si>
  <si>
    <t>Toxteth</t>
  </si>
  <si>
    <t>Liverpool</t>
  </si>
  <si>
    <t>L8 4TX</t>
  </si>
  <si>
    <t>250864697</t>
  </si>
  <si>
    <t>00900D041300060016437</t>
  </si>
  <si>
    <t>1 New Supply ex Town Hall Garage</t>
  </si>
  <si>
    <t>Oriel Road</t>
  </si>
  <si>
    <t>Bootle</t>
  </si>
  <si>
    <t>L20 7AH</t>
  </si>
  <si>
    <t>P11C03206</t>
  </si>
  <si>
    <t>009004021300060300941</t>
  </si>
  <si>
    <t>Lightley Court</t>
  </si>
  <si>
    <t>Sandbach</t>
  </si>
  <si>
    <t>Cheshire</t>
  </si>
  <si>
    <t>CW11 4QA</t>
  </si>
  <si>
    <t>K22A000552</t>
  </si>
  <si>
    <t>00845G011300035421072</t>
  </si>
  <si>
    <t>Worrall Street, Shepherds Mill</t>
  </si>
  <si>
    <t>Congleton</t>
  </si>
  <si>
    <t>CW12 1DT</t>
  </si>
  <si>
    <t>K12C03199</t>
  </si>
  <si>
    <t>008456331423293000009</t>
  </si>
  <si>
    <t>St Marys Court</t>
  </si>
  <si>
    <t>Heath View</t>
  </si>
  <si>
    <t>CW12 4UT</t>
  </si>
  <si>
    <t>09040327</t>
  </si>
  <si>
    <t>008451271460001981780</t>
  </si>
  <si>
    <t>Plus Dane Housing Limited</t>
  </si>
  <si>
    <t>Correspondance Address : Plus Dane Housing Limited c/o EIC Partnership, Monarch House, 7-9 Stafford Road, Wallington, Surrey, SM6 9AN</t>
  </si>
  <si>
    <t>Arncliffe Gardens</t>
  </si>
  <si>
    <t>Landlords Supply</t>
  </si>
  <si>
    <t>Arncliffe Road</t>
  </si>
  <si>
    <t>Halewood</t>
  </si>
  <si>
    <t>Merseyside</t>
  </si>
  <si>
    <t>L25 9AD</t>
  </si>
  <si>
    <t>2364183444</t>
  </si>
  <si>
    <t>00845D2J2700009658919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</si>
</sst>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1">
    <xf numFmtId="0" fontId="0" fillId="0" borderId="0" xfId="0"/>
    <xf numFmtId="0" fontId="1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1" fillId="0" borderId="0" xfId="1" applyFont="1" applyAlignment="1">
      <alignment horizontal="left" vertical="center" wrapText="1"/>
    </xf>
    <xf numFmtId="0" fontId="1" fillId="0" borderId="1" xfId="1" applyFont="1" applyBorder="1" applyAlignment="1">
      <alignment horizontal="left" vertical="center"/>
    </xf>
    <xf numFmtId="0" fontId="1" fillId="0" borderId="1" xfId="0" applyFont="1" applyBorder="1"/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left" vertical="center" wrapText="1"/>
    </xf>
    <xf numFmtId="0" fontId="1" fillId="3" borderId="1" xfId="1" applyFont="1" applyFill="1" applyBorder="1" applyAlignment="1">
      <alignment horizontal="left" vertical="center" wrapText="1"/>
    </xf>
    <xf numFmtId="2" fontId="1" fillId="0" borderId="0" xfId="0" applyNumberFormat="1" applyFont="1" applyAlignment="1">
      <alignment horizontal="left" vertical="center"/>
    </xf>
    <xf numFmtId="2" fontId="1" fillId="3" borderId="1" xfId="1" applyNumberFormat="1" applyFont="1" applyFill="1" applyBorder="1" applyAlignment="1">
      <alignment horizontal="left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0" borderId="4" xfId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center"/>
    </xf>
    <xf numFmtId="0" fontId="1" fillId="2" borderId="6" xfId="1" applyFont="1" applyFill="1" applyBorder="1" applyAlignment="1">
      <alignment horizontal="left" vertical="center" wrapText="1"/>
    </xf>
    <xf numFmtId="0" fontId="1" fillId="2" borderId="0" xfId="1" applyFont="1" applyFill="1" applyAlignment="1">
      <alignment horizontal="left" vertical="center" wrapText="1"/>
    </xf>
    <xf numFmtId="1" fontId="1" fillId="0" borderId="1" xfId="1" applyNumberFormat="1" applyFont="1" applyBorder="1" applyAlignment="1">
      <alignment horizontal="left" vertical="center"/>
    </xf>
    <xf numFmtId="0" fontId="1" fillId="2" borderId="7" xfId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9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1" fillId="2" borderId="10" xfId="1" applyFont="1" applyFill="1" applyBorder="1" applyAlignment="1">
      <alignment horizontal="center" vertical="center" wrapText="1"/>
    </xf>
    <xf numFmtId="0" fontId="1" fillId="2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</cellXfs>
  <cellStyles count="3">
    <cellStyle name="]_x000d__x000a_Zoomed=1_x000d__x000a_Row=0_x000d__x000a_Column=0_x000d__x000a_Height=0_x000d__x000a_Width=0_x000d__x000a_FontName=FoxFont_x000d__x000a_FontStyle=0_x000d__x000a_FontSize=9_x000d__x000a_PrtFontName=FoxPrin" xfId="1" xr:uid="{83FB4A7F-0DAA-4E52-8B2A-7FCDD1928544}"/>
    <cellStyle name="Normal" xfId="0" builtinId="0"/>
    <cellStyle name="Normal 2" xfId="2" xr:uid="{1624AB27-6BDD-4B82-BD6D-168E3233F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8520-7009-4399-B1A2-5E433587EC87}">
  <sheetPr codeName="Sheet1"/>
  <dimension ref="A1:AW16"/>
  <sheetViews>
    <sheetView tabSelected="1" workbookViewId="0">
      <selection activeCell="J13" sqref="J13"/>
    </sheetView>
  </sheetViews>
  <sheetFormatPr defaultRowHeight="12.75" x14ac:dyDescent="0.2"/>
  <cols>
    <col min="1" max="1" width="11.7109375" style="3" customWidth="1"/>
    <col min="2" max="2" width="5.85546875" style="3" customWidth="1"/>
    <col min="3" max="3" width="13.85546875" style="3" customWidth="1"/>
    <col min="4" max="4" width="16" style="3" bestFit="1" customWidth="1"/>
    <col min="5" max="5" width="10.28515625" style="3" hidden="1" customWidth="1"/>
    <col min="6" max="6" width="10.28515625" style="3" customWidth="1"/>
    <col min="7" max="7" width="16" style="3" hidden="1" customWidth="1"/>
    <col min="8" max="8" width="9.28515625" style="3" bestFit="1" customWidth="1"/>
    <col min="9" max="9" width="12" style="3" bestFit="1" customWidth="1"/>
    <col min="10" max="10" width="22.42578125" style="6" bestFit="1" customWidth="1"/>
    <col min="11" max="11" width="6.140625" style="3" bestFit="1" customWidth="1"/>
    <col min="12" max="12" width="4.85546875" style="3" bestFit="1" customWidth="1"/>
    <col min="13" max="13" width="4.140625" style="3" bestFit="1" customWidth="1"/>
    <col min="14" max="14" width="6.42578125" style="3" bestFit="1" customWidth="1"/>
    <col min="15" max="15" width="14.140625" style="3" bestFit="1" customWidth="1"/>
    <col min="16" max="23" width="2" style="3" hidden="1" customWidth="1"/>
    <col min="24" max="24" width="20.140625" style="3" hidden="1" customWidth="1"/>
    <col min="25" max="28" width="3" style="3" hidden="1" customWidth="1"/>
    <col min="29" max="31" width="8.5703125" style="3" hidden="1" customWidth="1"/>
    <col min="32" max="32" width="18.5703125" style="3" customWidth="1"/>
    <col min="33" max="33" width="7" style="3" bestFit="1" customWidth="1"/>
    <col min="34" max="34" width="6" style="3" bestFit="1" customWidth="1"/>
    <col min="35" max="35" width="7.42578125" style="3" hidden="1" customWidth="1"/>
    <col min="36" max="36" width="7" style="3" bestFit="1" customWidth="1"/>
    <col min="37" max="37" width="7.28515625" style="3" bestFit="1" customWidth="1"/>
    <col min="38" max="38" width="5" style="3" bestFit="1" customWidth="1"/>
    <col min="39" max="39" width="10.140625" style="3" bestFit="1" customWidth="1"/>
    <col min="40" max="41" width="8.42578125" style="3" bestFit="1" customWidth="1"/>
    <col min="42" max="42" width="12.7109375" style="3" bestFit="1" customWidth="1"/>
    <col min="43" max="43" width="8.28515625" style="16" bestFit="1" customWidth="1"/>
    <col min="44" max="44" width="5.5703125" style="16" bestFit="1" customWidth="1"/>
    <col min="45" max="45" width="8" style="3" bestFit="1" customWidth="1"/>
    <col min="46" max="46" width="5.28515625" style="3" bestFit="1" customWidth="1"/>
    <col min="47" max="47" width="8.5703125" style="3" hidden="1" customWidth="1"/>
    <col min="48" max="48" width="7.140625" style="3" hidden="1" customWidth="1"/>
    <col min="49" max="49" width="4.7109375" style="3" hidden="1" customWidth="1"/>
    <col min="50" max="16384" width="9.140625" style="3"/>
  </cols>
  <sheetData>
    <row r="1" spans="1:49" x14ac:dyDescent="0.2">
      <c r="A1" s="1"/>
      <c r="B1" s="1"/>
      <c r="C1" s="2" t="s">
        <v>0</v>
      </c>
      <c r="D1" s="2"/>
      <c r="E1" s="2"/>
      <c r="F1" s="2"/>
      <c r="G1" s="2"/>
      <c r="H1" s="2"/>
    </row>
    <row r="2" spans="1:49" x14ac:dyDescent="0.2">
      <c r="A2" s="1"/>
      <c r="B2" s="1"/>
      <c r="C2" s="2"/>
      <c r="D2" s="2"/>
      <c r="E2" s="2"/>
      <c r="F2" s="2"/>
      <c r="G2" s="2"/>
      <c r="H2" s="2"/>
    </row>
    <row r="3" spans="1:49" x14ac:dyDescent="0.2">
      <c r="A3" s="4" t="s">
        <v>20</v>
      </c>
      <c r="B3" s="5" t="s">
        <v>74</v>
      </c>
      <c r="C3" s="1"/>
      <c r="D3" s="1"/>
      <c r="E3" s="1"/>
      <c r="F3" s="1"/>
      <c r="G3" s="1"/>
      <c r="H3" s="1"/>
    </row>
    <row r="4" spans="1:49" x14ac:dyDescent="0.2">
      <c r="A4" s="4" t="s">
        <v>21</v>
      </c>
      <c r="B4" s="5" t="s">
        <v>44</v>
      </c>
      <c r="C4" s="1"/>
      <c r="D4" s="1"/>
      <c r="E4" s="1"/>
      <c r="F4" s="1"/>
      <c r="G4" s="1"/>
      <c r="H4" s="1"/>
      <c r="AU4" s="3" t="s">
        <v>23</v>
      </c>
      <c r="AW4" s="3" t="s">
        <v>26</v>
      </c>
    </row>
    <row r="5" spans="1:49" x14ac:dyDescent="0.2">
      <c r="A5" s="4" t="s">
        <v>1</v>
      </c>
      <c r="B5" s="5" t="s">
        <v>42</v>
      </c>
      <c r="C5" s="1"/>
      <c r="D5" s="1"/>
      <c r="E5" s="1"/>
      <c r="F5" s="1"/>
      <c r="G5" s="1"/>
      <c r="H5" s="1"/>
      <c r="AU5" s="3" t="s">
        <v>24</v>
      </c>
      <c r="AW5" s="3" t="s">
        <v>27</v>
      </c>
    </row>
    <row r="6" spans="1:49" x14ac:dyDescent="0.2">
      <c r="A6" s="5" t="s">
        <v>43</v>
      </c>
      <c r="B6" s="5"/>
      <c r="C6" s="1"/>
      <c r="D6" s="1"/>
      <c r="E6" s="1"/>
      <c r="F6" s="1"/>
      <c r="G6" s="1"/>
      <c r="H6" s="1"/>
      <c r="AU6" s="3" t="s">
        <v>25</v>
      </c>
    </row>
    <row r="7" spans="1:49" x14ac:dyDescent="0.2">
      <c r="A7" s="5" t="s">
        <v>75</v>
      </c>
      <c r="B7" s="5"/>
      <c r="C7" s="1"/>
      <c r="D7" s="1"/>
      <c r="E7" s="1"/>
      <c r="F7" s="1"/>
      <c r="G7" s="1"/>
      <c r="H7" s="1"/>
    </row>
    <row r="8" spans="1:49" ht="13.5" thickBot="1" x14ac:dyDescent="0.25"/>
    <row r="9" spans="1:49" s="1" customFormat="1" ht="13.5" thickBot="1" x14ac:dyDescent="0.25">
      <c r="C9" s="34"/>
      <c r="D9" s="34"/>
      <c r="E9" s="10"/>
      <c r="F9" s="10"/>
      <c r="G9" s="10"/>
      <c r="H9" s="10"/>
      <c r="I9" s="10" t="s">
        <v>33</v>
      </c>
      <c r="J9" s="30" t="s">
        <v>7</v>
      </c>
      <c r="K9" s="31"/>
      <c r="L9" s="31"/>
      <c r="M9" s="31"/>
      <c r="N9" s="31"/>
      <c r="O9" s="32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33" t="s">
        <v>8</v>
      </c>
      <c r="AH9" s="34"/>
      <c r="AI9" s="34"/>
      <c r="AJ9" s="34"/>
      <c r="AK9" s="24"/>
      <c r="AL9" s="24"/>
      <c r="AM9" s="33" t="s">
        <v>14</v>
      </c>
      <c r="AN9" s="34"/>
      <c r="AO9" s="35"/>
      <c r="AP9" s="38" t="s">
        <v>30</v>
      </c>
      <c r="AQ9" s="39"/>
      <c r="AR9" s="39"/>
      <c r="AS9" s="39"/>
      <c r="AT9" s="39"/>
      <c r="AU9" s="40"/>
      <c r="AV9" s="40"/>
      <c r="AW9" s="40"/>
    </row>
    <row r="10" spans="1:49" s="7" customFormat="1" ht="30" customHeight="1" x14ac:dyDescent="0.2">
      <c r="A10" s="12" t="s">
        <v>32</v>
      </c>
      <c r="B10" s="12" t="s">
        <v>34</v>
      </c>
      <c r="C10" s="36" t="s">
        <v>37</v>
      </c>
      <c r="D10" s="37"/>
      <c r="E10" s="28"/>
      <c r="F10" s="28"/>
      <c r="G10" s="18"/>
      <c r="H10" s="18"/>
      <c r="I10" s="13"/>
      <c r="J10" s="14" t="s">
        <v>15</v>
      </c>
      <c r="K10" s="12" t="s">
        <v>3</v>
      </c>
      <c r="L10" s="12" t="s">
        <v>4</v>
      </c>
      <c r="M10" s="12" t="s">
        <v>5</v>
      </c>
      <c r="N10" s="12" t="s">
        <v>16</v>
      </c>
      <c r="O10" s="12" t="s">
        <v>6</v>
      </c>
      <c r="P10" s="12">
        <v>1</v>
      </c>
      <c r="Q10" s="12">
        <v>2</v>
      </c>
      <c r="R10" s="12">
        <v>3</v>
      </c>
      <c r="S10" s="12">
        <v>4</v>
      </c>
      <c r="T10" s="12">
        <v>5</v>
      </c>
      <c r="U10" s="12">
        <v>6</v>
      </c>
      <c r="V10" s="12">
        <v>7</v>
      </c>
      <c r="W10" s="12">
        <v>8</v>
      </c>
      <c r="X10" s="12">
        <v>9</v>
      </c>
      <c r="Y10" s="12">
        <v>10</v>
      </c>
      <c r="Z10" s="12">
        <v>11</v>
      </c>
      <c r="AA10" s="12">
        <v>12</v>
      </c>
      <c r="AB10" s="12">
        <v>13</v>
      </c>
      <c r="AC10" s="12"/>
      <c r="AD10" s="12" t="s">
        <v>17</v>
      </c>
      <c r="AE10" s="12" t="s">
        <v>18</v>
      </c>
      <c r="AF10" s="12" t="s">
        <v>19</v>
      </c>
      <c r="AG10" s="12" t="s">
        <v>9</v>
      </c>
      <c r="AH10" s="12" t="s">
        <v>10</v>
      </c>
      <c r="AI10" s="12" t="s">
        <v>22</v>
      </c>
      <c r="AJ10" s="12" t="s">
        <v>11</v>
      </c>
      <c r="AK10" s="25" t="s">
        <v>39</v>
      </c>
      <c r="AL10" s="26" t="s">
        <v>40</v>
      </c>
      <c r="AM10" s="12" t="s">
        <v>2</v>
      </c>
      <c r="AN10" s="12" t="s">
        <v>12</v>
      </c>
      <c r="AO10" s="12" t="s">
        <v>13</v>
      </c>
      <c r="AP10" s="15" t="s">
        <v>29</v>
      </c>
      <c r="AQ10" s="17" t="s">
        <v>28</v>
      </c>
      <c r="AR10" s="15" t="s">
        <v>31</v>
      </c>
      <c r="AS10" s="15" t="s">
        <v>38</v>
      </c>
      <c r="AT10" s="15" t="s">
        <v>41</v>
      </c>
      <c r="AU10" s="19"/>
      <c r="AV10" s="19"/>
      <c r="AW10" s="19"/>
    </row>
    <row r="11" spans="1:49" x14ac:dyDescent="0.2">
      <c r="A11" s="20">
        <v>146</v>
      </c>
      <c r="B11" s="20">
        <v>989</v>
      </c>
      <c r="C11" s="20" t="s">
        <v>45</v>
      </c>
      <c r="D11" s="20" t="s">
        <v>46</v>
      </c>
      <c r="E11" s="20" t="s">
        <v>47</v>
      </c>
      <c r="F11" s="20" t="s">
        <v>48</v>
      </c>
      <c r="G11" s="20"/>
      <c r="H11" s="20" t="s">
        <v>49</v>
      </c>
      <c r="I11" s="20" t="s">
        <v>50</v>
      </c>
      <c r="J11" s="21" t="s">
        <v>51</v>
      </c>
      <c r="K11" s="9" t="str">
        <f t="shared" ref="K11:K16" si="0">LEFT(J11,2)</f>
        <v>00</v>
      </c>
      <c r="L11" s="9" t="str">
        <f t="shared" ref="L11:L16" si="1">MID(J11,3,3)</f>
        <v>900</v>
      </c>
      <c r="M11" s="9" t="str">
        <f t="shared" ref="M11:M16" si="2">MID(J11,6,3)</f>
        <v>D04</v>
      </c>
      <c r="N11" s="9" t="str">
        <f t="shared" ref="N11:N16" si="3">MID(J11,9,2)</f>
        <v>13</v>
      </c>
      <c r="O11" s="9" t="str">
        <f t="shared" ref="O11:O16" si="4">RIGHT(J11,13)</f>
        <v>1300060016437</v>
      </c>
      <c r="P11" s="9" t="str">
        <f t="shared" ref="P11:P16" si="5">MID(J11,9,1)</f>
        <v>1</v>
      </c>
      <c r="Q11" s="9" t="str">
        <f t="shared" ref="Q11:Q16" si="6">MID(J11,10,1)</f>
        <v>3</v>
      </c>
      <c r="R11" s="9" t="str">
        <f t="shared" ref="R11:R16" si="7">MID(J11,11,1)</f>
        <v>0</v>
      </c>
      <c r="S11" s="9" t="str">
        <f t="shared" ref="S11:S16" si="8">MID(J11,12,1)</f>
        <v>0</v>
      </c>
      <c r="T11" s="9" t="str">
        <f t="shared" ref="T11:T16" si="9">MID(J11,13,1)</f>
        <v>0</v>
      </c>
      <c r="U11" s="9" t="str">
        <f t="shared" ref="U11:U16" si="10">MID(J11,14,1)</f>
        <v>6</v>
      </c>
      <c r="V11" s="9" t="str">
        <f t="shared" ref="V11:V16" si="11">MID(J11,15,1)</f>
        <v>0</v>
      </c>
      <c r="W11" s="9" t="str">
        <f t="shared" ref="W11:W16" si="12">MID(J11,16,1)</f>
        <v>0</v>
      </c>
      <c r="X11" s="9" t="str">
        <f t="shared" ref="X11:X16" si="13">MID(J11,17,1)</f>
        <v>1</v>
      </c>
      <c r="Y11" s="9" t="str">
        <f t="shared" ref="Y11:Y16" si="14">MID(J11,18,1)</f>
        <v>6</v>
      </c>
      <c r="Z11" s="9" t="str">
        <f t="shared" ref="Z11:Z16" si="15">MID(J11,19,1)</f>
        <v>4</v>
      </c>
      <c r="AA11" s="9" t="str">
        <f t="shared" ref="AA11:AA16" si="16">MID(J11,20,1)</f>
        <v>3</v>
      </c>
      <c r="AB11" s="9" t="str">
        <f t="shared" ref="AB11:AB16" si="17">MID(J11,21,1)</f>
        <v>7</v>
      </c>
      <c r="AC11" s="9">
        <f t="shared" ref="AC11:AC16" si="18">MOD((SUM(P11*3+Q11*5+R11*7+S11*13+T11*17+U11*19+V11*23+W11*29+X11*31+Y11*37+Z11*41+AA11*43)),11)</f>
        <v>7</v>
      </c>
      <c r="AD11" s="9">
        <f t="shared" ref="AD11:AD16" si="19">MOD(AC11,10)</f>
        <v>7</v>
      </c>
      <c r="AE11" s="9">
        <f t="shared" ref="AE11:AE16" si="20">INT(AB11)</f>
        <v>7</v>
      </c>
      <c r="AF11" s="9" t="str">
        <f t="shared" ref="AF11:AF16" si="21">IF(AD11=AE11,"MPAN IS CORRECT", "MPAN IS INCORRECT")</f>
        <v>MPAN IS CORRECT</v>
      </c>
      <c r="AG11" s="20">
        <v>45271</v>
      </c>
      <c r="AH11" s="20">
        <v>19008</v>
      </c>
      <c r="AI11" s="20">
        <v>0</v>
      </c>
      <c r="AJ11" s="27">
        <f t="shared" ref="AJ11:AJ16" si="22">AG11+AH11</f>
        <v>64279</v>
      </c>
      <c r="AK11" s="8" t="s">
        <v>26</v>
      </c>
      <c r="AL11" s="27">
        <v>0</v>
      </c>
      <c r="AM11" s="22">
        <v>46388</v>
      </c>
      <c r="AN11" s="8" t="s">
        <v>25</v>
      </c>
      <c r="AO11" s="8" t="s">
        <v>36</v>
      </c>
      <c r="AP11" s="8" t="s">
        <v>35</v>
      </c>
      <c r="AQ11" s="23">
        <v>189.04566666666668</v>
      </c>
      <c r="AR11" s="23">
        <v>26.245899999999999</v>
      </c>
      <c r="AS11" s="20">
        <v>16.844700000000003</v>
      </c>
      <c r="AT11" s="20">
        <v>0</v>
      </c>
      <c r="AU11" s="29"/>
      <c r="AV11" s="20"/>
      <c r="AW11" s="20"/>
    </row>
    <row r="12" spans="1:49" x14ac:dyDescent="0.2">
      <c r="A12" s="20">
        <v>154</v>
      </c>
      <c r="B12" s="20">
        <v>989</v>
      </c>
      <c r="C12" s="20" t="s">
        <v>52</v>
      </c>
      <c r="D12" s="20" t="s">
        <v>53</v>
      </c>
      <c r="E12" s="20"/>
      <c r="F12" s="20" t="s">
        <v>54</v>
      </c>
      <c r="G12" s="20"/>
      <c r="H12" s="20" t="s">
        <v>55</v>
      </c>
      <c r="I12" s="20" t="s">
        <v>56</v>
      </c>
      <c r="J12" s="21" t="s">
        <v>57</v>
      </c>
      <c r="K12" s="9" t="str">
        <f t="shared" si="0"/>
        <v>00</v>
      </c>
      <c r="L12" s="9" t="str">
        <f t="shared" si="1"/>
        <v>900</v>
      </c>
      <c r="M12" s="9" t="str">
        <f t="shared" si="2"/>
        <v>402</v>
      </c>
      <c r="N12" s="9" t="str">
        <f t="shared" si="3"/>
        <v>13</v>
      </c>
      <c r="O12" s="9" t="str">
        <f t="shared" si="4"/>
        <v>1300060300941</v>
      </c>
      <c r="P12" s="9" t="str">
        <f t="shared" si="5"/>
        <v>1</v>
      </c>
      <c r="Q12" s="9" t="str">
        <f t="shared" si="6"/>
        <v>3</v>
      </c>
      <c r="R12" s="9" t="str">
        <f t="shared" si="7"/>
        <v>0</v>
      </c>
      <c r="S12" s="9" t="str">
        <f t="shared" si="8"/>
        <v>0</v>
      </c>
      <c r="T12" s="9" t="str">
        <f t="shared" si="9"/>
        <v>0</v>
      </c>
      <c r="U12" s="9" t="str">
        <f t="shared" si="10"/>
        <v>6</v>
      </c>
      <c r="V12" s="9" t="str">
        <f t="shared" si="11"/>
        <v>0</v>
      </c>
      <c r="W12" s="9" t="str">
        <f t="shared" si="12"/>
        <v>3</v>
      </c>
      <c r="X12" s="9" t="str">
        <f t="shared" si="13"/>
        <v>0</v>
      </c>
      <c r="Y12" s="9" t="str">
        <f t="shared" si="14"/>
        <v>0</v>
      </c>
      <c r="Z12" s="9" t="str">
        <f t="shared" si="15"/>
        <v>9</v>
      </c>
      <c r="AA12" s="9" t="str">
        <f t="shared" si="16"/>
        <v>4</v>
      </c>
      <c r="AB12" s="9" t="str">
        <f t="shared" si="17"/>
        <v>1</v>
      </c>
      <c r="AC12" s="9">
        <f t="shared" si="18"/>
        <v>1</v>
      </c>
      <c r="AD12" s="9">
        <f t="shared" si="19"/>
        <v>1</v>
      </c>
      <c r="AE12" s="9">
        <f t="shared" si="20"/>
        <v>1</v>
      </c>
      <c r="AF12" s="9" t="str">
        <f t="shared" si="21"/>
        <v>MPAN IS CORRECT</v>
      </c>
      <c r="AG12" s="20">
        <v>56983</v>
      </c>
      <c r="AH12" s="20">
        <v>12592</v>
      </c>
      <c r="AI12" s="20"/>
      <c r="AJ12" s="27">
        <f t="shared" si="22"/>
        <v>69575</v>
      </c>
      <c r="AK12" s="8" t="s">
        <v>26</v>
      </c>
      <c r="AL12" s="27">
        <v>71</v>
      </c>
      <c r="AM12" s="22">
        <v>46388</v>
      </c>
      <c r="AN12" s="8" t="s">
        <v>25</v>
      </c>
      <c r="AO12" s="8" t="s">
        <v>36</v>
      </c>
      <c r="AP12" s="8" t="s">
        <v>35</v>
      </c>
      <c r="AQ12" s="23">
        <v>337.64629166666663</v>
      </c>
      <c r="AR12" s="23">
        <v>24.5137</v>
      </c>
      <c r="AS12" s="20">
        <v>16.690799999999999</v>
      </c>
      <c r="AT12" s="20">
        <v>6.8699999999999997E-2</v>
      </c>
      <c r="AU12" s="29"/>
      <c r="AV12" s="20"/>
      <c r="AW12" s="20"/>
    </row>
    <row r="13" spans="1:49" x14ac:dyDescent="0.2">
      <c r="A13" s="20">
        <v>208</v>
      </c>
      <c r="B13" s="20">
        <v>989</v>
      </c>
      <c r="C13" s="20" t="s">
        <v>58</v>
      </c>
      <c r="D13" s="20"/>
      <c r="E13" s="20"/>
      <c r="F13" s="20" t="s">
        <v>59</v>
      </c>
      <c r="G13" s="20" t="s">
        <v>60</v>
      </c>
      <c r="H13" s="20" t="s">
        <v>61</v>
      </c>
      <c r="I13" s="20" t="s">
        <v>62</v>
      </c>
      <c r="J13" s="21" t="s">
        <v>63</v>
      </c>
      <c r="K13" s="9" t="str">
        <f t="shared" si="0"/>
        <v>00</v>
      </c>
      <c r="L13" s="9" t="str">
        <f t="shared" si="1"/>
        <v>845</v>
      </c>
      <c r="M13" s="9" t="str">
        <f t="shared" si="2"/>
        <v>G01</v>
      </c>
      <c r="N13" s="9" t="str">
        <f t="shared" si="3"/>
        <v>13</v>
      </c>
      <c r="O13" s="9" t="str">
        <f t="shared" si="4"/>
        <v>1300035421072</v>
      </c>
      <c r="P13" s="9" t="str">
        <f t="shared" si="5"/>
        <v>1</v>
      </c>
      <c r="Q13" s="9" t="str">
        <f t="shared" si="6"/>
        <v>3</v>
      </c>
      <c r="R13" s="9" t="str">
        <f t="shared" si="7"/>
        <v>0</v>
      </c>
      <c r="S13" s="9" t="str">
        <f t="shared" si="8"/>
        <v>0</v>
      </c>
      <c r="T13" s="9" t="str">
        <f t="shared" si="9"/>
        <v>0</v>
      </c>
      <c r="U13" s="9" t="str">
        <f t="shared" si="10"/>
        <v>3</v>
      </c>
      <c r="V13" s="9" t="str">
        <f t="shared" si="11"/>
        <v>5</v>
      </c>
      <c r="W13" s="9" t="str">
        <f t="shared" si="12"/>
        <v>4</v>
      </c>
      <c r="X13" s="9" t="str">
        <f t="shared" si="13"/>
        <v>2</v>
      </c>
      <c r="Y13" s="9" t="str">
        <f t="shared" si="14"/>
        <v>1</v>
      </c>
      <c r="Z13" s="9" t="str">
        <f t="shared" si="15"/>
        <v>0</v>
      </c>
      <c r="AA13" s="9" t="str">
        <f t="shared" si="16"/>
        <v>7</v>
      </c>
      <c r="AB13" s="9" t="str">
        <f t="shared" si="17"/>
        <v>2</v>
      </c>
      <c r="AC13" s="9">
        <f t="shared" si="18"/>
        <v>2</v>
      </c>
      <c r="AD13" s="9">
        <f t="shared" si="19"/>
        <v>2</v>
      </c>
      <c r="AE13" s="9">
        <f t="shared" si="20"/>
        <v>2</v>
      </c>
      <c r="AF13" s="9" t="str">
        <f t="shared" si="21"/>
        <v>MPAN IS CORRECT</v>
      </c>
      <c r="AG13" s="20">
        <v>25916</v>
      </c>
      <c r="AH13" s="20">
        <v>43495</v>
      </c>
      <c r="AI13" s="20"/>
      <c r="AJ13" s="27">
        <f t="shared" si="22"/>
        <v>69411</v>
      </c>
      <c r="AK13" s="8" t="s">
        <v>26</v>
      </c>
      <c r="AL13" s="27">
        <v>71</v>
      </c>
      <c r="AM13" s="22">
        <v>46388</v>
      </c>
      <c r="AN13" s="8" t="s">
        <v>25</v>
      </c>
      <c r="AO13" s="8" t="s">
        <v>36</v>
      </c>
      <c r="AP13" s="8" t="s">
        <v>35</v>
      </c>
      <c r="AQ13" s="23">
        <v>338.30633333333338</v>
      </c>
      <c r="AR13" s="23">
        <v>24.218700000000002</v>
      </c>
      <c r="AS13" s="20">
        <v>16.645299999999999</v>
      </c>
      <c r="AT13" s="20">
        <v>6.8699999999999997E-2</v>
      </c>
      <c r="AU13" s="29"/>
      <c r="AV13" s="20"/>
      <c r="AW13" s="20"/>
    </row>
    <row r="14" spans="1:49" x14ac:dyDescent="0.2">
      <c r="A14" s="20">
        <v>243</v>
      </c>
      <c r="B14" s="20">
        <v>989</v>
      </c>
      <c r="C14" s="20" t="s">
        <v>64</v>
      </c>
      <c r="D14" s="20"/>
      <c r="E14" s="20"/>
      <c r="F14" s="20" t="s">
        <v>65</v>
      </c>
      <c r="G14" s="20" t="s">
        <v>60</v>
      </c>
      <c r="H14" s="20" t="s">
        <v>66</v>
      </c>
      <c r="I14" s="20" t="s">
        <v>67</v>
      </c>
      <c r="J14" s="21" t="s">
        <v>68</v>
      </c>
      <c r="K14" s="9" t="str">
        <f t="shared" si="0"/>
        <v>00</v>
      </c>
      <c r="L14" s="9" t="str">
        <f t="shared" si="1"/>
        <v>845</v>
      </c>
      <c r="M14" s="9" t="str">
        <f t="shared" si="2"/>
        <v>633</v>
      </c>
      <c r="N14" s="9" t="str">
        <f t="shared" si="3"/>
        <v>14</v>
      </c>
      <c r="O14" s="9" t="str">
        <f t="shared" si="4"/>
        <v>1423293000009</v>
      </c>
      <c r="P14" s="9" t="str">
        <f t="shared" si="5"/>
        <v>1</v>
      </c>
      <c r="Q14" s="9" t="str">
        <f t="shared" si="6"/>
        <v>4</v>
      </c>
      <c r="R14" s="9" t="str">
        <f t="shared" si="7"/>
        <v>2</v>
      </c>
      <c r="S14" s="9" t="str">
        <f t="shared" si="8"/>
        <v>3</v>
      </c>
      <c r="T14" s="9" t="str">
        <f t="shared" si="9"/>
        <v>2</v>
      </c>
      <c r="U14" s="9" t="str">
        <f t="shared" si="10"/>
        <v>9</v>
      </c>
      <c r="V14" s="9" t="str">
        <f t="shared" si="11"/>
        <v>3</v>
      </c>
      <c r="W14" s="9" t="str">
        <f t="shared" si="12"/>
        <v>0</v>
      </c>
      <c r="X14" s="9" t="str">
        <f t="shared" si="13"/>
        <v>0</v>
      </c>
      <c r="Y14" s="9" t="str">
        <f t="shared" si="14"/>
        <v>0</v>
      </c>
      <c r="Z14" s="9" t="str">
        <f t="shared" si="15"/>
        <v>0</v>
      </c>
      <c r="AA14" s="9" t="str">
        <f t="shared" si="16"/>
        <v>0</v>
      </c>
      <c r="AB14" s="9" t="str">
        <f t="shared" si="17"/>
        <v>9</v>
      </c>
      <c r="AC14" s="9">
        <f t="shared" si="18"/>
        <v>9</v>
      </c>
      <c r="AD14" s="9">
        <f t="shared" si="19"/>
        <v>9</v>
      </c>
      <c r="AE14" s="9">
        <f t="shared" si="20"/>
        <v>9</v>
      </c>
      <c r="AF14" s="9" t="str">
        <f t="shared" si="21"/>
        <v>MPAN IS CORRECT</v>
      </c>
      <c r="AG14" s="20">
        <v>60137</v>
      </c>
      <c r="AH14" s="20">
        <v>16135</v>
      </c>
      <c r="AI14" s="20"/>
      <c r="AJ14" s="27">
        <f t="shared" si="22"/>
        <v>76272</v>
      </c>
      <c r="AK14" s="8" t="s">
        <v>26</v>
      </c>
      <c r="AL14" s="27">
        <v>140</v>
      </c>
      <c r="AM14" s="22">
        <v>46388</v>
      </c>
      <c r="AN14" s="8" t="s">
        <v>25</v>
      </c>
      <c r="AO14" s="8" t="s">
        <v>36</v>
      </c>
      <c r="AP14" s="8" t="s">
        <v>35</v>
      </c>
      <c r="AQ14" s="23">
        <v>351.28816666666671</v>
      </c>
      <c r="AR14" s="23">
        <v>21.757899999999999</v>
      </c>
      <c r="AS14" s="20">
        <v>16.316500000000001</v>
      </c>
      <c r="AT14" s="20">
        <v>0.10680000000000001</v>
      </c>
      <c r="AU14" s="29"/>
      <c r="AV14" s="20"/>
      <c r="AW14" s="20"/>
    </row>
    <row r="15" spans="1:49" x14ac:dyDescent="0.2">
      <c r="A15" s="20">
        <v>256</v>
      </c>
      <c r="B15" s="20">
        <v>989</v>
      </c>
      <c r="C15" s="20" t="s">
        <v>69</v>
      </c>
      <c r="D15" s="20" t="s">
        <v>70</v>
      </c>
      <c r="E15" s="20" t="s">
        <v>65</v>
      </c>
      <c r="F15" s="20" t="s">
        <v>60</v>
      </c>
      <c r="G15" s="20"/>
      <c r="H15" s="20" t="s">
        <v>71</v>
      </c>
      <c r="I15" s="20" t="s">
        <v>72</v>
      </c>
      <c r="J15" s="21" t="s">
        <v>73</v>
      </c>
      <c r="K15" s="9" t="str">
        <f t="shared" si="0"/>
        <v>00</v>
      </c>
      <c r="L15" s="9" t="str">
        <f t="shared" si="1"/>
        <v>845</v>
      </c>
      <c r="M15" s="9" t="str">
        <f t="shared" si="2"/>
        <v>127</v>
      </c>
      <c r="N15" s="9" t="str">
        <f t="shared" si="3"/>
        <v>14</v>
      </c>
      <c r="O15" s="9" t="str">
        <f t="shared" si="4"/>
        <v>1460001981780</v>
      </c>
      <c r="P15" s="9" t="str">
        <f t="shared" si="5"/>
        <v>1</v>
      </c>
      <c r="Q15" s="9" t="str">
        <f t="shared" si="6"/>
        <v>4</v>
      </c>
      <c r="R15" s="9" t="str">
        <f t="shared" si="7"/>
        <v>6</v>
      </c>
      <c r="S15" s="9" t="str">
        <f t="shared" si="8"/>
        <v>0</v>
      </c>
      <c r="T15" s="9" t="str">
        <f t="shared" si="9"/>
        <v>0</v>
      </c>
      <c r="U15" s="9" t="str">
        <f t="shared" si="10"/>
        <v>0</v>
      </c>
      <c r="V15" s="9" t="str">
        <f t="shared" si="11"/>
        <v>1</v>
      </c>
      <c r="W15" s="9" t="str">
        <f t="shared" si="12"/>
        <v>9</v>
      </c>
      <c r="X15" s="9" t="str">
        <f t="shared" si="13"/>
        <v>8</v>
      </c>
      <c r="Y15" s="9" t="str">
        <f t="shared" si="14"/>
        <v>1</v>
      </c>
      <c r="Z15" s="9" t="str">
        <f t="shared" si="15"/>
        <v>7</v>
      </c>
      <c r="AA15" s="9" t="str">
        <f t="shared" si="16"/>
        <v>8</v>
      </c>
      <c r="AB15" s="9" t="str">
        <f t="shared" si="17"/>
        <v>0</v>
      </c>
      <c r="AC15" s="9">
        <f t="shared" si="18"/>
        <v>0</v>
      </c>
      <c r="AD15" s="9">
        <f t="shared" si="19"/>
        <v>0</v>
      </c>
      <c r="AE15" s="9">
        <f t="shared" si="20"/>
        <v>0</v>
      </c>
      <c r="AF15" s="9" t="str">
        <f t="shared" si="21"/>
        <v>MPAN IS CORRECT</v>
      </c>
      <c r="AG15" s="20">
        <v>127562</v>
      </c>
      <c r="AH15" s="20">
        <v>37917</v>
      </c>
      <c r="AI15" s="20"/>
      <c r="AJ15" s="27">
        <f t="shared" si="22"/>
        <v>165479</v>
      </c>
      <c r="AK15" s="8" t="s">
        <v>26</v>
      </c>
      <c r="AL15" s="27">
        <v>275</v>
      </c>
      <c r="AM15" s="22">
        <v>46388</v>
      </c>
      <c r="AN15" s="8" t="s">
        <v>25</v>
      </c>
      <c r="AO15" s="8" t="s">
        <v>36</v>
      </c>
      <c r="AP15" s="8" t="s">
        <v>35</v>
      </c>
      <c r="AQ15" s="23">
        <v>1100.6118750000001</v>
      </c>
      <c r="AR15" s="23">
        <v>22.212899999999998</v>
      </c>
      <c r="AS15" s="20">
        <v>16.407599999999999</v>
      </c>
      <c r="AT15" s="20">
        <v>0.10680000000000001</v>
      </c>
      <c r="AU15" s="29"/>
      <c r="AV15" s="20"/>
      <c r="AW15" s="20"/>
    </row>
    <row r="16" spans="1:49" x14ac:dyDescent="0.2">
      <c r="A16" s="20">
        <v>356</v>
      </c>
      <c r="B16" s="20">
        <v>989</v>
      </c>
      <c r="C16" s="20" t="s">
        <v>76</v>
      </c>
      <c r="D16" s="20" t="s">
        <v>77</v>
      </c>
      <c r="E16" s="20" t="s">
        <v>78</v>
      </c>
      <c r="F16" s="20" t="s">
        <v>79</v>
      </c>
      <c r="G16" s="20" t="s">
        <v>80</v>
      </c>
      <c r="H16" s="20" t="s">
        <v>81</v>
      </c>
      <c r="I16" s="20" t="s">
        <v>82</v>
      </c>
      <c r="J16" s="21" t="s">
        <v>83</v>
      </c>
      <c r="K16" s="9" t="str">
        <f t="shared" si="0"/>
        <v>00</v>
      </c>
      <c r="L16" s="9" t="str">
        <f t="shared" si="1"/>
        <v>845</v>
      </c>
      <c r="M16" s="9" t="str">
        <f t="shared" si="2"/>
        <v>D2J</v>
      </c>
      <c r="N16" s="9" t="str">
        <f t="shared" si="3"/>
        <v>27</v>
      </c>
      <c r="O16" s="9" t="str">
        <f t="shared" si="4"/>
        <v>2700009658919</v>
      </c>
      <c r="P16" s="9" t="str">
        <f t="shared" si="5"/>
        <v>2</v>
      </c>
      <c r="Q16" s="9" t="str">
        <f t="shared" si="6"/>
        <v>7</v>
      </c>
      <c r="R16" s="9" t="str">
        <f t="shared" si="7"/>
        <v>0</v>
      </c>
      <c r="S16" s="9" t="str">
        <f t="shared" si="8"/>
        <v>0</v>
      </c>
      <c r="T16" s="9" t="str">
        <f t="shared" si="9"/>
        <v>0</v>
      </c>
      <c r="U16" s="9" t="str">
        <f t="shared" si="10"/>
        <v>0</v>
      </c>
      <c r="V16" s="9" t="str">
        <f t="shared" si="11"/>
        <v>9</v>
      </c>
      <c r="W16" s="9" t="str">
        <f t="shared" si="12"/>
        <v>6</v>
      </c>
      <c r="X16" s="9" t="str">
        <f t="shared" si="13"/>
        <v>5</v>
      </c>
      <c r="Y16" s="9" t="str">
        <f t="shared" si="14"/>
        <v>8</v>
      </c>
      <c r="Z16" s="9" t="str">
        <f t="shared" si="15"/>
        <v>9</v>
      </c>
      <c r="AA16" s="9" t="str">
        <f t="shared" si="16"/>
        <v>1</v>
      </c>
      <c r="AB16" s="9" t="str">
        <f t="shared" si="17"/>
        <v>9</v>
      </c>
      <c r="AC16" s="9">
        <f t="shared" si="18"/>
        <v>9</v>
      </c>
      <c r="AD16" s="9">
        <f t="shared" si="19"/>
        <v>9</v>
      </c>
      <c r="AE16" s="9">
        <f t="shared" si="20"/>
        <v>9</v>
      </c>
      <c r="AF16" s="9" t="str">
        <f t="shared" si="21"/>
        <v>MPAN IS CORRECT</v>
      </c>
      <c r="AG16" s="20">
        <v>43091</v>
      </c>
      <c r="AH16" s="20">
        <v>13624</v>
      </c>
      <c r="AI16" s="20"/>
      <c r="AJ16" s="27">
        <f t="shared" si="22"/>
        <v>56715</v>
      </c>
      <c r="AK16" s="8" t="s">
        <v>26</v>
      </c>
      <c r="AL16" s="27">
        <v>205</v>
      </c>
      <c r="AM16" s="22">
        <v>46388</v>
      </c>
      <c r="AN16" s="8" t="s">
        <v>25</v>
      </c>
      <c r="AO16" s="8" t="s">
        <v>36</v>
      </c>
      <c r="AP16" s="8" t="s">
        <v>35</v>
      </c>
      <c r="AQ16" s="23">
        <v>883.22091666666665</v>
      </c>
      <c r="AR16" s="23">
        <v>27.290700000000001</v>
      </c>
      <c r="AS16" s="20">
        <v>18.144500000000001</v>
      </c>
      <c r="AT16" s="20">
        <v>6.8699999999999997E-2</v>
      </c>
      <c r="AU16" s="29"/>
      <c r="AV16" s="20"/>
      <c r="AW16" s="20"/>
    </row>
  </sheetData>
  <mergeCells count="6">
    <mergeCell ref="J9:O9"/>
    <mergeCell ref="AM9:AO9"/>
    <mergeCell ref="C9:D9"/>
    <mergeCell ref="C10:D10"/>
    <mergeCell ref="AP9:AW9"/>
    <mergeCell ref="AG9:AJ9"/>
  </mergeCells>
  <phoneticPr fontId="0" type="noConversion"/>
  <dataValidations count="2">
    <dataValidation type="list" allowBlank="1" showInputMessage="1" showErrorMessage="1" sqref="AN11:AN16" xr:uid="{B51EF9BD-F965-4DD9-8743-560F5F15414C}">
      <formula1>$AU$4:$AU$6</formula1>
    </dataValidation>
    <dataValidation type="list" allowBlank="1" showInputMessage="1" showErrorMessage="1" sqref="AK11:AK16" xr:uid="{87EB9889-4FB0-4306-85F9-CF00AF08F666}">
      <formula1>$AY$4:$AY$5</formula1>
    </dataValidation>
  </dataValidations>
  <pageMargins left="0.23622047244094491" right="0.19685039370078741" top="0.98425196850393704" bottom="0.98425196850393704" header="0.51181102362204722" footer="0.51181102362204722"/>
  <pageSetup scale="50" fitToWidth="0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e84199-3fcc-499c-ba4c-51628e760e6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4F07EF9FCA548898A55409B0F2E3D" ma:contentTypeVersion="18" ma:contentTypeDescription="Create a new document." ma:contentTypeScope="" ma:versionID="d0455bec9b1441aa78f7cc3b1d33069a">
  <xsd:schema xmlns:xsd="http://www.w3.org/2001/XMLSchema" xmlns:xs="http://www.w3.org/2001/XMLSchema" xmlns:p="http://schemas.microsoft.com/office/2006/metadata/properties" xmlns:ns3="7a0f78ec-c1a5-4a61-9bd5-be907c2e2975" xmlns:ns4="a4e84199-3fcc-499c-ba4c-51628e760e66" targetNamespace="http://schemas.microsoft.com/office/2006/metadata/properties" ma:root="true" ma:fieldsID="22501f6cac7040228af53ba42436899a" ns3:_="" ns4:_="">
    <xsd:import namespace="7a0f78ec-c1a5-4a61-9bd5-be907c2e2975"/>
    <xsd:import namespace="a4e84199-3fcc-499c-ba4c-51628e760e6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f78ec-c1a5-4a61-9bd5-be907c2e29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84199-3fcc-499c-ba4c-51628e760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749890-7B89-4290-85D5-833022DB6C79}">
  <ds:schemaRefs>
    <ds:schemaRef ds:uri="http://schemas.microsoft.com/office/2006/metadata/properties"/>
    <ds:schemaRef ds:uri="http://schemas.microsoft.com/office/infopath/2007/PartnerControls"/>
    <ds:schemaRef ds:uri="a4e84199-3fcc-499c-ba4c-51628e760e66"/>
  </ds:schemaRefs>
</ds:datastoreItem>
</file>

<file path=customXml/itemProps2.xml><?xml version="1.0" encoding="utf-8"?>
<ds:datastoreItem xmlns:ds="http://schemas.openxmlformats.org/officeDocument/2006/customXml" ds:itemID="{D9C32C82-F3EC-46B0-BD43-5712B791E1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B0BB64-A4A2-4BA8-8E93-4CB23829B6EC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A503AF29-2B6E-4EED-A052-A658F96CD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0f78ec-c1a5-4a61-9bd5-be907c2e2975"/>
    <ds:schemaRef ds:uri="a4e84199-3fcc-499c-ba4c-51628e760e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</vt:lpstr>
    </vt:vector>
  </TitlesOfParts>
  <Company>Monarch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Template 2014</dc:title>
  <dc:creator>Peter Dosanjh</dc:creator>
  <cp:lastModifiedBy>Senthil Raja Dhesign</cp:lastModifiedBy>
  <cp:lastPrinted>2025-01-27T10:57:35Z</cp:lastPrinted>
  <dcterms:created xsi:type="dcterms:W3CDTF">2006-05-19T15:05:50Z</dcterms:created>
  <dcterms:modified xsi:type="dcterms:W3CDTF">2026-08-04T13:38:50Z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800.000000000000</vt:lpwstr>
  </property>
  <property fmtid="{D5CDD505-2E9C-101B-9397-08002B2CF9AE}" pid="3" name="ContentTypeId">
    <vt:lpwstr>0x0101008A34F07EF9FCA548898A55409B0F2E3D</vt:lpwstr>
  </property>
  <property fmtid="{D5CDD505-2E9C-101B-9397-08002B2CF9AE}" pid="4" name="ContentType">
    <vt:lpwstr>Document</vt:lpwstr>
  </property>
</Properties>
</file>